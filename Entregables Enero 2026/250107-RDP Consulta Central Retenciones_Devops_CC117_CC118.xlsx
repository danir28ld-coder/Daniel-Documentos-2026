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niel Robles\Documents\RDP Devops\250623 RDP ConsultaCentral CFDI Ret\"/>
    </mc:Choice>
  </mc:AlternateContent>
  <xr:revisionPtr revIDLastSave="0" documentId="13_ncr:1_{6B8EACBD-CB0F-4107-B262-83BF3FDC3497}" xr6:coauthVersionLast="47" xr6:coauthVersionMax="47" xr10:uidLastSave="{00000000-0000-0000-0000-000000000000}"/>
  <bookViews>
    <workbookView xWindow="-110" yWindow="-110" windowWidth="19420" windowHeight="10300" tabRatio="500" firstSheet="1" activeTab="3" xr2:uid="{00000000-000D-0000-FFFF-FFFF00000000}"/>
  </bookViews>
  <sheets>
    <sheet name="Instrucciones" sheetId="1" r:id="rId1"/>
    <sheet name="Versionamiento" sheetId="2" r:id="rId2"/>
    <sheet name="ListadoCP" sheetId="3" r:id="rId3"/>
    <sheet name="Casos de Prueba" sheetId="4" r:id="rId4"/>
    <sheet name="Devops" sheetId="5" r:id="rId5"/>
    <sheet name="Devops_Carga" sheetId="6" r:id="rId6"/>
    <sheet name="Firmas Conformidad" sheetId="7" r:id="rId7"/>
    <sheet name="Encabezado" sheetId="8" r:id="rId8"/>
  </sheets>
  <definedNames>
    <definedName name="_xlnm._FilterDatabase" localSheetId="3" hidden="1">'Casos de Prueba'!$M$21:$M$203</definedName>
    <definedName name="_xlnm.Print_Area" localSheetId="0">Instrucciones!$A$13:$N$30</definedName>
    <definedName name="_xlnm.Print_Area" localSheetId="1">Versionamiento!$A$12:$N$12</definedName>
    <definedName name="_xlnm.Print_Titles" localSheetId="3">'Casos de Prueba'!$1:$9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24" i="5" l="1"/>
  <c r="B224" i="5" s="1"/>
  <c r="E224" i="5"/>
  <c r="A224" i="5" s="1"/>
  <c r="D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E172" i="5" s="1"/>
  <c r="A172" i="5" s="1"/>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F142" i="5" s="1"/>
  <c r="B142" i="5" s="1"/>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D67" i="5" s="1"/>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F196" i="5" l="1"/>
  <c r="B196" i="5" s="1"/>
  <c r="D196" i="5"/>
  <c r="E196" i="5"/>
  <c r="A196" i="5" s="1"/>
  <c r="F139" i="5"/>
  <c r="B139" i="5" s="1"/>
  <c r="D139" i="5"/>
  <c r="E139" i="5"/>
  <c r="A139" i="5" s="1"/>
  <c r="F82" i="5"/>
  <c r="B82" i="5" s="1"/>
  <c r="E82" i="5"/>
  <c r="A82" i="5" s="1"/>
  <c r="D82" i="5"/>
  <c r="D25" i="5"/>
  <c r="F25" i="5"/>
  <c r="B25" i="5" s="1"/>
  <c r="E25" i="5"/>
  <c r="A25" i="5" s="1"/>
  <c r="D223" i="5"/>
  <c r="F223" i="5"/>
  <c r="B223" i="5" s="1"/>
  <c r="E223" i="5"/>
  <c r="A223" i="5" s="1"/>
  <c r="E222" i="5"/>
  <c r="A222" i="5" s="1"/>
  <c r="D222" i="5"/>
  <c r="F222" i="5"/>
  <c r="B222" i="5" s="1"/>
  <c r="D221" i="5"/>
  <c r="F221" i="5"/>
  <c r="B221" i="5" s="1"/>
  <c r="E221" i="5"/>
  <c r="A221" i="5" s="1"/>
  <c r="D220" i="5"/>
  <c r="E220" i="5"/>
  <c r="A220" i="5" s="1"/>
  <c r="F220" i="5"/>
  <c r="B220" i="5" s="1"/>
  <c r="F219" i="5"/>
  <c r="B219" i="5" s="1"/>
  <c r="E219" i="5"/>
  <c r="A219" i="5" s="1"/>
  <c r="D219" i="5"/>
  <c r="E218" i="5"/>
  <c r="A218" i="5" s="1"/>
  <c r="F218" i="5"/>
  <c r="B218" i="5" s="1"/>
  <c r="D218" i="5"/>
  <c r="D217" i="5"/>
  <c r="E217" i="5"/>
  <c r="A217" i="5" s="1"/>
  <c r="F217" i="5"/>
  <c r="B217" i="5" s="1"/>
  <c r="F216" i="5"/>
  <c r="B216" i="5" s="1"/>
  <c r="E216" i="5"/>
  <c r="A216" i="5" s="1"/>
  <c r="D216" i="5"/>
  <c r="F215" i="5"/>
  <c r="B215" i="5" s="1"/>
  <c r="D215" i="5"/>
  <c r="E215" i="5"/>
  <c r="A215" i="5" s="1"/>
  <c r="E214" i="5"/>
  <c r="A214" i="5" s="1"/>
  <c r="D214" i="5"/>
  <c r="F214" i="5"/>
  <c r="B214" i="5" s="1"/>
  <c r="D213" i="5"/>
  <c r="F213" i="5"/>
  <c r="B213" i="5" s="1"/>
  <c r="E213" i="5"/>
  <c r="A213" i="5" s="1"/>
  <c r="F212" i="5"/>
  <c r="B212" i="5" s="1"/>
  <c r="D212" i="5"/>
  <c r="E212" i="5"/>
  <c r="A212" i="5" s="1"/>
  <c r="F211" i="5"/>
  <c r="B211" i="5" s="1"/>
  <c r="E211" i="5"/>
  <c r="A211" i="5" s="1"/>
  <c r="D211" i="5"/>
  <c r="D210" i="5"/>
  <c r="F210" i="5"/>
  <c r="B210" i="5" s="1"/>
  <c r="E210" i="5"/>
  <c r="A210" i="5" s="1"/>
  <c r="E209" i="5"/>
  <c r="A209" i="5" s="1"/>
  <c r="F209" i="5"/>
  <c r="B209" i="5" s="1"/>
  <c r="D209" i="5"/>
  <c r="D208" i="5"/>
  <c r="E208" i="5"/>
  <c r="A208" i="5" s="1"/>
  <c r="F208" i="5"/>
  <c r="B208" i="5" s="1"/>
  <c r="F207" i="5"/>
  <c r="B207" i="5" s="1"/>
  <c r="E207" i="5"/>
  <c r="A207" i="5" s="1"/>
  <c r="D207" i="5"/>
  <c r="F206" i="5"/>
  <c r="B206" i="5" s="1"/>
  <c r="E206" i="5"/>
  <c r="A206" i="5" s="1"/>
  <c r="D206" i="5"/>
  <c r="F205" i="5"/>
  <c r="B205" i="5" s="1"/>
  <c r="D205" i="5"/>
  <c r="E205" i="5"/>
  <c r="A205" i="5" s="1"/>
  <c r="D204" i="5"/>
  <c r="E204" i="5"/>
  <c r="A204" i="5" s="1"/>
  <c r="F204" i="5"/>
  <c r="B204" i="5" s="1"/>
  <c r="E203" i="5"/>
  <c r="A203" i="5" s="1"/>
  <c r="D203" i="5"/>
  <c r="F203" i="5"/>
  <c r="B203" i="5" s="1"/>
  <c r="F202" i="5"/>
  <c r="B202" i="5" s="1"/>
  <c r="E202" i="5"/>
  <c r="A202" i="5" s="1"/>
  <c r="D202" i="5"/>
  <c r="D201" i="5"/>
  <c r="F201" i="5"/>
  <c r="B201" i="5" s="1"/>
  <c r="E201" i="5"/>
  <c r="A201" i="5" s="1"/>
  <c r="F200" i="5"/>
  <c r="B200" i="5" s="1"/>
  <c r="E200" i="5"/>
  <c r="A200" i="5" s="1"/>
  <c r="D200" i="5"/>
  <c r="F199" i="5"/>
  <c r="B199" i="5" s="1"/>
  <c r="E199" i="5"/>
  <c r="A199" i="5" s="1"/>
  <c r="D199" i="5"/>
  <c r="D198" i="5"/>
  <c r="E198" i="5"/>
  <c r="A198" i="5" s="1"/>
  <c r="F198" i="5"/>
  <c r="B198" i="5" s="1"/>
  <c r="D197" i="5"/>
  <c r="E197" i="5"/>
  <c r="A197" i="5" s="1"/>
  <c r="F197" i="5"/>
  <c r="B197" i="5" s="1"/>
  <c r="F195" i="5"/>
  <c r="B195" i="5" s="1"/>
  <c r="E195" i="5"/>
  <c r="A195" i="5" s="1"/>
  <c r="D195" i="5"/>
  <c r="F194" i="5"/>
  <c r="B194" i="5" s="1"/>
  <c r="E194" i="5"/>
  <c r="A194" i="5" s="1"/>
  <c r="D194" i="5"/>
  <c r="F193" i="5"/>
  <c r="B193" i="5" s="1"/>
  <c r="D193" i="5"/>
  <c r="E193" i="5"/>
  <c r="A193" i="5" s="1"/>
  <c r="F192" i="5"/>
  <c r="B192" i="5" s="1"/>
  <c r="E192" i="5"/>
  <c r="A192" i="5" s="1"/>
  <c r="D192" i="5"/>
  <c r="E191" i="5"/>
  <c r="A191" i="5" s="1"/>
  <c r="D191" i="5"/>
  <c r="F191" i="5"/>
  <c r="B191" i="5" s="1"/>
  <c r="D190" i="5"/>
  <c r="E190" i="5"/>
  <c r="A190" i="5" s="1"/>
  <c r="F190" i="5"/>
  <c r="B190" i="5" s="1"/>
  <c r="D189" i="5"/>
  <c r="E189" i="5"/>
  <c r="A189" i="5" s="1"/>
  <c r="F189" i="5"/>
  <c r="B189" i="5" s="1"/>
  <c r="D188" i="5"/>
  <c r="E188" i="5"/>
  <c r="A188" i="5" s="1"/>
  <c r="F188" i="5"/>
  <c r="B188" i="5" s="1"/>
  <c r="D187" i="5"/>
  <c r="E187" i="5"/>
  <c r="A187" i="5" s="1"/>
  <c r="F187" i="5"/>
  <c r="B187" i="5" s="1"/>
  <c r="E186" i="5"/>
  <c r="A186" i="5" s="1"/>
  <c r="D186" i="5"/>
  <c r="F186" i="5"/>
  <c r="B186" i="5" s="1"/>
  <c r="D185" i="5"/>
  <c r="F185" i="5"/>
  <c r="B185" i="5" s="1"/>
  <c r="E185" i="5"/>
  <c r="A185" i="5" s="1"/>
  <c r="D184" i="5"/>
  <c r="E184" i="5"/>
  <c r="A184" i="5" s="1"/>
  <c r="F184" i="5"/>
  <c r="B184" i="5" s="1"/>
  <c r="F183" i="5"/>
  <c r="B183" i="5" s="1"/>
  <c r="E183" i="5"/>
  <c r="A183" i="5" s="1"/>
  <c r="D183" i="5"/>
  <c r="E182" i="5"/>
  <c r="A182" i="5" s="1"/>
  <c r="F182" i="5"/>
  <c r="B182" i="5" s="1"/>
  <c r="D182" i="5"/>
  <c r="E181" i="5"/>
  <c r="A181" i="5" s="1"/>
  <c r="F181" i="5"/>
  <c r="B181" i="5" s="1"/>
  <c r="D181" i="5"/>
  <c r="D180" i="5"/>
  <c r="F180" i="5"/>
  <c r="B180" i="5" s="1"/>
  <c r="E180" i="5"/>
  <c r="A180" i="5" s="1"/>
  <c r="E179" i="5"/>
  <c r="A179" i="5" s="1"/>
  <c r="F179" i="5"/>
  <c r="B179" i="5" s="1"/>
  <c r="D179" i="5"/>
  <c r="E178" i="5"/>
  <c r="A178" i="5" s="1"/>
  <c r="D178" i="5"/>
  <c r="F178" i="5"/>
  <c r="B178" i="5" s="1"/>
  <c r="E177" i="5"/>
  <c r="A177" i="5" s="1"/>
  <c r="D177" i="5"/>
  <c r="F177" i="5"/>
  <c r="B177" i="5" s="1"/>
  <c r="D176" i="5"/>
  <c r="E176" i="5"/>
  <c r="A176" i="5" s="1"/>
  <c r="F176" i="5"/>
  <c r="B176" i="5" s="1"/>
  <c r="D175" i="5"/>
  <c r="F175" i="5"/>
  <c r="B175" i="5" s="1"/>
  <c r="E175" i="5"/>
  <c r="A175" i="5" s="1"/>
  <c r="E174" i="5"/>
  <c r="A174" i="5" s="1"/>
  <c r="F174" i="5"/>
  <c r="B174" i="5" s="1"/>
  <c r="D174" i="5"/>
  <c r="F173" i="5"/>
  <c r="B173" i="5" s="1"/>
  <c r="D173" i="5"/>
  <c r="E173" i="5"/>
  <c r="A173" i="5" s="1"/>
  <c r="F172" i="5"/>
  <c r="B172" i="5" s="1"/>
  <c r="D172" i="5"/>
  <c r="D171" i="5"/>
  <c r="E171" i="5"/>
  <c r="A171" i="5" s="1"/>
  <c r="F171" i="5"/>
  <c r="B171" i="5" s="1"/>
  <c r="F170" i="5"/>
  <c r="B170" i="5" s="1"/>
  <c r="D170" i="5"/>
  <c r="E170" i="5"/>
  <c r="A170" i="5" s="1"/>
  <c r="D169" i="5"/>
  <c r="F169" i="5"/>
  <c r="B169" i="5" s="1"/>
  <c r="E169" i="5"/>
  <c r="A169" i="5" s="1"/>
  <c r="D168" i="5"/>
  <c r="E168" i="5"/>
  <c r="A168" i="5" s="1"/>
  <c r="F168" i="5"/>
  <c r="B168" i="5" s="1"/>
  <c r="E167" i="5"/>
  <c r="A167" i="5" s="1"/>
  <c r="F167" i="5"/>
  <c r="B167" i="5" s="1"/>
  <c r="D167" i="5"/>
  <c r="F166" i="5"/>
  <c r="B166" i="5" s="1"/>
  <c r="D166" i="5"/>
  <c r="E166" i="5"/>
  <c r="A166" i="5" s="1"/>
  <c r="D165" i="5"/>
  <c r="E165" i="5"/>
  <c r="A165" i="5" s="1"/>
  <c r="F165" i="5"/>
  <c r="B165" i="5" s="1"/>
  <c r="D164" i="5"/>
  <c r="F164" i="5"/>
  <c r="B164" i="5" s="1"/>
  <c r="E164" i="5"/>
  <c r="A164" i="5" s="1"/>
  <c r="D163" i="5"/>
  <c r="F163" i="5"/>
  <c r="B163" i="5" s="1"/>
  <c r="E163" i="5"/>
  <c r="A163" i="5" s="1"/>
  <c r="F162" i="5"/>
  <c r="B162" i="5" s="1"/>
  <c r="E162" i="5"/>
  <c r="A162" i="5" s="1"/>
  <c r="D162" i="5"/>
  <c r="F161" i="5"/>
  <c r="B161" i="5" s="1"/>
  <c r="E161" i="5"/>
  <c r="A161" i="5" s="1"/>
  <c r="D161" i="5"/>
  <c r="F160" i="5"/>
  <c r="B160" i="5" s="1"/>
  <c r="E160" i="5"/>
  <c r="A160" i="5" s="1"/>
  <c r="D160" i="5"/>
  <c r="E159" i="5"/>
  <c r="A159" i="5" s="1"/>
  <c r="D159" i="5"/>
  <c r="F159" i="5"/>
  <c r="B159" i="5" s="1"/>
  <c r="F158" i="5"/>
  <c r="B158" i="5" s="1"/>
  <c r="E158" i="5"/>
  <c r="A158" i="5" s="1"/>
  <c r="D158" i="5"/>
  <c r="F157" i="5"/>
  <c r="B157" i="5" s="1"/>
  <c r="E157" i="5"/>
  <c r="A157" i="5" s="1"/>
  <c r="D157" i="5"/>
  <c r="F156" i="5"/>
  <c r="B156" i="5" s="1"/>
  <c r="E156" i="5"/>
  <c r="A156" i="5" s="1"/>
  <c r="D156" i="5"/>
  <c r="E155" i="5"/>
  <c r="A155" i="5" s="1"/>
  <c r="F155" i="5"/>
  <c r="B155" i="5" s="1"/>
  <c r="D155" i="5"/>
  <c r="D154" i="5"/>
  <c r="F154" i="5"/>
  <c r="B154" i="5" s="1"/>
  <c r="E154" i="5"/>
  <c r="A154" i="5" s="1"/>
  <c r="F153" i="5"/>
  <c r="B153" i="5" s="1"/>
  <c r="D153" i="5"/>
  <c r="E153" i="5"/>
  <c r="A153" i="5" s="1"/>
  <c r="F152" i="5"/>
  <c r="B152" i="5" s="1"/>
  <c r="E152" i="5"/>
  <c r="A152" i="5" s="1"/>
  <c r="D152" i="5"/>
  <c r="E151" i="5"/>
  <c r="A151" i="5" s="1"/>
  <c r="D151" i="5"/>
  <c r="F151" i="5"/>
  <c r="B151" i="5" s="1"/>
  <c r="D150" i="5"/>
  <c r="F150" i="5"/>
  <c r="B150" i="5" s="1"/>
  <c r="E150" i="5"/>
  <c r="A150" i="5" s="1"/>
  <c r="E149" i="5"/>
  <c r="A149" i="5" s="1"/>
  <c r="F149" i="5"/>
  <c r="B149" i="5" s="1"/>
  <c r="D149" i="5"/>
  <c r="F148" i="5"/>
  <c r="B148" i="5" s="1"/>
  <c r="D148" i="5"/>
  <c r="E148" i="5"/>
  <c r="A148" i="5" s="1"/>
  <c r="F147" i="5"/>
  <c r="B147" i="5" s="1"/>
  <c r="D147" i="5"/>
  <c r="E147" i="5"/>
  <c r="A147" i="5" s="1"/>
  <c r="F146" i="5"/>
  <c r="B146" i="5" s="1"/>
  <c r="E146" i="5"/>
  <c r="A146" i="5" s="1"/>
  <c r="D146" i="5"/>
  <c r="D145" i="5"/>
  <c r="E145" i="5"/>
  <c r="A145" i="5" s="1"/>
  <c r="F145" i="5"/>
  <c r="B145" i="5" s="1"/>
  <c r="D144" i="5"/>
  <c r="E144" i="5"/>
  <c r="A144" i="5" s="1"/>
  <c r="F144" i="5"/>
  <c r="B144" i="5" s="1"/>
  <c r="F143" i="5"/>
  <c r="B143" i="5" s="1"/>
  <c r="E143" i="5"/>
  <c r="A143" i="5" s="1"/>
  <c r="D143" i="5"/>
  <c r="E142" i="5"/>
  <c r="A142" i="5" s="1"/>
  <c r="D142" i="5"/>
  <c r="D141" i="5"/>
  <c r="E141" i="5"/>
  <c r="A141" i="5" s="1"/>
  <c r="F141" i="5"/>
  <c r="B141" i="5" s="1"/>
  <c r="F140" i="5"/>
  <c r="B140" i="5" s="1"/>
  <c r="E140" i="5"/>
  <c r="A140" i="5" s="1"/>
  <c r="D140" i="5"/>
  <c r="D138" i="5"/>
  <c r="E138" i="5"/>
  <c r="A138" i="5" s="1"/>
  <c r="F138" i="5"/>
  <c r="B138" i="5" s="1"/>
  <c r="D137" i="5"/>
  <c r="E137" i="5"/>
  <c r="A137" i="5" s="1"/>
  <c r="F137" i="5"/>
  <c r="B137" i="5" s="1"/>
  <c r="D136" i="5"/>
  <c r="E136" i="5"/>
  <c r="A136" i="5" s="1"/>
  <c r="F136" i="5"/>
  <c r="B136" i="5" s="1"/>
  <c r="D135" i="5"/>
  <c r="E135" i="5"/>
  <c r="A135" i="5" s="1"/>
  <c r="F135" i="5"/>
  <c r="B135" i="5" s="1"/>
  <c r="D134" i="5"/>
  <c r="E134" i="5"/>
  <c r="A134" i="5" s="1"/>
  <c r="F134" i="5"/>
  <c r="B134" i="5" s="1"/>
  <c r="D133" i="5"/>
  <c r="E133" i="5"/>
  <c r="A133" i="5" s="1"/>
  <c r="F133" i="5"/>
  <c r="B133" i="5" s="1"/>
  <c r="D132" i="5"/>
  <c r="F132" i="5"/>
  <c r="B132" i="5" s="1"/>
  <c r="E132" i="5"/>
  <c r="A132" i="5" s="1"/>
  <c r="E131" i="5"/>
  <c r="A131" i="5" s="1"/>
  <c r="F131" i="5"/>
  <c r="B131" i="5" s="1"/>
  <c r="D131" i="5"/>
  <c r="E130" i="5"/>
  <c r="A130" i="5" s="1"/>
  <c r="D130" i="5"/>
  <c r="F130" i="5"/>
  <c r="B130" i="5" s="1"/>
  <c r="F129" i="5"/>
  <c r="B129" i="5" s="1"/>
  <c r="E129" i="5"/>
  <c r="A129" i="5" s="1"/>
  <c r="D129" i="5"/>
  <c r="F128" i="5"/>
  <c r="B128" i="5" s="1"/>
  <c r="D128" i="5"/>
  <c r="E128" i="5"/>
  <c r="A128" i="5" s="1"/>
  <c r="F127" i="5"/>
  <c r="B127" i="5" s="1"/>
  <c r="D127" i="5"/>
  <c r="E127" i="5"/>
  <c r="A127" i="5" s="1"/>
  <c r="F126" i="5"/>
  <c r="B126" i="5" s="1"/>
  <c r="E126" i="5"/>
  <c r="A126" i="5" s="1"/>
  <c r="D126" i="5"/>
  <c r="E125" i="5"/>
  <c r="A125" i="5" s="1"/>
  <c r="F125" i="5"/>
  <c r="B125" i="5" s="1"/>
  <c r="D125" i="5"/>
  <c r="F124" i="5"/>
  <c r="B124" i="5" s="1"/>
  <c r="E124" i="5"/>
  <c r="A124" i="5" s="1"/>
  <c r="D124" i="5"/>
  <c r="F123" i="5"/>
  <c r="B123" i="5" s="1"/>
  <c r="E123" i="5"/>
  <c r="A123" i="5" s="1"/>
  <c r="D123" i="5"/>
  <c r="F122" i="5"/>
  <c r="B122" i="5" s="1"/>
  <c r="E122" i="5"/>
  <c r="A122" i="5" s="1"/>
  <c r="D122" i="5"/>
  <c r="D121" i="5"/>
  <c r="F121" i="5"/>
  <c r="B121" i="5" s="1"/>
  <c r="E121" i="5"/>
  <c r="A121" i="5" s="1"/>
  <c r="D120" i="5"/>
  <c r="F120" i="5"/>
  <c r="B120" i="5" s="1"/>
  <c r="E120" i="5"/>
  <c r="A120" i="5" s="1"/>
  <c r="F119" i="5"/>
  <c r="B119" i="5" s="1"/>
  <c r="E119" i="5"/>
  <c r="A119" i="5" s="1"/>
  <c r="D119" i="5"/>
  <c r="F118" i="5"/>
  <c r="B118" i="5" s="1"/>
  <c r="E118" i="5"/>
  <c r="A118" i="5" s="1"/>
  <c r="D118" i="5"/>
  <c r="F117" i="5"/>
  <c r="B117" i="5" s="1"/>
  <c r="E117" i="5"/>
  <c r="A117" i="5" s="1"/>
  <c r="D117" i="5"/>
  <c r="F116" i="5"/>
  <c r="B116" i="5" s="1"/>
  <c r="E116" i="5"/>
  <c r="A116" i="5" s="1"/>
  <c r="D116" i="5"/>
  <c r="E115" i="5"/>
  <c r="A115" i="5" s="1"/>
  <c r="F115" i="5"/>
  <c r="B115" i="5" s="1"/>
  <c r="D115" i="5"/>
  <c r="F114" i="5"/>
  <c r="B114" i="5" s="1"/>
  <c r="E114" i="5"/>
  <c r="A114" i="5" s="1"/>
  <c r="D114" i="5"/>
  <c r="F113" i="5"/>
  <c r="B113" i="5" s="1"/>
  <c r="E113" i="5"/>
  <c r="A113" i="5" s="1"/>
  <c r="D113" i="5"/>
  <c r="E112" i="5"/>
  <c r="A112" i="5" s="1"/>
  <c r="F112" i="5"/>
  <c r="B112" i="5" s="1"/>
  <c r="D112" i="5"/>
  <c r="D111" i="5"/>
  <c r="E111" i="5"/>
  <c r="A111" i="5" s="1"/>
  <c r="F111" i="5"/>
  <c r="B111" i="5" s="1"/>
  <c r="E110" i="5"/>
  <c r="A110" i="5" s="1"/>
  <c r="F110" i="5"/>
  <c r="B110" i="5" s="1"/>
  <c r="D110" i="5"/>
  <c r="F109" i="5"/>
  <c r="B109" i="5" s="1"/>
  <c r="D109" i="5"/>
  <c r="E109" i="5"/>
  <c r="A109" i="5" s="1"/>
  <c r="E108" i="5"/>
  <c r="A108" i="5" s="1"/>
  <c r="F108" i="5"/>
  <c r="B108" i="5" s="1"/>
  <c r="D108" i="5"/>
  <c r="F107" i="5"/>
  <c r="B107" i="5" s="1"/>
  <c r="E107" i="5"/>
  <c r="A107" i="5" s="1"/>
  <c r="D107" i="5"/>
  <c r="D106" i="5"/>
  <c r="F106" i="5"/>
  <c r="B106" i="5" s="1"/>
  <c r="E106" i="5"/>
  <c r="A106" i="5" s="1"/>
  <c r="D105" i="5"/>
  <c r="E105" i="5"/>
  <c r="A105" i="5" s="1"/>
  <c r="F105" i="5"/>
  <c r="B105" i="5" s="1"/>
  <c r="E104" i="5"/>
  <c r="A104" i="5" s="1"/>
  <c r="F104" i="5"/>
  <c r="B104" i="5" s="1"/>
  <c r="D104" i="5"/>
  <c r="E103" i="5"/>
  <c r="A103" i="5" s="1"/>
  <c r="F103" i="5"/>
  <c r="B103" i="5" s="1"/>
  <c r="D103" i="5"/>
  <c r="F102" i="5"/>
  <c r="B102" i="5" s="1"/>
  <c r="E102" i="5"/>
  <c r="A102" i="5" s="1"/>
  <c r="D102" i="5"/>
  <c r="E101" i="5"/>
  <c r="A101" i="5" s="1"/>
  <c r="F101" i="5"/>
  <c r="B101" i="5" s="1"/>
  <c r="D101" i="5"/>
  <c r="D100" i="5"/>
  <c r="F100" i="5"/>
  <c r="B100" i="5" s="1"/>
  <c r="E100" i="5"/>
  <c r="A100" i="5" s="1"/>
  <c r="F99" i="5"/>
  <c r="B99" i="5" s="1"/>
  <c r="E99" i="5"/>
  <c r="A99" i="5" s="1"/>
  <c r="D99" i="5"/>
  <c r="D98" i="5"/>
  <c r="F98" i="5"/>
  <c r="B98" i="5" s="1"/>
  <c r="E98" i="5"/>
  <c r="A98" i="5" s="1"/>
  <c r="F97" i="5"/>
  <c r="B97" i="5" s="1"/>
  <c r="E97" i="5"/>
  <c r="A97" i="5" s="1"/>
  <c r="D97" i="5"/>
  <c r="F96" i="5"/>
  <c r="B96" i="5" s="1"/>
  <c r="E96" i="5"/>
  <c r="A96" i="5" s="1"/>
  <c r="D96" i="5"/>
  <c r="F95" i="5"/>
  <c r="B95" i="5" s="1"/>
  <c r="E95" i="5"/>
  <c r="A95" i="5" s="1"/>
  <c r="D95" i="5"/>
  <c r="D94" i="5"/>
  <c r="E94" i="5"/>
  <c r="A94" i="5" s="1"/>
  <c r="F94" i="5"/>
  <c r="B94" i="5" s="1"/>
  <c r="D93" i="5"/>
  <c r="E93" i="5"/>
  <c r="A93" i="5" s="1"/>
  <c r="F93" i="5"/>
  <c r="B93" i="5" s="1"/>
  <c r="D92" i="5"/>
  <c r="F92" i="5"/>
  <c r="B92" i="5" s="1"/>
  <c r="E92" i="5"/>
  <c r="A92" i="5" s="1"/>
  <c r="E91" i="5"/>
  <c r="A91" i="5" s="1"/>
  <c r="F91" i="5"/>
  <c r="B91" i="5" s="1"/>
  <c r="D91" i="5"/>
  <c r="D90" i="5"/>
  <c r="E90" i="5"/>
  <c r="A90" i="5" s="1"/>
  <c r="F90" i="5"/>
  <c r="B90" i="5" s="1"/>
  <c r="E89" i="5"/>
  <c r="A89" i="5" s="1"/>
  <c r="D89" i="5"/>
  <c r="F89" i="5"/>
  <c r="B89" i="5" s="1"/>
  <c r="F88" i="5"/>
  <c r="B88" i="5" s="1"/>
  <c r="E88" i="5"/>
  <c r="A88" i="5" s="1"/>
  <c r="D88" i="5"/>
  <c r="F87" i="5"/>
  <c r="B87" i="5" s="1"/>
  <c r="E87" i="5"/>
  <c r="A87" i="5" s="1"/>
  <c r="D87" i="5"/>
  <c r="D86" i="5"/>
  <c r="E86" i="5"/>
  <c r="A86" i="5" s="1"/>
  <c r="F86" i="5"/>
  <c r="B86" i="5" s="1"/>
  <c r="E85" i="5"/>
  <c r="A85" i="5" s="1"/>
  <c r="F85" i="5"/>
  <c r="B85" i="5" s="1"/>
  <c r="D85" i="5"/>
  <c r="F84" i="5"/>
  <c r="B84" i="5" s="1"/>
  <c r="E84" i="5"/>
  <c r="A84" i="5" s="1"/>
  <c r="D84" i="5"/>
  <c r="D83" i="5"/>
  <c r="E83" i="5"/>
  <c r="A83" i="5" s="1"/>
  <c r="F83" i="5"/>
  <c r="B83" i="5" s="1"/>
  <c r="D81" i="5"/>
  <c r="E81" i="5"/>
  <c r="A81" i="5" s="1"/>
  <c r="F81" i="5"/>
  <c r="B81" i="5" s="1"/>
  <c r="F80" i="5"/>
  <c r="B80" i="5" s="1"/>
  <c r="E80" i="5"/>
  <c r="A80" i="5" s="1"/>
  <c r="D80" i="5"/>
  <c r="E79" i="5"/>
  <c r="A79" i="5" s="1"/>
  <c r="D79" i="5"/>
  <c r="F79" i="5"/>
  <c r="B79" i="5" s="1"/>
  <c r="D78" i="5"/>
  <c r="E78" i="5"/>
  <c r="A78" i="5" s="1"/>
  <c r="F78" i="5"/>
  <c r="B78" i="5" s="1"/>
  <c r="D77" i="5"/>
  <c r="E77" i="5"/>
  <c r="A77" i="5" s="1"/>
  <c r="F77" i="5"/>
  <c r="B77" i="5" s="1"/>
  <c r="F76" i="5"/>
  <c r="B76" i="5" s="1"/>
  <c r="D76" i="5"/>
  <c r="E76" i="5"/>
  <c r="A76" i="5" s="1"/>
  <c r="D75" i="5"/>
  <c r="F75" i="5"/>
  <c r="B75" i="5" s="1"/>
  <c r="E75" i="5"/>
  <c r="A75" i="5" s="1"/>
  <c r="E74" i="5"/>
  <c r="A74" i="5" s="1"/>
  <c r="D74" i="5"/>
  <c r="F74" i="5"/>
  <c r="B74" i="5" s="1"/>
  <c r="D73" i="5"/>
  <c r="F73" i="5"/>
  <c r="B73" i="5" s="1"/>
  <c r="E73" i="5"/>
  <c r="A73" i="5" s="1"/>
  <c r="F72" i="5"/>
  <c r="B72" i="5" s="1"/>
  <c r="D72" i="5"/>
  <c r="E72" i="5"/>
  <c r="A72" i="5" s="1"/>
  <c r="F71" i="5"/>
  <c r="B71" i="5" s="1"/>
  <c r="E71" i="5"/>
  <c r="A71" i="5" s="1"/>
  <c r="D71" i="5"/>
  <c r="D70" i="5"/>
  <c r="E70" i="5"/>
  <c r="A70" i="5" s="1"/>
  <c r="F70" i="5"/>
  <c r="B70" i="5" s="1"/>
  <c r="F69" i="5"/>
  <c r="B69" i="5" s="1"/>
  <c r="D69" i="5"/>
  <c r="E69" i="5"/>
  <c r="A69" i="5" s="1"/>
  <c r="D68" i="5"/>
  <c r="E68" i="5"/>
  <c r="A68" i="5" s="1"/>
  <c r="F68" i="5"/>
  <c r="B68" i="5" s="1"/>
  <c r="F67" i="5"/>
  <c r="B67" i="5" s="1"/>
  <c r="E67" i="5"/>
  <c r="A67" i="5" s="1"/>
  <c r="E66" i="5"/>
  <c r="A66" i="5" s="1"/>
  <c r="F66" i="5"/>
  <c r="B66" i="5" s="1"/>
  <c r="D66" i="5"/>
  <c r="F65" i="5"/>
  <c r="B65" i="5" s="1"/>
  <c r="E65" i="5"/>
  <c r="A65" i="5" s="1"/>
  <c r="D65" i="5"/>
  <c r="E64" i="5"/>
  <c r="A64" i="5" s="1"/>
  <c r="F64" i="5"/>
  <c r="B64" i="5" s="1"/>
  <c r="D64" i="5"/>
  <c r="F63" i="5"/>
  <c r="B63" i="5" s="1"/>
  <c r="D63" i="5"/>
  <c r="E63" i="5"/>
  <c r="A63" i="5" s="1"/>
  <c r="F62" i="5"/>
  <c r="B62" i="5" s="1"/>
  <c r="E62" i="5"/>
  <c r="A62" i="5" s="1"/>
  <c r="D62" i="5"/>
  <c r="D61" i="5"/>
  <c r="F61" i="5"/>
  <c r="B61" i="5" s="1"/>
  <c r="E61" i="5"/>
  <c r="A61" i="5" s="1"/>
  <c r="F60" i="5"/>
  <c r="B60" i="5" s="1"/>
  <c r="E60" i="5"/>
  <c r="A60" i="5" s="1"/>
  <c r="D60" i="5"/>
  <c r="F59" i="5"/>
  <c r="B59" i="5" s="1"/>
  <c r="D59" i="5"/>
  <c r="E59" i="5"/>
  <c r="A59" i="5" s="1"/>
  <c r="D58" i="5"/>
  <c r="F58" i="5"/>
  <c r="B58" i="5" s="1"/>
  <c r="E58" i="5"/>
  <c r="A58" i="5" s="1"/>
  <c r="F57" i="5"/>
  <c r="B57" i="5" s="1"/>
  <c r="D57" i="5"/>
  <c r="E57" i="5"/>
  <c r="A57" i="5" s="1"/>
  <c r="D56" i="5"/>
  <c r="F56" i="5"/>
  <c r="B56" i="5" s="1"/>
  <c r="E56" i="5"/>
  <c r="A56" i="5" s="1"/>
  <c r="D55" i="5"/>
  <c r="E55" i="5"/>
  <c r="A55" i="5" s="1"/>
  <c r="F55" i="5"/>
  <c r="B55" i="5" s="1"/>
  <c r="F54" i="5"/>
  <c r="B54" i="5" s="1"/>
  <c r="D54" i="5"/>
  <c r="E54" i="5"/>
  <c r="A54" i="5" s="1"/>
  <c r="F53" i="5"/>
  <c r="B53" i="5" s="1"/>
  <c r="E53" i="5"/>
  <c r="A53" i="5" s="1"/>
  <c r="D53" i="5"/>
  <c r="F52" i="5"/>
  <c r="B52" i="5" s="1"/>
  <c r="E52" i="5"/>
  <c r="A52" i="5" s="1"/>
  <c r="D52" i="5"/>
  <c r="F51" i="5"/>
  <c r="B51" i="5" s="1"/>
  <c r="E51" i="5"/>
  <c r="A51" i="5" s="1"/>
  <c r="D51" i="5"/>
  <c r="F50" i="5"/>
  <c r="B50" i="5" s="1"/>
  <c r="E50" i="5"/>
  <c r="A50" i="5" s="1"/>
  <c r="D50" i="5"/>
  <c r="F49" i="5"/>
  <c r="B49" i="5" s="1"/>
  <c r="E49" i="5"/>
  <c r="A49" i="5" s="1"/>
  <c r="D49" i="5"/>
  <c r="E48" i="5"/>
  <c r="A48" i="5" s="1"/>
  <c r="D48" i="5"/>
  <c r="F48" i="5"/>
  <c r="B48" i="5" s="1"/>
  <c r="F47" i="5"/>
  <c r="B47" i="5" s="1"/>
  <c r="E47" i="5"/>
  <c r="A47" i="5" s="1"/>
  <c r="D47" i="5"/>
  <c r="F46" i="5"/>
  <c r="B46" i="5" s="1"/>
  <c r="D46" i="5"/>
  <c r="E46" i="5"/>
  <c r="A46" i="5" s="1"/>
  <c r="D45" i="5"/>
  <c r="E45" i="5"/>
  <c r="A45" i="5" s="1"/>
  <c r="F45" i="5"/>
  <c r="B45" i="5" s="1"/>
  <c r="F44" i="5"/>
  <c r="B44" i="5" s="1"/>
  <c r="E44" i="5"/>
  <c r="A44" i="5" s="1"/>
  <c r="D44" i="5"/>
  <c r="F43" i="5"/>
  <c r="B43" i="5" s="1"/>
  <c r="E43" i="5"/>
  <c r="A43" i="5" s="1"/>
  <c r="D43" i="5"/>
  <c r="F42" i="5"/>
  <c r="B42" i="5" s="1"/>
  <c r="E42" i="5"/>
  <c r="A42" i="5" s="1"/>
  <c r="D42" i="5"/>
  <c r="F41" i="5"/>
  <c r="B41" i="5" s="1"/>
  <c r="E41" i="5"/>
  <c r="A41" i="5" s="1"/>
  <c r="D41" i="5"/>
  <c r="E40" i="5"/>
  <c r="A40" i="5" s="1"/>
  <c r="D40" i="5"/>
  <c r="F40" i="5"/>
  <c r="B40" i="5" s="1"/>
  <c r="F39" i="5"/>
  <c r="B39" i="5" s="1"/>
  <c r="D39" i="5"/>
  <c r="E39" i="5"/>
  <c r="A39" i="5" s="1"/>
  <c r="D38" i="5"/>
  <c r="E38" i="5"/>
  <c r="A38" i="5" s="1"/>
  <c r="F38" i="5"/>
  <c r="B38" i="5" s="1"/>
  <c r="D37" i="5"/>
  <c r="E37" i="5"/>
  <c r="A37" i="5" s="1"/>
  <c r="F37" i="5"/>
  <c r="B37" i="5" s="1"/>
  <c r="E36" i="5"/>
  <c r="A36" i="5" s="1"/>
  <c r="D36" i="5"/>
  <c r="F36" i="5"/>
  <c r="B36" i="5" s="1"/>
  <c r="F35" i="5"/>
  <c r="B35" i="5" s="1"/>
  <c r="E35" i="5"/>
  <c r="A35" i="5" s="1"/>
  <c r="D35" i="5"/>
  <c r="F34" i="5"/>
  <c r="B34" i="5" s="1"/>
  <c r="D34" i="5"/>
  <c r="E34" i="5"/>
  <c r="A34" i="5" s="1"/>
  <c r="F33" i="5"/>
  <c r="B33" i="5" s="1"/>
  <c r="D33" i="5"/>
  <c r="E33" i="5"/>
  <c r="A33" i="5" s="1"/>
  <c r="E32" i="5"/>
  <c r="A32" i="5" s="1"/>
  <c r="F32" i="5"/>
  <c r="B32" i="5" s="1"/>
  <c r="D32" i="5"/>
  <c r="E31" i="5"/>
  <c r="A31" i="5" s="1"/>
  <c r="D31" i="5"/>
  <c r="F31" i="5"/>
  <c r="B31" i="5" s="1"/>
  <c r="F30" i="5"/>
  <c r="B30" i="5" s="1"/>
  <c r="E30" i="5"/>
  <c r="A30" i="5" s="1"/>
  <c r="D30" i="5"/>
  <c r="E29" i="5"/>
  <c r="A29" i="5" s="1"/>
  <c r="F29" i="5"/>
  <c r="B29" i="5" s="1"/>
  <c r="D29" i="5"/>
  <c r="D28" i="5"/>
  <c r="F28" i="5"/>
  <c r="B28" i="5" s="1"/>
  <c r="E28" i="5"/>
  <c r="A28" i="5" s="1"/>
  <c r="F27" i="5"/>
  <c r="B27" i="5" s="1"/>
  <c r="D27" i="5"/>
  <c r="E27" i="5"/>
  <c r="A27" i="5" s="1"/>
  <c r="D26" i="5"/>
  <c r="E26" i="5"/>
  <c r="A26" i="5" s="1"/>
  <c r="F26" i="5"/>
  <c r="B26" i="5" s="1"/>
  <c r="F24" i="5"/>
  <c r="B24" i="5" s="1"/>
  <c r="D24" i="5"/>
  <c r="E24" i="5"/>
  <c r="A24" i="5" s="1"/>
  <c r="D23" i="5"/>
  <c r="E23" i="5"/>
  <c r="A23" i="5" s="1"/>
  <c r="F23" i="5"/>
  <c r="B23" i="5" s="1"/>
  <c r="F22" i="5"/>
  <c r="B22" i="5" s="1"/>
  <c r="E22" i="5"/>
  <c r="A22" i="5" s="1"/>
  <c r="D22" i="5"/>
  <c r="D21" i="5"/>
  <c r="E21" i="5"/>
  <c r="A21" i="5" s="1"/>
  <c r="F21" i="5"/>
  <c r="B21" i="5" s="1"/>
  <c r="F20" i="5"/>
  <c r="B20" i="5" s="1"/>
  <c r="E20" i="5"/>
  <c r="A20" i="5" s="1"/>
  <c r="D20" i="5"/>
</calcChain>
</file>

<file path=xl/sharedStrings.xml><?xml version="1.0" encoding="utf-8"?>
<sst xmlns="http://schemas.openxmlformats.org/spreadsheetml/2006/main" count="1477" uniqueCount="478">
  <si>
    <r>
      <rPr>
        <b/>
        <i/>
        <sz val="10"/>
        <color rgb="FF1403EF"/>
        <rFont val="Montserrat"/>
      </rPr>
      <t xml:space="preserve">Objetivo: </t>
    </r>
    <r>
      <rPr>
        <i/>
        <sz val="10"/>
        <color rgb="FF1403EF"/>
        <rFont val="Montserrat"/>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</si>
  <si>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Montserrat"/>
      </rPr>
      <t xml:space="preserve">Guía de Uso:
</t>
    </r>
    <r>
      <rPr>
        <i/>
        <sz val="10"/>
        <color rgb="FF0000FF"/>
        <rFont val="Montserrat"/>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Montserrat"/>
      </rPr>
      <t>reservar</t>
    </r>
    <r>
      <rPr>
        <i/>
        <sz val="10"/>
        <color rgb="FF0000FF"/>
        <rFont val="Montserrat"/>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</si>
  <si>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Montserrat"/>
      </rPr>
      <t xml:space="preserve">Nota acerca de Información Reservada
</t>
    </r>
    <r>
      <rPr>
        <i/>
        <sz val="10"/>
        <color rgb="FF0000FF"/>
        <rFont val="Montserrat"/>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</si>
  <si>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</si>
  <si>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</si>
  <si>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</si>
  <si>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</si>
  <si>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</si>
  <si>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</si>
  <si>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Montserrat"/>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Montserrat"/>
      </rPr>
      <t>●</t>
    </r>
    <r>
      <rPr>
        <i/>
        <sz val="10"/>
        <color rgb="FF0000FF"/>
        <rFont val="Montserrat"/>
      </rPr>
      <t xml:space="preserve">No se combinan celdas (exceptuando la sección de firmas)
</t>
    </r>
    <r>
      <rPr>
        <sz val="10"/>
        <color rgb="FF0000FF"/>
        <rFont val="Montserrat"/>
      </rPr>
      <t>●</t>
    </r>
    <r>
      <rPr>
        <i/>
        <sz val="10"/>
        <color rgb="FF0000FF"/>
        <rFont val="Montserrat"/>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</si>
  <si>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</si>
  <si>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</si>
  <si>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</si>
  <si>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</si>
  <si>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</si>
  <si>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</si>
  <si>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</si>
  <si>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</si>
  <si>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</si>
  <si>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</si>
  <si>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</si>
  <si>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Montserrat"/>
      </rPr>
      <t xml:space="preserve">En artefactos </t>
    </r>
    <r>
      <rPr>
        <b/>
        <sz val="10"/>
        <rFont val="Montserrat"/>
      </rPr>
      <t>tipo Excel</t>
    </r>
    <r>
      <rPr>
        <sz val="10"/>
        <rFont val="Montserrat"/>
      </rPr>
      <t xml:space="preserve">, la inserción del </t>
    </r>
    <r>
      <rPr>
        <b/>
        <sz val="10"/>
        <rFont val="Montserrat"/>
      </rPr>
      <t>Encabezado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</si>
  <si>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</si>
  <si>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Montserrat"/>
      </rPr>
      <t xml:space="preserve">En artefactos </t>
    </r>
    <r>
      <rPr>
        <b/>
        <sz val="10"/>
        <rFont val="Montserrat"/>
      </rPr>
      <t>tipo</t>
    </r>
    <r>
      <rPr>
        <sz val="10"/>
        <rFont val="Montserrat"/>
      </rPr>
      <t xml:space="preserve"> </t>
    </r>
    <r>
      <rPr>
        <b/>
        <sz val="10"/>
        <rFont val="Montserrat"/>
      </rPr>
      <t>Excel</t>
    </r>
    <r>
      <rPr>
        <sz val="10"/>
        <rFont val="Montserrat"/>
      </rPr>
      <t>, la inserción de la</t>
    </r>
    <r>
      <rPr>
        <b/>
        <sz val="10"/>
        <rFont val="Montserrat"/>
      </rPr>
      <t xml:space="preserve"> Sección</t>
    </r>
    <r>
      <rPr>
        <sz val="10"/>
        <rFont val="Montserrat"/>
      </rPr>
      <t xml:space="preserve"> </t>
    </r>
    <r>
      <rPr>
        <b/>
        <sz val="10"/>
        <rFont val="Montserrat"/>
      </rPr>
      <t>FIRMAS DE CONFORMIDAD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</si>
  <si>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</si>
  <si>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</si>
  <si>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</si>
  <si>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</si>
  <si>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</si>
  <si>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</si>
  <si>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</si>
  <si>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</si>
  <si>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</si>
  <si>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</si>
  <si>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Alma Q. Torres González</t>
  </si>
  <si>
    <t>1.1</t>
  </si>
  <si>
    <r>
      <rPr>
        <sz val="9"/>
        <color rgb="FF000000"/>
        <rFont val="Noto Sans"/>
        <family val="2"/>
        <charset val="1"/>
      </rPr>
      <t xml:space="preserve">Se complementaron los casos de prueba por revisión con el Negocio </t>
    </r>
    <r>
      <rPr>
        <sz val="9"/>
        <color rgb="FF1403EF"/>
        <rFont val="Noto Sans"/>
        <family val="2"/>
        <charset val="1"/>
      </rPr>
      <t>(Ejemplo)</t>
    </r>
  </si>
  <si>
    <t>0.2</t>
  </si>
  <si>
    <t>Ajustes:
CC083 Masiva UUID
CC084 Descargar acuse de cancelación</t>
  </si>
  <si>
    <t>Alma Quetzabeth Torres González</t>
  </si>
  <si>
    <t>CC083 Masiva UUID</t>
  </si>
  <si>
    <t>CC084 Descargar acuse de cancelación</t>
  </si>
  <si>
    <t>0.3</t>
  </si>
  <si>
    <t>Ajustes:
Actualizar CP06, CP07, CP08 y CP09</t>
  </si>
  <si>
    <t>1.0</t>
  </si>
  <si>
    <t>Versión aprobada para firma</t>
  </si>
  <si>
    <t>Roberto Monroy Vargas
Mario Alberto Huerta Velázquez</t>
  </si>
  <si>
    <t>Portal Consulta Central CFDI-Retenciones</t>
  </si>
  <si>
    <t>Rol</t>
  </si>
  <si>
    <t>CP01 ConsultaCentral_CFDI-Ret_Búsqueda/Folio Fiscal</t>
  </si>
  <si>
    <t xml:space="preserve">  CFDI01
  CFDI02
  CFDI03
  CFDI04
  CFDI05</t>
  </si>
  <si>
    <t>CP02 ConsultaCentral_CFDI-Ret_Búsqueda/RFCEmisor</t>
  </si>
  <si>
    <t>CP03 ConsultaCentral_CFDI-Ret_Búsqueda/RFCReceptor</t>
  </si>
  <si>
    <t>CP04 ConsultaCentral_CFDI-Ret_Búsqueda/RFCReceptor y RFCEmisor</t>
  </si>
  <si>
    <t>CP05 ConsultaCentral_CFDI-Ret_Búsqueda/Masiva UUID</t>
  </si>
  <si>
    <t>CP06 ConsultaCentral_CFDI-Ret_Búsqueda/Folio Fiscal/Acciones/Acuse de Cancelación</t>
  </si>
  <si>
    <t xml:space="preserve">  CFDI01
  CFDI02
  CFDI04</t>
  </si>
  <si>
    <t>CP07 ConsultaCentral_CFDI-Ret_Búsqueda/RFCEmisor/Acciones/Acuse de Cancelación</t>
  </si>
  <si>
    <t>CP08 ConsultaCentral_CFDI-Ret_Búsqueda/RFCReceptor/Acciones/Acuse de Cancelación</t>
  </si>
  <si>
    <t>CP09 ConsultaCentral_CFDI-Ret_Búsqueda/Masiva UUID/Acciones/Acuse de Cancelación</t>
  </si>
  <si>
    <t>CP10 ConsultaCentral_CFDI-Ret_Búsqueda/Folio Fiscal/Acciones/Descargar RI</t>
  </si>
  <si>
    <t>CP11 ConsultaCentral_CFDI-Ret_Búsqueda/RFCEmisor/Acciones/Descargar RI</t>
  </si>
  <si>
    <t>CP12 ConsultaCentral_CFDI-Ret_Búsqueda/RFCReceptor/Acciones/Descargar RI</t>
  </si>
  <si>
    <t>CP13 ConsultaCentral_CFDI-Ret_Búsqueda/Masiva UUID/Acciones/Descargar RI</t>
  </si>
  <si>
    <t>CP14 ConsultaCentral_CFDI-Ret_Búsqueda/Acciones/Descargar XML</t>
  </si>
  <si>
    <t>CP15 ConsultaCentral_CFDI-Ret_Búsqueda/RFCEmisor/Acciones/Descargar XML</t>
  </si>
  <si>
    <t>CP16 ConsultaCentral_CFDI-Ret_Búsqueda/RFCReceptor/Acciones/Descargar XML</t>
  </si>
  <si>
    <t>CP17 ConsultaCentral_CFDI-Ret_Búsqueda/Masiva UUID/Acciones/Descargar XML</t>
  </si>
  <si>
    <t>CP18 ConsultaCentral_CFDI-Ret_Búsqueda/ResultadosdeConsulta/Botón_DescargarSeleccionadosXML</t>
  </si>
  <si>
    <t>CP19 ConsultaCentral_CFDI-Ret_Búsqueda/ResultadodeConsulta/Botón_DescargarRI</t>
  </si>
  <si>
    <t>CP20 ConsultaCentral_CFDI-Ret_Búsqueda/ResultadosdeConsulta/Botón_DescargaMetadata</t>
  </si>
  <si>
    <t>CP21 ConsultaCentral_CFDI-Ret_Búsqueda/ResultadosdeConsulta/Botón_Exportar resultados a PDF</t>
  </si>
  <si>
    <t>CP22 ConsultaCentral_CFDI-Ret_Búsqueda/ResultadosdeConsulta/Botón Exportar resultados a CSV</t>
  </si>
  <si>
    <t>CP23 ConsultaCentral_CFDI-Ret/Recuperar Descarga de CFDI</t>
  </si>
  <si>
    <t>CP24 ConsultaCentral_CFDI-Ret/ConsultaCentral_CFDI-Ret/Recuperar Descarga de CFDI/SinResultados</t>
  </si>
  <si>
    <t>CP25 ConsultaCentral_CFDI-Ret_Búsqueda/RFCEmisor/PPE</t>
  </si>
  <si>
    <t xml:space="preserve">  CFDI01
  CFDI02
  CFDI03
  CFDI04</t>
  </si>
  <si>
    <t>CP26 ConsultaCentral_CFDI-Ret_Búsqueda/RFCReceptor/PPE</t>
  </si>
  <si>
    <t>Código del Aplicativo:</t>
  </si>
  <si>
    <t>ID de Requerimiento:</t>
  </si>
  <si>
    <t xml:space="preserve">POL 8214 </t>
  </si>
  <si>
    <t>Nombre de Requerimiento:</t>
  </si>
  <si>
    <t>FE – Servicios Gratuitos – Realizar la actualización del Complemento de CartaPorte y de Comercio Exterior, así como, a los Servicios de Consulta del Empleado (SI)</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</si>
  <si>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</si>
  <si>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</si>
  <si>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</si>
  <si>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</si>
  <si>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</si>
  <si>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</si>
  <si>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</si>
  <si>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</si>
  <si>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</si>
  <si>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</si>
  <si>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r>
      <rPr>
        <i/>
        <sz val="10"/>
        <color rgb="FF0000FF"/>
        <rFont val="Noto Sans"/>
        <family val="2"/>
        <charset val="1"/>
      </rPr>
      <t xml:space="preserve">Identificador del caso de prueba que se integrará en Quality Center (QC).
</t>
    </r>
    <r>
      <rPr>
        <i/>
        <u/>
        <sz val="10"/>
        <color rgb="FF0000FF"/>
        <rFont val="Noto Sans"/>
        <family val="2"/>
        <charset val="1"/>
      </rPr>
      <t xml:space="preserve">El ID del caso NO debe contener espacios en blanco. La diagonal debe ser “\”. La nomenclatura estándar es: </t>
    </r>
    <r>
      <rPr>
        <b/>
        <i/>
        <sz val="10"/>
        <color rgb="FF0000FF"/>
        <rFont val="Noto Sans"/>
        <family val="2"/>
        <charset val="1"/>
      </rPr>
      <t>PPMC_Número\Componente Tecnológico o Aplicativo</t>
    </r>
    <r>
      <rPr>
        <i/>
        <sz val="10"/>
        <color rgb="FF0000FF"/>
        <rFont val="Noto Sans"/>
        <family val="2"/>
        <charset val="1"/>
      </rPr>
      <t xml:space="preserve">(ya que ésta es la estructura o ruta de carpetas para almacenar y agrupar los objetos creados para contener la información de los Casos de Prueba y Escenarios de Pruebas).
</t>
    </r>
    <r>
      <rPr>
        <i/>
        <u/>
        <sz val="10"/>
        <color rgb="FF0000FF"/>
        <rFont val="Noto Sans"/>
        <family val="2"/>
        <charset val="1"/>
      </rPr>
      <t>(Ejemplo:</t>
    </r>
    <r>
      <rPr>
        <i/>
        <sz val="10"/>
        <color rgb="FF0000FF"/>
        <rFont val="Noto Sans"/>
        <family val="2"/>
        <charset val="1"/>
      </rPr>
      <t xml:space="preserve"> PPMC_56124\Juicios de Nulidad)</t>
    </r>
  </si>
  <si>
    <t>Nombre completo representativo del Caso asociado a la funcionalidad a probar.
Ejemplo de nombre:
"Validación de la Fecha Notificación de la Demanda"
El Nombre del Caso no debe contener caracteres especiales (\/:%’*?&lt;&gt;|”@,  , etc.) y debe tener longitud máxima de 85 caracteres.
Si son más de un caso de prueba y tienen un orden de ejecución entonces, antes del nombre, debe estar acompañado de un número consecutivo del caso de prueba, anteponiendo las siglas "CP":
CP1_Nombre del Caso
CP2_Nombre del Caso
CP3_Nombre del Caso
Etc.
(Si no se requiere un orden de ejecución, no es necesario ordenarlos de esta forma.)</t>
  </si>
  <si>
    <t>Identificador secuencial de los pasos que sigue el caso de prueba.
La información de todos los pasos de un Caso de Prueba debe ser consistente.</t>
  </si>
  <si>
    <t>Narración detallada del paso a ejecutar. Se deben evitar paréntesis y/o corchetes seguidos "{{..[[..((…))..]]..]]". No dejar en blanco, escribir N/A en caso de que no aplique.</t>
  </si>
  <si>
    <t>Narración detallada del resultado esperado, dada la ejecución del paso. Se deben evitar paréntesis y/o corchetes seguidos "{{..[[..((…))..]]..]]".  No dejar en blanco, escribir N/A en caso de que no aplique.</t>
  </si>
  <si>
    <r>
      <rPr>
        <i/>
        <sz val="10"/>
        <color rgb="FF0000FF"/>
        <rFont val="Noto Sans"/>
        <family val="2"/>
        <charset val="1"/>
      </rPr>
      <t xml:space="preserve">Anotaciones sobre lo que deba considerarse en forma adicional para la ejecución del Caso (descripción de los prerrequisitos que deben ser cubiertos para la ejecución del caso de prueba, identificación de las entradas requeridas del caso de prueba ).  Se deben evitar paréntesis y/o corchetes seguidos "{{..[[..((…))..]]..]]". </t>
    </r>
    <r>
      <rPr>
        <i/>
        <sz val="10"/>
        <color rgb="FF1403EF"/>
        <rFont val="Noto Sans"/>
        <family val="2"/>
        <charset val="1"/>
      </rPr>
      <t>No dejar en blanco, escribir N/A en caso de que no aplique.</t>
    </r>
  </si>
  <si>
    <t>Descripción del Perfil de usuario que se utilizará para la ejecución del Caso de Prueba. No dejar en blanco, escribir N/A en caso de que no aplique</t>
  </si>
  <si>
    <r>
      <rPr>
        <i/>
        <sz val="10"/>
        <color rgb="FF0000FF"/>
        <rFont val="Noto Sans"/>
        <family val="2"/>
        <charset val="1"/>
      </rPr>
      <t xml:space="preserve">Para indicar los casos prueba y descripción de los elementos donde se emplearán los datos.
</t>
    </r>
    <r>
      <rPr>
        <b/>
        <i/>
        <sz val="10"/>
        <color rgb="FF0000FF"/>
        <rFont val="Noto Sans"/>
        <family val="2"/>
        <charset val="1"/>
      </rPr>
      <t xml:space="preserve">
</t>
    </r>
    <r>
      <rPr>
        <i/>
        <sz val="10"/>
        <color rgb="FF0000FF"/>
        <rFont val="Noto Sans"/>
        <family val="2"/>
        <charset val="1"/>
      </rPr>
      <t xml:space="preserve">Indicar el nombre del Dato  de Prueba (RFC, Periodo,…)
</t>
    </r>
    <r>
      <rPr>
        <sz val="10"/>
        <color rgb="FF000000"/>
        <rFont val="Noto Sans"/>
        <family val="2"/>
        <charset val="1"/>
      </rPr>
      <t>Ejemplos:
Indicar el contenido del dato (AAAA790909JN6, 2010-01, …)
Indicar el contenido del dato (AAAA790909JN6, 2010-02, …)</t>
    </r>
  </si>
  <si>
    <t>CP01</t>
  </si>
  <si>
    <t>Folio Fiscal</t>
  </si>
  <si>
    <t>POL_8214 /PortalEmpleado/ConsultaCentralCFDI-Retenciones</t>
  </si>
  <si>
    <t>ConsultaCentral_CFDI-Ret_Búsqueda/Folio Fiscal</t>
  </si>
  <si>
    <t>Usuario ingresa al Portal Empleados Consulta Central Retenciones</t>
  </si>
  <si>
    <t>El sistema despliega las siguientes opciones de búsqueda:
- Folio Fiscal
- Fecha Inicial y Final de Emisión
- Masiva UUID</t>
  </si>
  <si>
    <t>El Usuario previamente se autenticó  y accedió al portal Empleados-Consulta Central Retenciones</t>
  </si>
  <si>
    <t xml:space="preserve">Rol  CFDI01
Rol  CFDI02
Rol  CFDI03
Rol  CFDI04
Rol  CFDI05
</t>
  </si>
  <si>
    <t>Firma Electrónica del Usuario.
El Usuario debe tener asignado cualquiera de los roles</t>
  </si>
  <si>
    <r>
      <rPr>
        <sz val="10"/>
        <rFont val="Noto Sans"/>
        <family val="2"/>
        <charset val="1"/>
      </rPr>
      <t xml:space="preserve">Selecciona la opción </t>
    </r>
    <r>
      <rPr>
        <b/>
        <sz val="10"/>
        <rFont val="Noto Sans"/>
        <family val="2"/>
        <charset val="1"/>
      </rPr>
      <t>Folio Fiscal</t>
    </r>
  </si>
  <si>
    <t>El sistema despliega cuadro de texto para incorporar el número de Folio Fiscal que se requiere buscar.
Se inhabilita el campo Fecha Inicial de Emisión</t>
  </si>
  <si>
    <t xml:space="preserve">(Aplica la Regla de Negocio 01) </t>
  </si>
  <si>
    <t xml:space="preserve">Ingresa los datos del Folio Fiscal </t>
  </si>
  <si>
    <t xml:space="preserve">El sistema muestra los datos que se van ingresando del folio fiscal
</t>
  </si>
  <si>
    <t>Da clic en el botón buscar CFDI</t>
  </si>
  <si>
    <t>POL_8214 /Portal Empleado/ConsultaCentralCFDI-Retenciones</t>
  </si>
  <si>
    <t>Da clic en cerrar sesión</t>
  </si>
  <si>
    <t>Cierra la aplicación y se direcciona a la pantalla de autenticación.</t>
  </si>
  <si>
    <t>CP02</t>
  </si>
  <si>
    <t>RFC Emisor</t>
  </si>
  <si>
    <t>ConsultaCentral_CFDI-Ret_Búsqueda/RFCEmisor</t>
  </si>
  <si>
    <r>
      <rPr>
        <sz val="10"/>
        <rFont val="Noto Sans"/>
        <family val="2"/>
        <charset val="1"/>
      </rPr>
      <t xml:space="preserve">Selecciona la opción </t>
    </r>
    <r>
      <rPr>
        <b/>
        <sz val="10"/>
        <rFont val="Noto Sans"/>
        <family val="2"/>
        <charset val="1"/>
      </rPr>
      <t>Fecha Inicial de Emisión</t>
    </r>
  </si>
  <si>
    <t xml:space="preserve">El Usuario previamente se autenticó  y accedió al portal Empleados-Consulta Central Retenciones
Se debe incorporar el RFC de al menos alguno de los siguientes:
- RFC Emisor (RN02)
- RFC Receptor (RN02) </t>
  </si>
  <si>
    <t xml:space="preserve">Ingresa los datos:
- *Fecha inicial de emisión
- *Fecha final de emisión
- RFC Emisor
De manera opcional:
-  Estado del Comprobante
- Tipo de Comprobante
* Campos obligatorios
</t>
  </si>
  <si>
    <t xml:space="preserve">El sistema muestra los datos que se van ingresando </t>
  </si>
  <si>
    <t>CP03</t>
  </si>
  <si>
    <t>RFC Receptor</t>
  </si>
  <si>
    <t>ConsultaCentral_CFDI-Ret_Búsqueda/RFCReceptor</t>
  </si>
  <si>
    <t xml:space="preserve">Ingresa los datos:
- *Fecha inicial de emisión
- *Fecha final de emisión
- *RFC Receptor
Ingresa los datos:
- Estado del Comprobante
- Tipo de Comprobante
* Campos obligatorios
</t>
  </si>
  <si>
    <t>CP04</t>
  </si>
  <si>
    <t>RFC Receptor y RFC Emisor</t>
  </si>
  <si>
    <t>ConsultaCentral_CFDI-Ret_Búsqueda/RFCReceptor y RFCEmisor</t>
  </si>
  <si>
    <t>Ingresa los datos:
- *Fecha inicial de emisión
- *Fecha final de emisión
- *RFC Emisor
- RFC Receptor
De manera opcional lo siguiente:
- Estado del Comprobante
- Tipo de Comprobante
* Campos obligatorios</t>
  </si>
  <si>
    <t>CP05</t>
  </si>
  <si>
    <t>Masiva UUID</t>
  </si>
  <si>
    <t>ConsultaCentral_CFDI-Ret_Búsqueda/Masiva UUID</t>
  </si>
  <si>
    <r>
      <rPr>
        <sz val="10"/>
        <rFont val="Noto Sans"/>
        <family val="2"/>
        <charset val="1"/>
      </rPr>
      <t xml:space="preserve">Selecciona la opción </t>
    </r>
    <r>
      <rPr>
        <b/>
        <sz val="10"/>
        <rFont val="Noto Sans"/>
        <family val="2"/>
        <charset val="1"/>
      </rPr>
      <t>Masiva UUID</t>
    </r>
  </si>
  <si>
    <t>Selecciona el archivo(txt) mediante el explorador de Windows.</t>
  </si>
  <si>
    <t xml:space="preserve">
El  aplicativo ejecuta la consulta y arroja el resultado conforme a los UUID definidos en el archivo.  </t>
  </si>
  <si>
    <t>Archivo TXT con distintos UUID</t>
  </si>
  <si>
    <t>CP06</t>
  </si>
  <si>
    <t>Folio Fiscal/Acuse de Cancelación</t>
  </si>
  <si>
    <t>ConsultaCentral_CFDI-Ret_Búsqueda/Folio Fiscal/Acciones/Acuse de Cancelación</t>
  </si>
  <si>
    <t>Rol  CFDI01
Rol  CFDI02
Rol  CFDI04</t>
  </si>
  <si>
    <t>Firma Electrónica del Usuario.
El Usuario debe tener asignado cualquiera de los roles
Para este caso de prueba el comprobante debe estar cancelado.</t>
  </si>
  <si>
    <t>El sistema despliega cuadro de texto para incorporar el número de Folio Fiscal que se requiere buscar</t>
  </si>
  <si>
    <t xml:space="preserve">Da clic en el botón buscar CFDI </t>
  </si>
  <si>
    <t>Selecciona un folio fiscal (UUID) de la tabla “Resultados”</t>
  </si>
  <si>
    <t>En la columna de acciones se desplegaran los botones:
•	Acuse de Cancelación
•Recuperar Representación Impresa  
•	Descargar XML</t>
  </si>
  <si>
    <t>El usuario selecciona un folio fiscal (UUID) de la tabla “Resultados” y ubica la columna “Estado del Comprobante” que tenga el valor “Cancelado” y da clic  en el hipervinculo para descargar el acuse de cancelación</t>
  </si>
  <si>
    <t>Esta opción solo será visible en la columna “Estado del Comprobante, cuando exista una solicitud de la cancelación asociada al CFDI de Retenciones.
Se podrá realizar la descarga del acuse en formato PDF, recuperando el acuse con el estatus final.</t>
  </si>
  <si>
    <t>CP07</t>
  </si>
  <si>
    <t>RFCEmisor/Acuse Cancelación</t>
  </si>
  <si>
    <t>ConsultaCentral_CFDI-Ret_Búsqueda/RFCEmisor/Acciones/Acuse de Cancelación</t>
  </si>
  <si>
    <t>Selecciona la opción Fecha Inicial de Emisión</t>
  </si>
  <si>
    <t xml:space="preserve">Ingresa los datos:
- *Fecha inicial de emisión
- *Fecha final de emisión
- RFC Emisor
Algunos de los datos siguientes:
-  Estado del Comprobante
- Tipo de Comprobante* Campos obligatorios
</t>
  </si>
  <si>
    <t>CP08</t>
  </si>
  <si>
    <t>RFCReceptor/Acuse de Cancelación</t>
  </si>
  <si>
    <t>ConsultaCentral_CFDI-Ret_Búsqueda/RFCReceptor/Acciones/Acuse de Cancelación</t>
  </si>
  <si>
    <t xml:space="preserve">Ingresa los datos:
- *Fecha inicial de emisión
- *Fecha final de emisión
- *RFC Receptor
Algunos de los datos siguientes:
- Estado del Comprobante
- Tipo de Comprobante
* Campos obligatorios
</t>
  </si>
  <si>
    <t>CP09</t>
  </si>
  <si>
    <t>Masiva UUID/Acuse de Cancelación</t>
  </si>
  <si>
    <t>ConsultaCentral_CFDI-Ret_Búsqueda/Masiva UUID/Acciones/Acuse de Cancelación</t>
  </si>
  <si>
    <t>El Usuario previamente se autenticó  y accedió al portal Empleados-Consulta Central Retenciones
Para este caso de prueba el comprobante debe estar cancelado.</t>
  </si>
  <si>
    <t>CP10</t>
  </si>
  <si>
    <t>Folio Fiscal/Descargar RI</t>
  </si>
  <si>
    <t>ConsultaCentral_CFDI-Ret_Búsqueda/Folio Fiscal/Acciones/Descargar RI</t>
  </si>
  <si>
    <r>
      <rPr>
        <sz val="10"/>
        <rFont val="Noto Sans"/>
        <family val="2"/>
        <charset val="1"/>
      </rPr>
      <t xml:space="preserve">Da clic en el la opción </t>
    </r>
    <r>
      <rPr>
        <b/>
        <sz val="10"/>
        <rFont val="Noto Sans"/>
        <family val="2"/>
        <charset val="1"/>
      </rPr>
      <t>Recuperar Representación Impresa</t>
    </r>
  </si>
  <si>
    <t>El sistema muestra la representación impresa del comprobante</t>
  </si>
  <si>
    <t>Esta descarga se realiza uno a uno, contemplando el límite diario establecido para los archivos PDF en su RI.
(Aplica las Reglas de Negocio 07, 08 y 14)</t>
  </si>
  <si>
    <t>CP11</t>
  </si>
  <si>
    <t>RFCEmisor/Descargar RI</t>
  </si>
  <si>
    <t>ConsultaCentral_CFDI-Ret_Búsqueda/RFCEmisor/Acciones/Descargar RI</t>
  </si>
  <si>
    <r>
      <rPr>
        <sz val="10"/>
        <rFont val="Noto Sans"/>
        <family val="2"/>
        <charset val="1"/>
      </rPr>
      <t>Selecciona la opción</t>
    </r>
    <r>
      <rPr>
        <b/>
        <sz val="10"/>
        <rFont val="Noto Sans"/>
        <family val="2"/>
        <charset val="1"/>
      </rPr>
      <t xml:space="preserve"> Fecha Inicial de Emisión</t>
    </r>
  </si>
  <si>
    <t>CP12</t>
  </si>
  <si>
    <t>RFCReceptor/Ver detalleRI</t>
  </si>
  <si>
    <t>ConsultaCentral_CFDI-Ret_Búsqueda/RFCReceptor/Acciones/Descargar RI</t>
  </si>
  <si>
    <t>CP13</t>
  </si>
  <si>
    <t>Masiva UUID/Ver detalle RI</t>
  </si>
  <si>
    <t>ConsultaCentral_CFDI-Ret_Búsqueda/Masiva UUID/Acciones/Descargar RI</t>
  </si>
  <si>
    <t>CP14</t>
  </si>
  <si>
    <t>Folio Fiscal/Descargar XML</t>
  </si>
  <si>
    <t>ConsultaCentral_CFDI-Ret_Búsqueda/Acciones/Descargar XML</t>
  </si>
  <si>
    <r>
      <rPr>
        <sz val="10"/>
        <rFont val="Noto Sans"/>
        <family val="2"/>
        <charset val="1"/>
      </rPr>
      <t xml:space="preserve">Da clic en la opción </t>
    </r>
    <r>
      <rPr>
        <b/>
        <sz val="10"/>
        <rFont val="Noto Sans"/>
        <family val="2"/>
        <charset val="1"/>
      </rPr>
      <t>Descargar XML</t>
    </r>
  </si>
  <si>
    <t>El sistema abre una ventana emergente que permitirá descargar el contenido del XML.</t>
  </si>
  <si>
    <t>Esta descarga se realiza uno a uno, contemplando el límite diario establecido para los archivos XML.
(Aplica las Reglas de Negocio 09 y 14)</t>
  </si>
  <si>
    <t>CP15</t>
  </si>
  <si>
    <t>RFCEmisor/Descargar XML</t>
  </si>
  <si>
    <t>ConsultaCentral_CFDI-Ret_Búsqueda/RFCEmisor/Acciones/Descargar XML</t>
  </si>
  <si>
    <t>CP16</t>
  </si>
  <si>
    <t>RFCReceptor/Descargar</t>
  </si>
  <si>
    <t>ConsultaCentral_CFDI-Ret_Búsqueda/RFCReceptor/Acciones/Descargar XML</t>
  </si>
  <si>
    <t>ConsultaCentral_CFDI-Ret_Búsqueda/RFCReceptor/Descargar XML</t>
  </si>
  <si>
    <t>CP17</t>
  </si>
  <si>
    <t>Masiva UUID/Descargar</t>
  </si>
  <si>
    <t>ConsultaCentral_CFDI-Ret_Búsqueda/Masiva UUID/Acciones/Descargar XML</t>
  </si>
  <si>
    <t>CP18</t>
  </si>
  <si>
    <t>Botón Descargar Seleccionados XML</t>
  </si>
  <si>
    <t>ConsultaCentral_CFDI-Ret_Búsqueda/ResultadosdeConsulta/Botón_DescargarSeleccionadosXML</t>
  </si>
  <si>
    <t xml:space="preserve">Selecciona los Folios fiscales </t>
  </si>
  <si>
    <t>El sistema muestra la selección de los CFDI</t>
  </si>
  <si>
    <t>Viene del paso 4 de los Casos de Prueba: 
CP02 ConsultaCentral_CFDI-Ret_Búsqueda/RFCEmisor
CP03 ConsultaCentral_CFDI-Ret_Búsqueda/RFCReceptor
CP04 ConsultaCentral_CFDI-Ret_Búsqueda/RFCReceptor y RFCEmisor
CP05 ConsultaCentral_CFDI-Ret_Búsqueda/Masiva UUID</t>
  </si>
  <si>
    <t xml:space="preserve">Rol  CFDI01
Rol  CFDI02
Rol  CFDI04
</t>
  </si>
  <si>
    <r>
      <rPr>
        <sz val="10"/>
        <rFont val="Noto Sans"/>
        <family val="2"/>
        <charset val="1"/>
      </rPr>
      <t>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t>
    </r>
    <r>
      <rPr>
        <b/>
        <sz val="10"/>
        <rFont val="Noto Sans"/>
        <family val="2"/>
        <charset val="1"/>
      </rPr>
      <t>Recuperar descargas de CFDI</t>
    </r>
    <r>
      <rPr>
        <sz val="10"/>
        <rFont val="Noto Sans"/>
        <family val="2"/>
        <charset val="1"/>
      </rPr>
      <t>”.
(Aplica la Regla de Negocio 10).</t>
    </r>
  </si>
  <si>
    <t xml:space="preserve">
Se generará de manera automática un número de folio de descarga 
El archivo ZIP correspondiente a la descarga masiva, debe contener los archivos XML seleccionados. 
(Aplica las Reglas de Negocio 09, 14 y 16) </t>
  </si>
  <si>
    <t>CP19</t>
  </si>
  <si>
    <t>Botón Descargar RI</t>
  </si>
  <si>
    <t>ConsultaCentral_CFDI-Ret_Búsqueda/ResultadodeConsulta/Botón_DescargarRI</t>
  </si>
  <si>
    <t>Al seleccionar este botón se debe generar una petición al servicio de descarga masiva de los comprobantes en su Representación Impresa (RI) en formato PDF, a través de un paquete de archivos comprimidos en formato ZIP, este paquete contará con un identificador denominado “Folio de descarga”, el cual podrá ser consultado desde la funcionalidad del botón “Recuperar descargas de CFDI”
(Aplica la Regla de Negocio 10) .</t>
  </si>
  <si>
    <t>El archivo ZIP correspondiente a la descarga masiva, debe contener los CFDI de retenciones que resultaron de la consulta realizada y se encuentran visibles en pantalla, como máximo 1,000 registros. 
(Aplica las Reglas de Negocio 05, 07, 08, 14 y 16)</t>
  </si>
  <si>
    <t>CP20</t>
  </si>
  <si>
    <t>Botón Descarga Metadata</t>
  </si>
  <si>
    <t>ConsultaCentral_CFDI-Ret_Búsqueda/ResultadosdeConsulta/Botón_DescargaMetadata</t>
  </si>
  <si>
    <t>Viene del paso 4 de los Casos de Prueba: 
CP02 ConsultaCentral_CFDI-Ret_Búsqueda/RFCEmisor
CP03 ConsultaCentral_CFDI-Ret_Búsqueda/RFCReceptor
CP04 ConsultaCentral_CFDI-Ret_Búsqueda/RFCReceptor y RFCEmisor
CP05 ConsultaCentral_CFDI-Ret_Búsqueda/Masiva UUID</t>
  </si>
  <si>
    <t>Al seleccionar este botón se debe generar una petición al servicio de descarga masiva de la metada de los CFDI que ampara retenciones e información de pagos que resultaron de la consulta, a través de un archivo de texto plano comprimido en formato ZIP, este paquete contará con un identificador denominado “Folio de descarga”, el cual podrá ser consultado desde la funcionalidad del botón “Recuperar descargas de CFDI”
(Aplica la Regla de Negocio 10).</t>
  </si>
  <si>
    <t>El archivo de texto plano debe de contener los datos de la metadata para los CFDI que ampara retenciones e información de pagos que corresponden al resultado de la consulta y que se visualizan en pantalla, como máximo 1,000 registros.
(Aplica las Reglas de Negocio 05 y 16) 
Se descarga un archivo txt donde se muestra el detalle de los comprobantes separados por el carácter “~”.</t>
  </si>
  <si>
    <t>CP21</t>
  </si>
  <si>
    <t>Exportar resultados a PDF</t>
  </si>
  <si>
    <t>ConsultaCentral_CFDI-Ret_Búsqueda/ResultadosdeConsulta/Botón Exportar resultados a PDF</t>
  </si>
  <si>
    <t>Rol  CFDI01
Rol  CFDI02
Rol  CFDI03
Rol  CFDI04
Rol  CFDI05</t>
  </si>
  <si>
    <t>CP22</t>
  </si>
  <si>
    <t>Exportar resultados a CSV</t>
  </si>
  <si>
    <t>ConsultaCentral_CFDI-Ret_Búsqueda/ResultadosdeConsulta/Botón Exportar resultados a CSV</t>
  </si>
  <si>
    <t>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t>
  </si>
  <si>
    <t>CP23</t>
  </si>
  <si>
    <t>Recuperar Descarga de CFDI</t>
  </si>
  <si>
    <t>ConsultaCentral_CFDI-Ret/Recuperar Descarga de CFDI</t>
  </si>
  <si>
    <t>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
La información que se muestra en el archivo pdf, será toda la relativa a cada CFDI, en caso de que en alguna columna no se tenga información no se mostrará.</t>
  </si>
  <si>
    <r>
      <rPr>
        <sz val="10"/>
        <rFont val="Noto Sans"/>
        <family val="2"/>
        <charset val="1"/>
      </rPr>
      <t>Selecciona la opción</t>
    </r>
    <r>
      <rPr>
        <b/>
        <sz val="10"/>
        <rFont val="Noto Sans"/>
        <family val="2"/>
        <charset val="1"/>
      </rPr>
      <t xml:space="preserve"> "Recuperar descargas de CFDI"</t>
    </r>
  </si>
  <si>
    <t>Al dar clic al botón “Recuperar Descarga de CFDI” se debe generar una ventana adicional denominada “Solicitudes de descarga masiva”.
En esta ventana se visualiza el o los paquetes de los archivos generados por cada una de las solicitudes de descargas masivas, identificadas mediante el folio de descarga.
(RN10) 
Los campos que contiene esta ventana adicional son:
•	Solicitudes de descarga masiva: Título de la ventana (se debe visualizar centrado).
•	Descargar: Titulo que indica la selección de la descarga  
•	# de Paquete: Título que indica el número de paquete que contiene la solicitud de descarga.
•	Folio de Descarga: Título que indica el folio de descarga de la solicitud.
•	Tipo: Título que indica el formato del documento.
•	# de Documentos: Título que indica el número de archivos que contiene el paquete.
•	Fecha de la Solicitud: Título que indica la fecha que se solicitó la descarga.
•	  Icono que representa la funcionalidad de descarga del paquete de archivos correspondiente.</t>
  </si>
  <si>
    <r>
      <rPr>
        <sz val="10"/>
        <rFont val="Noto Sans"/>
        <family val="2"/>
        <charset val="1"/>
      </rPr>
      <t>Seleccionar un registro y dar clic en el icono "</t>
    </r>
    <r>
      <rPr>
        <b/>
        <sz val="10"/>
        <rFont val="Noto Sans"/>
        <family val="2"/>
        <charset val="1"/>
      </rPr>
      <t>Descargar</t>
    </r>
    <r>
      <rPr>
        <sz val="10"/>
        <rFont val="Noto Sans"/>
        <family val="2"/>
        <charset val="1"/>
      </rPr>
      <t xml:space="preserve">" </t>
    </r>
  </si>
  <si>
    <t>Se realiza la descarga del archivo seleccionado</t>
  </si>
  <si>
    <t>CP24</t>
  </si>
  <si>
    <t>Sin Resultados</t>
  </si>
  <si>
    <t>ConsultaCentral_CFDI-Ret/ConsultaCentral_CFDI-Ret/Recuperar Descarga de CFDI/Sin Resultados</t>
  </si>
  <si>
    <t>Da clic en el botón buscar</t>
  </si>
  <si>
    <t>En caso de que no se encuentre información con los parámetros de búsqueda ingresados, el sistema muestra el siguiente mensaje: “No existen registros que cumplan con los criterios de búsqueda ingresados, intentar nuevamente”</t>
  </si>
  <si>
    <t>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t>
  </si>
  <si>
    <t>CP25</t>
  </si>
  <si>
    <t>RFC Emisor/PPE</t>
  </si>
  <si>
    <t>ConsultaCentral_CFDI-Ret_Búsqueda/RFCEmisor/PPE</t>
  </si>
  <si>
    <t xml:space="preserve">Ingresa los datos:
•	Fecha Inicial de Emisión (*).
•	Fecha Final de Emisión (*).
•	RFC Emisor.
•	RFC Receptor.
•	Estado del Comprobante.
•	Tipo de Comprobante (RN17).
* Campos obligatorios
</t>
  </si>
  <si>
    <r>
      <rPr>
        <b/>
        <sz val="10"/>
        <rFont val="Noto Sans"/>
        <family val="2"/>
        <charset val="1"/>
      </rPr>
      <t xml:space="preserve">El sistema valida que el usuario tenga permisos para consultar  PPE.
</t>
    </r>
    <r>
      <rPr>
        <sz val="10"/>
        <rFont val="Noto Sans"/>
        <family val="2"/>
        <charset val="1"/>
      </rPr>
      <t xml:space="preserve">Si se encuentra en la lista para poder ver los PPE, el sistema muestra los resultados de acuerdo a la consulta, más  los registros RFC PPE.
Si el usuario no cuenta con permisos, muestrea los resultados de acuerdo a una consulta normal no incluyendo los registros RFC PPE </t>
    </r>
  </si>
  <si>
    <t>El usuario valida los registros en la sección "Resultados"</t>
  </si>
  <si>
    <t>Da clic en Cerrar Sesión</t>
  </si>
  <si>
    <t>CP26</t>
  </si>
  <si>
    <t>RFC Receptor/PPE</t>
  </si>
  <si>
    <t>ConsultaCentral_CFDI-Ret_Búsqueda/RFCReceptor/PPE</t>
  </si>
  <si>
    <t>CP28</t>
  </si>
  <si>
    <t>CP29</t>
  </si>
  <si>
    <t>CP30</t>
  </si>
  <si>
    <t>Autenticación</t>
  </si>
  <si>
    <t>ConsultaCentral_CFDI-Ret_Autenticación</t>
  </si>
  <si>
    <t>Usuario abre explorador</t>
  </si>
  <si>
    <t>El Usuario cuenta con Firma Electrónica vigente.
El Usuario debe tener asignado cualquiera de los roles</t>
  </si>
  <si>
    <t>Usuario ingresa a la URL correspondiente a la Consulta Central Retenciones</t>
  </si>
  <si>
    <t>Se muestran los datos para ingresar:
Certificado (.cer)
Clave privada (.Key)
Contraseña de clave privada: 
Se muestra el campo RFC</t>
  </si>
  <si>
    <t>Usuario da clic en buscar y selecciona el archivo correspondiente a su certificado</t>
  </si>
  <si>
    <t>Se muestra el dato en el  campo certificado y en el campo RFC el dato del RFC del contribuyente</t>
  </si>
  <si>
    <t>Usuario da clic en buscar y selecciona el archivo correspondiente a su clave privada</t>
  </si>
  <si>
    <t>Se muestra el dato en el campo clave privada</t>
  </si>
  <si>
    <t>Usuario ingresa su contraseña</t>
  </si>
  <si>
    <t>Se muestra oculto el dato en el campo contraseña</t>
  </si>
  <si>
    <t>Da clic en enviar</t>
  </si>
  <si>
    <t>CP31</t>
  </si>
  <si>
    <t>Cierre Sesión Inactividad</t>
  </si>
  <si>
    <t>ConsultaCentral_CFDI-Ret_Búsqueda/CierreSesión_Inactividad</t>
  </si>
  <si>
    <t>Usuario ingresa al Consulta Central Retenciones</t>
  </si>
  <si>
    <t>Usuario deja la sesión abierta sin realizar ninguna acción.</t>
  </si>
  <si>
    <t>El sistema cierra la sesión por inactividad</t>
  </si>
  <si>
    <t>Para realizar una nueva consulta, el usuario requiere autenticarse de nuevo.</t>
  </si>
  <si>
    <t>Masiva UUID / Archivo con Errores</t>
  </si>
  <si>
    <t>ConsultaCentral_CFDI-Ret_Búsqueda/Masiva UUID/Archivo con Errores</t>
  </si>
  <si>
    <t>Da clic en el botón Enviar</t>
  </si>
  <si>
    <t xml:space="preserve">Selecciona la sección de “Recuperar descargas de CFDI”, y realizar la descarga del archivo con observaciones. </t>
  </si>
  <si>
    <t>Test Case</t>
  </si>
  <si>
    <t>Work Item type</t>
  </si>
  <si>
    <t>Title</t>
  </si>
  <si>
    <t>Test Step</t>
  </si>
  <si>
    <t>Step Action</t>
  </si>
  <si>
    <t>Step expected</t>
  </si>
  <si>
    <t>CP01-Folio Fiscal</t>
  </si>
  <si>
    <t>El sistema despliega las siguientes opciones de búsqueda:
- Folio Fiscal
- Fecha Inicial y Final de Emisión
- Masiva UUID
El Usuario previamente se autenticó  y accedió al portal Empleados-Consulta Central Retenciones</t>
  </si>
  <si>
    <t>Selecciona la opción Folio Fiscal</t>
  </si>
  <si>
    <t xml:space="preserve">El sistema despliega cuadro de texto para incorporar el número de Folio Fiscal que se requiere buscar.
Se inhabilita el campo Fecha Inicial de Emisión
(Aplica la Regla de Negocio 01) </t>
  </si>
  <si>
    <t xml:space="preserve">El sistema muestra los datos que se van ingresando del folio fiscal
</t>
  </si>
  <si>
    <t xml:space="preserve">En caso de no encontrar información ir al CP "Sin Resultados"
En caso contrario el sistema muestra: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Metadata.
2)Exportar Resultados a PDF.
3)Exportar Resultados a CSV.
</t>
  </si>
  <si>
    <t xml:space="preserve">Cierra la aplicación y se direcciona a la pantalla de autenticación.
</t>
  </si>
  <si>
    <t>CP02-RFC Emisor</t>
  </si>
  <si>
    <t xml:space="preserve">El sistema habilita los siguientes campos:
•	Fecha Inicial de Emisión (*).
•	Fecha Final de Emisión (*). (RN04)
•	RFC Emisor. (RN02)
•	RFC Receptor. (RN02)
•	Estado del Comprobante.
•	Tipo de Comprobante (RN17).* Campos obligatorios
El Usuario previamente se autenticó  y accedió al portal Empleados-Consulta Central Retenciones
Se debe incorporar el RFC de al menos alguno de los siguientes:
- RFC Emisor (RN02)
- RFC Receptor (RN02) </t>
  </si>
  <si>
    <t>El sistema muestra los datos que se van ingresando 
Al seleccionar el botón para la consulta por periodo de fecha de emisión, se debe deshabilitar el campo correspondiente a la consulta de Folio Fiscal.</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</si>
  <si>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En caso de que no se tenga información, el aplicativo dejará en blanco la sección que corresponda en la tabla de resultados.
(Aplica la Regla de Negocio 06)
</t>
  </si>
  <si>
    <t>CP03-RFC Receptor</t>
  </si>
  <si>
    <t xml:space="preserve">El sistema habilita los siguientes campos:
•	Fecha Inicial de Emisión (*).
•	Fecha Final de Emisión (*). (RN04)
•	RFC Emisor. (RN02)
•	RFC Receptor. (RN02)
•	Estado del Comprobante.
•	Tipo de Comprobante (RN17).* Campos obligatorios
</t>
  </si>
  <si>
    <t xml:space="preserve">El sistema muestra los datos que se van ingresando 
</t>
  </si>
  <si>
    <t>CP04-RFC Receptor y RFC Emisor</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</si>
  <si>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En caso de que no se tenga información, el aplicativo dejará en blanco la sección que corresponda en la tabla de resultados.
(Aplica la Regla de Negocio 06)
</t>
  </si>
  <si>
    <t>CP05-Masiva UUID</t>
  </si>
  <si>
    <t>Selecciona la opción Masiva UUID</t>
  </si>
  <si>
    <t xml:space="preserve">El sistema despliega las siguientes opciones de búsqueda:
- *Seleccionar Archivo
Botón Enviar
</t>
  </si>
  <si>
    <t xml:space="preserve">
El  aplicativo ejecuta la consulta y arroja el resultado conforme a los UUID definidos en el archivo.  
Archivo TXT con distintos UUID</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</si>
  <si>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El aplicativo realiza la consulta masiva de esos UUID y se muestra el detalle de los CFDI de Retenciones con las funcionalidades que actualmente existen
•	El servicio solo permite la consulta a través de archivos de texto plano (.txt).
</t>
  </si>
  <si>
    <t>CP06-Folio Fiscal/Acuse de Cancelación</t>
  </si>
  <si>
    <t xml:space="preserve">El sistema despliega cuadro de texto para incorporar el número de Folio Fiscal que se requiere buscar
</t>
  </si>
  <si>
    <t xml:space="preserve">En caso de no encontrar información ir al CP "Sin Resultados"
En caso contrario el sistema muestra: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Metadata.
2)Exportar Resultados a PDF.
3)Exportar Resultados a CSV.
En pantalla se deben visualizar 100 registros por página con un máximo de 10 bloques. 
(Aplica la Regla de Negocio 05)
En caso de que no se tenga información, el aplicativo dejará en blanco la sección que corresponda en la tabla de resultados.
(Aplica la Regla de Negocio 06)
</t>
  </si>
  <si>
    <t xml:space="preserve">En la columna de acciones se desplegaran los botones:
•	Acuse de Cancelación
•Recuperar Representación Impresa  
•	Descargar XML
</t>
  </si>
  <si>
    <t>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	Fecha y hora de la solicitud.
•	Fecha y hora de cancelación
•	RFC Emisor
•	Folio Fiscal
•	Estatus de Proceso de Cancelación.
•	Motivo de Cancelación.
•	CFDI Reemplaza.
•	Sello digital SAT.
Esta opción solo será visible en la columna “Estado del Comprobante, cuando exista una solicitud de la cancelación asociada al CFDI de Retenciones.
Se podrá realizar la descarga del acuse en formato PDF, recuperando el acuse con el estatus final.</t>
  </si>
  <si>
    <t>CP07-RFCEmisor/Acuse Cancelación</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</si>
  <si>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(Aplica la Regla de Negocio 05)
En caso de que no se tenga información, el aplicativo dejará en blanco la sección que corresponda en la tabla de resultados.
(Aplica la Regla de Negocio 06)
</t>
  </si>
  <si>
    <t>CP08-RFCReceptor/Acuse de Cancelación</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</si>
  <si>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t>
  </si>
  <si>
    <t>CP09-Masiva UUID/Acuse de Cancelación</t>
  </si>
  <si>
    <t>El sistema despliega las siguientes opciones de búsqueda:
- Folio Fiscal
- Fecha Inicial y Final de Emisión
- Masiva UUID
El Usuario previamente se autenticó  y accedió al portal Empleados-Consulta Central Retenciones
Para este caso de prueba el comprobante debe estar cancelado.</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</si>
  <si>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El aplicativo realiza la consulta masiva de esos UUID y se muestra el detalle de los CFDI de Retenciones con las funcionalidades que actualmente existen
</t>
  </si>
  <si>
    <t>CP10-Folio Fiscal/Descargar RI</t>
  </si>
  <si>
    <t xml:space="preserve">En caso de no encontrar información ir al CP "Sin Resultados"
En caso contrario el sistema muestra: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Metadata.
2)Exportar Resultados a PDF.
3)Exportar Resultados a CSV.
En pantalla se deben visualizar 100 registros por página con un máximo de 10 bloques. 
(Aplica la Regla de Negocio 05)
En caso de que no se tenga información, el aplicativo dejará en blanco la sección que corresponda en la tabla de resultados.
(Aplica la Regla de Negocio 06)
</t>
  </si>
  <si>
    <t>Da clic en el la opción Recuperar Representación Impresa</t>
  </si>
  <si>
    <t>El sistema muestra la representación impresa del comprobante
Esta descarga se realiza uno a uno, contemplando el límite diario establecido para los archivos PDF en su RI.
(Aplica las Reglas de Negocio 07, 08 y 14)</t>
  </si>
  <si>
    <t>CP11-RFCEmisor/Descargar RI</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</si>
  <si>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(Aplica la Regla de Negocio 05)
En caso de que no se tenga información, el aplicativo dejará en blanco la sección que corresponda en la tabla de resultados.
(Aplica la Regla de Negocio 06)
</t>
  </si>
  <si>
    <t>CP12-RFCReceptor/Ver detalleRI</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</si>
  <si>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(Aplica la Regla de Negocio 05)
En caso de que no se tenga información, el aplicativo dejará en blanco la sección que corresponda en la tabla de resultados.
(Aplica la Regla de Negocio 06)
</t>
  </si>
  <si>
    <t>CP13-Masiva UUID/Ver detalle RI</t>
  </si>
  <si>
    <t xml:space="preserve">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El aplicativo realiza la consulta masiva de esos UUID y se muestra el detalle de los CFDI de Retenciones con las funcionalidades que actualmente existen
• El servicio solo permite la consulta a través de archivos de texto plano (.txt).
</t>
  </si>
  <si>
    <t>CP14-Folio Fiscal/Descargar XML</t>
  </si>
  <si>
    <t>Da clic en la opción Descargar XML</t>
  </si>
  <si>
    <t>El sistema abre una ventana emergente que permitirá descargar el contenido del XML.
Esta descarga se realiza uno a uno, contemplando el límite diario establecido para los archivos XML.
(Aplica las Reglas de Negocio 09 y 14)</t>
  </si>
  <si>
    <t>CP15-RFCEmisor/Descargar XML</t>
  </si>
  <si>
    <t>En caso de no encontrar información ir al CP "Sin Resultados"
En caso contrario el sistema muestra:
Botón Recuperar descargas de CFDI
Tabla con el encabezado y los datos siguientes:
+ Acciones   
• Descargar.(XML)
• Ver Detalle.(RI)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Motivo de cancelación
•	Folio de sustitución
+ Botones: 
1)Descargar Seleccionados XML.
2)Descargas RI.
3)Descargar Metadata.
4)Exportar Resultados a PDF.
5)Exportar Resultados a CSV.
En caso de que no se tenga información, el aplicativo dejará en blanco la sección que corresponda en la tabla de resultados.
(Aplica la Regla de Negocio 06)</t>
  </si>
  <si>
    <t>CP16-RFCReceptor/Descargar</t>
  </si>
  <si>
    <t>CP17-Masiva UUID/Descargar</t>
  </si>
  <si>
    <t>CP18-Botón Descargar Seleccionados XML</t>
  </si>
  <si>
    <t>El sistema muestra la selección de los CFDI
Viene del paso 4 de los Casos de Prueba: 
CP02 ConsultaCentral_CFDI-Ret_Búsqueda/RFCEmisor
CP03 ConsultaCentral_CFDI-Ret_Búsqueda/RFCReceptor
CP04 ConsultaCentral_CFDI-Ret_Búsqueda/RFCReceptor y RFCEmisor
CP05 ConsultaCentral_CFDI-Ret_Búsqueda/Masiva UUID</t>
  </si>
  <si>
    <t>Selecciona la opción: Descargar Seleccionados XML</t>
  </si>
  <si>
    <t xml:space="preserve">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(Aplica la Regla de Negocio 10).
Se generará de manera automática un número de folio de descarga 
El archivo ZIP correspondiente a la descarga masiva, debe contener los archivos XML seleccionados. 
(Aplica las Reglas de Negocio 09, 14 y 16) </t>
  </si>
  <si>
    <t>CP19-Botón Descargar RI</t>
  </si>
  <si>
    <t>Selecciona la opción: Descarga RI</t>
  </si>
  <si>
    <t>Al seleccionar este botón se debe generar una petición al servicio de descarga masiva de los comprobantes en su Representación Impresa (RI) en formato PDF, a través de un paquete de archivos comprimidos en formato ZIP, este paquete contará con un identificador denominado “Folio de descarga”, el cual podrá ser consultado desde la funcionalidad del botón “Recuperar descargas de CFDI”
(Aplica la Regla de Negocio 10) .
El archivo ZIP correspondiente a la descarga masiva, debe contener los CFDI de retenciones que resultaron de la consulta realizada y se encuentran visibles en pantalla, como máximo 1,000 registros. 
(Aplica las Reglas de Negocio 05, 07, 08, 14 y 16)</t>
  </si>
  <si>
    <t>CP20-Botón Descarga Metadata</t>
  </si>
  <si>
    <t>El sistema muestra la selección de los CFDI
Viene del paso 4 de los Casos de Prueba: 
CP02 ConsultaCentral_CFDI-Ret_Búsqueda/RFCEmisor
CP03 ConsultaCentral_CFDI-Ret_Búsqueda/RFCReceptor
CP04 ConsultaCentral_CFDI-Ret_Búsqueda/RFCReceptor y RFCEmisor
CP05 ConsultaCentral_CFDI-Ret_Búsqueda/Masiva UUID</t>
  </si>
  <si>
    <t xml:space="preserve">Selecciona la opción Descargar Metadata
</t>
  </si>
  <si>
    <t>Al seleccionar este botón se debe generar una petición al servicio de descarga masiva de la metada de los CFDI que ampara retenciones e información de pagos que resultaron de la consulta, a través de un archivo de texto plano comprimido en formato ZIP, este paquete contará con un identificador denominado “Folio de descarga”, el cual podrá ser consultado desde la funcionalidad del botón “Recuperar descargas de CFDI”
(Aplica la Regla de Negocio 10).
El archivo de texto plano debe de contener los datos de la metadata para los CFDI que ampara retenciones e información de pagos que corresponden al resultado de la consulta y que se visualizan en pantalla, como máximo 1,000 registros.
(Aplica las Reglas de Negocio 05 y 16) 
Se descarga un archivo txt donde se muestra el detalle de los comprobantes separados por el carácter “~”.</t>
  </si>
  <si>
    <t>CP21-Exportar resultados a PDF</t>
  </si>
  <si>
    <t>Da clic en el  botón Exportar resultados a PDF</t>
  </si>
  <si>
    <t>El aplicativo exporta toda la información de cada uno de los CFDI contenidos en la tabla a un documento pdf.
El sistema utilizar el componente que disponga el explorador de Windows para poder abrir el archivo o en su caso los archivos seleccionados en formato pdf. 
Viene de los Casos de Prueba: 
CP02 
CP03
CP04 
CP05 
El Reporte de Resultados a PDF, deberá contar con las siguientes características: 
	Logos del SAT y Hacienda vigentes, con el nombre de la institución: ‘Servicio de Administración Tributaria’ y el nombre del aplicativo ‘Consulta Central Retenciones’ al centro de la página.
	Datos del CFDI: Folio Fiscal, RFC Emisor, RFC Receptor, Total, Fecha Emisión, Fecha Certificación, Estado del Comprobante, Nombre o Razón Social, Emisor, Nombre o Razón Social Receptor, Subtotal, Efecto del Comprobante, RFC PAC.
	Fecha y hora (parte inferior izquierda) y Número de páginas: x de 500 (parte inferior derecha), el reporte deberá contener dos CFDI por página.</t>
  </si>
  <si>
    <t>CP22-Exportar resultados a CSV</t>
  </si>
  <si>
    <t>Da clic en el  botón Exportar resultados a CSV</t>
  </si>
  <si>
    <t>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CP01
CP02
CP03
CP04r
CP05
El Reporte de Resultados a CSV, deberá contar con toda la información contenida en el resultado de la consulta en la tabla a un documento Excel, con los nombres de las columnas:
	Folio Fiscal
	Rfc Emisor
	Nombre Razón Social Emisor
	Rfc Receptor
	Nombre Razón Social Receptor
	Fecha Emisión
	Fecha Certificación
	Monto Total Retenido
	Monto Total de la Operación 
	Estado Comprobante
	Clave de la retención 
	Fecha Cancelación
	PAC que Certificó 
	Motivo de cancelación</t>
  </si>
  <si>
    <t>CP23-Recuperar Descarga de CFDI</t>
  </si>
  <si>
    <t>El sistema despliega las siguientes opciones de búsqueda:
- Folio Fiscal
- Fecha Inicial y Final de Emisión
- Masiva UUID
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
La información que se muestra en el archivo pdf, será toda la relativa a cada CFDI, en caso de que en alguna columna no se tenga información no se mostrará.</t>
  </si>
  <si>
    <t>Selecciona la opción "Recuperar descargas de CFDI"</t>
  </si>
  <si>
    <t>Al dar clic al botón “Recuperar Descarga de CFDI” se debe generar una ventana adicional denominada “Solicitudes de descarga masiva”.
En esta ventana se visualiza el o los paquetes de los archivos generados por cada una de las solicitudes de descargas masivas, identificadas mediante el folio de descarga.
(RN10) 
Los campos que contiene esta ventana adicional son:
•	Solicitudes de descarga masiva: Título de la ventana (se debe visualizar centrado).
•	Descargar: Titulo que indica la selección de la descarga  
•	# de Paquete: Título que indica el número de paquete que contiene la solicitud de descarga.
•	Folio de Descarga: Título que indica el folio de descarga de la solicitud.
•	Tipo: Título que indica el formato del documento.
•	# de Documentos: Título que indica el número de archivos que contiene el paquete.
•	Fecha de la Solicitud: Título que indica la fecha que se solicitó la descarga.
•	  Icono que representa la funcionalidad de descarga del paquete de archivos correspondiente.
El tiempo para generar los paquetes es de 48 horas máximo, a partir de la fecha de generación del folio de descarga.
El aplicativo debe permitir la descarga de los paquetes con el icono de “Descargar”  , generando una ventana emergente con un archivo ZIP con la información correspondiente.</t>
  </si>
  <si>
    <t xml:space="preserve">Seleccionar un registro y dar clic en el icono "Descargar" </t>
  </si>
  <si>
    <t xml:space="preserve">Se realiza la descarga del archivo seleccionado
</t>
  </si>
  <si>
    <t>CP24-Sin Resultados</t>
  </si>
  <si>
    <t>En caso de que no se encuentre información con los parámetros de búsqueda ingresados, el sistema muestra el siguiente mensaje: “No existen registros que cumplan con los criterios de búsqueda ingresados, intentar nuevamente”
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t>
  </si>
  <si>
    <t>CP25-RFC Emisor/PPE</t>
  </si>
  <si>
    <t xml:space="preserve">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t>
  </si>
  <si>
    <t>CP26-RFC Receptor/PPE</t>
  </si>
  <si>
    <t xml:space="preserve">En caso de no encontrar información ir al CP "Sin Resultados"
El sistema muestra:
Botón Recuperar descargas de CFDI
Tabla con el encabezado y los datos siguientes:
+ Acciones   
• Ver Detalle.(RI) 
• Descargar.(XML)
Columnas:
•Folio Fiscal
•RFC Emisor
•Nombre o Razón Social del Emisor
•RFC Receptor 
•Nombre o Razón Social del Receptor
•Fecha de Emisión
•Fecha de Certificación
•Monto Total Retenido 
•Monto Total de la Operación
•Estado del Comprobante 
•Clave de la retención
•Fecha de Cancelación
•PAC que Certificó
•Motivo de cancelación
•Folio de sustitución
+ Botones: 
1)Descargar Seleccionados XML.
2)Descargas RI.
3)Descargar Metadata.
4)Exportar Resultados a PDF.
5)Exportar Resultados a CSV.
</t>
  </si>
  <si>
    <t>CP27-Folio Fiscal/MsjError_RI</t>
  </si>
  <si>
    <t xml:space="preserve">El sistema despliega cuadro de texto para incorporar el número de Folio Fiscal que se requiere buscar.
Se inhabilita el campo Fecha Inicial de Emisión
</t>
  </si>
  <si>
    <t xml:space="preserve">
Selecciona Recuperar Representación Impresa (RI).
Nota: Para este caso de prueba se deberá utilizar un XML mal formado para que aparezca el mensaje.</t>
  </si>
  <si>
    <t>El sistema al detectar un XML mal formado y que no puede generar la representación impresa va a mostrar el siguiente  mensaje.
El Folio Fiscal (XXXXXX) que se desea consultar sólo se puede visualizar el XML y no la Representación Impresa
Al momento de descargar la RI si el sistema detecta que esta mal formado y no puede generar el PDF de manera correcta.  Cuando se descargue la Representación Impresa el aplicativo va a mostrar un mensaje indicando que se encuentra mal formado.</t>
  </si>
  <si>
    <t>CP28-RFC Emisor/MsjError RI</t>
  </si>
  <si>
    <t>El sistema habilita los siguientes campos:
•	Fecha Inicial de Emisión (*).
•	Fecha Final de Emisión (*). (RN04)
•	RFC Emisor. (RN02)
•	RFC Receptor. (RN02)
•	Estado del Comprobante.
•	Tipo de Comprobante (RN17).* Campos obligatorios
El Usuario previamente se autenticó  y accedió al portal Empleados-Consulta Central Retenciones
Se debe incorporar el RFC de al menos alguno de los siguientes:
- RFC Emisor
- RFC Receptor</t>
  </si>
  <si>
    <t>CP29-RFC Receptor/MsjError RI</t>
  </si>
  <si>
    <t>En caso de no encontrar información ir al CP "Sin Resultados"
El sistema muestra:
Botón Recuperar descargas de CFDI
Tabla con el encabezado y los datos siguientes:
+ Acciones   
• Ver Detalle.(RI) 
• Descargar.(XML)
Columnas:
•Folio Fiscal
•RFC Emisor
•Nombre o Razón Social del Emisor
•RFC Receptor 
•Nombre o Razón Social del Receptor
•Fecha de Emisión
•Fecha de Certificación
•Monto Total Retenido 
•Monto Total de la Operación
•Estado del Comprobante 
•Clave de la retención
•Fecha de Cancelación
•PAC que Certificó
•Motivo de cancelación
•Folio de sustitución
+ Botones: 
1)Descargar Seleccionados XML.
2)Descargas RI.
3)Descargar Metadata.
4)Exportar Resultados a PDF.
5)Exportar Resultados a CSV.
El Usuario previamente se autenticó  y accedió al portal Empleados-Consulta Central Retenciones</t>
  </si>
  <si>
    <t>CP30-Autenticación</t>
  </si>
  <si>
    <t xml:space="preserve">
</t>
  </si>
  <si>
    <t xml:space="preserve">Se muestran los datos para ingresar:
Certificado (.cer)
Clave privada (.Key)
Contraseña de clave privada: 
Se muestra el campo RFC
</t>
  </si>
  <si>
    <t xml:space="preserve">Se muestra el dato en el  campo certificado y en el campo RFC el dato del RFC del contribuyente
</t>
  </si>
  <si>
    <t xml:space="preserve">Se muestra el dato en el campo clave privada
</t>
  </si>
  <si>
    <t xml:space="preserve">Se muestra oculto el dato en el campo contraseña
</t>
  </si>
  <si>
    <t>CP31-Cierre Sesión Inactividad</t>
  </si>
  <si>
    <t xml:space="preserve">Después de 15 minutos de inactividad, se cerrará la sesión en automático.
</t>
  </si>
  <si>
    <t xml:space="preserve">
Para realizar una nueva consulta, el usuario requiere autenticarse de nuevo.</t>
  </si>
  <si>
    <t>CP32-Masiva UUID / Archivo con Errores</t>
  </si>
  <si>
    <t xml:space="preserve">Para el caso de que en la relación de los folios fiscales consultados no se localicen o no  cumplan la estructura  de UUID de CFDI de Retenciones e Información de pagos de acuerdo con el anexo 20 de la RMF, se generará un aviso de manera automática con el siguiente mensaje:
¡Consulta masiva realizada con éxito!
La consulta de los folios fiscales se  encuentra en proceso y podrás obtener el resultado con el folio de descarga xxxxxxxx-xxxx-xxxx-xxxx-xxxxxxxxxxxx, en la opción: Recuperar descargas de CFDI después de unos minutos.
</t>
  </si>
  <si>
    <t xml:space="preserve">El archivo va mostrar el detalle de los UUID que no se localizaron o que no cumplen con la estructura
</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</si>
  <si>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</si>
  <si>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</si>
  <si>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</si>
  <si>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</si>
  <si>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</si>
  <si>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Noto Sans"/>
        <family val="2"/>
        <charset val="1"/>
      </rPr>
      <t>Nombre</t>
    </r>
    <r>
      <rPr>
        <sz val="10"/>
        <color rgb="FF000000"/>
        <rFont val="Noto Sans"/>
        <family val="2"/>
        <charset val="1"/>
      </rPr>
      <t>: Pedro López Bernal.</t>
    </r>
  </si>
  <si>
    <r>
      <rPr>
        <b/>
        <sz val="10"/>
        <color rgb="FF000000"/>
        <rFont val="Noto Sans"/>
        <family val="2"/>
        <charset val="1"/>
      </rPr>
      <t>Nombre</t>
    </r>
    <r>
      <rPr>
        <sz val="10"/>
        <color rgb="FF000000"/>
        <rFont val="Noto Sans"/>
        <family val="2"/>
        <charset val="1"/>
      </rPr>
      <t>: Diana Maribel Velazquez Barroso</t>
    </r>
  </si>
  <si>
    <r>
      <rPr>
        <b/>
        <sz val="10"/>
        <color rgb="FF000000"/>
        <rFont val="Noto Sans"/>
        <family val="2"/>
        <charset val="1"/>
      </rPr>
      <t>Puesto</t>
    </r>
    <r>
      <rPr>
        <sz val="10"/>
        <color rgb="FF000000"/>
        <rFont val="Noto Sans"/>
        <family val="2"/>
        <charset val="1"/>
      </rPr>
      <t>: Administrador de Gestión de Servicios y Trámites con Medios Electrónicos 3</t>
    </r>
  </si>
  <si>
    <r>
      <rPr>
        <b/>
        <sz val="10"/>
        <color rgb="FF000000"/>
        <rFont val="Noto Sans"/>
        <family val="2"/>
        <charset val="1"/>
      </rPr>
      <t>Puesto</t>
    </r>
    <r>
      <rPr>
        <sz val="10"/>
        <color rgb="FF000000"/>
        <rFont val="Noto Sans"/>
        <family val="2"/>
        <charset val="1"/>
      </rPr>
      <t xml:space="preserve">: Administradora de Soluciones de Negocio 3 </t>
    </r>
  </si>
  <si>
    <r>
      <rPr>
        <b/>
        <sz val="10"/>
        <color rgb="FF000000"/>
        <rFont val="Noto Sans"/>
        <family val="2"/>
        <charset val="1"/>
      </rPr>
      <t>Fecha</t>
    </r>
    <r>
      <rPr>
        <sz val="10"/>
        <color rgb="FF000000"/>
        <rFont val="Noto Sans"/>
        <family val="2"/>
        <charset val="1"/>
      </rPr>
      <t>:</t>
    </r>
  </si>
  <si>
    <t xml:space="preserve">Fecha: </t>
  </si>
  <si>
    <t>Revisó</t>
  </si>
  <si>
    <r>
      <rPr>
        <b/>
        <sz val="10"/>
        <color rgb="FF000000"/>
        <rFont val="Noto Sans"/>
        <family val="2"/>
        <charset val="1"/>
      </rPr>
      <t>Nombre</t>
    </r>
    <r>
      <rPr>
        <sz val="10"/>
        <color rgb="FF000000"/>
        <rFont val="Noto Sans"/>
        <family val="2"/>
        <charset val="1"/>
      </rPr>
      <t xml:space="preserve">: Mario Alberto Huerta Velazquez </t>
    </r>
  </si>
  <si>
    <r>
      <rPr>
        <b/>
        <sz val="10"/>
        <color rgb="FF000000"/>
        <rFont val="Noto Sans"/>
        <family val="2"/>
        <charset val="1"/>
      </rPr>
      <t xml:space="preserve">Nombre: </t>
    </r>
    <r>
      <rPr>
        <sz val="10"/>
        <color rgb="FF000000"/>
        <rFont val="Noto Sans"/>
        <family val="2"/>
        <charset val="1"/>
      </rPr>
      <t>Roberto Benjamín Monroy Vargas</t>
    </r>
  </si>
  <si>
    <r>
      <rPr>
        <b/>
        <sz val="10"/>
        <color rgb="FF000000"/>
        <rFont val="Noto Sans"/>
        <family val="2"/>
        <charset val="1"/>
      </rPr>
      <t>Puesto</t>
    </r>
    <r>
      <rPr>
        <sz val="10"/>
        <color rgb="FF000000"/>
        <rFont val="Noto Sans"/>
        <family val="2"/>
        <charset val="1"/>
      </rPr>
      <t>: Subadministrador de Gestión de Servicios y Trámites con Medios Electrónicos</t>
    </r>
  </si>
  <si>
    <r>
      <rPr>
        <b/>
        <sz val="10"/>
        <color rgb="FF000000"/>
        <rFont val="Noto Sans"/>
        <family val="2"/>
        <charset val="1"/>
      </rPr>
      <t>Puesto</t>
    </r>
    <r>
      <rPr>
        <sz val="10"/>
        <color rgb="FF000000"/>
        <rFont val="Noto Sans"/>
        <family val="2"/>
        <charset val="1"/>
      </rPr>
      <t>: Subadministrador de Soluciones de Negocio</t>
    </r>
  </si>
  <si>
    <r>
      <rPr>
        <b/>
        <sz val="10"/>
        <color rgb="FF000000"/>
        <rFont val="Noto Sans"/>
        <family val="2"/>
        <charset val="1"/>
      </rPr>
      <t>Fecha</t>
    </r>
    <r>
      <rPr>
        <sz val="10"/>
        <color rgb="FF000000"/>
        <rFont val="Noto Sans"/>
        <family val="2"/>
        <charset val="1"/>
      </rPr>
      <t xml:space="preserve">: </t>
    </r>
  </si>
  <si>
    <t>Elaboró</t>
  </si>
  <si>
    <r>
      <rPr>
        <b/>
        <sz val="10"/>
        <color rgb="FF000000"/>
        <rFont val="Noto Sans"/>
        <family val="2"/>
        <charset val="1"/>
      </rPr>
      <t>Nombre</t>
    </r>
    <r>
      <rPr>
        <sz val="10"/>
        <color rgb="FF000000"/>
        <rFont val="Noto Sans"/>
        <family val="2"/>
        <charset val="1"/>
      </rPr>
      <t>: Nadia Anahí Ortega Nava</t>
    </r>
  </si>
  <si>
    <r>
      <rPr>
        <b/>
        <sz val="10"/>
        <color rgb="FF000000"/>
        <rFont val="Noto Sans"/>
        <family val="2"/>
        <charset val="1"/>
      </rPr>
      <t xml:space="preserve">Nombre: </t>
    </r>
    <r>
      <rPr>
        <sz val="10"/>
        <color rgb="FF000000"/>
        <rFont val="Noto Sans"/>
        <family val="2"/>
        <charset val="1"/>
      </rPr>
      <t>Alma Quetzabeth Torres González</t>
    </r>
    <r>
      <rPr>
        <b/>
        <sz val="10"/>
        <color rgb="FF000000"/>
        <rFont val="Noto Sans"/>
        <family val="2"/>
        <charset val="1"/>
      </rPr>
      <t xml:space="preserve"> </t>
    </r>
  </si>
  <si>
    <r>
      <rPr>
        <b/>
        <sz val="10"/>
        <color rgb="FF000000"/>
        <rFont val="Noto Sans"/>
        <family val="2"/>
        <charset val="1"/>
      </rPr>
      <t>Puesto</t>
    </r>
    <r>
      <rPr>
        <sz val="10"/>
        <color rgb="FF000000"/>
        <rFont val="Noto Sans"/>
        <family val="2"/>
        <charset val="1"/>
      </rPr>
      <t>: Jefe de Departamento de Gestión de Servicios y Trámites con Medios Electrónicos</t>
    </r>
  </si>
  <si>
    <r>
      <rPr>
        <b/>
        <sz val="10"/>
        <color rgb="FF000000"/>
        <rFont val="Noto Sans"/>
        <family val="2"/>
        <charset val="1"/>
      </rPr>
      <t xml:space="preserve">Puesto: </t>
    </r>
    <r>
      <rPr>
        <sz val="10"/>
        <color rgb="FF000000"/>
        <rFont val="Noto Sans"/>
        <family val="2"/>
        <charset val="1"/>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</si>
  <si>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</si>
  <si>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</si>
  <si>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</si>
  <si>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</si>
  <si>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</si>
  <si>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</si>
  <si>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 Consulta Central CFDI Retenciones.xlsx</t>
    </r>
  </si>
  <si>
    <r>
      <t xml:space="preserve">Da clic en </t>
    </r>
    <r>
      <rPr>
        <sz val="10"/>
        <color rgb="FFFF0000"/>
        <rFont val="Noto Sans"/>
        <family val="2"/>
      </rPr>
      <t>Cerrar Sesión</t>
    </r>
  </si>
  <si>
    <r>
      <t xml:space="preserve">Después de </t>
    </r>
    <r>
      <rPr>
        <sz val="10"/>
        <color rgb="FFFF0000"/>
        <rFont val="Noto Sans"/>
        <family val="2"/>
      </rPr>
      <t>10</t>
    </r>
    <r>
      <rPr>
        <sz val="10"/>
        <rFont val="Noto Sans"/>
        <family val="2"/>
        <charset val="1"/>
      </rPr>
      <t xml:space="preserve"> minutos de inactividad, se cerrará la sesión en automático.</t>
    </r>
  </si>
  <si>
    <t>Al seleccionar el botón para la consulta por periodo de fecha de emisión, se debe deshabilitar el campo correspondiente a la consulta de Folio Fiscal.
Debe contar con al menos un RFC (Emisor o Receptor) como parámetro de búsqueda, permitiendo los siguientes supuestos:
1)	RFC Emisor,
2)	RFC Receptor.
3)	RFC Emisor y RFC Receptor.</t>
  </si>
  <si>
    <t>El resultado de la consulta generará un archivo de texto plano (.txt) con los folios fiscales (UUID) no localizados , por los siguientes motivos:
-Estructura del UUID incorrecta
-No existe el folio fiscal en los controles del SAT.
Este archivo se podrá obtener mediante la funcionalidad del botón “Archivos Solicitados”, realizando la descarga del paquete comprimido en formato ZIP, que cuenta con un identificador denominado “Folio de descarga” (Aplica la Regla de Negocio 10)
El botón Archivos Solicitados será visible únicamente cuando se haya seleccionado la opción Masiva UUID.</t>
  </si>
  <si>
    <r>
      <rPr>
        <sz val="10"/>
        <color rgb="FFFF0000"/>
        <rFont val="Noto Sans"/>
        <family val="2"/>
      </rPr>
      <t>Da clic en el boton "Archivos Solicitados"</t>
    </r>
    <r>
      <rPr>
        <sz val="10"/>
        <rFont val="Noto Sans"/>
        <family val="2"/>
        <charset val="1"/>
      </rPr>
      <t xml:space="preserve"> y realizar la descarga del archivo con observaciones. </t>
    </r>
  </si>
  <si>
    <t xml:space="preserve">
El archivo va mostrar el detalle de los UUID que no se localizaron o que no cumplen con la estructura</t>
  </si>
  <si>
    <t>En la columna de acciones se desplegaran los botones:
•Recuperar Representación Impresa  
•	Descargar XML</t>
  </si>
  <si>
    <r>
      <t xml:space="preserve">En caso de que no se tenga información, el aplicativo dejará en blanco la sección que corresponda en la tabla de resultados.
(Aplica la Regla de Negocio 06)
</t>
    </r>
    <r>
      <rPr>
        <sz val="10"/>
        <color rgb="FFFF0000"/>
        <rFont val="Noto Sans"/>
        <family val="2"/>
      </rPr>
      <t xml:space="preserve">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
</t>
    </r>
  </si>
  <si>
    <r>
      <t xml:space="preserve">Al seleccionar el botón de folio fiscal se deben deshabilitar los campos correspondientes a la consulta por periodo de fecha de emisión.
</t>
    </r>
    <r>
      <rPr>
        <sz val="10"/>
        <color rgb="FFFF0000"/>
        <rFont val="Noto Sans"/>
        <family val="2"/>
      </rPr>
      <t>a)	En una consulta por Folio fiscal o cuando se realice la consulta por periodo de fecha y el resultado sea uno:
o	Descargar Metadata 
o	Exportar Resultados PDF
o	Exportar Resultados CSV</t>
    </r>
  </si>
  <si>
    <r>
      <t xml:space="preserve">Selecciona </t>
    </r>
    <r>
      <rPr>
        <sz val="10"/>
        <color rgb="FFFF0000"/>
        <rFont val="Noto Sans"/>
        <family val="2"/>
      </rPr>
      <t>el boton:</t>
    </r>
    <r>
      <rPr>
        <sz val="10"/>
        <rFont val="Noto Sans"/>
        <family val="2"/>
        <charset val="1"/>
      </rPr>
      <t xml:space="preserve"> </t>
    </r>
    <r>
      <rPr>
        <b/>
        <sz val="10"/>
        <rFont val="Noto Sans"/>
        <family val="2"/>
        <charset val="1"/>
      </rPr>
      <t>Descargar Seleccionados XML</t>
    </r>
  </si>
  <si>
    <r>
      <t xml:space="preserve">Selecciona </t>
    </r>
    <r>
      <rPr>
        <sz val="10"/>
        <color rgb="FFFF0000"/>
        <rFont val="Noto Sans"/>
        <family val="2"/>
      </rPr>
      <t>el boton</t>
    </r>
    <r>
      <rPr>
        <sz val="10"/>
        <rFont val="Noto Sans"/>
        <family val="2"/>
        <charset val="1"/>
      </rPr>
      <t xml:space="preserve">: </t>
    </r>
    <r>
      <rPr>
        <b/>
        <sz val="10"/>
        <rFont val="Noto Sans"/>
        <family val="2"/>
        <charset val="1"/>
      </rPr>
      <t>Descarga RI</t>
    </r>
  </si>
  <si>
    <r>
      <t xml:space="preserve">Selecciona </t>
    </r>
    <r>
      <rPr>
        <sz val="10"/>
        <color rgb="FFFF0000"/>
        <rFont val="Noto Sans"/>
        <family val="2"/>
      </rPr>
      <t>el boton</t>
    </r>
    <r>
      <rPr>
        <sz val="10"/>
        <rFont val="Noto Sans"/>
        <family val="2"/>
        <charset val="1"/>
      </rPr>
      <t xml:space="preserve">: </t>
    </r>
    <r>
      <rPr>
        <b/>
        <sz val="10"/>
        <rFont val="Noto Sans"/>
        <family val="2"/>
        <charset val="1"/>
      </rPr>
      <t xml:space="preserve">Descargar Metadata
</t>
    </r>
  </si>
  <si>
    <r>
      <t xml:space="preserve">Da clic en el botón </t>
    </r>
    <r>
      <rPr>
        <b/>
        <sz val="10"/>
        <rFont val="Noto Sans"/>
        <family val="2"/>
        <charset val="1"/>
      </rPr>
      <t>Exportar resultados a PDF</t>
    </r>
  </si>
  <si>
    <r>
      <t xml:space="preserve">Da clic en el botón </t>
    </r>
    <r>
      <rPr>
        <b/>
        <sz val="10"/>
        <rFont val="Noto Sans"/>
        <family val="2"/>
        <charset val="1"/>
      </rPr>
      <t>Exportar resultados a CSV</t>
    </r>
  </si>
  <si>
    <r>
      <t xml:space="preserve">Viene de los Casos de Prueba: 
CP02 
CP03
CP04 
CP05 
El Reporte de Resultados a PDF, deberá contar con las siguientes características: 
	Logos del SAT y Hacienda vigentes, con el nombre de la institución: ‘Servicio de Administración Tributaria’ y el nombre del aplicativo ‘Consulta Central Retenciones’ al centro de la página.
	Datos del CFDI: Folio Fiscal, RFC Emisor, RFC Receptor, Total, Fecha Emisión, Fecha Certificación, Estado del Comprobante, </t>
    </r>
    <r>
      <rPr>
        <sz val="10"/>
        <color rgb="FFFF0000"/>
        <rFont val="Noto Sans"/>
        <family val="2"/>
      </rPr>
      <t>Nombre o Razón Social Emisor</t>
    </r>
    <r>
      <rPr>
        <sz val="10"/>
        <rFont val="Noto Sans"/>
        <family val="2"/>
        <charset val="1"/>
      </rPr>
      <t>, Nombre o Razón Social Receptor, Subtotal, Efecto del Comprobante, RFC PAC.
	Fecha y hora (parte inferior izquierda) y Número de páginas: x de 500 (parte inferior derecha), el reporte deberá contener dos CFDI por página.</t>
    </r>
  </si>
  <si>
    <t xml:space="preserve"> 
</t>
  </si>
  <si>
    <r>
      <t xml:space="preserve">Viene de los Casos de Prueba: 
CP01
CP02
CP03
CP04r
CP05
El Reporte de Resultados a CSV, deberá contar con toda la información contenida en el resultado de la consulta en la tabla a un documento Excel, con los nombres de las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t>
    </r>
    <r>
      <rPr>
        <sz val="10"/>
        <color rgb="FFFF0000"/>
        <rFont val="Noto Sans"/>
        <family val="2"/>
      </rPr>
      <t>Estatus de Cancelacion
•	Estatus de Proceso de Cancelacion
•	Fecha de Solicitud de</t>
    </r>
    <r>
      <rPr>
        <sz val="10"/>
        <rFont val="Noto Sans"/>
        <family val="2"/>
        <charset val="1"/>
      </rPr>
      <t xml:space="preserve"> Cancelacion
•	Motivo de cancelación
</t>
    </r>
    <r>
      <rPr>
        <sz val="10"/>
        <color rgb="FFFF0000"/>
        <rFont val="Noto Sans"/>
        <family val="2"/>
      </rPr>
      <t>•	Folio de sustitución</t>
    </r>
  </si>
  <si>
    <r>
      <t xml:space="preserve">El tiempo para generar los paquetes es de 48 horas máximo, a partir de la fecha de generación del folio de descarga.
El aplicativo debe permitir la descarga de los paquetes con el icono de “Descargar”  , generando una ventana emergente con un archivo ZIP con la información correspondiente.
</t>
    </r>
    <r>
      <rPr>
        <sz val="10"/>
        <color rgb="FFFF0000"/>
        <rFont val="Noto Sans"/>
        <family val="2"/>
      </rPr>
      <t>Los paquetes de descargas masivas estarán disponibles en la ventana de “Solicitudes de Descarga Masiva” a partir de la fecha de generación del folio de descarga, en un plazo de 3 días.</t>
    </r>
    <r>
      <rPr>
        <sz val="10"/>
        <rFont val="Noto Sans"/>
        <family val="2"/>
        <charset val="1"/>
      </rPr>
      <t xml:space="preserve">
</t>
    </r>
  </si>
  <si>
    <r>
      <t xml:space="preserve">El sistema valida que el usuario tenga permisos para consultar  PPE.
</t>
    </r>
    <r>
      <rPr>
        <sz val="10"/>
        <rFont val="Noto Sans"/>
        <family val="2"/>
        <charset val="1"/>
      </rPr>
      <t xml:space="preserve">Si se encuentra en la lista para poder ver los PPE, el sistema muestra los resultados de acuerdo a la consulta, más  los registros RFC PPE.
Si el usuario no cuenta con permisos, muestra los resultados de acuerdo a una consulta normal no incluyendo los registros RFC PPE </t>
    </r>
  </si>
  <si>
    <r>
      <t xml:space="preserve">Ingresa los datos:
- *Fecha inicial de emisión
- *Fecha final de emisión
-  RFC Emisor
</t>
    </r>
    <r>
      <rPr>
        <b/>
        <sz val="10"/>
        <rFont val="Noto Sans"/>
        <family val="2"/>
      </rPr>
      <t>-  RFC Receptor</t>
    </r>
    <r>
      <rPr>
        <sz val="10"/>
        <rFont val="Noto Sans"/>
        <family val="2"/>
        <charset val="1"/>
      </rPr>
      <t xml:space="preserve">
De manera opcional:
-  Estado del Comprobante
- Tipo de Comprobante</t>
    </r>
    <r>
      <rPr>
        <sz val="10"/>
        <color rgb="FFFF0000"/>
        <rFont val="Noto Sans"/>
        <family val="2"/>
      </rPr>
      <t>(Complemento)(RN17)</t>
    </r>
    <r>
      <rPr>
        <sz val="10"/>
        <rFont val="Noto Sans"/>
        <family val="2"/>
        <charset val="1"/>
      </rPr>
      <t xml:space="preserve">
* Campos obligatorios
</t>
    </r>
  </si>
  <si>
    <r>
      <t xml:space="preserve">Ingresa los datos:
- *Fecha inicial de emisión
- *Fecha final de emisión
</t>
    </r>
    <r>
      <rPr>
        <b/>
        <sz val="10"/>
        <rFont val="Noto Sans"/>
        <family val="2"/>
      </rPr>
      <t>-  RFC Emisor</t>
    </r>
    <r>
      <rPr>
        <sz val="10"/>
        <rFont val="Noto Sans"/>
        <family val="2"/>
        <charset val="1"/>
      </rPr>
      <t xml:space="preserve">
-  RFC Receptor
De manera opcional:
-  Estado del Comprobante
- Tipo de Comprobante</t>
    </r>
    <r>
      <rPr>
        <sz val="10"/>
        <color rgb="FFFF0000"/>
        <rFont val="Noto Sans"/>
        <family val="2"/>
      </rPr>
      <t>(Complemento)(RN17)</t>
    </r>
    <r>
      <rPr>
        <sz val="10"/>
        <rFont val="Noto Sans"/>
        <family val="2"/>
        <charset val="1"/>
      </rPr>
      <t xml:space="preserve">
* Campos obligatorios
</t>
    </r>
  </si>
  <si>
    <r>
      <t xml:space="preserve">Ingresa los datos:
- *Fecha inicial de emisión
- *Fecha final de emisión
</t>
    </r>
    <r>
      <rPr>
        <b/>
        <sz val="10"/>
        <rFont val="Noto Sans"/>
        <family val="2"/>
      </rPr>
      <t>-  RFC Emisor</t>
    </r>
    <r>
      <rPr>
        <sz val="10"/>
        <rFont val="Noto Sans"/>
        <family val="2"/>
        <charset val="1"/>
      </rPr>
      <t xml:space="preserve">
</t>
    </r>
    <r>
      <rPr>
        <b/>
        <sz val="10"/>
        <rFont val="Noto Sans"/>
        <family val="2"/>
      </rPr>
      <t>-  RFC Receptor</t>
    </r>
    <r>
      <rPr>
        <sz val="10"/>
        <rFont val="Noto Sans"/>
        <family val="2"/>
        <charset val="1"/>
      </rPr>
      <t xml:space="preserve">
De manera opcional:
-  Estado del Comprobante
- Tipo de Comprobante</t>
    </r>
    <r>
      <rPr>
        <sz val="10"/>
        <color rgb="FFFF0000"/>
        <rFont val="Noto Sans"/>
        <family val="2"/>
      </rPr>
      <t>(Complemento)(RN17)</t>
    </r>
    <r>
      <rPr>
        <sz val="10"/>
        <rFont val="Noto Sans"/>
        <family val="2"/>
        <charset val="1"/>
      </rPr>
      <t xml:space="preserve">
* Campos obligatorios
</t>
    </r>
  </si>
  <si>
    <r>
      <t xml:space="preserve">(Aplica la Regla de Negocio 05)
En caso de que no se tenga información, el aplicativo dejará en blanco la sección que corresponda en la tabla de resultados.
(Aplica la Regla de Negocio 06)
</t>
    </r>
    <r>
      <rPr>
        <sz val="10"/>
        <color rgb="FFFF0000"/>
        <rFont val="Noto Sans"/>
        <family val="2"/>
      </rPr>
      <t>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t>
    </r>
  </si>
  <si>
    <t>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t>
  </si>
  <si>
    <r>
      <t xml:space="preserve">
(Aplica la Regla de Negocio 05)
En caso de que no se tenga información, el aplicativo dejará en blanco la sección que corresponda en la tabla de resultados.
(Aplica la Regla de Negocio 06)
</t>
    </r>
    <r>
      <rPr>
        <sz val="10"/>
        <color rgb="FFFF0000"/>
        <rFont val="Noto Sans"/>
        <family val="2"/>
      </rPr>
      <t>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t>
    </r>
  </si>
  <si>
    <r>
      <t xml:space="preserve">(Aplica la Regla de Negocio 05)
En caso de que no se tenga información, el aplicativo dejará en blanco la sección que corresponda en la tabla de resultados.
(Aplica la Regla de Negocio 06)
</t>
    </r>
    <r>
      <rPr>
        <sz val="10"/>
        <color rgb="FFFF0000"/>
        <rFont val="Noto Sans"/>
        <family val="2"/>
      </rPr>
      <t>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t>
    </r>
  </si>
  <si>
    <r>
      <t xml:space="preserve">En caso de que no se tenga información, el aplicativo dejará en blanco la sección que corresponda en la tabla de resultados.
(Aplica la Regla de Negocio 06)
</t>
    </r>
    <r>
      <rPr>
        <sz val="10"/>
        <color rgb="FFFF0000"/>
        <rFont val="Noto Sans"/>
        <family val="2"/>
      </rPr>
      <t>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t>
    </r>
  </si>
  <si>
    <r>
      <t xml:space="preserve">El aplicativo realiza la consulta masiva de esos UUID y se muestra el detalle de los CFDI de Retenciones con las funcionalidades que actualmente existen
•	El servicio solo permite la consulta a través de archivos de texto plano (.txt).
</t>
    </r>
    <r>
      <rPr>
        <sz val="10"/>
        <color rgb="FFFF0000"/>
        <rFont val="Noto Sans"/>
        <family val="2"/>
      </rPr>
      <t>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t>
    </r>
  </si>
  <si>
    <r>
      <t xml:space="preserve">El aplicativo realiza la consulta masiva de esos UUID y se muestra el detalle de los CFDI de Retenciones con las funcionalidades que actualmente existen
</t>
    </r>
    <r>
      <rPr>
        <sz val="10"/>
        <color rgb="FFFF0000"/>
        <rFont val="Noto Sans"/>
        <family val="2"/>
      </rPr>
      <t>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t>
    </r>
  </si>
  <si>
    <r>
      <t xml:space="preserve">El aplicativo realiza la consulta masiva de esos UUID y se muestra el detalle de los CFDI de Retenciones con las funcionalidades que actualmente existen
• El servicio solo permite la consulta a través de archivos de texto plano (.txt).
</t>
    </r>
    <r>
      <rPr>
        <sz val="10"/>
        <color rgb="FFFF0000"/>
        <rFont val="Noto Sans"/>
        <family val="2"/>
      </rPr>
      <t>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t>
    </r>
  </si>
  <si>
    <t>Si no hay archivos txt de errores para descargar se va a mostrar la siguiente leyenda “No se encontraron archivos de errores”.
Si hay peticiones, el sistema muestra el listado de los Folios para su descarga.</t>
  </si>
  <si>
    <r>
      <t xml:space="preserve">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t>
    </r>
    <r>
      <rPr>
        <sz val="10"/>
        <color rgb="FFFF0000"/>
        <rFont val="Noto Sans"/>
        <family val="2"/>
      </rPr>
      <t>Retencion</t>
    </r>
    <r>
      <rPr>
        <sz val="10"/>
        <rFont val="Noto Sans"/>
        <family val="2"/>
        <charset val="1"/>
      </rPr>
      <t>:
•	Fecha y hora de solicitud.
•	Fecha y hora de cancelación
•	RFC Emisor
•	Folio Fiscal
•	Estatus de Proceso de Cancelación.
•	Motivo de Cancelación.
•	CFDI Reemplaza.
•	Sello digital SAT.</t>
    </r>
  </si>
  <si>
    <t>/Lineamientos Gráficos/Encabezado</t>
  </si>
  <si>
    <t xml:space="preserve">
</t>
  </si>
  <si>
    <t>Usuario da clic en buscar y  en el explorador de documentos selecciona el archivo correspondiente a su certificado</t>
  </si>
  <si>
    <t>Se muestra el dato en el  campo certificado y en el campo RFC el dato del RFC del Contribuyente</t>
  </si>
  <si>
    <t>Usuario da clic en buscar y en el explorador de documentos selecciona el archivo correspondiente a su clave privada</t>
  </si>
  <si>
    <t xml:space="preserve">En caso de que el Contribuyente no cuente con los permisos, el aplicativo mostrará el mensaje: “El Usuario no cuenta con los privilegios de acceso” y no va a permitir su acceso. </t>
  </si>
  <si>
    <t>/Lineamientos Gráficos/Pie de página</t>
  </si>
  <si>
    <t>El usuario  valida que se muestren los lineamientos gŕaficos pie de página</t>
  </si>
  <si>
    <t>El usuario  valida que se muestren los lineamientos gráficos encabezado</t>
  </si>
  <si>
    <t xml:space="preserve">
Logosimbolo horizontal "Gobierno de México"
Está compuesto por las palabras "Gobierno de
México" en tipografía institucional, junto al Escudo
Nacional.
En la versión horizontal, el Escudo Nacional debe
situarse a la izquierda de la frase "Gobierno
de México"
</t>
  </si>
  <si>
    <t>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"Comunícate, estamos para ayudarte"</t>
  </si>
  <si>
    <t>Encabezado con lo siguiente:
(Fondo color guinda)
El imagotipo de "Gobierno de México" - Alineado en parte superior izquierda
Link "Trámites" - Alineado a la derecha
Link "Gobierno"
Botón lupa "Buscador"
(Fondo color guinda obscuro)
"Portal Empleados" - Alineado a la izquierda
Logos del SAT y SHCP – Alineados a la izquierda
 "Consulta Central Retenciones" - Alineado al centro
Nombre del Usuario – A la derecha
Botón Cerrar Sesión – Alineado a la derecha</t>
  </si>
  <si>
    <t xml:space="preserve">Usuario ingresa a la URL correspondiente a la Consulta Central Retenciones.
-Selecciona la opción por e.firma
</t>
  </si>
  <si>
    <t>Si la autenticación es correcta, el aplicativo abre la página principal de la Consulta Central Retenciones.</t>
  </si>
  <si>
    <t>CP27</t>
  </si>
  <si>
    <t>CP27 ConsultaCentral_CFDI-Ret_Autenticación</t>
  </si>
  <si>
    <t>CP28 ConsultaCentral_CFDI-Ret_Búsqueda/CierreSesión_Inactividad</t>
  </si>
  <si>
    <t>CP29 ConsultaCentral_CFDI-Ret_Búsqueda/Masiva UUID/Archivo con Errores</t>
  </si>
  <si>
    <t>CP30 Lineamientos Gráficos/Encabezado</t>
  </si>
  <si>
    <t>Lineamientos Gráficos/Encabezado</t>
  </si>
  <si>
    <t>Lineamientos Gráficos/Pie de página</t>
  </si>
  <si>
    <t>CP31 Lineamientos Gráficos/Pie de página</t>
  </si>
  <si>
    <t>Se muestra la pantalla principal de consulta</t>
  </si>
  <si>
    <t>Al cerrarse debe redirigir la página al Módulo de autentificación.</t>
  </si>
  <si>
    <r>
      <t xml:space="preserve">Para el caso de que en la relación de los folios fiscales consultados no se localicen o no  cumplan la estructura  de UUID de CFDI de Retenciones e Información de pagos de acuerdo con el anexo 20 de la RMF, se generará un aviso de manera automática con el siguiente mensaje:
</t>
    </r>
    <r>
      <rPr>
        <sz val="10"/>
        <color rgb="FFFF0000"/>
        <rFont val="Noto Sans"/>
        <family val="2"/>
      </rPr>
      <t>No se encontraron folios, la lista se encuentra en proceso y podrás obtener el resultado con el folio de descarga: xxxxxxxx-xxxx-xxxx-xxxx-xxxxxxxxxxx.</t>
    </r>
    <r>
      <rPr>
        <sz val="10"/>
        <rFont val="Noto Sans"/>
        <family val="2"/>
        <charset val="1"/>
      </rPr>
      <t xml:space="preserve">
	</t>
    </r>
  </si>
  <si>
    <r>
      <t xml:space="preserve">El sistema despliega las siguientes opciones de búsqueda:
- Boton Seleccionar* 
- </t>
    </r>
    <r>
      <rPr>
        <sz val="10"/>
        <color rgb="FFFF0000"/>
        <rFont val="Noto Sans"/>
        <family val="2"/>
      </rPr>
      <t>Archivos Solicitados</t>
    </r>
    <r>
      <rPr>
        <sz val="10"/>
        <rFont val="Noto Sans"/>
        <family val="2"/>
        <charset val="1"/>
      </rPr>
      <t xml:space="preserve">
- Botón Enviar</t>
    </r>
  </si>
  <si>
    <t xml:space="preserve">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Metadata.
2)	Exportar Resultados a PDF.
3)	Exportar Resultados a CSV.
</t>
  </si>
  <si>
    <t>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t>
  </si>
  <si>
    <r>
      <t xml:space="preserve">En caso de no encontrar información ir al CP "Sin Resultados"
En caso contrario el sistema muestra:
Tabla con el encabezado y los datos siguientes:
+ Acciones   
• Descargar.(XML)
• </t>
    </r>
    <r>
      <rPr>
        <sz val="10"/>
        <color rgb="FFFF0000"/>
        <rFont val="Noto Sans"/>
        <family val="2"/>
      </rPr>
      <t>Recuperar Representacion Impresa.</t>
    </r>
    <r>
      <rPr>
        <sz val="10"/>
        <rFont val="Noto Sans"/>
        <family val="2"/>
        <charset val="1"/>
      </rPr>
      <t xml:space="preserve">(RI)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 Botones: 
</t>
    </r>
    <r>
      <rPr>
        <sz val="10"/>
        <color rgb="FFFF0000"/>
        <rFont val="Noto Sans"/>
        <family val="2"/>
      </rPr>
      <t>1)	Descargar seleccionados XML
2)	Exportar resultados a PDF
3)	Exportar resultados a CSV</t>
    </r>
  </si>
  <si>
    <r>
      <t xml:space="preserve">El sistema habilita los siguientes campos:
•	Fecha Inicial de Emisión (*).
•	Fecha Final de Emisión (*). (RN04)
•	RFC Emisor. (RN02)
•	RFC Receptor. (RN02)
•	Estado del Comprobante.
•	Tipo de Comprobante </t>
    </r>
    <r>
      <rPr>
        <sz val="10"/>
        <color rgb="FFFF0000"/>
        <rFont val="Noto Sans"/>
        <family val="2"/>
      </rPr>
      <t>(Complemento)</t>
    </r>
    <r>
      <rPr>
        <sz val="10"/>
        <rFont val="Noto Sans"/>
        <family val="2"/>
        <charset val="1"/>
      </rPr>
      <t xml:space="preserve"> (RN17).* Campos obligatorios</t>
    </r>
  </si>
  <si>
    <t xml:space="preserve">Usuario ingresa a la URL correspondiente del Portal de Consulta Central Retenciones.
-Selecciona la opción por e.firma
</t>
  </si>
  <si>
    <t>Si la autenticación es correcta, el aplicativo abre la página principal del Consulta Central Retenciones.</t>
  </si>
  <si>
    <r>
      <t xml:space="preserve">Ingresa los datos:
- *Fecha inicial de emisión
- *Fecha final de emisión
</t>
    </r>
    <r>
      <rPr>
        <b/>
        <sz val="10"/>
        <rFont val="Noto Sans"/>
        <family val="2"/>
      </rPr>
      <t>-  RFC Emisor</t>
    </r>
    <r>
      <rPr>
        <sz val="10"/>
        <rFont val="Noto Sans"/>
        <family val="2"/>
        <charset val="1"/>
      </rPr>
      <t xml:space="preserve">
-  RFC Receptor
De manera opcional:
-  Estado del Comprobante
- </t>
    </r>
    <r>
      <rPr>
        <b/>
        <sz val="10"/>
        <rFont val="Noto Sans"/>
        <family val="2"/>
      </rPr>
      <t>Tipo de Comprobante</t>
    </r>
    <r>
      <rPr>
        <sz val="10"/>
        <color rgb="FFFF0000"/>
        <rFont val="Noto Sans"/>
        <family val="2"/>
      </rPr>
      <t>(Complemento)(RN17)</t>
    </r>
    <r>
      <rPr>
        <sz val="10"/>
        <rFont val="Noto Sans"/>
        <family val="2"/>
        <charset val="1"/>
      </rPr>
      <t xml:space="preserve">
* Campos obligatorios
</t>
    </r>
  </si>
  <si>
    <t>CP32</t>
  </si>
  <si>
    <t>Busqueda Tipo de Comprobante (Complemento)</t>
  </si>
  <si>
    <t>CP32 Busqueda Tipo de Comprobante (Complemento)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</si>
</sst>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53"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sz val="10"/>
      <color rgb="FF0070C0"/>
      <name val="Montserrat"/>
    </font>
    <font>
      <b/>
      <i/>
      <sz val="10"/>
      <color rgb="FF1403EF"/>
      <name val="Montserrat"/>
    </font>
    <font>
      <i/>
      <sz val="10"/>
      <color rgb="FF1403EF"/>
      <name val="Montserrat"/>
    </font>
    <font>
      <sz val="10"/>
      <color rgb="FF1403EF"/>
      <name val="Montserrat"/>
    </font>
    <font>
      <b/>
      <i/>
      <sz val="10"/>
      <color rgb="FF0000FF"/>
      <name val="Montserrat"/>
    </font>
    <font>
      <i/>
      <sz val="10"/>
      <color rgb="FF0000FF"/>
      <name val="Montserrat"/>
    </font>
    <font>
      <b/>
      <sz val="10"/>
      <name val="Montserrat"/>
    </font>
    <font>
      <b/>
      <sz val="10"/>
      <color rgb="FF002060"/>
      <name val="Montserrat"/>
    </font>
    <font>
      <sz val="10"/>
      <color rgb="FF0000FF"/>
      <name val="Montserrat"/>
    </font>
    <font>
      <b/>
      <sz val="9"/>
      <color rgb="FF000000"/>
      <name val="Noto Sans"/>
      <family val="2"/>
      <charset val="1"/>
    </font>
    <font>
      <sz val="10"/>
      <name val="Noto Sans"/>
      <family val="2"/>
      <charset val="1"/>
    </font>
    <font>
      <sz val="9"/>
      <color rgb="FF000000"/>
      <name val="Noto Sans"/>
      <family val="2"/>
      <charset val="1"/>
    </font>
    <font>
      <sz val="9"/>
      <name val="Noto Sans"/>
      <family val="2"/>
      <charset val="1"/>
    </font>
    <font>
      <sz val="9"/>
      <color rgb="FF1403EF"/>
      <name val="Noto Sans"/>
      <family val="2"/>
      <charset val="1"/>
    </font>
    <font>
      <sz val="11"/>
      <color rgb="FF000000"/>
      <name val="Noto Sans"/>
      <family val="2"/>
      <charset val="1"/>
    </font>
    <font>
      <b/>
      <sz val="11"/>
      <color rgb="FF000000"/>
      <name val="Noto Sans"/>
      <family val="2"/>
      <charset val="1"/>
    </font>
    <font>
      <sz val="10"/>
      <color rgb="FF000000"/>
      <name val="Noto Sans"/>
      <family val="2"/>
      <charset val="1"/>
    </font>
    <font>
      <b/>
      <sz val="10"/>
      <color rgb="FF000000"/>
      <name val="Noto Sans"/>
      <family val="2"/>
      <charset val="1"/>
    </font>
    <font>
      <sz val="10"/>
      <color rgb="FF000000"/>
      <name val="Montserrat"/>
    </font>
    <font>
      <b/>
      <sz val="10"/>
      <name val="Noto Sans"/>
      <family val="2"/>
      <charset val="1"/>
    </font>
    <font>
      <sz val="10"/>
      <color rgb="FF1403EF"/>
      <name val="Noto Sans"/>
      <family val="2"/>
      <charset val="1"/>
    </font>
    <font>
      <b/>
      <sz val="10"/>
      <color rgb="FF0000FF"/>
      <name val="Noto Sans"/>
      <family val="2"/>
      <charset val="1"/>
    </font>
    <font>
      <sz val="10"/>
      <color rgb="FF0070C0"/>
      <name val="Noto Sans"/>
      <family val="2"/>
      <charset val="1"/>
    </font>
    <font>
      <i/>
      <sz val="10"/>
      <color rgb="FF0000FF"/>
      <name val="Noto Sans"/>
      <family val="2"/>
      <charset val="1"/>
    </font>
    <font>
      <i/>
      <u/>
      <sz val="10"/>
      <color rgb="FF0000FF"/>
      <name val="Noto Sans"/>
      <family val="2"/>
      <charset val="1"/>
    </font>
    <font>
      <b/>
      <i/>
      <sz val="10"/>
      <color rgb="FF0000FF"/>
      <name val="Noto Sans"/>
      <family val="2"/>
      <charset val="1"/>
    </font>
    <font>
      <i/>
      <sz val="10"/>
      <color rgb="FF1403EF"/>
      <name val="Noto Sans"/>
      <family val="2"/>
      <charset val="1"/>
    </font>
    <font>
      <b/>
      <i/>
      <sz val="10"/>
      <color rgb="FF000000"/>
      <name val="Montserrat"/>
    </font>
    <font>
      <b/>
      <sz val="10"/>
      <color rgb="FF000000"/>
      <name val="Montserrat"/>
    </font>
    <font>
      <b/>
      <i/>
      <sz val="9"/>
      <color rgb="FF1403EF"/>
      <name val="Verdana"/>
      <family val="2"/>
      <charset val="1"/>
    </font>
    <font>
      <b/>
      <sz val="8"/>
      <color rgb="FF000000"/>
      <name val="Montserrat"/>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
      <sz val="10"/>
      <color rgb="FFFF0000"/>
      <name val="Noto Sans"/>
      <family val="2"/>
    </font>
    <font>
      <sz val="10"/>
      <name val="Noto Sans"/>
      <family val="2"/>
    </font>
    <font>
      <b/>
      <sz val="10"/>
      <name val="Noto Sans"/>
      <family val="2"/>
    </font>
    <font>
      <b/>
      <sz val="10"/>
      <name val="Montserrat"/>
    </font>
    <font>
      <b/>
      <sz val="10"/>
      <color theme="1"/>
      <name val="Montserrat"/>
    </font>
    <font>
      <sz val="11"/>
      <name val="Calibri"/>
      <family val="2"/>
      <charset val="1"/>
    </font>
    <font>
      <sz val="10"/>
      <name val="Montserrat"/>
    </font>
    <font>
      <sz val="8"/>
      <name val="Calibri"/>
      <family val="2"/>
      <charset val="1"/>
    </font>
  </fonts>
  <fills count="10">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C6D9F1"/>
      </patternFill>
    </fill>
    <fill>
      <patternFill patternType="solid">
        <fgColor rgb="FFFFFF00"/>
        <bgColor rgb="FFFFFF00"/>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rgb="FFF2F2F2"/>
        <bgColor rgb="FFFFFFFF"/>
      </patternFill>
    </fill>
  </fills>
  <borders count="20">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s>
  <cellStyleXfs count="12">
    <xf numFmtId="0" fontId="0" fillId="0" borderId="0"/>
    <xf numFmtId="0" fontId="1" fillId="0" borderId="0"/>
    <xf numFmtId="164" fontId="44"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44" fillId="0" borderId="0"/>
    <xf numFmtId="9" fontId="44" fillId="0" borderId="0" applyBorder="0" applyProtection="0"/>
    <xf numFmtId="9" fontId="44" fillId="0" borderId="0" applyBorder="0" applyProtection="0"/>
  </cellStyleXfs>
  <cellXfs count="126">
    <xf numFmtId="0" fontId="0" fillId="0" borderId="0" xfId="0"/>
    <xf numFmtId="0" fontId="3" fillId="0" borderId="0" xfId="7" applyAlignment="1">
      <alignment wrapText="1"/>
    </xf>
    <xf numFmtId="0" fontId="5" fillId="0" borderId="0" xfId="7" applyFont="1" applyAlignment="1">
      <alignment wrapText="1"/>
    </xf>
    <xf numFmtId="0" fontId="6" fillId="0" borderId="0" xfId="7" applyFont="1" applyAlignment="1">
      <alignment horizontal="center" vertical="center" wrapText="1"/>
    </xf>
    <xf numFmtId="0" fontId="5" fillId="0" borderId="0" xfId="7" applyFont="1" applyAlignment="1">
      <alignment horizontal="center" vertical="center" wrapText="1"/>
    </xf>
    <xf numFmtId="0" fontId="5" fillId="0" borderId="4" xfId="7" applyFont="1" applyBorder="1" applyAlignment="1">
      <alignment wrapText="1"/>
    </xf>
    <xf numFmtId="0" fontId="9" fillId="0" borderId="0" xfId="5" applyFont="1" applyAlignment="1">
      <alignment horizontal="left" wrapText="1"/>
    </xf>
    <xf numFmtId="0" fontId="11" fillId="0" borderId="0" xfId="7" applyFont="1" applyAlignment="1">
      <alignment horizontal="left" vertical="center" wrapText="1"/>
    </xf>
    <xf numFmtId="0" fontId="12" fillId="0" borderId="0" xfId="7" applyFont="1" applyAlignment="1">
      <alignment wrapText="1"/>
    </xf>
    <xf numFmtId="0" fontId="5" fillId="0" borderId="0" xfId="7" applyFont="1" applyAlignment="1">
      <alignment vertical="center" wrapText="1"/>
    </xf>
    <xf numFmtId="0" fontId="13" fillId="0" borderId="0" xfId="7" applyFont="1" applyAlignment="1">
      <alignment horizontal="center" vertical="center" wrapText="1"/>
    </xf>
    <xf numFmtId="0" fontId="14" fillId="0" borderId="0" xfId="0" applyFont="1" applyAlignment="1">
      <alignment vertical="center" wrapText="1"/>
    </xf>
    <xf numFmtId="0" fontId="15" fillId="4" borderId="14" xfId="0" applyFont="1" applyFill="1" applyBorder="1" applyAlignment="1">
      <alignment horizontal="center" vertical="center"/>
    </xf>
    <xf numFmtId="0" fontId="16" fillId="0" borderId="0" xfId="7" applyFont="1" applyAlignment="1">
      <alignment wrapText="1"/>
    </xf>
    <xf numFmtId="49" fontId="17" fillId="0" borderId="14" xfId="0" applyNumberFormat="1" applyFont="1" applyBorder="1" applyAlignment="1">
      <alignment horizontal="center" vertical="center"/>
    </xf>
    <xf numFmtId="0" fontId="17" fillId="0" borderId="14" xfId="0" applyFont="1" applyBorder="1" applyAlignment="1">
      <alignment horizontal="left" vertical="center" wrapText="1"/>
    </xf>
    <xf numFmtId="0" fontId="18" fillId="0" borderId="16" xfId="0" applyFont="1" applyBorder="1" applyAlignment="1">
      <alignment horizontal="left" vertical="center" wrapText="1"/>
    </xf>
    <xf numFmtId="165" fontId="18" fillId="0" borderId="14" xfId="0" applyNumberFormat="1" applyFont="1" applyBorder="1" applyAlignment="1">
      <alignment horizontal="left" vertical="center"/>
    </xf>
    <xf numFmtId="165" fontId="18" fillId="0" borderId="14" xfId="0" applyNumberFormat="1" applyFont="1" applyBorder="1" applyAlignment="1">
      <alignment horizontal="center" vertical="center"/>
    </xf>
    <xf numFmtId="49" fontId="17" fillId="5" borderId="14" xfId="0" applyNumberFormat="1" applyFont="1" applyFill="1" applyBorder="1" applyAlignment="1">
      <alignment horizontal="center" vertical="center"/>
    </xf>
    <xf numFmtId="0" fontId="17" fillId="5" borderId="14" xfId="0" applyFont="1" applyFill="1" applyBorder="1" applyAlignment="1">
      <alignment horizontal="left" vertical="center" wrapText="1"/>
    </xf>
    <xf numFmtId="0" fontId="18" fillId="5" borderId="16" xfId="0" applyFont="1" applyFill="1" applyBorder="1" applyAlignment="1">
      <alignment horizontal="left" vertical="center" wrapText="1"/>
    </xf>
    <xf numFmtId="165" fontId="18" fillId="5" borderId="14" xfId="0" applyNumberFormat="1" applyFont="1" applyFill="1" applyBorder="1" applyAlignment="1">
      <alignment horizontal="left" vertical="center"/>
    </xf>
    <xf numFmtId="0" fontId="20" fillId="0" borderId="0" xfId="0" applyFont="1"/>
    <xf numFmtId="0" fontId="21" fillId="0" borderId="0" xfId="0" applyFont="1"/>
    <xf numFmtId="0" fontId="22" fillId="0" borderId="0" xfId="0" applyFont="1"/>
    <xf numFmtId="0" fontId="22" fillId="0" borderId="0" xfId="0" applyFont="1" applyAlignment="1">
      <alignment wrapText="1"/>
    </xf>
    <xf numFmtId="0" fontId="20" fillId="0" borderId="0" xfId="0" applyFont="1" applyAlignment="1">
      <alignment wrapText="1"/>
    </xf>
    <xf numFmtId="0" fontId="0" fillId="0" borderId="0" xfId="0" applyAlignment="1">
      <alignment wrapText="1"/>
    </xf>
    <xf numFmtId="0" fontId="24" fillId="0" borderId="0" xfId="0" applyFont="1" applyAlignment="1">
      <alignment wrapText="1"/>
    </xf>
    <xf numFmtId="0" fontId="26" fillId="0" borderId="0" xfId="0" applyFont="1" applyAlignment="1">
      <alignment vertical="center" wrapText="1"/>
    </xf>
    <xf numFmtId="0" fontId="22" fillId="0" borderId="0" xfId="0" applyFont="1" applyAlignment="1">
      <alignment horizontal="center" vertical="center" wrapText="1"/>
    </xf>
    <xf numFmtId="0" fontId="28" fillId="0" borderId="0" xfId="0" applyFont="1" applyAlignment="1">
      <alignment horizontal="justify" vertical="center" wrapText="1"/>
    </xf>
    <xf numFmtId="0" fontId="24" fillId="0" borderId="0" xfId="0" applyFont="1"/>
    <xf numFmtId="0" fontId="25" fillId="8" borderId="5" xfId="0" applyFont="1" applyFill="1" applyBorder="1" applyAlignment="1">
      <alignment horizontal="center" vertical="center" wrapText="1"/>
    </xf>
    <xf numFmtId="0" fontId="25" fillId="0" borderId="5" xfId="0" applyFont="1" applyBorder="1" applyAlignment="1">
      <alignment horizontal="center" vertical="center" wrapText="1"/>
    </xf>
    <xf numFmtId="0" fontId="25" fillId="8" borderId="1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5" fillId="0" borderId="0" xfId="0" applyFont="1" applyAlignment="1">
      <alignment wrapText="1"/>
    </xf>
    <xf numFmtId="0" fontId="29" fillId="0" borderId="19" xfId="0" applyFont="1" applyBorder="1" applyAlignment="1">
      <alignment vertical="top" wrapText="1"/>
    </xf>
    <xf numFmtId="0" fontId="29" fillId="0" borderId="14" xfId="0" applyFont="1" applyBorder="1" applyAlignment="1">
      <alignment vertical="top" wrapText="1"/>
    </xf>
    <xf numFmtId="0" fontId="16" fillId="0" borderId="14" xfId="0" applyFont="1" applyBorder="1" applyAlignment="1">
      <alignment horizontal="left" vertical="center" wrapText="1"/>
    </xf>
    <xf numFmtId="0" fontId="16" fillId="0" borderId="14" xfId="0" applyFont="1" applyBorder="1" applyAlignment="1">
      <alignment vertical="center" wrapText="1"/>
    </xf>
    <xf numFmtId="0" fontId="16" fillId="0" borderId="14" xfId="0" applyFont="1" applyBorder="1" applyAlignment="1">
      <alignment horizontal="center" vertical="center" wrapText="1"/>
    </xf>
    <xf numFmtId="0" fontId="16" fillId="0" borderId="14" xfId="0" applyFont="1" applyBorder="1" applyAlignment="1">
      <alignment horizontal="justify" vertical="center" wrapText="1"/>
    </xf>
    <xf numFmtId="0" fontId="16" fillId="0" borderId="14" xfId="0" applyFont="1" applyBorder="1" applyAlignment="1">
      <alignment vertical="center"/>
    </xf>
    <xf numFmtId="0" fontId="5" fillId="0" borderId="0" xfId="0" applyFont="1" applyAlignment="1">
      <alignment vertical="center" wrapText="1"/>
    </xf>
    <xf numFmtId="0" fontId="25" fillId="4" borderId="14" xfId="0" applyFont="1" applyFill="1" applyBorder="1" applyAlignment="1">
      <alignment horizontal="left" vertical="center" wrapText="1"/>
    </xf>
    <xf numFmtId="0" fontId="25" fillId="4" borderId="14" xfId="0" applyFont="1" applyFill="1" applyBorder="1" applyAlignment="1">
      <alignment vertical="center" wrapText="1"/>
    </xf>
    <xf numFmtId="0" fontId="25" fillId="4" borderId="14" xfId="0" applyFont="1" applyFill="1" applyBorder="1" applyAlignment="1">
      <alignment horizontal="center" vertical="center" wrapText="1"/>
    </xf>
    <xf numFmtId="0" fontId="25" fillId="4" borderId="14" xfId="0" applyFont="1" applyFill="1" applyBorder="1" applyAlignment="1">
      <alignment horizontal="justify" vertical="center" wrapText="1"/>
    </xf>
    <xf numFmtId="0" fontId="25" fillId="4" borderId="14" xfId="0" applyFont="1" applyFill="1" applyBorder="1" applyAlignment="1">
      <alignment vertical="center"/>
    </xf>
    <xf numFmtId="0" fontId="1" fillId="0" borderId="0" xfId="0" applyFont="1" applyAlignment="1">
      <alignment wrapText="1"/>
    </xf>
    <xf numFmtId="0" fontId="16" fillId="4" borderId="14" xfId="0" applyFont="1" applyFill="1" applyBorder="1" applyAlignment="1">
      <alignment horizontal="left" vertical="center" wrapText="1"/>
    </xf>
    <xf numFmtId="0" fontId="16" fillId="4" borderId="14" xfId="0" applyFont="1" applyFill="1" applyBorder="1" applyAlignment="1">
      <alignment horizontal="center" vertical="center" wrapText="1"/>
    </xf>
    <xf numFmtId="0" fontId="16" fillId="4" borderId="14" xfId="0" applyFont="1" applyFill="1" applyBorder="1" applyAlignment="1">
      <alignment horizontal="justify" vertical="center" wrapText="1"/>
    </xf>
    <xf numFmtId="0" fontId="16" fillId="4" borderId="14" xfId="0" applyFont="1" applyFill="1" applyBorder="1" applyAlignment="1">
      <alignment vertical="center" wrapText="1"/>
    </xf>
    <xf numFmtId="0" fontId="22" fillId="0" borderId="2" xfId="0" applyFont="1" applyBorder="1" applyAlignment="1">
      <alignment horizontal="justify" vertical="center"/>
    </xf>
    <xf numFmtId="0" fontId="16" fillId="0" borderId="0" xfId="0" applyFont="1" applyAlignment="1">
      <alignment wrapText="1"/>
    </xf>
    <xf numFmtId="0" fontId="22" fillId="4" borderId="14" xfId="0" applyFont="1" applyFill="1" applyBorder="1" applyAlignment="1">
      <alignment horizontal="justify" vertical="center"/>
    </xf>
    <xf numFmtId="0" fontId="20" fillId="4" borderId="14" xfId="0" applyFont="1" applyFill="1" applyBorder="1" applyAlignment="1">
      <alignment wrapText="1"/>
    </xf>
    <xf numFmtId="0" fontId="16" fillId="4" borderId="14" xfId="0" applyFont="1" applyFill="1" applyBorder="1" applyAlignment="1">
      <alignment wrapText="1"/>
    </xf>
    <xf numFmtId="0" fontId="23" fillId="4" borderId="2" xfId="0" applyFont="1" applyFill="1" applyBorder="1" applyAlignment="1">
      <alignment horizontal="justify" vertical="center"/>
    </xf>
    <xf numFmtId="0" fontId="16" fillId="0" borderId="14" xfId="0" applyFont="1" applyBorder="1" applyAlignment="1">
      <alignment wrapText="1"/>
    </xf>
    <xf numFmtId="0" fontId="20" fillId="0" borderId="14" xfId="0" applyFont="1" applyBorder="1" applyAlignment="1">
      <alignment wrapText="1"/>
    </xf>
    <xf numFmtId="0" fontId="16" fillId="9" borderId="14" xfId="0" applyFont="1" applyFill="1" applyBorder="1" applyAlignment="1">
      <alignment horizontal="left" vertical="center" wrapText="1"/>
    </xf>
    <xf numFmtId="0" fontId="25" fillId="9" borderId="14" xfId="0" applyFont="1" applyFill="1" applyBorder="1" applyAlignment="1">
      <alignment horizontal="left" vertical="center" wrapText="1"/>
    </xf>
    <xf numFmtId="0" fontId="16" fillId="9" borderId="14" xfId="0" applyFont="1" applyFill="1" applyBorder="1" applyAlignment="1">
      <alignment horizontal="center" vertical="center" wrapText="1"/>
    </xf>
    <xf numFmtId="0" fontId="16" fillId="9" borderId="14" xfId="0" applyFont="1" applyFill="1" applyBorder="1" applyAlignment="1">
      <alignment horizontal="justify" vertical="center" wrapText="1"/>
    </xf>
    <xf numFmtId="0" fontId="25" fillId="0" borderId="14" xfId="0" applyFont="1" applyBorder="1" applyAlignment="1">
      <alignment horizontal="justify" vertical="center" wrapText="1"/>
    </xf>
    <xf numFmtId="0" fontId="25" fillId="9" borderId="14" xfId="0" applyFont="1" applyFill="1" applyBorder="1" applyAlignment="1">
      <alignment vertical="center" wrapText="1"/>
    </xf>
    <xf numFmtId="0" fontId="29" fillId="0" borderId="0" xfId="9" applyFont="1"/>
    <xf numFmtId="0" fontId="32" fillId="0" borderId="0" xfId="9" applyFont="1" applyAlignment="1">
      <alignment vertical="center"/>
    </xf>
    <xf numFmtId="0" fontId="33" fillId="0" borderId="0" xfId="0" applyFont="1" applyAlignment="1">
      <alignment vertical="center"/>
    </xf>
    <xf numFmtId="0" fontId="7" fillId="0" borderId="0" xfId="0" applyFont="1" applyAlignment="1">
      <alignment horizontal="center" vertical="center"/>
    </xf>
    <xf numFmtId="0" fontId="34" fillId="0" borderId="0" xfId="0" applyFont="1" applyAlignment="1">
      <alignment horizontal="right" vertical="center"/>
    </xf>
    <xf numFmtId="0" fontId="24" fillId="0" borderId="0" xfId="0" applyFont="1" applyAlignment="1">
      <alignment horizontal="left" vertical="center"/>
    </xf>
    <xf numFmtId="0" fontId="23" fillId="4" borderId="14" xfId="0" applyFont="1" applyFill="1" applyBorder="1" applyAlignment="1">
      <alignment horizontal="center" vertical="center" wrapText="1"/>
    </xf>
    <xf numFmtId="0" fontId="23" fillId="0" borderId="14" xfId="0" applyFont="1" applyBorder="1" applyAlignment="1">
      <alignment vertical="center" wrapText="1"/>
    </xf>
    <xf numFmtId="0" fontId="17" fillId="0" borderId="14" xfId="0" applyFont="1" applyBorder="1" applyAlignment="1">
      <alignment vertical="center" wrapText="1"/>
    </xf>
    <xf numFmtId="0" fontId="22" fillId="0" borderId="14" xfId="0" applyFont="1" applyBorder="1" applyAlignment="1">
      <alignment horizontal="justify" vertical="center" wrapText="1"/>
    </xf>
    <xf numFmtId="0" fontId="35" fillId="0" borderId="0" xfId="0" applyFont="1" applyAlignment="1">
      <alignment vertical="center"/>
    </xf>
    <xf numFmtId="0" fontId="3" fillId="0" borderId="0" xfId="5"/>
    <xf numFmtId="0" fontId="45" fillId="0" borderId="14" xfId="0" applyFont="1" applyBorder="1" applyAlignment="1">
      <alignment horizontal="justify" vertical="center" wrapText="1"/>
    </xf>
    <xf numFmtId="0" fontId="46" fillId="0" borderId="14" xfId="0" applyFont="1" applyBorder="1" applyAlignment="1">
      <alignment horizontal="justify" vertical="center" wrapText="1"/>
    </xf>
    <xf numFmtId="0" fontId="1" fillId="0" borderId="14" xfId="0" applyFont="1" applyBorder="1" applyAlignment="1">
      <alignment wrapText="1"/>
    </xf>
    <xf numFmtId="0" fontId="50" fillId="0" borderId="0" xfId="0" applyFont="1" applyAlignment="1">
      <alignment wrapText="1"/>
    </xf>
    <xf numFmtId="0" fontId="51" fillId="0" borderId="14" xfId="0" applyFont="1" applyBorder="1" applyAlignment="1">
      <alignment horizontal="center" vertical="center" wrapText="1"/>
    </xf>
    <xf numFmtId="0" fontId="48" fillId="0" borderId="14" xfId="0" applyFont="1" applyBorder="1" applyAlignment="1">
      <alignment vertical="center" wrapText="1"/>
    </xf>
    <xf numFmtId="0" fontId="45" fillId="0" borderId="14" xfId="0" applyFont="1" applyBorder="1" applyAlignment="1">
      <alignment horizontal="left" vertical="center" wrapText="1"/>
    </xf>
    <xf numFmtId="0" fontId="25" fillId="6" borderId="14" xfId="6" applyFont="1" applyFill="1" applyBorder="1" applyAlignment="1">
      <alignment horizontal="center" vertical="center"/>
    </xf>
    <xf numFmtId="0" fontId="22" fillId="0" borderId="14" xfId="0" applyFont="1" applyBorder="1" applyAlignment="1">
      <alignment vertical="center" wrapText="1"/>
    </xf>
    <xf numFmtId="0" fontId="27" fillId="7" borderId="17" xfId="0" applyFont="1" applyFill="1" applyBorder="1" applyAlignment="1">
      <alignment horizontal="left" vertical="center" wrapText="1"/>
    </xf>
    <xf numFmtId="0" fontId="23" fillId="0" borderId="0" xfId="0" applyFont="1" applyAlignment="1">
      <alignment horizontal="center" wrapText="1"/>
    </xf>
    <xf numFmtId="0" fontId="13" fillId="3" borderId="6" xfId="7" applyFont="1" applyFill="1" applyBorder="1" applyAlignment="1">
      <alignment horizontal="center" vertical="center" wrapText="1"/>
    </xf>
    <xf numFmtId="0" fontId="5" fillId="0" borderId="7" xfId="7" applyFont="1" applyBorder="1" applyAlignment="1">
      <alignment horizontal="justify" vertical="center" wrapText="1"/>
    </xf>
    <xf numFmtId="0" fontId="12" fillId="2" borderId="13" xfId="7" applyFont="1" applyFill="1" applyBorder="1" applyAlignment="1">
      <alignment horizontal="center" vertical="center" wrapText="1"/>
    </xf>
    <xf numFmtId="0" fontId="12" fillId="2" borderId="7" xfId="7" applyFont="1" applyFill="1" applyBorder="1" applyAlignment="1">
      <alignment horizontal="center" vertical="center" wrapText="1"/>
    </xf>
    <xf numFmtId="0" fontId="12" fillId="2" borderId="6" xfId="7" applyFont="1" applyFill="1" applyBorder="1" applyAlignment="1">
      <alignment horizontal="center" vertical="center" wrapText="1"/>
    </xf>
    <xf numFmtId="0" fontId="5" fillId="0" borderId="15" xfId="7" applyFont="1" applyBorder="1" applyAlignment="1">
      <alignment horizontal="justify" vertical="center" wrapText="1"/>
    </xf>
    <xf numFmtId="0" fontId="12" fillId="3" borderId="14" xfId="7" applyFont="1" applyFill="1" applyBorder="1" applyAlignment="1">
      <alignment horizontal="center" vertical="center" wrapText="1"/>
    </xf>
    <xf numFmtId="0" fontId="11" fillId="0" borderId="11" xfId="7" applyFont="1" applyBorder="1" applyAlignment="1">
      <alignment horizontal="left" vertical="center" wrapText="1"/>
    </xf>
    <xf numFmtId="0" fontId="5" fillId="0" borderId="8" xfId="7" applyFont="1" applyBorder="1" applyAlignment="1">
      <alignment horizontal="justify" vertical="center" wrapText="1"/>
    </xf>
    <xf numFmtId="0" fontId="5" fillId="0" borderId="9" xfId="7" applyFont="1" applyBorder="1" applyAlignment="1">
      <alignment horizontal="justify" vertical="center" wrapText="1"/>
    </xf>
    <xf numFmtId="0" fontId="13" fillId="3" borderId="12" xfId="7" applyFont="1" applyFill="1" applyBorder="1" applyAlignment="1">
      <alignment horizontal="center" vertical="center" wrapText="1"/>
    </xf>
    <xf numFmtId="0" fontId="12" fillId="3" borderId="10" xfId="7" applyFont="1" applyFill="1" applyBorder="1" applyAlignment="1">
      <alignment horizontal="center" vertical="center" wrapText="1"/>
    </xf>
    <xf numFmtId="0" fontId="7" fillId="0" borderId="3" xfId="5" applyFont="1" applyBorder="1" applyAlignment="1">
      <alignment horizontal="left" vertical="center" wrapText="1"/>
    </xf>
    <xf numFmtId="0" fontId="10" fillId="0" borderId="5" xfId="7" applyFont="1" applyBorder="1" applyAlignment="1">
      <alignment horizontal="left" vertical="center" wrapText="1"/>
    </xf>
    <xf numFmtId="0" fontId="10" fillId="0" borderId="5" xfId="7" applyFont="1" applyBorder="1" applyAlignment="1">
      <alignment horizontal="justify" vertical="center" wrapText="1"/>
    </xf>
    <xf numFmtId="0" fontId="12" fillId="4" borderId="5" xfId="7" applyFont="1" applyFill="1" applyBorder="1" applyAlignment="1">
      <alignment horizontal="center" vertical="center" wrapText="1"/>
    </xf>
    <xf numFmtId="0" fontId="14" fillId="0" borderId="0" xfId="0" applyFont="1" applyAlignment="1">
      <alignment horizontal="justify" vertical="center" wrapText="1"/>
    </xf>
    <xf numFmtId="0" fontId="23" fillId="8" borderId="14" xfId="0" applyFont="1" applyFill="1" applyBorder="1" applyAlignment="1">
      <alignment horizontal="center" vertical="center" wrapText="1"/>
    </xf>
    <xf numFmtId="0" fontId="23" fillId="0" borderId="14" xfId="0" applyFont="1" applyBorder="1" applyAlignment="1">
      <alignment vertical="center" wrapText="1"/>
    </xf>
    <xf numFmtId="0" fontId="36" fillId="0" borderId="0" xfId="5" applyFont="1" applyAlignment="1">
      <alignment horizontal="right" vertical="center" wrapText="1"/>
    </xf>
    <xf numFmtId="0" fontId="37" fillId="0" borderId="0" xfId="5" applyFont="1" applyAlignment="1">
      <alignment horizontal="right" vertical="top"/>
    </xf>
    <xf numFmtId="0" fontId="38" fillId="0" borderId="14" xfId="5" applyFont="1" applyBorder="1" applyAlignment="1">
      <alignment horizontal="center" wrapText="1"/>
    </xf>
    <xf numFmtId="0" fontId="39" fillId="0" borderId="14" xfId="5" applyFont="1" applyBorder="1" applyAlignment="1">
      <alignment horizontal="center" vertical="center" wrapText="1"/>
    </xf>
    <xf numFmtId="0" fontId="38" fillId="0" borderId="14" xfId="5" applyFont="1" applyBorder="1" applyAlignment="1">
      <alignment horizontal="center" vertical="center" wrapText="1"/>
    </xf>
    <xf numFmtId="0" fontId="25" fillId="4" borderId="16" xfId="0" applyFont="1" applyFill="1" applyBorder="1" applyAlignment="1">
      <alignment vertical="center" wrapText="1"/>
    </xf>
    <xf numFmtId="0" fontId="49" fillId="0" borderId="0" xfId="0" applyFont="1" applyFill="1" applyBorder="1" applyAlignment="1">
      <alignment horizontal="center" vertical="center" wrapText="1"/>
    </xf>
    <xf numFmtId="0" fontId="51" fillId="0" borderId="0" xfId="0" applyFont="1" applyFill="1" applyBorder="1" applyAlignment="1">
      <alignment horizontal="justify" vertical="center" wrapText="1"/>
    </xf>
    <xf numFmtId="0" fontId="25" fillId="0" borderId="0" xfId="0" applyFont="1" applyFill="1" applyBorder="1" applyAlignment="1">
      <alignment vertical="center" wrapText="1"/>
    </xf>
    <xf numFmtId="0" fontId="16" fillId="0" borderId="0" xfId="0" applyFont="1" applyBorder="1" applyAlignment="1">
      <alignment horizontal="left" vertical="center" wrapText="1"/>
    </xf>
    <xf numFmtId="0" fontId="16" fillId="0" borderId="0" xfId="0" applyFont="1" applyBorder="1" applyAlignment="1">
      <alignment vertical="center" wrapText="1"/>
    </xf>
    <xf numFmtId="0" fontId="16" fillId="0" borderId="0" xfId="0" applyFont="1" applyBorder="1" applyAlignment="1">
      <alignment horizontal="center" vertical="center" wrapText="1"/>
    </xf>
    <xf numFmtId="0" fontId="16" fillId="0" borderId="0" xfId="0" applyFont="1" applyBorder="1" applyAlignment="1">
      <alignment horizontal="justify" vertical="center" wrapText="1"/>
    </xf>
  </cellXfs>
  <cellStyles count="12">
    <cellStyle name=" 1" xfId="1" xr:uid="{00000000-0005-0000-0000-000006000000}"/>
    <cellStyle name="Comma 2" xfId="2" xr:uid="{00000000-0005-0000-0000-000007000000}"/>
    <cellStyle name="Header1" xfId="3" xr:uid="{00000000-0005-0000-0000-000008000000}"/>
    <cellStyle name="Header2" xfId="4" xr:uid="{00000000-0005-0000-0000-000009000000}"/>
    <cellStyle name="Normal" xfId="0" builtinId="0"/>
    <cellStyle name="Normal 2" xfId="5" xr:uid="{00000000-0005-0000-0000-00000A000000}"/>
    <cellStyle name="Normal 2 2" xfId="6" xr:uid="{00000000-0005-0000-0000-00000B000000}"/>
    <cellStyle name="Normal 3" xfId="7" xr:uid="{00000000-0005-0000-0000-00000C000000}"/>
    <cellStyle name="Normal 3 2" xfId="8" xr:uid="{00000000-0005-0000-0000-00000D000000}"/>
    <cellStyle name="Normal 4 2" xfId="9" xr:uid="{00000000-0005-0000-0000-00000E000000}"/>
    <cellStyle name="Percent 2" xfId="10" xr:uid="{00000000-0005-0000-0000-00000F000000}"/>
    <cellStyle name="Porcentual 2" xfId="11" xr:uid="{00000000-0005-0000-0000-000010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w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12</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504720</xdr:colOff>
      <xdr:row>1</xdr:row>
      <xdr:rowOff>9360</xdr:rowOff>
    </xdr:from>
    <xdr:to>
      <xdr:col>6</xdr:col>
      <xdr:colOff>228240</xdr:colOff>
      <xdr:row>9</xdr:row>
      <xdr:rowOff>37440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35360" y="180720"/>
          <a:ext cx="10086840" cy="1399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1056600</xdr:colOff>
      <xdr:row>5</xdr:row>
      <xdr:rowOff>200520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10270440" cy="13910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81720</xdr:rowOff>
    </xdr:from>
    <xdr:to>
      <xdr:col>4</xdr:col>
      <xdr:colOff>2150280</xdr:colOff>
      <xdr:row>6</xdr:row>
      <xdr:rowOff>18360</xdr:rowOff>
    </xdr:to>
    <xdr:pic>
      <xdr:nvPicPr>
        <xdr:cNvPr id="3" name="Imagen 6">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0" y="81720"/>
          <a:ext cx="10022400" cy="1365480"/>
        </a:xfrm>
        <a:prstGeom prst="rect">
          <a:avLst/>
        </a:prstGeom>
        <a:ln w="0">
          <a:noFill/>
        </a:ln>
      </xdr:spPr>
    </xdr:pic>
    <xdr:clientData/>
  </xdr:twoCellAnchor>
  <xdr:twoCellAnchor editAs="oneCell">
    <xdr:from>
      <xdr:col>0</xdr:col>
      <xdr:colOff>1754908</xdr:colOff>
      <xdr:row>229</xdr:row>
      <xdr:rowOff>88737</xdr:rowOff>
    </xdr:from>
    <xdr:to>
      <xdr:col>5</xdr:col>
      <xdr:colOff>559752</xdr:colOff>
      <xdr:row>255</xdr:row>
      <xdr:rowOff>185576</xdr:rowOff>
    </xdr:to>
    <xdr:pic>
      <xdr:nvPicPr>
        <xdr:cNvPr id="4" name="Imagen 2">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1754908" y="316087828"/>
          <a:ext cx="8133571" cy="5500112"/>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5</xdr:row>
      <xdr:rowOff>104400</xdr:rowOff>
    </xdr:to>
    <xdr:pic>
      <xdr:nvPicPr>
        <xdr:cNvPr id="5" name="Imagen 1">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1"/>
        <a:stretch/>
      </xdr:blipFill>
      <xdr:spPr>
        <a:xfrm>
          <a:off x="554400" y="695160"/>
          <a:ext cx="5757840" cy="60948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114120</xdr:rowOff>
    </xdr:to>
    <xdr:pic>
      <xdr:nvPicPr>
        <xdr:cNvPr id="6" name="Imagen 2">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554400" y="3324240"/>
          <a:ext cx="5757840" cy="6285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AMJ51"/>
  <sheetViews>
    <sheetView showGridLines="0" topLeftCell="A22" zoomScaleNormal="100" workbookViewId="0">
      <selection activeCell="R17" sqref="R17"/>
    </sheetView>
  </sheetViews>
  <sheetFormatPr baseColWidth="10" defaultColWidth="10.26953125" defaultRowHeight="14.5" x14ac:dyDescent="0.35"/>
  <cols>
    <col min="1" max="1" width="5.81640625" style="1" customWidth="1"/>
    <col min="2" max="2" width="10.26953125" style="1"/>
    <col min="3" max="3" width="15.453125" style="1" customWidth="1"/>
    <col min="4" max="1024" width="10.26953125" style="1"/>
  </cols>
  <sheetData>
    <row r="11" spans="2:15" s="2" customFormat="1" ht="15" x14ac:dyDescent="0.4"/>
    <row r="12" spans="2:15" s="2" customFormat="1" ht="15" x14ac:dyDescent="0.4"/>
    <row r="13" spans="2:15" s="2" customFormat="1" ht="12" customHeight="1" x14ac:dyDescent="0.4">
      <c r="B13" s="3"/>
      <c r="C13" s="3"/>
      <c r="D13" s="3"/>
      <c r="E13" s="4"/>
      <c r="F13" s="4"/>
      <c r="G13" s="4"/>
      <c r="H13" s="4"/>
      <c r="I13" s="4"/>
      <c r="J13" s="4"/>
      <c r="K13" s="4"/>
      <c r="L13" s="4"/>
      <c r="M13" s="4"/>
      <c r="N13" s="4"/>
    </row>
    <row r="14" spans="2:15" s="2" customFormat="1" ht="12" customHeight="1" x14ac:dyDescent="0.4">
      <c r="B14" s="3"/>
      <c r="C14" s="3"/>
      <c r="D14" s="3"/>
      <c r="E14" s="4"/>
      <c r="F14" s="4"/>
      <c r="G14" s="4"/>
      <c r="H14" s="4"/>
      <c r="I14" s="4"/>
      <c r="J14" s="4"/>
      <c r="K14" s="4"/>
      <c r="L14" s="4"/>
      <c r="M14" s="4"/>
      <c r="N14" s="4"/>
    </row>
    <row r="15" spans="2:15" s="2" customFormat="1" ht="47.25" customHeight="1" x14ac:dyDescent="0.4">
      <c r="B15" s="106" t="s">
        <v>0</v>
      </c>
      <c r="C15" s="106"/>
      <c r="D15" s="106"/>
      <c r="E15" s="106"/>
      <c r="F15" s="106"/>
      <c r="G15" s="106"/>
      <c r="H15" s="106"/>
      <c r="I15" s="106"/>
      <c r="J15" s="106"/>
      <c r="K15" s="106"/>
      <c r="L15" s="106"/>
      <c r="M15" s="106"/>
      <c r="N15" s="106"/>
      <c r="O15" s="5"/>
    </row>
    <row r="16" spans="2:15" s="2" customFormat="1" ht="18.75" customHeight="1" x14ac:dyDescent="0.4">
      <c r="B16" s="6"/>
      <c r="C16" s="6"/>
      <c r="D16" s="6"/>
      <c r="E16" s="6"/>
      <c r="F16" s="6"/>
      <c r="G16" s="6"/>
      <c r="H16" s="6"/>
      <c r="I16" s="6"/>
      <c r="J16" s="6"/>
      <c r="K16" s="6"/>
      <c r="L16" s="6"/>
      <c r="M16" s="6"/>
      <c r="N16" s="6"/>
    </row>
    <row r="17" spans="2:15" s="2" customFormat="1" ht="299.25" customHeight="1" x14ac:dyDescent="0.4">
      <c r="B17" s="107" t="s">
        <v>1</v>
      </c>
      <c r="C17" s="107"/>
      <c r="D17" s="107"/>
      <c r="E17" s="107"/>
      <c r="F17" s="107"/>
      <c r="G17" s="107"/>
      <c r="H17" s="107"/>
      <c r="I17" s="107"/>
      <c r="J17" s="107"/>
      <c r="K17" s="107"/>
      <c r="L17" s="107"/>
      <c r="M17" s="107"/>
      <c r="N17" s="107"/>
    </row>
    <row r="18" spans="2:15" s="2" customFormat="1" ht="225.75" customHeight="1" x14ac:dyDescent="0.4">
      <c r="B18" s="108" t="s">
        <v>2</v>
      </c>
      <c r="C18" s="108"/>
      <c r="D18" s="108"/>
      <c r="E18" s="108"/>
      <c r="F18" s="108"/>
      <c r="G18" s="108"/>
      <c r="H18" s="108"/>
      <c r="I18" s="108"/>
      <c r="J18" s="108"/>
      <c r="K18" s="108"/>
      <c r="L18" s="108"/>
      <c r="M18" s="108"/>
      <c r="N18" s="108"/>
    </row>
    <row r="19" spans="2:15" s="2" customFormat="1" ht="17.25" customHeight="1" x14ac:dyDescent="0.4">
      <c r="B19" s="7"/>
      <c r="C19" s="7"/>
      <c r="D19" s="7"/>
      <c r="E19" s="7"/>
      <c r="F19" s="7"/>
      <c r="G19" s="7"/>
      <c r="H19" s="7"/>
      <c r="I19" s="7"/>
      <c r="J19" s="7"/>
      <c r="K19" s="7"/>
      <c r="L19" s="7"/>
      <c r="M19" s="7"/>
      <c r="N19" s="7"/>
    </row>
    <row r="20" spans="2:15" s="2" customFormat="1" ht="18" customHeight="1" x14ac:dyDescent="0.4">
      <c r="B20" s="98" t="s">
        <v>3</v>
      </c>
      <c r="C20" s="98"/>
      <c r="D20" s="97" t="s">
        <v>4</v>
      </c>
      <c r="E20" s="97"/>
      <c r="F20" s="97"/>
      <c r="G20" s="97"/>
      <c r="H20" s="97"/>
      <c r="I20" s="97"/>
      <c r="J20" s="97"/>
      <c r="K20" s="97"/>
      <c r="L20" s="97"/>
      <c r="M20" s="97"/>
      <c r="N20" s="97"/>
      <c r="O20" s="8"/>
    </row>
    <row r="21" spans="2:15" s="2" customFormat="1" ht="28.5" customHeight="1" x14ac:dyDescent="0.4">
      <c r="B21" s="94" t="s">
        <v>5</v>
      </c>
      <c r="C21" s="94"/>
      <c r="D21" s="102" t="s">
        <v>6</v>
      </c>
      <c r="E21" s="102"/>
      <c r="F21" s="102"/>
      <c r="G21" s="102"/>
      <c r="H21" s="102"/>
      <c r="I21" s="102"/>
      <c r="J21" s="102"/>
      <c r="K21" s="102"/>
      <c r="L21" s="102"/>
      <c r="M21" s="102"/>
      <c r="N21" s="102"/>
      <c r="O21" s="9"/>
    </row>
    <row r="22" spans="2:15" s="2" customFormat="1" ht="78" customHeight="1" x14ac:dyDescent="0.4">
      <c r="B22" s="94"/>
      <c r="C22" s="94"/>
      <c r="D22" s="103" t="s">
        <v>7</v>
      </c>
      <c r="E22" s="103"/>
      <c r="F22" s="103"/>
      <c r="G22" s="103"/>
      <c r="H22" s="103"/>
      <c r="I22" s="103"/>
      <c r="J22" s="103"/>
      <c r="K22" s="103"/>
      <c r="L22" s="103"/>
      <c r="M22" s="103"/>
      <c r="N22" s="103"/>
      <c r="O22" s="9"/>
    </row>
    <row r="23" spans="2:15" s="2" customFormat="1" ht="12.75" customHeight="1" x14ac:dyDescent="0.4">
      <c r="B23" s="94"/>
      <c r="C23" s="94"/>
      <c r="D23" s="105" t="s">
        <v>8</v>
      </c>
      <c r="E23" s="105"/>
      <c r="F23" s="105"/>
      <c r="G23" s="105"/>
      <c r="H23" s="105"/>
      <c r="I23" s="105"/>
      <c r="J23" s="105"/>
      <c r="K23" s="105"/>
      <c r="L23" s="105"/>
      <c r="M23" s="105"/>
      <c r="N23" s="105"/>
    </row>
    <row r="24" spans="2:15" s="2" customFormat="1" ht="176.25" customHeight="1" x14ac:dyDescent="0.4">
      <c r="B24" s="94"/>
      <c r="C24" s="94"/>
      <c r="D24" s="101" t="s">
        <v>9</v>
      </c>
      <c r="E24" s="101"/>
      <c r="F24" s="101"/>
      <c r="G24" s="101"/>
      <c r="H24" s="101"/>
      <c r="I24" s="101"/>
      <c r="J24" s="101"/>
      <c r="K24" s="101"/>
      <c r="L24" s="101"/>
      <c r="M24" s="101"/>
      <c r="N24" s="101"/>
      <c r="O24" s="9"/>
    </row>
    <row r="25" spans="2:15" s="2" customFormat="1" ht="12.75" customHeight="1" x14ac:dyDescent="0.4">
      <c r="B25" s="10"/>
      <c r="C25" s="10"/>
      <c r="D25" s="7"/>
      <c r="E25" s="7"/>
      <c r="F25" s="7"/>
      <c r="G25" s="7"/>
      <c r="H25" s="7"/>
      <c r="I25" s="7"/>
      <c r="J25" s="7"/>
      <c r="K25" s="7"/>
      <c r="L25" s="7"/>
      <c r="M25" s="7"/>
      <c r="N25" s="7"/>
      <c r="O25" s="9"/>
    </row>
    <row r="26" spans="2:15" s="2" customFormat="1" ht="18" customHeight="1" x14ac:dyDescent="0.4">
      <c r="B26" s="98" t="s">
        <v>3</v>
      </c>
      <c r="C26" s="98"/>
      <c r="D26" s="97" t="s">
        <v>4</v>
      </c>
      <c r="E26" s="97"/>
      <c r="F26" s="97"/>
      <c r="G26" s="97"/>
      <c r="H26" s="97"/>
      <c r="I26" s="97"/>
      <c r="J26" s="97"/>
      <c r="K26" s="97"/>
      <c r="L26" s="97"/>
      <c r="M26" s="97"/>
      <c r="N26" s="97"/>
      <c r="O26" s="8"/>
    </row>
    <row r="27" spans="2:15" s="2" customFormat="1" ht="63.75" customHeight="1" x14ac:dyDescent="0.4">
      <c r="B27" s="104" t="s">
        <v>10</v>
      </c>
      <c r="C27" s="104"/>
      <c r="D27" s="103" t="s">
        <v>11</v>
      </c>
      <c r="E27" s="103"/>
      <c r="F27" s="103"/>
      <c r="G27" s="103"/>
      <c r="H27" s="103"/>
      <c r="I27" s="103"/>
      <c r="J27" s="103"/>
      <c r="K27" s="103"/>
      <c r="L27" s="103"/>
      <c r="M27" s="103"/>
      <c r="N27" s="103"/>
      <c r="O27" s="9"/>
    </row>
    <row r="28" spans="2:15" s="2" customFormat="1" ht="12.75" customHeight="1" x14ac:dyDescent="0.4">
      <c r="B28" s="104"/>
      <c r="C28" s="104"/>
      <c r="D28" s="105" t="s">
        <v>8</v>
      </c>
      <c r="E28" s="105"/>
      <c r="F28" s="105"/>
      <c r="G28" s="105"/>
      <c r="H28" s="105"/>
      <c r="I28" s="105"/>
      <c r="J28" s="105"/>
      <c r="K28" s="105"/>
      <c r="L28" s="105"/>
      <c r="M28" s="105"/>
      <c r="N28" s="105"/>
    </row>
    <row r="29" spans="2:15" s="2" customFormat="1" ht="101.25" customHeight="1" x14ac:dyDescent="0.4">
      <c r="B29" s="104"/>
      <c r="C29" s="104"/>
      <c r="D29" s="101" t="s">
        <v>12</v>
      </c>
      <c r="E29" s="101"/>
      <c r="F29" s="101"/>
      <c r="G29" s="101"/>
      <c r="H29" s="101"/>
      <c r="I29" s="101"/>
      <c r="J29" s="101"/>
      <c r="K29" s="101"/>
      <c r="L29" s="101"/>
      <c r="M29" s="101"/>
      <c r="N29" s="101"/>
      <c r="O29" s="9"/>
    </row>
    <row r="30" spans="2:15" s="2" customFormat="1" ht="15" customHeight="1" x14ac:dyDescent="0.4">
      <c r="B30" s="10"/>
      <c r="C30" s="10"/>
      <c r="D30" s="7"/>
      <c r="E30" s="7"/>
      <c r="F30" s="7"/>
      <c r="G30" s="7"/>
      <c r="H30" s="7"/>
      <c r="I30" s="7"/>
      <c r="J30" s="7"/>
      <c r="K30" s="7"/>
      <c r="L30" s="7"/>
      <c r="M30" s="7"/>
      <c r="N30" s="7"/>
      <c r="O30" s="9"/>
    </row>
    <row r="31" spans="2:15" s="2" customFormat="1" ht="18" customHeight="1" x14ac:dyDescent="0.4">
      <c r="B31" s="96" t="s">
        <v>3</v>
      </c>
      <c r="C31" s="96"/>
      <c r="D31" s="97" t="s">
        <v>4</v>
      </c>
      <c r="E31" s="97"/>
      <c r="F31" s="97"/>
      <c r="G31" s="97"/>
      <c r="H31" s="97"/>
      <c r="I31" s="97"/>
      <c r="J31" s="97"/>
      <c r="K31" s="97"/>
      <c r="L31" s="97"/>
      <c r="M31" s="97"/>
      <c r="N31" s="97"/>
      <c r="O31" s="8"/>
    </row>
    <row r="32" spans="2:15" s="2" customFormat="1" ht="44.25" customHeight="1" x14ac:dyDescent="0.4">
      <c r="B32" s="94" t="s">
        <v>13</v>
      </c>
      <c r="C32" s="94"/>
      <c r="D32" s="102" t="s">
        <v>14</v>
      </c>
      <c r="E32" s="102"/>
      <c r="F32" s="102"/>
      <c r="G32" s="102"/>
      <c r="H32" s="102"/>
      <c r="I32" s="102"/>
      <c r="J32" s="102"/>
      <c r="K32" s="102"/>
      <c r="L32" s="102"/>
      <c r="M32" s="102"/>
      <c r="N32" s="102"/>
      <c r="O32" s="9"/>
    </row>
    <row r="33" spans="2:15" s="2" customFormat="1" ht="42" customHeight="1" x14ac:dyDescent="0.4">
      <c r="B33" s="94"/>
      <c r="C33" s="94"/>
      <c r="D33" s="103" t="s">
        <v>15</v>
      </c>
      <c r="E33" s="103"/>
      <c r="F33" s="103"/>
      <c r="G33" s="103"/>
      <c r="H33" s="103"/>
      <c r="I33" s="103"/>
      <c r="J33" s="103"/>
      <c r="K33" s="103"/>
      <c r="L33" s="103"/>
      <c r="M33" s="103"/>
      <c r="N33" s="103"/>
      <c r="O33" s="9"/>
    </row>
    <row r="34" spans="2:15" s="2" customFormat="1" ht="12.75" customHeight="1" x14ac:dyDescent="0.4">
      <c r="B34" s="94"/>
      <c r="C34" s="94"/>
      <c r="D34" s="100" t="s">
        <v>8</v>
      </c>
      <c r="E34" s="100"/>
      <c r="F34" s="100"/>
      <c r="G34" s="100"/>
      <c r="H34" s="100"/>
      <c r="I34" s="100"/>
      <c r="J34" s="100"/>
      <c r="K34" s="100"/>
      <c r="L34" s="100"/>
      <c r="M34" s="100"/>
      <c r="N34" s="100"/>
    </row>
    <row r="35" spans="2:15" s="2" customFormat="1" ht="115.5" customHeight="1" x14ac:dyDescent="0.4">
      <c r="B35" s="94"/>
      <c r="C35" s="94"/>
      <c r="D35" s="101" t="s">
        <v>16</v>
      </c>
      <c r="E35" s="101"/>
      <c r="F35" s="101"/>
      <c r="G35" s="101"/>
      <c r="H35" s="101"/>
      <c r="I35" s="101"/>
      <c r="J35" s="101"/>
      <c r="K35" s="101"/>
      <c r="L35" s="101"/>
      <c r="M35" s="101"/>
      <c r="N35" s="101"/>
      <c r="O35" s="9"/>
    </row>
    <row r="36" spans="2:15" s="2" customFormat="1" ht="15" x14ac:dyDescent="0.4"/>
    <row r="37" spans="2:15" s="2" customFormat="1" ht="18" customHeight="1" x14ac:dyDescent="0.4">
      <c r="B37" s="98" t="s">
        <v>3</v>
      </c>
      <c r="C37" s="98"/>
      <c r="D37" s="97" t="s">
        <v>4</v>
      </c>
      <c r="E37" s="97"/>
      <c r="F37" s="97"/>
      <c r="G37" s="97"/>
      <c r="H37" s="97"/>
      <c r="I37" s="97"/>
      <c r="J37" s="97"/>
      <c r="K37" s="97"/>
      <c r="L37" s="97"/>
      <c r="M37" s="97"/>
      <c r="N37" s="97"/>
      <c r="O37" s="8"/>
    </row>
    <row r="38" spans="2:15" s="2" customFormat="1" ht="24.75" customHeight="1" x14ac:dyDescent="0.4">
      <c r="B38" s="94" t="s">
        <v>17</v>
      </c>
      <c r="C38" s="94"/>
      <c r="D38" s="99" t="s">
        <v>18</v>
      </c>
      <c r="E38" s="99"/>
      <c r="F38" s="99"/>
      <c r="G38" s="99"/>
      <c r="H38" s="99"/>
      <c r="I38" s="99"/>
      <c r="J38" s="99"/>
      <c r="K38" s="99"/>
      <c r="L38" s="99"/>
      <c r="M38" s="99"/>
      <c r="N38" s="99"/>
      <c r="O38" s="9"/>
    </row>
    <row r="39" spans="2:15" s="2" customFormat="1" ht="41.25" customHeight="1" x14ac:dyDescent="0.4">
      <c r="B39" s="94"/>
      <c r="C39" s="94"/>
      <c r="D39" s="99"/>
      <c r="E39" s="99"/>
      <c r="F39" s="99"/>
      <c r="G39" s="99"/>
      <c r="H39" s="99"/>
      <c r="I39" s="99"/>
      <c r="J39" s="99"/>
      <c r="K39" s="99"/>
      <c r="L39" s="99"/>
      <c r="M39" s="99"/>
      <c r="N39" s="99"/>
      <c r="O39" s="9"/>
    </row>
    <row r="40" spans="2:15" s="2" customFormat="1" ht="12.75" customHeight="1" x14ac:dyDescent="0.4">
      <c r="B40" s="94"/>
      <c r="C40" s="94"/>
      <c r="D40" s="100" t="s">
        <v>8</v>
      </c>
      <c r="E40" s="100"/>
      <c r="F40" s="100"/>
      <c r="G40" s="100"/>
      <c r="H40" s="100"/>
      <c r="I40" s="100"/>
      <c r="J40" s="100"/>
      <c r="K40" s="100"/>
      <c r="L40" s="100"/>
      <c r="M40" s="100"/>
      <c r="N40" s="100"/>
    </row>
    <row r="41" spans="2:15" s="2" customFormat="1" ht="78" customHeight="1" x14ac:dyDescent="0.4">
      <c r="B41" s="94"/>
      <c r="C41" s="94"/>
      <c r="D41" s="101" t="s">
        <v>19</v>
      </c>
      <c r="E41" s="101"/>
      <c r="F41" s="101"/>
      <c r="G41" s="101"/>
      <c r="H41" s="101"/>
      <c r="I41" s="101"/>
      <c r="J41" s="101"/>
      <c r="K41" s="101"/>
      <c r="L41" s="101"/>
      <c r="M41" s="101"/>
      <c r="N41" s="101"/>
      <c r="O41" s="9"/>
    </row>
    <row r="42" spans="2:15" s="2" customFormat="1" ht="15" x14ac:dyDescent="0.4"/>
    <row r="43" spans="2:15" s="2" customFormat="1" ht="15" customHeight="1" x14ac:dyDescent="0.4">
      <c r="B43" s="96" t="s">
        <v>3</v>
      </c>
      <c r="C43" s="96"/>
      <c r="D43" s="97" t="s">
        <v>4</v>
      </c>
      <c r="E43" s="97"/>
      <c r="F43" s="97"/>
      <c r="G43" s="97"/>
      <c r="H43" s="97"/>
      <c r="I43" s="97"/>
      <c r="J43" s="97"/>
      <c r="K43" s="97"/>
      <c r="L43" s="97"/>
      <c r="M43" s="97"/>
      <c r="N43" s="97"/>
    </row>
    <row r="44" spans="2:15" s="2" customFormat="1" ht="120.75" customHeight="1" x14ac:dyDescent="0.4">
      <c r="B44" s="94" t="s">
        <v>20</v>
      </c>
      <c r="C44" s="94"/>
      <c r="D44" s="95" t="s">
        <v>21</v>
      </c>
      <c r="E44" s="95"/>
      <c r="F44" s="95"/>
      <c r="G44" s="95"/>
      <c r="H44" s="95"/>
      <c r="I44" s="95"/>
      <c r="J44" s="95"/>
      <c r="K44" s="95"/>
      <c r="L44" s="95"/>
      <c r="M44" s="95"/>
      <c r="N44" s="95"/>
    </row>
    <row r="45" spans="2:15" s="2" customFormat="1" ht="15" x14ac:dyDescent="0.4">
      <c r="B45" s="7"/>
      <c r="C45" s="7"/>
      <c r="D45" s="7"/>
      <c r="E45" s="7"/>
      <c r="F45" s="7"/>
      <c r="G45" s="7"/>
      <c r="H45" s="7"/>
      <c r="I45" s="7"/>
      <c r="J45" s="7"/>
      <c r="K45" s="7"/>
      <c r="L45" s="7"/>
      <c r="M45" s="7"/>
      <c r="N45" s="7"/>
    </row>
    <row r="46" spans="2:15" s="2" customFormat="1" ht="15" customHeight="1" x14ac:dyDescent="0.4">
      <c r="B46" s="96" t="s">
        <v>3</v>
      </c>
      <c r="C46" s="96"/>
      <c r="D46" s="97" t="s">
        <v>4</v>
      </c>
      <c r="E46" s="97"/>
      <c r="F46" s="97"/>
      <c r="G46" s="97"/>
      <c r="H46" s="97"/>
      <c r="I46" s="97"/>
      <c r="J46" s="97"/>
      <c r="K46" s="97"/>
      <c r="L46" s="97"/>
      <c r="M46" s="97"/>
      <c r="N46" s="97"/>
    </row>
    <row r="47" spans="2:15" s="2" customFormat="1" ht="155.25" customHeight="1" x14ac:dyDescent="0.4">
      <c r="B47" s="94" t="s">
        <v>22</v>
      </c>
      <c r="C47" s="94"/>
      <c r="D47" s="95" t="s">
        <v>23</v>
      </c>
      <c r="E47" s="95"/>
      <c r="F47" s="95"/>
      <c r="G47" s="95"/>
      <c r="H47" s="95"/>
      <c r="I47" s="95"/>
      <c r="J47" s="95"/>
      <c r="K47" s="95"/>
      <c r="L47" s="95"/>
      <c r="M47" s="95"/>
      <c r="N47" s="95"/>
    </row>
    <row r="48" spans="2:15" s="2" customFormat="1" ht="15" x14ac:dyDescent="0.4"/>
    <row r="49" s="2" customFormat="1" ht="15" x14ac:dyDescent="0.4"/>
    <row r="50" s="2" customFormat="1" ht="15" x14ac:dyDescent="0.4"/>
    <row r="51" s="2" customFormat="1" ht="15" x14ac:dyDescent="0.4"/>
  </sheetData>
  <mergeCells count="37">
    <mergeCell ref="B15:N15"/>
    <mergeCell ref="B17:N17"/>
    <mergeCell ref="B18:N18"/>
    <mergeCell ref="B20:C20"/>
    <mergeCell ref="D20:N20"/>
    <mergeCell ref="B21:C24"/>
    <mergeCell ref="D21:N21"/>
    <mergeCell ref="D22:N22"/>
    <mergeCell ref="D23:N23"/>
    <mergeCell ref="D24:N24"/>
    <mergeCell ref="B26:C26"/>
    <mergeCell ref="D26:N26"/>
    <mergeCell ref="B27:C29"/>
    <mergeCell ref="D27:N27"/>
    <mergeCell ref="D28:N28"/>
    <mergeCell ref="D29:N29"/>
    <mergeCell ref="B31:C31"/>
    <mergeCell ref="D31:N31"/>
    <mergeCell ref="B32:C35"/>
    <mergeCell ref="D32:N32"/>
    <mergeCell ref="D33:N33"/>
    <mergeCell ref="D34:N34"/>
    <mergeCell ref="D35:N35"/>
    <mergeCell ref="B37:C37"/>
    <mergeCell ref="D37:N37"/>
    <mergeCell ref="B38:C41"/>
    <mergeCell ref="D38:N39"/>
    <mergeCell ref="D40:N40"/>
    <mergeCell ref="D41:N41"/>
    <mergeCell ref="B47:C47"/>
    <mergeCell ref="D47:N47"/>
    <mergeCell ref="B43:C43"/>
    <mergeCell ref="D43:N43"/>
    <mergeCell ref="B44:C44"/>
    <mergeCell ref="D44:N44"/>
    <mergeCell ref="B46:C46"/>
    <mergeCell ref="D46:N46"/>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30"/>
  <sheetViews>
    <sheetView showGridLines="0" topLeftCell="A16" zoomScaleNormal="100" workbookViewId="0">
      <selection activeCell="D29" sqref="D29"/>
    </sheetView>
  </sheetViews>
  <sheetFormatPr baseColWidth="10" defaultColWidth="10.26953125" defaultRowHeight="14.5" x14ac:dyDescent="0.35"/>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1024" width="10.26953125" style="1"/>
  </cols>
  <sheetData>
    <row r="12" spans="2:14" s="2" customFormat="1" ht="23.25" customHeight="1" x14ac:dyDescent="0.4">
      <c r="B12" s="109" t="s">
        <v>24</v>
      </c>
      <c r="C12" s="109"/>
      <c r="D12" s="109"/>
      <c r="E12" s="109"/>
      <c r="F12" s="109"/>
      <c r="G12" s="109"/>
    </row>
    <row r="13" spans="2:14" s="2" customFormat="1" ht="33.75" customHeight="1" x14ac:dyDescent="0.4">
      <c r="B13" s="110" t="s">
        <v>25</v>
      </c>
      <c r="C13" s="110"/>
      <c r="D13" s="110"/>
      <c r="E13" s="110"/>
      <c r="F13" s="110"/>
      <c r="G13" s="110"/>
      <c r="H13" s="11"/>
      <c r="I13" s="11"/>
      <c r="J13" s="11"/>
      <c r="K13" s="11"/>
      <c r="L13" s="11"/>
      <c r="M13" s="11"/>
      <c r="N13" s="11"/>
    </row>
    <row r="14" spans="2:14" s="2" customFormat="1" ht="45.75" customHeight="1" x14ac:dyDescent="0.4">
      <c r="B14" s="110" t="s">
        <v>26</v>
      </c>
      <c r="C14" s="110"/>
      <c r="D14" s="110"/>
      <c r="E14" s="110"/>
      <c r="F14" s="110"/>
      <c r="G14" s="110"/>
      <c r="H14" s="11"/>
      <c r="I14" s="11"/>
      <c r="J14" s="11"/>
      <c r="K14" s="11"/>
      <c r="L14" s="11"/>
      <c r="M14" s="11"/>
      <c r="N14" s="11"/>
    </row>
    <row r="15" spans="2:14" s="2" customFormat="1" ht="25.5" customHeight="1" x14ac:dyDescent="0.4">
      <c r="B15" s="110" t="s">
        <v>27</v>
      </c>
      <c r="C15" s="110"/>
      <c r="D15" s="110"/>
      <c r="E15" s="110"/>
      <c r="F15" s="110"/>
      <c r="G15" s="110"/>
      <c r="H15" s="11"/>
      <c r="I15" s="11"/>
      <c r="J15" s="11"/>
      <c r="K15" s="11"/>
      <c r="L15" s="11"/>
      <c r="M15" s="11"/>
      <c r="N15" s="11"/>
    </row>
    <row r="16" spans="2:14" s="2" customFormat="1" ht="15" x14ac:dyDescent="0.4"/>
    <row r="17" spans="3:7" s="2" customFormat="1" ht="15" x14ac:dyDescent="0.4"/>
    <row r="18" spans="3:7" s="2" customFormat="1" ht="19.5" customHeight="1" x14ac:dyDescent="0.4">
      <c r="C18" s="12" t="s">
        <v>28</v>
      </c>
      <c r="D18" s="12" t="s">
        <v>29</v>
      </c>
      <c r="E18" s="12" t="s">
        <v>30</v>
      </c>
      <c r="F18" s="12" t="s">
        <v>31</v>
      </c>
      <c r="G18" s="13"/>
    </row>
    <row r="19" spans="3:7" s="2" customFormat="1" ht="36" customHeight="1" x14ac:dyDescent="0.4">
      <c r="C19" s="14" t="s">
        <v>32</v>
      </c>
      <c r="D19" s="15" t="s">
        <v>33</v>
      </c>
      <c r="E19" s="16" t="s">
        <v>34</v>
      </c>
      <c r="F19" s="17">
        <v>45652</v>
      </c>
      <c r="G19" s="13"/>
    </row>
    <row r="20" spans="3:7" s="2" customFormat="1" ht="28.5" hidden="1" customHeight="1" x14ac:dyDescent="0.4">
      <c r="C20" s="14" t="s">
        <v>35</v>
      </c>
      <c r="D20" s="15" t="s">
        <v>36</v>
      </c>
      <c r="E20" s="16"/>
      <c r="F20" s="18"/>
      <c r="G20" s="13"/>
    </row>
    <row r="21" spans="3:7" s="2" customFormat="1" ht="38.25" customHeight="1" x14ac:dyDescent="0.4">
      <c r="C21" s="14" t="s">
        <v>37</v>
      </c>
      <c r="D21" s="15" t="s">
        <v>38</v>
      </c>
      <c r="E21" s="16" t="s">
        <v>39</v>
      </c>
      <c r="F21" s="17">
        <v>45652</v>
      </c>
      <c r="G21" s="13"/>
    </row>
    <row r="22" spans="3:7" s="2" customFormat="1" ht="41.25" hidden="1" customHeight="1" x14ac:dyDescent="0.4">
      <c r="C22" s="14"/>
      <c r="D22" s="15" t="s">
        <v>40</v>
      </c>
      <c r="E22" s="16"/>
      <c r="F22" s="17"/>
      <c r="G22" s="13"/>
    </row>
    <row r="23" spans="3:7" s="2" customFormat="1" ht="18" hidden="1" customHeight="1" x14ac:dyDescent="0.4">
      <c r="C23" s="14"/>
      <c r="D23" s="15" t="s">
        <v>41</v>
      </c>
      <c r="E23" s="16"/>
      <c r="F23" s="17"/>
      <c r="G23" s="13"/>
    </row>
    <row r="24" spans="3:7" s="2" customFormat="1" ht="30.75" customHeight="1" x14ac:dyDescent="0.4">
      <c r="C24" s="19" t="s">
        <v>42</v>
      </c>
      <c r="D24" s="20" t="s">
        <v>43</v>
      </c>
      <c r="E24" s="21" t="s">
        <v>39</v>
      </c>
      <c r="F24" s="22">
        <v>45831</v>
      </c>
      <c r="G24" s="13"/>
    </row>
    <row r="25" spans="3:7" s="2" customFormat="1" ht="26" x14ac:dyDescent="0.4">
      <c r="C25" s="14" t="s">
        <v>44</v>
      </c>
      <c r="D25" s="15" t="s">
        <v>45</v>
      </c>
      <c r="E25" s="16" t="s">
        <v>46</v>
      </c>
      <c r="F25" s="17"/>
      <c r="G25" s="13"/>
    </row>
    <row r="26" spans="3:7" s="2" customFormat="1" ht="15" x14ac:dyDescent="0.4"/>
    <row r="27" spans="3:7" s="2" customFormat="1" ht="15" x14ac:dyDescent="0.4"/>
    <row r="28" spans="3:7" s="2" customFormat="1" ht="15" x14ac:dyDescent="0.4"/>
    <row r="29" spans="3:7" s="2" customFormat="1" ht="15" x14ac:dyDescent="0.4"/>
    <row r="30" spans="3:7" s="2" customFormat="1" ht="15" x14ac:dyDescent="0.4"/>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9:C43"/>
  <sheetViews>
    <sheetView topLeftCell="A40" zoomScale="85" zoomScaleNormal="85" workbookViewId="0">
      <selection activeCell="C48" sqref="C48"/>
    </sheetView>
  </sheetViews>
  <sheetFormatPr baseColWidth="10" defaultColWidth="10.54296875" defaultRowHeight="16.5" x14ac:dyDescent="0.45"/>
  <cols>
    <col min="2" max="2" width="93.08984375" style="23" customWidth="1"/>
    <col min="3" max="3" width="43.81640625" style="23" customWidth="1"/>
  </cols>
  <sheetData>
    <row r="9" spans="2:3" x14ac:dyDescent="0.45">
      <c r="B9" s="24" t="s">
        <v>47</v>
      </c>
    </row>
    <row r="10" spans="2:3" x14ac:dyDescent="0.45">
      <c r="B10" s="24" t="s">
        <v>5</v>
      </c>
      <c r="C10" s="24" t="s">
        <v>48</v>
      </c>
    </row>
    <row r="12" spans="2:3" ht="72.5" x14ac:dyDescent="0.4">
      <c r="B12" s="25" t="s">
        <v>49</v>
      </c>
      <c r="C12" s="26" t="s">
        <v>50</v>
      </c>
    </row>
    <row r="13" spans="2:3" ht="72.5" x14ac:dyDescent="0.4">
      <c r="B13" s="25" t="s">
        <v>51</v>
      </c>
      <c r="C13" s="26" t="s">
        <v>50</v>
      </c>
    </row>
    <row r="14" spans="2:3" ht="72.5" x14ac:dyDescent="0.4">
      <c r="B14" s="25" t="s">
        <v>52</v>
      </c>
      <c r="C14" s="26" t="s">
        <v>50</v>
      </c>
    </row>
    <row r="15" spans="2:3" ht="72.5" x14ac:dyDescent="0.4">
      <c r="B15" s="25" t="s">
        <v>53</v>
      </c>
      <c r="C15" s="26" t="s">
        <v>50</v>
      </c>
    </row>
    <row r="16" spans="2:3" ht="72.5" x14ac:dyDescent="0.4">
      <c r="B16" s="25" t="s">
        <v>54</v>
      </c>
      <c r="C16" s="26" t="s">
        <v>50</v>
      </c>
    </row>
    <row r="17" spans="2:3" ht="43.5" x14ac:dyDescent="0.4">
      <c r="B17" s="25" t="s">
        <v>55</v>
      </c>
      <c r="C17" s="26" t="s">
        <v>56</v>
      </c>
    </row>
    <row r="18" spans="2:3" ht="43.5" x14ac:dyDescent="0.4">
      <c r="B18" s="25" t="s">
        <v>57</v>
      </c>
      <c r="C18" s="26" t="s">
        <v>56</v>
      </c>
    </row>
    <row r="19" spans="2:3" ht="43.5" x14ac:dyDescent="0.4">
      <c r="B19" s="25" t="s">
        <v>58</v>
      </c>
      <c r="C19" s="26" t="s">
        <v>56</v>
      </c>
    </row>
    <row r="20" spans="2:3" ht="43.5" x14ac:dyDescent="0.4">
      <c r="B20" s="25" t="s">
        <v>59</v>
      </c>
      <c r="C20" s="26" t="s">
        <v>56</v>
      </c>
    </row>
    <row r="21" spans="2:3" ht="43.5" x14ac:dyDescent="0.4">
      <c r="B21" s="25" t="s">
        <v>60</v>
      </c>
      <c r="C21" s="26" t="s">
        <v>56</v>
      </c>
    </row>
    <row r="22" spans="2:3" ht="43.5" x14ac:dyDescent="0.4">
      <c r="B22" s="25" t="s">
        <v>61</v>
      </c>
      <c r="C22" s="26" t="s">
        <v>56</v>
      </c>
    </row>
    <row r="23" spans="2:3" ht="43.5" x14ac:dyDescent="0.4">
      <c r="B23" s="25" t="s">
        <v>62</v>
      </c>
      <c r="C23" s="26" t="s">
        <v>56</v>
      </c>
    </row>
    <row r="24" spans="2:3" ht="43.5" x14ac:dyDescent="0.4">
      <c r="B24" s="25" t="s">
        <v>63</v>
      </c>
      <c r="C24" s="26" t="s">
        <v>56</v>
      </c>
    </row>
    <row r="25" spans="2:3" ht="43.5" x14ac:dyDescent="0.4">
      <c r="B25" s="25" t="s">
        <v>64</v>
      </c>
      <c r="C25" s="26" t="s">
        <v>56</v>
      </c>
    </row>
    <row r="26" spans="2:3" ht="43.5" x14ac:dyDescent="0.4">
      <c r="B26" s="25" t="s">
        <v>65</v>
      </c>
      <c r="C26" s="26" t="s">
        <v>56</v>
      </c>
    </row>
    <row r="27" spans="2:3" ht="43.5" x14ac:dyDescent="0.4">
      <c r="B27" s="25" t="s">
        <v>66</v>
      </c>
      <c r="C27" s="26" t="s">
        <v>56</v>
      </c>
    </row>
    <row r="28" spans="2:3" ht="43.5" x14ac:dyDescent="0.4">
      <c r="B28" s="25" t="s">
        <v>67</v>
      </c>
      <c r="C28" s="26" t="s">
        <v>56</v>
      </c>
    </row>
    <row r="29" spans="2:3" ht="43.5" x14ac:dyDescent="0.4">
      <c r="B29" s="25" t="s">
        <v>68</v>
      </c>
      <c r="C29" s="26" t="s">
        <v>56</v>
      </c>
    </row>
    <row r="30" spans="2:3" ht="43.5" x14ac:dyDescent="0.4">
      <c r="B30" s="25" t="s">
        <v>69</v>
      </c>
      <c r="C30" s="26" t="s">
        <v>56</v>
      </c>
    </row>
    <row r="31" spans="2:3" ht="43.5" x14ac:dyDescent="0.4">
      <c r="B31" s="25" t="s">
        <v>70</v>
      </c>
      <c r="C31" s="26" t="s">
        <v>56</v>
      </c>
    </row>
    <row r="32" spans="2:3" ht="72.5" x14ac:dyDescent="0.4">
      <c r="B32" s="25" t="s">
        <v>71</v>
      </c>
      <c r="C32" s="26" t="s">
        <v>50</v>
      </c>
    </row>
    <row r="33" spans="2:3" ht="72.5" x14ac:dyDescent="0.4">
      <c r="B33" s="25" t="s">
        <v>72</v>
      </c>
      <c r="C33" s="26" t="s">
        <v>50</v>
      </c>
    </row>
    <row r="34" spans="2:3" ht="43.5" x14ac:dyDescent="0.4">
      <c r="B34" s="25" t="s">
        <v>73</v>
      </c>
      <c r="C34" s="26" t="s">
        <v>56</v>
      </c>
    </row>
    <row r="35" spans="2:3" ht="72.5" x14ac:dyDescent="0.4">
      <c r="B35" s="25" t="s">
        <v>74</v>
      </c>
      <c r="C35" s="26" t="s">
        <v>50</v>
      </c>
    </row>
    <row r="36" spans="2:3" ht="58" x14ac:dyDescent="0.4">
      <c r="B36" s="25" t="s">
        <v>75</v>
      </c>
      <c r="C36" s="26" t="s">
        <v>76</v>
      </c>
    </row>
    <row r="37" spans="2:3" ht="58" x14ac:dyDescent="0.4">
      <c r="B37" s="25" t="s">
        <v>77</v>
      </c>
      <c r="C37" s="26" t="s">
        <v>76</v>
      </c>
    </row>
    <row r="38" spans="2:3" ht="72.5" x14ac:dyDescent="0.4">
      <c r="B38" s="25" t="s">
        <v>457</v>
      </c>
      <c r="C38" s="26" t="s">
        <v>50</v>
      </c>
    </row>
    <row r="39" spans="2:3" ht="72.5" x14ac:dyDescent="0.4">
      <c r="B39" s="25" t="s">
        <v>458</v>
      </c>
      <c r="C39" s="26" t="s">
        <v>50</v>
      </c>
    </row>
    <row r="40" spans="2:3" ht="72.5" x14ac:dyDescent="0.4">
      <c r="B40" s="25" t="s">
        <v>459</v>
      </c>
      <c r="C40" s="26" t="s">
        <v>50</v>
      </c>
    </row>
    <row r="41" spans="2:3" ht="72.5" x14ac:dyDescent="0.4">
      <c r="B41" s="25" t="s">
        <v>460</v>
      </c>
      <c r="C41" s="26" t="s">
        <v>50</v>
      </c>
    </row>
    <row r="42" spans="2:3" ht="72.5" x14ac:dyDescent="0.4">
      <c r="B42" s="25" t="s">
        <v>463</v>
      </c>
      <c r="C42" s="26" t="s">
        <v>50</v>
      </c>
    </row>
    <row r="43" spans="2:3" ht="72.5" x14ac:dyDescent="0.4">
      <c r="B43" s="25" t="s">
        <v>477</v>
      </c>
      <c r="C43" s="26" t="s">
        <v>50</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AMJ420"/>
  <sheetViews>
    <sheetView showGridLines="0" tabSelected="1" zoomScale="55" zoomScaleNormal="55" zoomScalePageLayoutView="70" workbookViewId="0">
      <selection activeCell="C220" sqref="C220"/>
    </sheetView>
  </sheetViews>
  <sheetFormatPr baseColWidth="10" defaultColWidth="10.26953125" defaultRowHeight="16.5" x14ac:dyDescent="0.45"/>
  <cols>
    <col min="1" max="1" width="27.81640625" style="27" customWidth="1"/>
    <col min="2" max="2" width="7.1796875" style="27" customWidth="1"/>
    <col min="3" max="3" width="46.54296875" style="27" customWidth="1"/>
    <col min="4" max="4" width="7" style="27" customWidth="1"/>
    <col min="5" max="5" width="45.1796875" style="27" customWidth="1"/>
    <col min="6" max="6" width="49.6328125" style="27" customWidth="1"/>
    <col min="7" max="7" width="35.36328125" style="27" customWidth="1"/>
    <col min="8" max="8" width="26.26953125" style="27" customWidth="1"/>
    <col min="9" max="9" width="29.54296875" style="27" customWidth="1"/>
    <col min="10" max="1024" width="10.26953125" style="28"/>
  </cols>
  <sheetData>
    <row r="10" spans="1:9" s="29" customFormat="1" ht="25.5" customHeight="1" x14ac:dyDescent="0.4">
      <c r="A10" s="26"/>
      <c r="B10" s="26"/>
      <c r="C10" s="26"/>
      <c r="D10" s="93" t="s">
        <v>5</v>
      </c>
      <c r="E10" s="93"/>
      <c r="F10" s="26"/>
      <c r="G10" s="26"/>
      <c r="H10" s="26"/>
      <c r="I10" s="26"/>
    </row>
    <row r="11" spans="1:9" s="29" customFormat="1" ht="25.5" customHeight="1" x14ac:dyDescent="0.4">
      <c r="A11" s="26"/>
      <c r="B11" s="26"/>
      <c r="C11" s="26"/>
      <c r="D11" s="26"/>
      <c r="E11" s="26"/>
      <c r="F11" s="26"/>
      <c r="G11" s="26"/>
      <c r="H11" s="26"/>
      <c r="I11" s="26"/>
    </row>
    <row r="12" spans="1:9" s="29" customFormat="1" ht="24" customHeight="1" x14ac:dyDescent="0.4">
      <c r="A12" s="90" t="s">
        <v>78</v>
      </c>
      <c r="B12" s="90"/>
      <c r="C12" s="91"/>
      <c r="D12" s="91"/>
      <c r="E12" s="30"/>
      <c r="F12" s="30"/>
      <c r="G12" s="30"/>
      <c r="H12" s="26"/>
      <c r="I12" s="26"/>
    </row>
    <row r="13" spans="1:9" s="29" customFormat="1" ht="23.25" customHeight="1" x14ac:dyDescent="0.4">
      <c r="A13" s="90" t="s">
        <v>79</v>
      </c>
      <c r="B13" s="90"/>
      <c r="C13" s="91" t="s">
        <v>80</v>
      </c>
      <c r="D13" s="91"/>
      <c r="E13" s="30"/>
      <c r="F13" s="30"/>
      <c r="G13" s="30"/>
      <c r="H13" s="26"/>
      <c r="I13" s="26"/>
    </row>
    <row r="14" spans="1:9" s="29" customFormat="1" ht="28.5" customHeight="1" x14ac:dyDescent="0.4">
      <c r="A14" s="90" t="s">
        <v>81</v>
      </c>
      <c r="B14" s="90"/>
      <c r="C14" s="91" t="s">
        <v>82</v>
      </c>
      <c r="D14" s="91"/>
      <c r="E14" s="30"/>
      <c r="F14" s="30"/>
      <c r="G14" s="30"/>
      <c r="H14" s="31"/>
      <c r="I14" s="26"/>
    </row>
    <row r="15" spans="1:9" s="29" customFormat="1" ht="30" customHeight="1" x14ac:dyDescent="0.4">
      <c r="A15" s="92" t="s">
        <v>83</v>
      </c>
      <c r="B15" s="92"/>
      <c r="C15" s="92"/>
      <c r="D15" s="32"/>
      <c r="E15" s="32"/>
      <c r="F15" s="32"/>
      <c r="G15" s="32"/>
      <c r="H15" s="26"/>
      <c r="I15" s="26"/>
    </row>
    <row r="16" spans="1:9" s="33" customFormat="1" ht="13.5" customHeight="1" x14ac:dyDescent="0.4">
      <c r="A16" s="25"/>
      <c r="B16" s="25"/>
      <c r="C16" s="25"/>
      <c r="D16" s="25"/>
      <c r="E16" s="25"/>
      <c r="F16" s="25"/>
      <c r="G16" s="25"/>
      <c r="H16" s="25"/>
      <c r="I16" s="25"/>
    </row>
    <row r="17" spans="1:13" s="38" customFormat="1" ht="59.25" customHeight="1" x14ac:dyDescent="0.4">
      <c r="A17" s="34" t="s">
        <v>84</v>
      </c>
      <c r="B17" s="34" t="s">
        <v>85</v>
      </c>
      <c r="C17" s="35" t="s">
        <v>86</v>
      </c>
      <c r="D17" s="35" t="s">
        <v>87</v>
      </c>
      <c r="E17" s="35" t="s">
        <v>88</v>
      </c>
      <c r="F17" s="35" t="s">
        <v>89</v>
      </c>
      <c r="G17" s="35" t="s">
        <v>90</v>
      </c>
      <c r="H17" s="36" t="s">
        <v>91</v>
      </c>
      <c r="I17" s="37" t="s">
        <v>92</v>
      </c>
    </row>
    <row r="18" spans="1:13" s="38" customFormat="1" ht="391.5" hidden="1" x14ac:dyDescent="0.4">
      <c r="A18" s="39" t="s">
        <v>93</v>
      </c>
      <c r="B18" s="39"/>
      <c r="C18" s="39" t="s">
        <v>94</v>
      </c>
      <c r="D18" s="39" t="s">
        <v>95</v>
      </c>
      <c r="E18" s="39" t="s">
        <v>96</v>
      </c>
      <c r="F18" s="39" t="s">
        <v>97</v>
      </c>
      <c r="G18" s="39" t="s">
        <v>98</v>
      </c>
      <c r="H18" s="40" t="s">
        <v>99</v>
      </c>
      <c r="I18" s="40" t="s">
        <v>100</v>
      </c>
    </row>
    <row r="19" spans="1:13" s="46" customFormat="1" ht="15" hidden="1" x14ac:dyDescent="0.35">
      <c r="A19" s="41"/>
      <c r="B19" s="41"/>
      <c r="C19" s="42"/>
      <c r="D19" s="43"/>
      <c r="E19" s="44"/>
      <c r="F19" s="44"/>
      <c r="G19" s="44"/>
      <c r="H19" s="43"/>
      <c r="I19" s="45"/>
    </row>
    <row r="20" spans="1:13" s="46" customFormat="1" ht="15" x14ac:dyDescent="0.35">
      <c r="A20" s="47"/>
      <c r="B20" s="48" t="s">
        <v>101</v>
      </c>
      <c r="C20" s="48" t="s">
        <v>102</v>
      </c>
      <c r="D20" s="49"/>
      <c r="E20" s="50"/>
      <c r="F20" s="50"/>
      <c r="G20" s="50"/>
      <c r="H20" s="49"/>
      <c r="I20" s="51"/>
    </row>
    <row r="21" spans="1:13" s="46" customFormat="1" ht="116.25" customHeight="1" x14ac:dyDescent="0.35">
      <c r="A21" s="41" t="s">
        <v>103</v>
      </c>
      <c r="B21" s="41"/>
      <c r="C21" s="42" t="s">
        <v>104</v>
      </c>
      <c r="D21" s="43">
        <v>1</v>
      </c>
      <c r="E21" s="44" t="s">
        <v>105</v>
      </c>
      <c r="F21" s="44" t="s">
        <v>106</v>
      </c>
      <c r="G21" s="44" t="s">
        <v>107</v>
      </c>
      <c r="H21" s="43" t="s">
        <v>108</v>
      </c>
      <c r="I21" s="42" t="s">
        <v>109</v>
      </c>
    </row>
    <row r="22" spans="1:13" s="46" customFormat="1" ht="93.75" customHeight="1" x14ac:dyDescent="0.35">
      <c r="A22" s="41" t="s">
        <v>103</v>
      </c>
      <c r="B22" s="41"/>
      <c r="C22" s="42" t="s">
        <v>104</v>
      </c>
      <c r="D22" s="43">
        <v>2</v>
      </c>
      <c r="E22" s="44" t="s">
        <v>110</v>
      </c>
      <c r="F22" s="44" t="s">
        <v>111</v>
      </c>
      <c r="G22" s="44" t="s">
        <v>112</v>
      </c>
      <c r="H22" s="43"/>
      <c r="I22" s="42"/>
    </row>
    <row r="23" spans="1:13" s="38" customFormat="1" ht="43.5" x14ac:dyDescent="0.4">
      <c r="A23" s="41" t="s">
        <v>103</v>
      </c>
      <c r="B23" s="41"/>
      <c r="C23" s="42" t="s">
        <v>104</v>
      </c>
      <c r="D23" s="43">
        <v>3</v>
      </c>
      <c r="E23" s="44" t="s">
        <v>113</v>
      </c>
      <c r="F23" s="44" t="s">
        <v>114</v>
      </c>
      <c r="G23" s="44"/>
      <c r="H23" s="43"/>
      <c r="I23" s="42"/>
      <c r="J23" s="46"/>
      <c r="K23" s="46"/>
      <c r="L23" s="46"/>
      <c r="M23" s="46"/>
    </row>
    <row r="24" spans="1:13" s="38" customFormat="1" ht="409.5" customHeight="1" x14ac:dyDescent="0.4">
      <c r="A24" s="41" t="s">
        <v>103</v>
      </c>
      <c r="B24" s="41"/>
      <c r="C24" s="42" t="s">
        <v>104</v>
      </c>
      <c r="D24" s="43">
        <v>4</v>
      </c>
      <c r="E24" s="44" t="s">
        <v>115</v>
      </c>
      <c r="F24" s="44" t="s">
        <v>468</v>
      </c>
      <c r="G24" s="44" t="s">
        <v>418</v>
      </c>
      <c r="H24" s="43"/>
      <c r="I24" s="42"/>
      <c r="J24" s="46"/>
      <c r="K24" s="46"/>
      <c r="L24" s="46"/>
      <c r="M24" s="46"/>
    </row>
    <row r="25" spans="1:13" s="52" customFormat="1" ht="43.5" x14ac:dyDescent="0.25">
      <c r="A25" s="41" t="s">
        <v>116</v>
      </c>
      <c r="B25" s="41"/>
      <c r="C25" s="42" t="s">
        <v>104</v>
      </c>
      <c r="D25" s="43">
        <v>5</v>
      </c>
      <c r="E25" s="44" t="s">
        <v>410</v>
      </c>
      <c r="F25" s="44" t="s">
        <v>118</v>
      </c>
      <c r="G25" s="44"/>
      <c r="H25" s="43"/>
      <c r="I25" s="42"/>
      <c r="J25" s="46"/>
      <c r="K25" s="46"/>
      <c r="L25" s="46"/>
      <c r="M25" s="46"/>
    </row>
    <row r="26" spans="1:13" s="52" customFormat="1" ht="15" x14ac:dyDescent="0.25">
      <c r="A26" s="47"/>
      <c r="B26" s="48" t="s">
        <v>119</v>
      </c>
      <c r="C26" s="48" t="s">
        <v>120</v>
      </c>
      <c r="D26" s="49"/>
      <c r="E26" s="50"/>
      <c r="F26" s="50"/>
      <c r="G26" s="50"/>
      <c r="H26" s="49"/>
      <c r="I26" s="48"/>
      <c r="J26" s="46"/>
      <c r="K26" s="46"/>
      <c r="L26" s="46"/>
      <c r="M26" s="46"/>
    </row>
    <row r="27" spans="1:13" s="52" customFormat="1" ht="87" x14ac:dyDescent="0.25">
      <c r="A27" s="41" t="s">
        <v>116</v>
      </c>
      <c r="B27" s="41"/>
      <c r="C27" s="42" t="s">
        <v>121</v>
      </c>
      <c r="D27" s="43">
        <v>1</v>
      </c>
      <c r="E27" s="44" t="s">
        <v>105</v>
      </c>
      <c r="F27" s="44" t="s">
        <v>106</v>
      </c>
      <c r="G27" s="44" t="s">
        <v>107</v>
      </c>
      <c r="H27" s="43" t="s">
        <v>108</v>
      </c>
      <c r="I27" s="42" t="s">
        <v>109</v>
      </c>
      <c r="J27" s="46"/>
      <c r="K27" s="46"/>
      <c r="L27" s="46"/>
      <c r="M27" s="46"/>
    </row>
    <row r="28" spans="1:13" s="52" customFormat="1" ht="116" x14ac:dyDescent="0.25">
      <c r="A28" s="41" t="s">
        <v>116</v>
      </c>
      <c r="B28" s="41"/>
      <c r="C28" s="42" t="s">
        <v>121</v>
      </c>
      <c r="D28" s="43">
        <v>2</v>
      </c>
      <c r="E28" s="44" t="s">
        <v>122</v>
      </c>
      <c r="F28" s="44" t="s">
        <v>471</v>
      </c>
      <c r="G28" s="44" t="s">
        <v>123</v>
      </c>
      <c r="H28" s="43"/>
      <c r="I28" s="42"/>
      <c r="J28" s="46"/>
      <c r="K28" s="46"/>
      <c r="L28" s="46"/>
      <c r="M28" s="46"/>
    </row>
    <row r="29" spans="1:13" s="52" customFormat="1" ht="188.5" x14ac:dyDescent="0.25">
      <c r="A29" s="41" t="s">
        <v>116</v>
      </c>
      <c r="B29" s="41"/>
      <c r="C29" s="42" t="s">
        <v>121</v>
      </c>
      <c r="D29" s="43">
        <v>3</v>
      </c>
      <c r="E29" s="44" t="s">
        <v>430</v>
      </c>
      <c r="F29" s="44" t="s">
        <v>125</v>
      </c>
      <c r="G29" s="44" t="s">
        <v>412</v>
      </c>
      <c r="H29" s="43"/>
      <c r="I29" s="42"/>
      <c r="J29" s="46"/>
      <c r="K29" s="46"/>
      <c r="L29" s="46"/>
      <c r="M29" s="46"/>
    </row>
    <row r="30" spans="1:13" s="52" customFormat="1" ht="409.5" x14ac:dyDescent="0.25">
      <c r="A30" s="41" t="s">
        <v>116</v>
      </c>
      <c r="B30" s="41"/>
      <c r="C30" s="42" t="s">
        <v>121</v>
      </c>
      <c r="D30" s="43">
        <v>4</v>
      </c>
      <c r="E30" s="44" t="s">
        <v>115</v>
      </c>
      <c r="F30" s="44" t="s">
        <v>469</v>
      </c>
      <c r="G30" s="44" t="s">
        <v>417</v>
      </c>
      <c r="H30" s="43"/>
      <c r="I30" s="42"/>
      <c r="J30" s="46"/>
      <c r="K30" s="46"/>
      <c r="L30" s="46"/>
      <c r="M30" s="46"/>
    </row>
    <row r="31" spans="1:13" s="52" customFormat="1" ht="43.5" x14ac:dyDescent="0.25">
      <c r="A31" s="41" t="s">
        <v>116</v>
      </c>
      <c r="B31" s="41"/>
      <c r="C31" s="42" t="s">
        <v>121</v>
      </c>
      <c r="D31" s="43">
        <v>5</v>
      </c>
      <c r="E31" s="44" t="s">
        <v>410</v>
      </c>
      <c r="F31" s="44" t="s">
        <v>118</v>
      </c>
      <c r="G31" s="44"/>
      <c r="H31" s="43"/>
      <c r="I31" s="42"/>
      <c r="J31" s="46"/>
      <c r="K31" s="46"/>
      <c r="L31" s="46"/>
      <c r="M31" s="46"/>
    </row>
    <row r="32" spans="1:13" s="52" customFormat="1" ht="15" x14ac:dyDescent="0.25">
      <c r="A32" s="53"/>
      <c r="B32" s="48" t="s">
        <v>126</v>
      </c>
      <c r="C32" s="48" t="s">
        <v>127</v>
      </c>
      <c r="D32" s="54"/>
      <c r="E32" s="55"/>
      <c r="F32" s="55"/>
      <c r="G32" s="55"/>
      <c r="H32" s="54"/>
      <c r="I32" s="56"/>
      <c r="J32" s="46"/>
      <c r="K32" s="46"/>
      <c r="L32" s="46"/>
      <c r="M32" s="46"/>
    </row>
    <row r="33" spans="1:13" s="52" customFormat="1" ht="87" x14ac:dyDescent="0.25">
      <c r="A33" s="41" t="s">
        <v>116</v>
      </c>
      <c r="B33" s="41"/>
      <c r="C33" s="42" t="s">
        <v>128</v>
      </c>
      <c r="D33" s="43">
        <v>1</v>
      </c>
      <c r="E33" s="44" t="s">
        <v>105</v>
      </c>
      <c r="F33" s="44" t="s">
        <v>106</v>
      </c>
      <c r="G33" s="44" t="s">
        <v>107</v>
      </c>
      <c r="H33" s="43" t="s">
        <v>108</v>
      </c>
      <c r="I33" s="42" t="s">
        <v>109</v>
      </c>
      <c r="J33" s="46"/>
      <c r="K33" s="46"/>
      <c r="L33" s="46"/>
      <c r="M33" s="46"/>
    </row>
    <row r="34" spans="1:13" s="52" customFormat="1" ht="116" x14ac:dyDescent="0.25">
      <c r="A34" s="41" t="s">
        <v>116</v>
      </c>
      <c r="B34" s="41"/>
      <c r="C34" s="42" t="s">
        <v>128</v>
      </c>
      <c r="D34" s="43">
        <v>2</v>
      </c>
      <c r="E34" s="44" t="s">
        <v>122</v>
      </c>
      <c r="F34" s="44" t="s">
        <v>471</v>
      </c>
      <c r="G34" s="44"/>
      <c r="H34" s="43"/>
      <c r="I34" s="42"/>
      <c r="J34" s="46"/>
      <c r="K34" s="46"/>
      <c r="L34" s="46"/>
      <c r="M34" s="46"/>
    </row>
    <row r="35" spans="1:13" s="52" customFormat="1" ht="159.5" x14ac:dyDescent="0.25">
      <c r="A35" s="41" t="s">
        <v>116</v>
      </c>
      <c r="B35" s="41"/>
      <c r="C35" s="42" t="s">
        <v>128</v>
      </c>
      <c r="D35" s="43">
        <v>3</v>
      </c>
      <c r="E35" s="44" t="s">
        <v>429</v>
      </c>
      <c r="F35" s="44" t="s">
        <v>125</v>
      </c>
      <c r="G35" s="44"/>
      <c r="H35" s="43"/>
      <c r="I35" s="42"/>
      <c r="J35" s="46"/>
      <c r="K35" s="46"/>
      <c r="L35" s="46"/>
      <c r="M35" s="46"/>
    </row>
    <row r="36" spans="1:13" s="52" customFormat="1" ht="409.5" x14ac:dyDescent="0.25">
      <c r="A36" s="41" t="s">
        <v>116</v>
      </c>
      <c r="B36" s="41"/>
      <c r="C36" s="42" t="s">
        <v>128</v>
      </c>
      <c r="D36" s="43">
        <v>4</v>
      </c>
      <c r="E36" s="44" t="s">
        <v>115</v>
      </c>
      <c r="F36" s="44" t="s">
        <v>469</v>
      </c>
      <c r="G36" s="44" t="s">
        <v>417</v>
      </c>
      <c r="H36" s="43"/>
      <c r="I36" s="42"/>
      <c r="J36" s="46"/>
      <c r="K36" s="46"/>
      <c r="L36" s="46"/>
      <c r="M36" s="46"/>
    </row>
    <row r="37" spans="1:13" s="52" customFormat="1" ht="43.5" x14ac:dyDescent="0.25">
      <c r="A37" s="41" t="s">
        <v>116</v>
      </c>
      <c r="B37" s="41"/>
      <c r="C37" s="42" t="s">
        <v>128</v>
      </c>
      <c r="D37" s="43">
        <v>5</v>
      </c>
      <c r="E37" s="44" t="s">
        <v>410</v>
      </c>
      <c r="F37" s="44" t="s">
        <v>118</v>
      </c>
      <c r="G37" s="44"/>
      <c r="H37" s="43"/>
      <c r="I37" s="42"/>
      <c r="J37" s="46"/>
      <c r="K37" s="46"/>
      <c r="L37" s="46"/>
      <c r="M37" s="46"/>
    </row>
    <row r="38" spans="1:13" s="52" customFormat="1" ht="15" x14ac:dyDescent="0.25">
      <c r="A38" s="47"/>
      <c r="B38" s="48" t="s">
        <v>130</v>
      </c>
      <c r="C38" s="48" t="s">
        <v>131</v>
      </c>
      <c r="D38" s="49"/>
      <c r="E38" s="50"/>
      <c r="F38" s="50"/>
      <c r="G38" s="50"/>
      <c r="H38" s="49"/>
      <c r="I38" s="48"/>
      <c r="J38" s="46"/>
      <c r="K38" s="46"/>
      <c r="L38" s="46"/>
      <c r="M38" s="46"/>
    </row>
    <row r="39" spans="1:13" s="52" customFormat="1" ht="87" x14ac:dyDescent="0.25">
      <c r="A39" s="41" t="s">
        <v>116</v>
      </c>
      <c r="B39" s="41"/>
      <c r="C39" s="42" t="s">
        <v>132</v>
      </c>
      <c r="D39" s="43">
        <v>1</v>
      </c>
      <c r="E39" s="44" t="s">
        <v>105</v>
      </c>
      <c r="F39" s="44" t="s">
        <v>106</v>
      </c>
      <c r="G39" s="44" t="s">
        <v>107</v>
      </c>
      <c r="H39" s="43" t="s">
        <v>108</v>
      </c>
      <c r="I39" s="42" t="s">
        <v>109</v>
      </c>
      <c r="J39" s="46"/>
      <c r="K39" s="46"/>
      <c r="L39" s="46"/>
      <c r="M39" s="46"/>
    </row>
    <row r="40" spans="1:13" s="52" customFormat="1" ht="116" x14ac:dyDescent="0.25">
      <c r="A40" s="41" t="s">
        <v>116</v>
      </c>
      <c r="B40" s="41"/>
      <c r="C40" s="42" t="s">
        <v>132</v>
      </c>
      <c r="D40" s="43">
        <v>2</v>
      </c>
      <c r="E40" s="44" t="s">
        <v>122</v>
      </c>
      <c r="F40" s="44" t="s">
        <v>471</v>
      </c>
      <c r="G40" s="44"/>
      <c r="H40" s="43"/>
      <c r="I40" s="42"/>
      <c r="J40" s="46"/>
      <c r="K40" s="46"/>
      <c r="L40" s="46"/>
      <c r="M40" s="46"/>
    </row>
    <row r="41" spans="1:13" s="52" customFormat="1" ht="159.5" x14ac:dyDescent="0.25">
      <c r="A41" s="41" t="s">
        <v>116</v>
      </c>
      <c r="B41" s="41"/>
      <c r="C41" s="42" t="s">
        <v>132</v>
      </c>
      <c r="D41" s="43">
        <v>3</v>
      </c>
      <c r="E41" s="44" t="s">
        <v>431</v>
      </c>
      <c r="F41" s="44" t="s">
        <v>125</v>
      </c>
      <c r="G41" s="44"/>
      <c r="H41" s="43"/>
      <c r="I41" s="42"/>
      <c r="J41" s="46"/>
      <c r="K41" s="46"/>
      <c r="L41" s="46"/>
      <c r="M41" s="46"/>
    </row>
    <row r="42" spans="1:13" s="52" customFormat="1" ht="409.5" x14ac:dyDescent="0.25">
      <c r="A42" s="41" t="s">
        <v>116</v>
      </c>
      <c r="B42" s="41"/>
      <c r="C42" s="42" t="s">
        <v>132</v>
      </c>
      <c r="D42" s="43">
        <v>4</v>
      </c>
      <c r="E42" s="44" t="s">
        <v>115</v>
      </c>
      <c r="F42" s="44" t="s">
        <v>469</v>
      </c>
      <c r="G42" s="44" t="s">
        <v>417</v>
      </c>
      <c r="H42" s="43"/>
      <c r="I42" s="42"/>
      <c r="J42" s="46"/>
      <c r="K42" s="46"/>
      <c r="L42" s="46"/>
      <c r="M42" s="46"/>
    </row>
    <row r="43" spans="1:13" s="52" customFormat="1" ht="43.5" x14ac:dyDescent="0.25">
      <c r="A43" s="41" t="s">
        <v>116</v>
      </c>
      <c r="B43" s="41"/>
      <c r="C43" s="42" t="s">
        <v>132</v>
      </c>
      <c r="D43" s="43">
        <v>5</v>
      </c>
      <c r="E43" s="44" t="s">
        <v>410</v>
      </c>
      <c r="F43" s="44" t="s">
        <v>118</v>
      </c>
      <c r="G43" s="44"/>
      <c r="H43" s="43"/>
      <c r="I43" s="42"/>
      <c r="J43" s="46"/>
      <c r="K43" s="46"/>
      <c r="L43" s="46"/>
      <c r="M43" s="46"/>
    </row>
    <row r="44" spans="1:13" s="52" customFormat="1" ht="15" x14ac:dyDescent="0.25">
      <c r="A44" s="47"/>
      <c r="B44" s="48" t="s">
        <v>134</v>
      </c>
      <c r="C44" s="48" t="s">
        <v>135</v>
      </c>
      <c r="D44" s="49"/>
      <c r="E44" s="50"/>
      <c r="F44" s="50"/>
      <c r="G44" s="50"/>
      <c r="H44" s="49"/>
      <c r="I44" s="51"/>
      <c r="J44" s="46"/>
      <c r="K44" s="46"/>
      <c r="L44" s="46"/>
      <c r="M44" s="46"/>
    </row>
    <row r="45" spans="1:13" s="52" customFormat="1" ht="87" x14ac:dyDescent="0.25">
      <c r="A45" s="41" t="s">
        <v>103</v>
      </c>
      <c r="B45" s="41"/>
      <c r="C45" s="42" t="s">
        <v>136</v>
      </c>
      <c r="D45" s="43">
        <v>1</v>
      </c>
      <c r="E45" s="44" t="s">
        <v>105</v>
      </c>
      <c r="F45" s="44" t="s">
        <v>106</v>
      </c>
      <c r="G45" s="44" t="s">
        <v>107</v>
      </c>
      <c r="H45" s="43" t="s">
        <v>108</v>
      </c>
      <c r="I45" s="42" t="s">
        <v>109</v>
      </c>
      <c r="J45" s="46"/>
      <c r="K45" s="46"/>
      <c r="L45" s="46"/>
      <c r="M45" s="46"/>
    </row>
    <row r="46" spans="1:13" s="52" customFormat="1" ht="72.5" x14ac:dyDescent="0.25">
      <c r="A46" s="41" t="s">
        <v>103</v>
      </c>
      <c r="B46" s="41"/>
      <c r="C46" s="42" t="s">
        <v>136</v>
      </c>
      <c r="D46" s="43">
        <v>2</v>
      </c>
      <c r="E46" s="44" t="s">
        <v>137</v>
      </c>
      <c r="F46" s="44" t="s">
        <v>467</v>
      </c>
      <c r="G46" s="44"/>
      <c r="H46" s="43"/>
      <c r="I46" s="42"/>
      <c r="J46" s="46"/>
      <c r="K46" s="46"/>
      <c r="L46" s="46"/>
      <c r="M46" s="46"/>
    </row>
    <row r="47" spans="1:13" s="52" customFormat="1" ht="43.5" x14ac:dyDescent="0.25">
      <c r="A47" s="41" t="s">
        <v>103</v>
      </c>
      <c r="B47" s="41"/>
      <c r="C47" s="42" t="s">
        <v>136</v>
      </c>
      <c r="D47" s="43">
        <v>3</v>
      </c>
      <c r="E47" s="44" t="s">
        <v>138</v>
      </c>
      <c r="F47" s="44" t="s">
        <v>139</v>
      </c>
      <c r="G47" s="44" t="s">
        <v>140</v>
      </c>
      <c r="H47" s="43"/>
      <c r="I47" s="42"/>
      <c r="J47" s="46"/>
      <c r="K47" s="46"/>
      <c r="L47" s="46"/>
      <c r="M47" s="46"/>
    </row>
    <row r="48" spans="1:13" s="52" customFormat="1" ht="391.5" x14ac:dyDescent="0.25">
      <c r="A48" s="41" t="s">
        <v>103</v>
      </c>
      <c r="B48" s="41"/>
      <c r="C48" s="42" t="s">
        <v>136</v>
      </c>
      <c r="D48" s="43">
        <v>4</v>
      </c>
      <c r="E48" s="44" t="s">
        <v>115</v>
      </c>
      <c r="F48" s="44" t="s">
        <v>470</v>
      </c>
      <c r="G48" s="44" t="s">
        <v>437</v>
      </c>
      <c r="H48" s="43"/>
      <c r="I48" s="42"/>
      <c r="J48" s="46"/>
      <c r="K48" s="46"/>
      <c r="L48" s="46"/>
      <c r="M48" s="46"/>
    </row>
    <row r="49" spans="1:13" s="52" customFormat="1" ht="43.5" x14ac:dyDescent="0.25">
      <c r="A49" s="41" t="s">
        <v>116</v>
      </c>
      <c r="B49" s="41"/>
      <c r="C49" s="42" t="s">
        <v>136</v>
      </c>
      <c r="D49" s="43">
        <v>5</v>
      </c>
      <c r="E49" s="44" t="s">
        <v>410</v>
      </c>
      <c r="F49" s="44" t="s">
        <v>118</v>
      </c>
      <c r="G49" s="44"/>
      <c r="H49" s="43"/>
      <c r="I49" s="42"/>
      <c r="J49" s="46"/>
      <c r="K49" s="46"/>
      <c r="L49" s="46"/>
      <c r="M49" s="46"/>
    </row>
    <row r="50" spans="1:13" s="52" customFormat="1" ht="15" x14ac:dyDescent="0.25">
      <c r="A50" s="47"/>
      <c r="B50" s="48" t="s">
        <v>141</v>
      </c>
      <c r="C50" s="48" t="s">
        <v>142</v>
      </c>
      <c r="D50" s="49"/>
      <c r="E50" s="50"/>
      <c r="F50" s="50"/>
      <c r="G50" s="50"/>
      <c r="H50" s="49"/>
      <c r="I50" s="48"/>
      <c r="J50" s="46"/>
      <c r="K50" s="46"/>
      <c r="L50" s="46"/>
      <c r="M50" s="46"/>
    </row>
    <row r="51" spans="1:13" s="52" customFormat="1" ht="101.5" x14ac:dyDescent="0.25">
      <c r="A51" s="41" t="s">
        <v>116</v>
      </c>
      <c r="B51" s="41"/>
      <c r="C51" s="42" t="s">
        <v>143</v>
      </c>
      <c r="D51" s="43">
        <v>1</v>
      </c>
      <c r="E51" s="44" t="s">
        <v>105</v>
      </c>
      <c r="F51" s="44" t="s">
        <v>106</v>
      </c>
      <c r="G51" s="44" t="s">
        <v>107</v>
      </c>
      <c r="H51" s="43" t="s">
        <v>144</v>
      </c>
      <c r="I51" s="42" t="s">
        <v>145</v>
      </c>
      <c r="J51" s="46"/>
      <c r="K51" s="46"/>
      <c r="L51" s="46"/>
      <c r="M51" s="46"/>
    </row>
    <row r="52" spans="1:13" s="52" customFormat="1" ht="43.5" x14ac:dyDescent="0.25">
      <c r="A52" s="41" t="s">
        <v>116</v>
      </c>
      <c r="B52" s="41"/>
      <c r="C52" s="42" t="s">
        <v>143</v>
      </c>
      <c r="D52" s="43">
        <v>2</v>
      </c>
      <c r="E52" s="44" t="s">
        <v>110</v>
      </c>
      <c r="F52" s="44" t="s">
        <v>146</v>
      </c>
      <c r="G52" s="44"/>
      <c r="H52" s="43"/>
      <c r="I52" s="42"/>
      <c r="J52" s="46"/>
      <c r="K52" s="46"/>
      <c r="L52" s="46"/>
      <c r="M52" s="46"/>
    </row>
    <row r="53" spans="1:13" s="52" customFormat="1" ht="43.5" x14ac:dyDescent="0.25">
      <c r="A53" s="41" t="s">
        <v>116</v>
      </c>
      <c r="B53" s="41"/>
      <c r="C53" s="42" t="s">
        <v>143</v>
      </c>
      <c r="D53" s="43">
        <v>3</v>
      </c>
      <c r="E53" s="44" t="s">
        <v>113</v>
      </c>
      <c r="F53" s="44" t="s">
        <v>114</v>
      </c>
      <c r="G53" s="44"/>
      <c r="H53" s="43"/>
      <c r="I53" s="42"/>
      <c r="J53" s="46"/>
      <c r="K53" s="46"/>
      <c r="L53" s="46"/>
      <c r="M53" s="46"/>
    </row>
    <row r="54" spans="1:13" s="52" customFormat="1" ht="409.5" x14ac:dyDescent="0.25">
      <c r="A54" s="41" t="s">
        <v>116</v>
      </c>
      <c r="B54" s="41"/>
      <c r="C54" s="42" t="s">
        <v>143</v>
      </c>
      <c r="D54" s="43">
        <v>4</v>
      </c>
      <c r="E54" s="44" t="s">
        <v>147</v>
      </c>
      <c r="F54" s="44" t="s">
        <v>468</v>
      </c>
      <c r="G54" s="44" t="s">
        <v>418</v>
      </c>
      <c r="H54" s="43"/>
      <c r="I54" s="42"/>
      <c r="J54" s="46"/>
      <c r="K54" s="46"/>
      <c r="L54" s="46"/>
      <c r="M54" s="46"/>
    </row>
    <row r="55" spans="1:13" s="52" customFormat="1" ht="58" x14ac:dyDescent="0.25">
      <c r="A55" s="41" t="s">
        <v>116</v>
      </c>
      <c r="B55" s="41"/>
      <c r="C55" s="42" t="s">
        <v>143</v>
      </c>
      <c r="D55" s="43">
        <v>5</v>
      </c>
      <c r="E55" s="44" t="s">
        <v>148</v>
      </c>
      <c r="F55" s="44" t="s">
        <v>416</v>
      </c>
      <c r="G55" s="44"/>
      <c r="H55" s="43"/>
      <c r="I55" s="42"/>
      <c r="J55" s="46"/>
      <c r="K55" s="46"/>
      <c r="L55" s="46"/>
      <c r="M55" s="46"/>
    </row>
    <row r="56" spans="1:13" s="52" customFormat="1" ht="217.5" x14ac:dyDescent="0.25">
      <c r="A56" s="41" t="s">
        <v>116</v>
      </c>
      <c r="B56" s="41"/>
      <c r="C56" s="42" t="s">
        <v>143</v>
      </c>
      <c r="D56" s="43">
        <v>6</v>
      </c>
      <c r="E56" s="44" t="s">
        <v>150</v>
      </c>
      <c r="F56" s="44" t="s">
        <v>441</v>
      </c>
      <c r="G56" s="44" t="s">
        <v>151</v>
      </c>
      <c r="H56" s="43"/>
      <c r="I56" s="42"/>
      <c r="J56" s="46"/>
      <c r="K56" s="46"/>
      <c r="L56" s="46"/>
      <c r="M56" s="46"/>
    </row>
    <row r="57" spans="1:13" s="52" customFormat="1" ht="43.5" x14ac:dyDescent="0.25">
      <c r="A57" s="41" t="s">
        <v>116</v>
      </c>
      <c r="B57" s="41"/>
      <c r="C57" s="42" t="s">
        <v>143</v>
      </c>
      <c r="D57" s="43">
        <v>7</v>
      </c>
      <c r="E57" s="44" t="s">
        <v>410</v>
      </c>
      <c r="F57" s="44" t="s">
        <v>118</v>
      </c>
      <c r="G57" s="44"/>
      <c r="H57" s="43"/>
      <c r="I57" s="42"/>
      <c r="J57" s="46"/>
      <c r="K57" s="46"/>
      <c r="L57" s="46"/>
      <c r="M57" s="46"/>
    </row>
    <row r="58" spans="1:13" s="52" customFormat="1" ht="15" x14ac:dyDescent="0.25">
      <c r="A58" s="47"/>
      <c r="B58" s="48" t="s">
        <v>152</v>
      </c>
      <c r="C58" s="48" t="s">
        <v>153</v>
      </c>
      <c r="D58" s="49"/>
      <c r="E58" s="50"/>
      <c r="F58" s="50"/>
      <c r="G58" s="50"/>
      <c r="H58" s="49"/>
      <c r="I58" s="48"/>
      <c r="J58" s="46"/>
      <c r="K58" s="46"/>
      <c r="L58" s="46"/>
      <c r="M58" s="46"/>
    </row>
    <row r="59" spans="1:13" s="52" customFormat="1" ht="101.5" x14ac:dyDescent="0.25">
      <c r="A59" s="41" t="s">
        <v>116</v>
      </c>
      <c r="B59" s="41"/>
      <c r="C59" s="42" t="s">
        <v>154</v>
      </c>
      <c r="D59" s="43">
        <v>1</v>
      </c>
      <c r="E59" s="44" t="s">
        <v>105</v>
      </c>
      <c r="F59" s="44" t="s">
        <v>106</v>
      </c>
      <c r="G59" s="44" t="s">
        <v>107</v>
      </c>
      <c r="H59" s="43" t="s">
        <v>144</v>
      </c>
      <c r="I59" s="42" t="s">
        <v>145</v>
      </c>
      <c r="J59" s="46"/>
      <c r="K59" s="46"/>
      <c r="L59" s="46"/>
      <c r="M59" s="46"/>
    </row>
    <row r="60" spans="1:13" s="52" customFormat="1" ht="116" x14ac:dyDescent="0.25">
      <c r="A60" s="41" t="s">
        <v>116</v>
      </c>
      <c r="B60" s="41"/>
      <c r="C60" s="42" t="s">
        <v>154</v>
      </c>
      <c r="D60" s="43">
        <v>2</v>
      </c>
      <c r="E60" s="44" t="s">
        <v>155</v>
      </c>
      <c r="F60" s="44" t="s">
        <v>471</v>
      </c>
      <c r="G60" s="44"/>
      <c r="H60" s="43"/>
      <c r="I60" s="42"/>
      <c r="J60" s="46"/>
      <c r="K60" s="46"/>
      <c r="L60" s="46"/>
      <c r="M60" s="46"/>
    </row>
    <row r="61" spans="1:13" s="52" customFormat="1" ht="159.5" x14ac:dyDescent="0.25">
      <c r="A61" s="41" t="s">
        <v>116</v>
      </c>
      <c r="B61" s="41"/>
      <c r="C61" s="42" t="s">
        <v>154</v>
      </c>
      <c r="D61" s="43">
        <v>3</v>
      </c>
      <c r="E61" s="44" t="s">
        <v>430</v>
      </c>
      <c r="F61" s="44" t="s">
        <v>125</v>
      </c>
      <c r="G61" s="44"/>
      <c r="H61" s="43"/>
      <c r="I61" s="42"/>
      <c r="J61" s="46"/>
      <c r="K61" s="46"/>
      <c r="L61" s="46"/>
      <c r="M61" s="46"/>
    </row>
    <row r="62" spans="1:13" s="52" customFormat="1" ht="409.5" x14ac:dyDescent="0.25">
      <c r="A62" s="41" t="s">
        <v>116</v>
      </c>
      <c r="B62" s="41"/>
      <c r="C62" s="42" t="s">
        <v>154</v>
      </c>
      <c r="D62" s="43">
        <v>4</v>
      </c>
      <c r="E62" s="44" t="s">
        <v>115</v>
      </c>
      <c r="F62" s="44" t="s">
        <v>469</v>
      </c>
      <c r="G62" s="44" t="s">
        <v>432</v>
      </c>
      <c r="H62" s="43"/>
      <c r="I62" s="42"/>
      <c r="J62" s="46"/>
      <c r="K62" s="46"/>
      <c r="L62" s="46"/>
      <c r="M62" s="46"/>
    </row>
    <row r="63" spans="1:13" s="52" customFormat="1" ht="72.5" x14ac:dyDescent="0.25">
      <c r="A63" s="41" t="s">
        <v>116</v>
      </c>
      <c r="B63" s="41"/>
      <c r="C63" s="42" t="s">
        <v>154</v>
      </c>
      <c r="D63" s="43">
        <v>5</v>
      </c>
      <c r="E63" s="44" t="s">
        <v>148</v>
      </c>
      <c r="F63" s="44" t="s">
        <v>149</v>
      </c>
      <c r="G63" s="44"/>
      <c r="H63" s="43"/>
      <c r="I63" s="42"/>
      <c r="J63" s="46"/>
      <c r="K63" s="46"/>
      <c r="L63" s="46"/>
      <c r="M63" s="46"/>
    </row>
    <row r="64" spans="1:13" s="52" customFormat="1" ht="255" customHeight="1" x14ac:dyDescent="0.25">
      <c r="A64" s="41" t="s">
        <v>116</v>
      </c>
      <c r="B64" s="41"/>
      <c r="C64" s="42" t="s">
        <v>154</v>
      </c>
      <c r="D64" s="43">
        <v>6</v>
      </c>
      <c r="E64" s="44" t="s">
        <v>150</v>
      </c>
      <c r="F64" s="44" t="s">
        <v>441</v>
      </c>
      <c r="G64" s="44" t="s">
        <v>151</v>
      </c>
      <c r="H64" s="43"/>
      <c r="I64" s="42"/>
      <c r="J64" s="46"/>
      <c r="K64" s="46"/>
      <c r="L64" s="46"/>
      <c r="M64" s="46"/>
    </row>
    <row r="65" spans="1:13" s="52" customFormat="1" ht="43.5" x14ac:dyDescent="0.25">
      <c r="A65" s="41" t="s">
        <v>116</v>
      </c>
      <c r="B65" s="41"/>
      <c r="C65" s="42" t="s">
        <v>154</v>
      </c>
      <c r="D65" s="43">
        <v>7</v>
      </c>
      <c r="E65" s="44" t="s">
        <v>410</v>
      </c>
      <c r="F65" s="44" t="s">
        <v>118</v>
      </c>
      <c r="G65" s="44"/>
      <c r="H65" s="43"/>
      <c r="I65" s="42"/>
      <c r="J65" s="46"/>
      <c r="K65" s="46"/>
      <c r="L65" s="46"/>
      <c r="M65" s="46"/>
    </row>
    <row r="66" spans="1:13" s="52" customFormat="1" ht="15" x14ac:dyDescent="0.25">
      <c r="A66" s="53"/>
      <c r="B66" s="48" t="s">
        <v>157</v>
      </c>
      <c r="C66" s="48" t="s">
        <v>158</v>
      </c>
      <c r="D66" s="54"/>
      <c r="E66" s="55"/>
      <c r="F66" s="55"/>
      <c r="G66" s="55"/>
      <c r="H66" s="54"/>
      <c r="I66" s="56"/>
      <c r="J66" s="46"/>
      <c r="K66" s="46"/>
      <c r="L66" s="46"/>
      <c r="M66" s="46"/>
    </row>
    <row r="67" spans="1:13" s="52" customFormat="1" ht="101.5" x14ac:dyDescent="0.25">
      <c r="A67" s="41" t="s">
        <v>116</v>
      </c>
      <c r="B67" s="41"/>
      <c r="C67" s="42" t="s">
        <v>159</v>
      </c>
      <c r="D67" s="43">
        <v>1</v>
      </c>
      <c r="E67" s="44" t="s">
        <v>105</v>
      </c>
      <c r="F67" s="44" t="s">
        <v>106</v>
      </c>
      <c r="G67" s="44" t="s">
        <v>107</v>
      </c>
      <c r="H67" s="43" t="s">
        <v>144</v>
      </c>
      <c r="I67" s="42" t="s">
        <v>145</v>
      </c>
      <c r="J67" s="46"/>
      <c r="K67" s="46"/>
      <c r="L67" s="46"/>
      <c r="M67" s="46"/>
    </row>
    <row r="68" spans="1:13" s="52" customFormat="1" ht="116" x14ac:dyDescent="0.25">
      <c r="A68" s="41" t="s">
        <v>116</v>
      </c>
      <c r="B68" s="41"/>
      <c r="C68" s="42" t="s">
        <v>159</v>
      </c>
      <c r="D68" s="43">
        <v>2</v>
      </c>
      <c r="E68" s="44" t="s">
        <v>155</v>
      </c>
      <c r="F68" s="44" t="s">
        <v>471</v>
      </c>
      <c r="G68" s="44"/>
      <c r="H68" s="43"/>
      <c r="I68" s="42"/>
      <c r="J68" s="46"/>
      <c r="K68" s="46"/>
      <c r="L68" s="46"/>
      <c r="M68" s="46"/>
    </row>
    <row r="69" spans="1:13" s="52" customFormat="1" ht="159.5" x14ac:dyDescent="0.25">
      <c r="A69" s="41" t="s">
        <v>116</v>
      </c>
      <c r="B69" s="41"/>
      <c r="C69" s="42" t="s">
        <v>159</v>
      </c>
      <c r="D69" s="43">
        <v>3</v>
      </c>
      <c r="E69" s="44" t="s">
        <v>429</v>
      </c>
      <c r="F69" s="44" t="s">
        <v>125</v>
      </c>
      <c r="G69" s="44"/>
      <c r="H69" s="43"/>
      <c r="I69" s="42"/>
      <c r="J69" s="46"/>
      <c r="K69" s="46"/>
      <c r="L69" s="46"/>
      <c r="M69" s="46"/>
    </row>
    <row r="70" spans="1:13" s="52" customFormat="1" ht="409.5" x14ac:dyDescent="0.25">
      <c r="A70" s="41" t="s">
        <v>116</v>
      </c>
      <c r="B70" s="41"/>
      <c r="C70" s="42" t="s">
        <v>159</v>
      </c>
      <c r="D70" s="43">
        <v>4</v>
      </c>
      <c r="E70" s="44" t="s">
        <v>115</v>
      </c>
      <c r="F70" s="44" t="s">
        <v>469</v>
      </c>
      <c r="G70" s="83" t="s">
        <v>433</v>
      </c>
      <c r="H70" s="43"/>
      <c r="I70" s="42"/>
      <c r="J70" s="46"/>
      <c r="K70" s="46"/>
      <c r="L70" s="46"/>
      <c r="M70" s="46"/>
    </row>
    <row r="71" spans="1:13" s="52" customFormat="1" ht="72.5" x14ac:dyDescent="0.25">
      <c r="A71" s="41" t="s">
        <v>116</v>
      </c>
      <c r="B71" s="41"/>
      <c r="C71" s="42" t="s">
        <v>159</v>
      </c>
      <c r="D71" s="43">
        <v>5</v>
      </c>
      <c r="E71" s="44" t="s">
        <v>148</v>
      </c>
      <c r="F71" s="44" t="s">
        <v>149</v>
      </c>
      <c r="G71" s="44"/>
      <c r="H71" s="43"/>
      <c r="I71" s="42"/>
      <c r="J71" s="46"/>
      <c r="K71" s="46"/>
      <c r="L71" s="46"/>
      <c r="M71" s="46"/>
    </row>
    <row r="72" spans="1:13" s="52" customFormat="1" ht="217.5" x14ac:dyDescent="0.25">
      <c r="A72" s="41" t="s">
        <v>116</v>
      </c>
      <c r="B72" s="41"/>
      <c r="C72" s="42" t="s">
        <v>159</v>
      </c>
      <c r="D72" s="43">
        <v>6</v>
      </c>
      <c r="E72" s="44" t="s">
        <v>150</v>
      </c>
      <c r="F72" s="44" t="s">
        <v>441</v>
      </c>
      <c r="G72" s="44" t="s">
        <v>151</v>
      </c>
      <c r="H72" s="43"/>
      <c r="I72" s="42"/>
      <c r="J72" s="46"/>
      <c r="K72" s="46"/>
      <c r="L72" s="46"/>
      <c r="M72" s="46"/>
    </row>
    <row r="73" spans="1:13" s="52" customFormat="1" ht="43.5" x14ac:dyDescent="0.25">
      <c r="A73" s="41" t="s">
        <v>116</v>
      </c>
      <c r="B73" s="41"/>
      <c r="C73" s="42" t="s">
        <v>159</v>
      </c>
      <c r="D73" s="43">
        <v>7</v>
      </c>
      <c r="E73" s="44" t="s">
        <v>410</v>
      </c>
      <c r="F73" s="44" t="s">
        <v>118</v>
      </c>
      <c r="G73" s="44"/>
      <c r="H73" s="43"/>
      <c r="I73" s="42"/>
      <c r="J73" s="46"/>
      <c r="K73" s="46"/>
      <c r="L73" s="46"/>
      <c r="M73" s="46"/>
    </row>
    <row r="74" spans="1:13" s="52" customFormat="1" ht="15" x14ac:dyDescent="0.25">
      <c r="A74" s="53"/>
      <c r="B74" s="48" t="s">
        <v>161</v>
      </c>
      <c r="C74" s="48" t="s">
        <v>162</v>
      </c>
      <c r="D74" s="54"/>
      <c r="E74" s="55"/>
      <c r="F74" s="55"/>
      <c r="G74" s="55"/>
      <c r="H74" s="54"/>
      <c r="I74" s="56"/>
      <c r="J74" s="46"/>
      <c r="K74" s="46"/>
      <c r="L74" s="46"/>
      <c r="M74" s="46"/>
    </row>
    <row r="75" spans="1:13" s="52" customFormat="1" ht="101.5" x14ac:dyDescent="0.25">
      <c r="A75" s="41" t="s">
        <v>116</v>
      </c>
      <c r="B75" s="41"/>
      <c r="C75" s="42" t="s">
        <v>163</v>
      </c>
      <c r="D75" s="43">
        <v>1</v>
      </c>
      <c r="E75" s="44" t="s">
        <v>105</v>
      </c>
      <c r="F75" s="44" t="s">
        <v>106</v>
      </c>
      <c r="G75" s="44" t="s">
        <v>164</v>
      </c>
      <c r="H75" s="43" t="s">
        <v>108</v>
      </c>
      <c r="I75" s="42" t="s">
        <v>145</v>
      </c>
      <c r="J75" s="46"/>
      <c r="K75" s="46"/>
      <c r="L75" s="46"/>
      <c r="M75" s="46"/>
    </row>
    <row r="76" spans="1:13" s="52" customFormat="1" ht="72.5" x14ac:dyDescent="0.25">
      <c r="A76" s="41" t="s">
        <v>116</v>
      </c>
      <c r="B76" s="41"/>
      <c r="C76" s="42" t="s">
        <v>163</v>
      </c>
      <c r="D76" s="43">
        <v>2</v>
      </c>
      <c r="E76" s="44" t="s">
        <v>137</v>
      </c>
      <c r="F76" s="44" t="s">
        <v>467</v>
      </c>
      <c r="G76" s="44"/>
      <c r="H76" s="43"/>
      <c r="I76" s="42"/>
      <c r="J76" s="46"/>
      <c r="K76" s="46"/>
      <c r="L76" s="46"/>
      <c r="M76" s="46"/>
    </row>
    <row r="77" spans="1:13" s="52" customFormat="1" ht="43.5" x14ac:dyDescent="0.25">
      <c r="A77" s="41" t="s">
        <v>116</v>
      </c>
      <c r="B77" s="41"/>
      <c r="C77" s="42" t="s">
        <v>163</v>
      </c>
      <c r="D77" s="43">
        <v>3</v>
      </c>
      <c r="E77" s="44" t="s">
        <v>138</v>
      </c>
      <c r="F77" s="44" t="s">
        <v>139</v>
      </c>
      <c r="G77" s="44" t="s">
        <v>140</v>
      </c>
      <c r="H77" s="43"/>
      <c r="I77" s="42"/>
      <c r="J77" s="46"/>
      <c r="K77" s="46"/>
      <c r="L77" s="46"/>
      <c r="M77" s="46"/>
    </row>
    <row r="78" spans="1:13" s="52" customFormat="1" ht="391.5" x14ac:dyDescent="0.25">
      <c r="A78" s="41" t="s">
        <v>116</v>
      </c>
      <c r="B78" s="41"/>
      <c r="C78" s="42" t="s">
        <v>163</v>
      </c>
      <c r="D78" s="43">
        <v>4</v>
      </c>
      <c r="E78" s="44" t="s">
        <v>115</v>
      </c>
      <c r="F78" s="44" t="s">
        <v>470</v>
      </c>
      <c r="G78" s="44" t="s">
        <v>438</v>
      </c>
      <c r="H78" s="43"/>
      <c r="I78" s="42"/>
      <c r="J78" s="46"/>
      <c r="K78" s="46"/>
      <c r="L78" s="46"/>
      <c r="M78" s="46"/>
    </row>
    <row r="79" spans="1:13" s="52" customFormat="1" ht="72.5" x14ac:dyDescent="0.25">
      <c r="A79" s="41" t="s">
        <v>116</v>
      </c>
      <c r="B79" s="41"/>
      <c r="C79" s="42" t="s">
        <v>163</v>
      </c>
      <c r="D79" s="43">
        <v>5</v>
      </c>
      <c r="E79" s="44" t="s">
        <v>148</v>
      </c>
      <c r="F79" s="44" t="s">
        <v>149</v>
      </c>
      <c r="G79" s="44"/>
      <c r="H79" s="43"/>
      <c r="I79" s="42"/>
      <c r="J79" s="46"/>
      <c r="K79" s="46"/>
      <c r="L79" s="46"/>
      <c r="M79" s="46"/>
    </row>
    <row r="80" spans="1:13" s="52" customFormat="1" ht="217.5" x14ac:dyDescent="0.25">
      <c r="A80" s="41" t="s">
        <v>116</v>
      </c>
      <c r="B80" s="41"/>
      <c r="C80" s="42" t="s">
        <v>163</v>
      </c>
      <c r="D80" s="43">
        <v>6</v>
      </c>
      <c r="E80" s="44" t="s">
        <v>150</v>
      </c>
      <c r="F80" s="44" t="s">
        <v>441</v>
      </c>
      <c r="G80" s="44" t="s">
        <v>151</v>
      </c>
      <c r="H80" s="43"/>
      <c r="I80" s="42"/>
      <c r="J80" s="46"/>
      <c r="K80" s="46"/>
      <c r="L80" s="46"/>
      <c r="M80" s="46"/>
    </row>
    <row r="81" spans="1:13" s="52" customFormat="1" ht="43.5" x14ac:dyDescent="0.25">
      <c r="A81" s="41" t="s">
        <v>116</v>
      </c>
      <c r="B81" s="41"/>
      <c r="C81" s="42" t="s">
        <v>163</v>
      </c>
      <c r="D81" s="43">
        <v>7</v>
      </c>
      <c r="E81" s="44" t="s">
        <v>410</v>
      </c>
      <c r="F81" s="44" t="s">
        <v>118</v>
      </c>
      <c r="G81" s="44"/>
      <c r="H81" s="43"/>
      <c r="I81" s="42"/>
      <c r="J81" s="46"/>
      <c r="K81" s="46"/>
      <c r="L81" s="46"/>
      <c r="M81" s="46"/>
    </row>
    <row r="82" spans="1:13" s="52" customFormat="1" ht="15" x14ac:dyDescent="0.25">
      <c r="A82" s="47"/>
      <c r="B82" s="48" t="s">
        <v>165</v>
      </c>
      <c r="C82" s="48" t="s">
        <v>166</v>
      </c>
      <c r="D82" s="49"/>
      <c r="E82" s="50"/>
      <c r="F82" s="50"/>
      <c r="G82" s="50"/>
      <c r="H82" s="49"/>
      <c r="I82" s="48"/>
      <c r="J82" s="46"/>
      <c r="K82" s="46"/>
      <c r="L82" s="46"/>
      <c r="M82" s="46"/>
    </row>
    <row r="83" spans="1:13" s="52" customFormat="1" ht="72.5" x14ac:dyDescent="0.25">
      <c r="A83" s="41" t="s">
        <v>116</v>
      </c>
      <c r="B83" s="41"/>
      <c r="C83" s="42" t="s">
        <v>167</v>
      </c>
      <c r="D83" s="43">
        <v>1</v>
      </c>
      <c r="E83" s="44" t="s">
        <v>105</v>
      </c>
      <c r="F83" s="44" t="s">
        <v>106</v>
      </c>
      <c r="G83" s="44" t="s">
        <v>107</v>
      </c>
      <c r="H83" s="43" t="s">
        <v>144</v>
      </c>
      <c r="I83" s="42" t="s">
        <v>109</v>
      </c>
      <c r="J83" s="46"/>
      <c r="K83" s="46"/>
      <c r="L83" s="46"/>
      <c r="M83" s="46"/>
    </row>
    <row r="84" spans="1:13" s="52" customFormat="1" ht="43.5" x14ac:dyDescent="0.25">
      <c r="A84" s="41" t="s">
        <v>116</v>
      </c>
      <c r="B84" s="41"/>
      <c r="C84" s="42" t="s">
        <v>167</v>
      </c>
      <c r="D84" s="43">
        <v>2</v>
      </c>
      <c r="E84" s="44" t="s">
        <v>110</v>
      </c>
      <c r="F84" s="44" t="s">
        <v>146</v>
      </c>
      <c r="G84" s="44"/>
      <c r="H84" s="43"/>
      <c r="I84" s="42"/>
      <c r="J84" s="46"/>
      <c r="K84" s="46"/>
      <c r="L84" s="46"/>
      <c r="M84" s="46"/>
    </row>
    <row r="85" spans="1:13" s="52" customFormat="1" ht="43.5" x14ac:dyDescent="0.25">
      <c r="A85" s="41" t="s">
        <v>116</v>
      </c>
      <c r="B85" s="41"/>
      <c r="C85" s="42" t="s">
        <v>167</v>
      </c>
      <c r="D85" s="43">
        <v>3</v>
      </c>
      <c r="E85" s="44" t="s">
        <v>113</v>
      </c>
      <c r="F85" s="44" t="s">
        <v>114</v>
      </c>
      <c r="G85" s="44"/>
      <c r="H85" s="43"/>
      <c r="I85" s="42"/>
      <c r="J85" s="46"/>
      <c r="K85" s="46"/>
      <c r="L85" s="46"/>
      <c r="M85" s="46"/>
    </row>
    <row r="86" spans="1:13" s="52" customFormat="1" ht="409.5" x14ac:dyDescent="0.25">
      <c r="A86" s="41" t="s">
        <v>116</v>
      </c>
      <c r="B86" s="41"/>
      <c r="C86" s="42" t="s">
        <v>167</v>
      </c>
      <c r="D86" s="43">
        <v>4</v>
      </c>
      <c r="E86" s="44" t="s">
        <v>147</v>
      </c>
      <c r="F86" s="44" t="s">
        <v>468</v>
      </c>
      <c r="G86" s="44" t="s">
        <v>418</v>
      </c>
      <c r="H86" s="43"/>
      <c r="I86" s="42"/>
      <c r="J86" s="46"/>
      <c r="K86" s="46"/>
      <c r="L86" s="46"/>
      <c r="M86" s="46"/>
    </row>
    <row r="87" spans="1:13" s="52" customFormat="1" ht="150" customHeight="1" x14ac:dyDescent="0.25">
      <c r="A87" s="41" t="s">
        <v>116</v>
      </c>
      <c r="B87" s="41"/>
      <c r="C87" s="42" t="s">
        <v>167</v>
      </c>
      <c r="D87" s="43">
        <v>5</v>
      </c>
      <c r="E87" s="44" t="s">
        <v>148</v>
      </c>
      <c r="F87" s="44" t="s">
        <v>416</v>
      </c>
      <c r="G87" s="44"/>
      <c r="H87" s="43"/>
      <c r="I87" s="42"/>
      <c r="J87" s="46"/>
      <c r="K87" s="46"/>
      <c r="L87" s="46"/>
      <c r="M87" s="46"/>
    </row>
    <row r="88" spans="1:13" s="52" customFormat="1" ht="132" customHeight="1" x14ac:dyDescent="0.25">
      <c r="A88" s="41" t="s">
        <v>116</v>
      </c>
      <c r="B88" s="41"/>
      <c r="C88" s="42" t="s">
        <v>167</v>
      </c>
      <c r="D88" s="43">
        <v>6</v>
      </c>
      <c r="E88" s="44" t="s">
        <v>168</v>
      </c>
      <c r="F88" s="44" t="s">
        <v>169</v>
      </c>
      <c r="G88" s="44" t="s">
        <v>170</v>
      </c>
      <c r="H88" s="43"/>
      <c r="I88" s="42"/>
      <c r="J88" s="46"/>
      <c r="K88" s="46"/>
      <c r="L88" s="46"/>
      <c r="M88" s="46"/>
    </row>
    <row r="89" spans="1:13" s="52" customFormat="1" ht="43.5" x14ac:dyDescent="0.25">
      <c r="A89" s="41" t="s">
        <v>116</v>
      </c>
      <c r="B89" s="41"/>
      <c r="C89" s="42" t="s">
        <v>167</v>
      </c>
      <c r="D89" s="43">
        <v>7</v>
      </c>
      <c r="E89" s="44" t="s">
        <v>410</v>
      </c>
      <c r="F89" s="44" t="s">
        <v>118</v>
      </c>
      <c r="G89" s="44"/>
      <c r="H89" s="43"/>
      <c r="I89" s="42"/>
      <c r="J89" s="46"/>
      <c r="K89" s="46"/>
      <c r="L89" s="46"/>
      <c r="M89" s="46"/>
    </row>
    <row r="90" spans="1:13" s="52" customFormat="1" ht="15" x14ac:dyDescent="0.25">
      <c r="A90" s="47"/>
      <c r="B90" s="48" t="s">
        <v>171</v>
      </c>
      <c r="C90" s="48" t="s">
        <v>172</v>
      </c>
      <c r="D90" s="49"/>
      <c r="E90" s="50"/>
      <c r="F90" s="50"/>
      <c r="G90" s="50"/>
      <c r="H90" s="49"/>
      <c r="I90" s="48"/>
      <c r="J90" s="46"/>
      <c r="K90" s="46"/>
      <c r="L90" s="46"/>
      <c r="M90" s="46"/>
    </row>
    <row r="91" spans="1:13" s="52" customFormat="1" ht="72.5" x14ac:dyDescent="0.25">
      <c r="A91" s="41" t="s">
        <v>116</v>
      </c>
      <c r="B91" s="41"/>
      <c r="C91" s="42" t="s">
        <v>173</v>
      </c>
      <c r="D91" s="43">
        <v>1</v>
      </c>
      <c r="E91" s="44" t="s">
        <v>105</v>
      </c>
      <c r="F91" s="44" t="s">
        <v>106</v>
      </c>
      <c r="G91" s="44" t="s">
        <v>107</v>
      </c>
      <c r="H91" s="43" t="s">
        <v>144</v>
      </c>
      <c r="I91" s="42" t="s">
        <v>109</v>
      </c>
      <c r="J91" s="46"/>
      <c r="K91" s="46"/>
      <c r="L91" s="46"/>
      <c r="M91" s="46"/>
    </row>
    <row r="92" spans="1:13" s="52" customFormat="1" ht="116" x14ac:dyDescent="0.25">
      <c r="A92" s="41" t="s">
        <v>116</v>
      </c>
      <c r="B92" s="41"/>
      <c r="C92" s="42" t="s">
        <v>173</v>
      </c>
      <c r="D92" s="43">
        <v>2</v>
      </c>
      <c r="E92" s="44" t="s">
        <v>174</v>
      </c>
      <c r="F92" s="44" t="s">
        <v>471</v>
      </c>
      <c r="G92" s="44"/>
      <c r="H92" s="43"/>
      <c r="I92" s="42"/>
      <c r="J92" s="46"/>
      <c r="K92" s="46"/>
      <c r="L92" s="46"/>
      <c r="M92" s="46"/>
    </row>
    <row r="93" spans="1:13" s="52" customFormat="1" ht="159.5" x14ac:dyDescent="0.25">
      <c r="A93" s="41" t="s">
        <v>116</v>
      </c>
      <c r="B93" s="41"/>
      <c r="C93" s="42" t="s">
        <v>173</v>
      </c>
      <c r="D93" s="43">
        <v>3</v>
      </c>
      <c r="E93" s="44" t="s">
        <v>430</v>
      </c>
      <c r="F93" s="44" t="s">
        <v>125</v>
      </c>
      <c r="G93" s="44"/>
      <c r="H93" s="43"/>
      <c r="I93" s="42"/>
      <c r="J93" s="46"/>
      <c r="K93" s="46"/>
      <c r="L93" s="46"/>
      <c r="M93" s="46"/>
    </row>
    <row r="94" spans="1:13" s="52" customFormat="1" ht="409.5" x14ac:dyDescent="0.25">
      <c r="A94" s="41" t="s">
        <v>116</v>
      </c>
      <c r="B94" s="41"/>
      <c r="C94" s="42" t="s">
        <v>173</v>
      </c>
      <c r="D94" s="43">
        <v>4</v>
      </c>
      <c r="E94" s="44" t="s">
        <v>115</v>
      </c>
      <c r="F94" s="44" t="s">
        <v>469</v>
      </c>
      <c r="G94" s="44" t="s">
        <v>434</v>
      </c>
      <c r="H94" s="43"/>
      <c r="I94" s="42"/>
      <c r="J94" s="46"/>
      <c r="K94" s="46"/>
      <c r="L94" s="46"/>
      <c r="M94" s="46"/>
    </row>
    <row r="95" spans="1:13" s="52" customFormat="1" ht="151.5" customHeight="1" x14ac:dyDescent="0.25">
      <c r="A95" s="41" t="s">
        <v>116</v>
      </c>
      <c r="B95" s="41"/>
      <c r="C95" s="42" t="s">
        <v>173</v>
      </c>
      <c r="D95" s="43">
        <v>5</v>
      </c>
      <c r="E95" s="44" t="s">
        <v>148</v>
      </c>
      <c r="F95" s="44" t="s">
        <v>416</v>
      </c>
      <c r="G95" s="44"/>
      <c r="H95" s="43"/>
      <c r="I95" s="42"/>
      <c r="J95" s="46"/>
      <c r="K95" s="46"/>
      <c r="L95" s="46"/>
      <c r="M95" s="46"/>
    </row>
    <row r="96" spans="1:13" s="52" customFormat="1" ht="123" customHeight="1" x14ac:dyDescent="0.25">
      <c r="A96" s="41" t="s">
        <v>116</v>
      </c>
      <c r="B96" s="41"/>
      <c r="C96" s="42" t="s">
        <v>173</v>
      </c>
      <c r="D96" s="43">
        <v>6</v>
      </c>
      <c r="E96" s="44" t="s">
        <v>168</v>
      </c>
      <c r="F96" s="44" t="s">
        <v>169</v>
      </c>
      <c r="G96" s="44" t="s">
        <v>170</v>
      </c>
      <c r="H96" s="43"/>
      <c r="I96" s="42"/>
      <c r="J96" s="46"/>
      <c r="K96" s="46"/>
      <c r="L96" s="46"/>
      <c r="M96" s="46"/>
    </row>
    <row r="97" spans="1:13" s="52" customFormat="1" ht="43.5" x14ac:dyDescent="0.25">
      <c r="A97" s="41" t="s">
        <v>116</v>
      </c>
      <c r="B97" s="41"/>
      <c r="C97" s="42" t="s">
        <v>173</v>
      </c>
      <c r="D97" s="43">
        <v>7</v>
      </c>
      <c r="E97" s="44" t="s">
        <v>410</v>
      </c>
      <c r="F97" s="44" t="s">
        <v>118</v>
      </c>
      <c r="G97" s="44"/>
      <c r="H97" s="43"/>
      <c r="I97" s="42"/>
      <c r="J97" s="46"/>
      <c r="K97" s="46"/>
      <c r="L97" s="46"/>
      <c r="M97" s="46"/>
    </row>
    <row r="98" spans="1:13" s="52" customFormat="1" ht="15" x14ac:dyDescent="0.25">
      <c r="A98" s="53"/>
      <c r="B98" s="48" t="s">
        <v>175</v>
      </c>
      <c r="C98" s="48" t="s">
        <v>176</v>
      </c>
      <c r="D98" s="54"/>
      <c r="E98" s="55"/>
      <c r="F98" s="55"/>
      <c r="G98" s="55"/>
      <c r="H98" s="54"/>
      <c r="I98" s="56"/>
      <c r="J98" s="46"/>
      <c r="K98" s="46"/>
      <c r="L98" s="46"/>
      <c r="M98" s="46"/>
    </row>
    <row r="99" spans="1:13" s="52" customFormat="1" ht="72.5" x14ac:dyDescent="0.25">
      <c r="A99" s="41" t="s">
        <v>116</v>
      </c>
      <c r="B99" s="41"/>
      <c r="C99" s="42" t="s">
        <v>177</v>
      </c>
      <c r="D99" s="43">
        <v>1</v>
      </c>
      <c r="E99" s="44" t="s">
        <v>105</v>
      </c>
      <c r="F99" s="44" t="s">
        <v>106</v>
      </c>
      <c r="G99" s="44" t="s">
        <v>107</v>
      </c>
      <c r="H99" s="43" t="s">
        <v>144</v>
      </c>
      <c r="I99" s="42" t="s">
        <v>109</v>
      </c>
      <c r="J99" s="46"/>
      <c r="K99" s="46"/>
      <c r="L99" s="46"/>
      <c r="M99" s="46"/>
    </row>
    <row r="100" spans="1:13" s="52" customFormat="1" ht="116" x14ac:dyDescent="0.25">
      <c r="A100" s="41" t="s">
        <v>116</v>
      </c>
      <c r="B100" s="41"/>
      <c r="C100" s="42" t="s">
        <v>177</v>
      </c>
      <c r="D100" s="43">
        <v>2</v>
      </c>
      <c r="E100" s="44" t="s">
        <v>122</v>
      </c>
      <c r="F100" s="44" t="s">
        <v>471</v>
      </c>
      <c r="G100" s="44"/>
      <c r="H100" s="43"/>
      <c r="I100" s="42"/>
      <c r="J100" s="46"/>
      <c r="K100" s="46"/>
      <c r="L100" s="46"/>
      <c r="M100" s="46"/>
    </row>
    <row r="101" spans="1:13" s="52" customFormat="1" ht="159.5" x14ac:dyDescent="0.25">
      <c r="A101" s="41" t="s">
        <v>116</v>
      </c>
      <c r="B101" s="41"/>
      <c r="C101" s="42" t="s">
        <v>177</v>
      </c>
      <c r="D101" s="43">
        <v>3</v>
      </c>
      <c r="E101" s="44" t="s">
        <v>429</v>
      </c>
      <c r="F101" s="44" t="s">
        <v>125</v>
      </c>
      <c r="G101" s="44"/>
      <c r="H101" s="43"/>
      <c r="I101" s="42"/>
      <c r="J101" s="46"/>
      <c r="K101" s="46"/>
      <c r="L101" s="46"/>
      <c r="M101" s="46"/>
    </row>
    <row r="102" spans="1:13" s="52" customFormat="1" ht="409.5" x14ac:dyDescent="0.25">
      <c r="A102" s="41" t="s">
        <v>116</v>
      </c>
      <c r="B102" s="41"/>
      <c r="C102" s="42" t="s">
        <v>177</v>
      </c>
      <c r="D102" s="43">
        <v>4</v>
      </c>
      <c r="E102" s="44" t="s">
        <v>115</v>
      </c>
      <c r="F102" s="44" t="s">
        <v>469</v>
      </c>
      <c r="G102" s="44" t="s">
        <v>435</v>
      </c>
      <c r="H102" s="43"/>
      <c r="I102" s="42"/>
      <c r="J102" s="46"/>
      <c r="K102" s="46"/>
      <c r="L102" s="46"/>
      <c r="M102" s="46"/>
    </row>
    <row r="103" spans="1:13" s="52" customFormat="1" ht="139.5" customHeight="1" x14ac:dyDescent="0.25">
      <c r="A103" s="41" t="s">
        <v>116</v>
      </c>
      <c r="B103" s="41"/>
      <c r="C103" s="42" t="s">
        <v>177</v>
      </c>
      <c r="D103" s="43">
        <v>5</v>
      </c>
      <c r="E103" s="44" t="s">
        <v>148</v>
      </c>
      <c r="F103" s="44" t="s">
        <v>416</v>
      </c>
      <c r="G103" s="44"/>
      <c r="H103" s="43"/>
      <c r="I103" s="42"/>
      <c r="J103" s="46"/>
      <c r="K103" s="46"/>
      <c r="L103" s="46"/>
      <c r="M103" s="46"/>
    </row>
    <row r="104" spans="1:13" s="52" customFormat="1" ht="129" customHeight="1" x14ac:dyDescent="0.25">
      <c r="A104" s="41" t="s">
        <v>116</v>
      </c>
      <c r="B104" s="41"/>
      <c r="C104" s="42" t="s">
        <v>177</v>
      </c>
      <c r="D104" s="43">
        <v>6</v>
      </c>
      <c r="E104" s="44" t="s">
        <v>168</v>
      </c>
      <c r="F104" s="44" t="s">
        <v>169</v>
      </c>
      <c r="G104" s="44" t="s">
        <v>170</v>
      </c>
      <c r="H104" s="43"/>
      <c r="I104" s="42"/>
      <c r="J104" s="46"/>
      <c r="K104" s="46"/>
      <c r="L104" s="46"/>
      <c r="M104" s="46"/>
    </row>
    <row r="105" spans="1:13" s="52" customFormat="1" ht="43.5" x14ac:dyDescent="0.25">
      <c r="A105" s="41" t="s">
        <v>116</v>
      </c>
      <c r="B105" s="41"/>
      <c r="C105" s="42" t="s">
        <v>177</v>
      </c>
      <c r="D105" s="43">
        <v>7</v>
      </c>
      <c r="E105" s="44" t="s">
        <v>410</v>
      </c>
      <c r="F105" s="44" t="s">
        <v>118</v>
      </c>
      <c r="G105" s="44"/>
      <c r="H105" s="43"/>
      <c r="I105" s="42"/>
      <c r="J105" s="46"/>
      <c r="K105" s="46"/>
      <c r="L105" s="46"/>
      <c r="M105" s="46"/>
    </row>
    <row r="106" spans="1:13" s="52" customFormat="1" ht="15" x14ac:dyDescent="0.25">
      <c r="A106" s="53"/>
      <c r="B106" s="48" t="s">
        <v>178</v>
      </c>
      <c r="C106" s="48" t="s">
        <v>179</v>
      </c>
      <c r="D106" s="54"/>
      <c r="E106" s="55"/>
      <c r="F106" s="55"/>
      <c r="G106" s="55"/>
      <c r="H106" s="54"/>
      <c r="I106" s="56"/>
      <c r="J106" s="46"/>
      <c r="K106" s="46"/>
      <c r="L106" s="46"/>
      <c r="M106" s="46"/>
    </row>
    <row r="107" spans="1:13" s="52" customFormat="1" ht="87" x14ac:dyDescent="0.25">
      <c r="A107" s="41" t="s">
        <v>116</v>
      </c>
      <c r="B107" s="41"/>
      <c r="C107" s="42" t="s">
        <v>180</v>
      </c>
      <c r="D107" s="43">
        <v>1</v>
      </c>
      <c r="E107" s="44" t="s">
        <v>105</v>
      </c>
      <c r="F107" s="44" t="s">
        <v>106</v>
      </c>
      <c r="G107" s="44" t="s">
        <v>107</v>
      </c>
      <c r="H107" s="43" t="s">
        <v>108</v>
      </c>
      <c r="I107" s="42" t="s">
        <v>109</v>
      </c>
      <c r="J107" s="46"/>
      <c r="K107" s="46"/>
      <c r="L107" s="46"/>
      <c r="M107" s="46"/>
    </row>
    <row r="108" spans="1:13" s="52" customFormat="1" ht="72.5" x14ac:dyDescent="0.25">
      <c r="A108" s="41" t="s">
        <v>116</v>
      </c>
      <c r="B108" s="41"/>
      <c r="C108" s="42" t="s">
        <v>180</v>
      </c>
      <c r="D108" s="43">
        <v>2</v>
      </c>
      <c r="E108" s="44" t="s">
        <v>137</v>
      </c>
      <c r="F108" s="44" t="s">
        <v>467</v>
      </c>
      <c r="G108" s="44"/>
      <c r="H108" s="43"/>
      <c r="I108" s="42"/>
      <c r="J108" s="46"/>
      <c r="K108" s="46"/>
      <c r="L108" s="46"/>
      <c r="M108" s="46"/>
    </row>
    <row r="109" spans="1:13" s="52" customFormat="1" ht="43.5" x14ac:dyDescent="0.25">
      <c r="A109" s="41" t="s">
        <v>116</v>
      </c>
      <c r="B109" s="41"/>
      <c r="C109" s="42" t="s">
        <v>180</v>
      </c>
      <c r="D109" s="43">
        <v>3</v>
      </c>
      <c r="E109" s="44" t="s">
        <v>138</v>
      </c>
      <c r="F109" s="44" t="s">
        <v>139</v>
      </c>
      <c r="G109" s="44" t="s">
        <v>140</v>
      </c>
      <c r="H109" s="43"/>
      <c r="I109" s="42"/>
      <c r="J109" s="46"/>
      <c r="K109" s="46"/>
      <c r="L109" s="46"/>
      <c r="M109" s="46"/>
    </row>
    <row r="110" spans="1:13" s="52" customFormat="1" ht="391.5" x14ac:dyDescent="0.25">
      <c r="A110" s="41" t="s">
        <v>116</v>
      </c>
      <c r="B110" s="41"/>
      <c r="C110" s="42" t="s">
        <v>180</v>
      </c>
      <c r="D110" s="43">
        <v>4</v>
      </c>
      <c r="E110" s="44" t="s">
        <v>115</v>
      </c>
      <c r="F110" s="44" t="s">
        <v>470</v>
      </c>
      <c r="G110" s="44" t="s">
        <v>439</v>
      </c>
      <c r="H110" s="43"/>
      <c r="I110" s="42"/>
      <c r="J110" s="46"/>
      <c r="K110" s="46"/>
      <c r="L110" s="46"/>
      <c r="M110" s="46"/>
    </row>
    <row r="111" spans="1:13" s="52" customFormat="1" ht="58" x14ac:dyDescent="0.25">
      <c r="A111" s="41" t="s">
        <v>116</v>
      </c>
      <c r="B111" s="41"/>
      <c r="C111" s="42" t="s">
        <v>180</v>
      </c>
      <c r="D111" s="43">
        <v>5</v>
      </c>
      <c r="E111" s="44" t="s">
        <v>148</v>
      </c>
      <c r="F111" s="44" t="s">
        <v>416</v>
      </c>
      <c r="G111" s="44"/>
      <c r="H111" s="43"/>
      <c r="I111" s="42"/>
      <c r="J111" s="46"/>
      <c r="K111" s="46"/>
      <c r="L111" s="46"/>
      <c r="M111" s="46"/>
    </row>
    <row r="112" spans="1:13" s="52" customFormat="1" ht="87" x14ac:dyDescent="0.25">
      <c r="A112" s="41" t="s">
        <v>116</v>
      </c>
      <c r="B112" s="41"/>
      <c r="C112" s="42" t="s">
        <v>180</v>
      </c>
      <c r="D112" s="43">
        <v>6</v>
      </c>
      <c r="E112" s="44" t="s">
        <v>168</v>
      </c>
      <c r="F112" s="44" t="s">
        <v>169</v>
      </c>
      <c r="G112" s="44" t="s">
        <v>170</v>
      </c>
      <c r="H112" s="43"/>
      <c r="I112" s="42"/>
      <c r="J112" s="46"/>
      <c r="K112" s="46"/>
      <c r="L112" s="46"/>
      <c r="M112" s="46"/>
    </row>
    <row r="113" spans="1:13" s="52" customFormat="1" ht="43.5" x14ac:dyDescent="0.25">
      <c r="A113" s="41" t="s">
        <v>116</v>
      </c>
      <c r="B113" s="41"/>
      <c r="C113" s="42" t="s">
        <v>180</v>
      </c>
      <c r="D113" s="43">
        <v>7</v>
      </c>
      <c r="E113" s="44" t="s">
        <v>410</v>
      </c>
      <c r="F113" s="44" t="s">
        <v>118</v>
      </c>
      <c r="G113" s="44"/>
      <c r="H113" s="43"/>
      <c r="I113" s="42"/>
      <c r="J113" s="46"/>
      <c r="K113" s="46"/>
      <c r="L113" s="46"/>
      <c r="M113" s="46"/>
    </row>
    <row r="114" spans="1:13" s="52" customFormat="1" ht="15" x14ac:dyDescent="0.25">
      <c r="A114" s="53"/>
      <c r="B114" s="48" t="s">
        <v>181</v>
      </c>
      <c r="C114" s="48" t="s">
        <v>182</v>
      </c>
      <c r="D114" s="54"/>
      <c r="E114" s="55"/>
      <c r="F114" s="55"/>
      <c r="G114" s="55"/>
      <c r="H114" s="54"/>
      <c r="I114" s="56"/>
      <c r="J114" s="46"/>
      <c r="K114" s="46"/>
      <c r="L114" s="46"/>
      <c r="M114" s="46"/>
    </row>
    <row r="115" spans="1:13" s="52" customFormat="1" ht="72.5" x14ac:dyDescent="0.25">
      <c r="A115" s="41" t="s">
        <v>116</v>
      </c>
      <c r="B115" s="41"/>
      <c r="C115" s="42" t="s">
        <v>183</v>
      </c>
      <c r="D115" s="43">
        <v>1</v>
      </c>
      <c r="E115" s="44" t="s">
        <v>105</v>
      </c>
      <c r="F115" s="44" t="s">
        <v>106</v>
      </c>
      <c r="G115" s="44" t="s">
        <v>107</v>
      </c>
      <c r="H115" s="43" t="s">
        <v>144</v>
      </c>
      <c r="I115" s="42" t="s">
        <v>109</v>
      </c>
      <c r="J115" s="46"/>
      <c r="K115" s="46"/>
      <c r="L115" s="46"/>
      <c r="M115" s="46"/>
    </row>
    <row r="116" spans="1:13" s="52" customFormat="1" ht="43.5" x14ac:dyDescent="0.25">
      <c r="A116" s="41" t="s">
        <v>116</v>
      </c>
      <c r="B116" s="41"/>
      <c r="C116" s="42" t="s">
        <v>183</v>
      </c>
      <c r="D116" s="43">
        <v>2</v>
      </c>
      <c r="E116" s="44" t="s">
        <v>110</v>
      </c>
      <c r="F116" s="44" t="s">
        <v>146</v>
      </c>
      <c r="G116" s="44"/>
      <c r="H116" s="43"/>
      <c r="I116" s="42"/>
      <c r="J116" s="46"/>
      <c r="K116" s="46"/>
      <c r="L116" s="46"/>
      <c r="M116" s="46"/>
    </row>
    <row r="117" spans="1:13" s="52" customFormat="1" ht="43.5" x14ac:dyDescent="0.25">
      <c r="A117" s="41" t="s">
        <v>116</v>
      </c>
      <c r="B117" s="41"/>
      <c r="C117" s="42" t="s">
        <v>183</v>
      </c>
      <c r="D117" s="43">
        <v>3</v>
      </c>
      <c r="E117" s="44" t="s">
        <v>113</v>
      </c>
      <c r="F117" s="44" t="s">
        <v>114</v>
      </c>
      <c r="G117" s="44"/>
      <c r="H117" s="43"/>
      <c r="I117" s="42"/>
      <c r="J117" s="46"/>
      <c r="K117" s="46"/>
      <c r="L117" s="46"/>
      <c r="M117" s="46"/>
    </row>
    <row r="118" spans="1:13" s="52" customFormat="1" ht="409.5" x14ac:dyDescent="0.25">
      <c r="A118" s="41" t="s">
        <v>116</v>
      </c>
      <c r="B118" s="41"/>
      <c r="C118" s="42" t="s">
        <v>183</v>
      </c>
      <c r="D118" s="43">
        <v>4</v>
      </c>
      <c r="E118" s="44" t="s">
        <v>147</v>
      </c>
      <c r="F118" s="44" t="s">
        <v>468</v>
      </c>
      <c r="G118" s="44" t="s">
        <v>418</v>
      </c>
      <c r="H118" s="43"/>
      <c r="I118" s="42"/>
      <c r="J118" s="46"/>
      <c r="K118" s="46"/>
      <c r="L118" s="46"/>
      <c r="M118" s="46"/>
    </row>
    <row r="119" spans="1:13" s="52" customFormat="1" ht="165" customHeight="1" x14ac:dyDescent="0.25">
      <c r="A119" s="41" t="s">
        <v>116</v>
      </c>
      <c r="B119" s="41"/>
      <c r="C119" s="42" t="s">
        <v>183</v>
      </c>
      <c r="D119" s="43">
        <v>5</v>
      </c>
      <c r="E119" s="44" t="s">
        <v>148</v>
      </c>
      <c r="F119" s="44" t="s">
        <v>416</v>
      </c>
      <c r="G119" s="44"/>
      <c r="H119" s="43"/>
      <c r="I119" s="42"/>
      <c r="J119" s="46"/>
      <c r="K119" s="46"/>
      <c r="L119" s="46"/>
      <c r="M119" s="46"/>
    </row>
    <row r="120" spans="1:13" s="52" customFormat="1" ht="147" customHeight="1" x14ac:dyDescent="0.25">
      <c r="A120" s="41" t="s">
        <v>116</v>
      </c>
      <c r="B120" s="41"/>
      <c r="C120" s="42" t="s">
        <v>183</v>
      </c>
      <c r="D120" s="43">
        <v>6</v>
      </c>
      <c r="E120" s="44" t="s">
        <v>184</v>
      </c>
      <c r="F120" s="44" t="s">
        <v>185</v>
      </c>
      <c r="G120" s="44" t="s">
        <v>186</v>
      </c>
      <c r="H120" s="43"/>
      <c r="I120" s="42"/>
      <c r="J120" s="46"/>
      <c r="K120" s="46"/>
      <c r="L120" s="46"/>
      <c r="M120" s="46"/>
    </row>
    <row r="121" spans="1:13" s="52" customFormat="1" ht="112.5" customHeight="1" x14ac:dyDescent="0.25">
      <c r="A121" s="41" t="s">
        <v>116</v>
      </c>
      <c r="B121" s="41"/>
      <c r="C121" s="42" t="s">
        <v>183</v>
      </c>
      <c r="D121" s="43">
        <v>7</v>
      </c>
      <c r="E121" s="44" t="s">
        <v>410</v>
      </c>
      <c r="F121" s="44" t="s">
        <v>118</v>
      </c>
      <c r="G121" s="44"/>
      <c r="H121" s="43"/>
      <c r="I121" s="42"/>
      <c r="J121" s="46"/>
      <c r="K121" s="46"/>
      <c r="L121" s="46"/>
      <c r="M121" s="46"/>
    </row>
    <row r="122" spans="1:13" s="52" customFormat="1" ht="15" x14ac:dyDescent="0.25">
      <c r="A122" s="47"/>
      <c r="B122" s="48" t="s">
        <v>187</v>
      </c>
      <c r="C122" s="48" t="s">
        <v>188</v>
      </c>
      <c r="D122" s="49"/>
      <c r="E122" s="50"/>
      <c r="F122" s="50"/>
      <c r="G122" s="50"/>
      <c r="H122" s="49"/>
      <c r="I122" s="48"/>
      <c r="J122" s="46"/>
      <c r="K122" s="46"/>
      <c r="L122" s="46"/>
      <c r="M122" s="46"/>
    </row>
    <row r="123" spans="1:13" s="52" customFormat="1" ht="72.5" x14ac:dyDescent="0.25">
      <c r="A123" s="41" t="s">
        <v>116</v>
      </c>
      <c r="B123" s="41"/>
      <c r="C123" s="42" t="s">
        <v>189</v>
      </c>
      <c r="D123" s="43">
        <v>1</v>
      </c>
      <c r="E123" s="44" t="s">
        <v>105</v>
      </c>
      <c r="F123" s="44" t="s">
        <v>106</v>
      </c>
      <c r="G123" s="44" t="s">
        <v>107</v>
      </c>
      <c r="H123" s="43" t="s">
        <v>144</v>
      </c>
      <c r="I123" s="42" t="s">
        <v>109</v>
      </c>
      <c r="J123" s="46"/>
      <c r="K123" s="46"/>
      <c r="L123" s="46"/>
      <c r="M123" s="46"/>
    </row>
    <row r="124" spans="1:13" s="52" customFormat="1" ht="116" x14ac:dyDescent="0.25">
      <c r="A124" s="41" t="s">
        <v>116</v>
      </c>
      <c r="B124" s="41"/>
      <c r="C124" s="42" t="s">
        <v>189</v>
      </c>
      <c r="D124" s="43">
        <v>2</v>
      </c>
      <c r="E124" s="44" t="s">
        <v>155</v>
      </c>
      <c r="F124" s="44" t="s">
        <v>471</v>
      </c>
      <c r="G124" s="44"/>
      <c r="H124" s="43"/>
      <c r="I124" s="42"/>
      <c r="J124" s="46"/>
      <c r="K124" s="46"/>
      <c r="L124" s="46"/>
      <c r="M124" s="46"/>
    </row>
    <row r="125" spans="1:13" s="52" customFormat="1" ht="159.5" x14ac:dyDescent="0.25">
      <c r="A125" s="41" t="s">
        <v>116</v>
      </c>
      <c r="B125" s="41"/>
      <c r="C125" s="42" t="s">
        <v>189</v>
      </c>
      <c r="D125" s="43">
        <v>3</v>
      </c>
      <c r="E125" s="44" t="s">
        <v>430</v>
      </c>
      <c r="F125" s="44" t="s">
        <v>125</v>
      </c>
      <c r="G125" s="44"/>
      <c r="H125" s="43"/>
      <c r="I125" s="42"/>
      <c r="J125" s="46"/>
      <c r="K125" s="46"/>
      <c r="L125" s="46"/>
      <c r="M125" s="46"/>
    </row>
    <row r="126" spans="1:13" s="52" customFormat="1" ht="409.5" x14ac:dyDescent="0.25">
      <c r="A126" s="41" t="s">
        <v>116</v>
      </c>
      <c r="B126" s="41"/>
      <c r="C126" s="42" t="s">
        <v>189</v>
      </c>
      <c r="D126" s="43">
        <v>4</v>
      </c>
      <c r="E126" s="44" t="s">
        <v>115</v>
      </c>
      <c r="F126" s="44" t="s">
        <v>469</v>
      </c>
      <c r="G126" s="44" t="s">
        <v>436</v>
      </c>
      <c r="H126" s="43"/>
      <c r="I126" s="42"/>
      <c r="J126" s="46"/>
      <c r="K126" s="46"/>
      <c r="L126" s="46"/>
      <c r="M126" s="46"/>
    </row>
    <row r="127" spans="1:13" s="52" customFormat="1" ht="180" customHeight="1" x14ac:dyDescent="0.25">
      <c r="A127" s="41" t="s">
        <v>116</v>
      </c>
      <c r="B127" s="41"/>
      <c r="C127" s="42" t="s">
        <v>189</v>
      </c>
      <c r="D127" s="43">
        <v>5</v>
      </c>
      <c r="E127" s="44" t="s">
        <v>148</v>
      </c>
      <c r="F127" s="44" t="s">
        <v>416</v>
      </c>
      <c r="G127" s="44"/>
      <c r="H127" s="43"/>
      <c r="I127" s="42"/>
      <c r="J127" s="46"/>
      <c r="K127" s="46"/>
      <c r="L127" s="46"/>
      <c r="M127" s="46"/>
    </row>
    <row r="128" spans="1:13" s="52" customFormat="1" ht="133.5" customHeight="1" x14ac:dyDescent="0.25">
      <c r="A128" s="41" t="s">
        <v>116</v>
      </c>
      <c r="B128" s="41"/>
      <c r="C128" s="42" t="s">
        <v>189</v>
      </c>
      <c r="D128" s="43">
        <v>6</v>
      </c>
      <c r="E128" s="44" t="s">
        <v>184</v>
      </c>
      <c r="F128" s="44" t="s">
        <v>185</v>
      </c>
      <c r="G128" s="44" t="s">
        <v>186</v>
      </c>
      <c r="H128" s="43"/>
      <c r="I128" s="42"/>
      <c r="J128" s="46"/>
      <c r="K128" s="46"/>
      <c r="L128" s="46"/>
      <c r="M128" s="46"/>
    </row>
    <row r="129" spans="1:13" s="52" customFormat="1" ht="43.5" x14ac:dyDescent="0.25">
      <c r="A129" s="41" t="s">
        <v>116</v>
      </c>
      <c r="B129" s="41"/>
      <c r="C129" s="42" t="s">
        <v>189</v>
      </c>
      <c r="D129" s="43">
        <v>7</v>
      </c>
      <c r="E129" s="44" t="s">
        <v>410</v>
      </c>
      <c r="F129" s="44" t="s">
        <v>118</v>
      </c>
      <c r="G129" s="44"/>
      <c r="H129" s="43"/>
      <c r="I129" s="42"/>
      <c r="J129" s="46"/>
      <c r="K129" s="46"/>
      <c r="L129" s="46"/>
      <c r="M129" s="46"/>
    </row>
    <row r="130" spans="1:13" s="52" customFormat="1" ht="15" x14ac:dyDescent="0.25">
      <c r="A130" s="47"/>
      <c r="B130" s="48" t="s">
        <v>190</v>
      </c>
      <c r="C130" s="48" t="s">
        <v>191</v>
      </c>
      <c r="D130" s="49"/>
      <c r="E130" s="50"/>
      <c r="F130" s="50"/>
      <c r="G130" s="50"/>
      <c r="H130" s="49"/>
      <c r="I130" s="48"/>
      <c r="J130" s="46"/>
      <c r="K130" s="46"/>
      <c r="L130" s="46"/>
      <c r="M130" s="46"/>
    </row>
    <row r="131" spans="1:13" s="52" customFormat="1" ht="72.5" x14ac:dyDescent="0.25">
      <c r="A131" s="41" t="s">
        <v>116</v>
      </c>
      <c r="B131" s="41"/>
      <c r="C131" s="42" t="s">
        <v>192</v>
      </c>
      <c r="D131" s="43">
        <v>1</v>
      </c>
      <c r="E131" s="44" t="s">
        <v>105</v>
      </c>
      <c r="F131" s="44" t="s">
        <v>106</v>
      </c>
      <c r="G131" s="44" t="s">
        <v>107</v>
      </c>
      <c r="H131" s="43" t="s">
        <v>144</v>
      </c>
      <c r="I131" s="42" t="s">
        <v>109</v>
      </c>
      <c r="J131" s="46"/>
      <c r="K131" s="46"/>
      <c r="L131" s="46"/>
      <c r="M131" s="46"/>
    </row>
    <row r="132" spans="1:13" s="52" customFormat="1" ht="116" x14ac:dyDescent="0.25">
      <c r="A132" s="41" t="s">
        <v>116</v>
      </c>
      <c r="B132" s="41"/>
      <c r="C132" s="42" t="s">
        <v>193</v>
      </c>
      <c r="D132" s="43">
        <v>2</v>
      </c>
      <c r="E132" s="44" t="s">
        <v>122</v>
      </c>
      <c r="F132" s="44" t="s">
        <v>471</v>
      </c>
      <c r="G132" s="44"/>
      <c r="H132" s="43"/>
      <c r="I132" s="42"/>
      <c r="J132" s="46"/>
      <c r="K132" s="46"/>
      <c r="L132" s="46"/>
      <c r="M132" s="46"/>
    </row>
    <row r="133" spans="1:13" s="52" customFormat="1" ht="159.5" x14ac:dyDescent="0.25">
      <c r="A133" s="41" t="s">
        <v>116</v>
      </c>
      <c r="B133" s="41"/>
      <c r="C133" s="42" t="s">
        <v>193</v>
      </c>
      <c r="D133" s="43">
        <v>3</v>
      </c>
      <c r="E133" s="44" t="s">
        <v>429</v>
      </c>
      <c r="F133" s="44" t="s">
        <v>125</v>
      </c>
      <c r="G133" s="44"/>
      <c r="H133" s="43"/>
      <c r="I133" s="42"/>
      <c r="J133" s="46"/>
      <c r="K133" s="46"/>
      <c r="L133" s="46"/>
      <c r="M133" s="46"/>
    </row>
    <row r="134" spans="1:13" s="52" customFormat="1" ht="409.5" x14ac:dyDescent="0.25">
      <c r="A134" s="41" t="s">
        <v>116</v>
      </c>
      <c r="B134" s="41"/>
      <c r="C134" s="42" t="s">
        <v>193</v>
      </c>
      <c r="D134" s="43">
        <v>4</v>
      </c>
      <c r="E134" s="44" t="s">
        <v>115</v>
      </c>
      <c r="F134" s="44" t="s">
        <v>469</v>
      </c>
      <c r="G134" s="44" t="s">
        <v>436</v>
      </c>
      <c r="H134" s="43"/>
      <c r="I134" s="42"/>
      <c r="J134" s="46"/>
      <c r="K134" s="46"/>
      <c r="L134" s="46"/>
      <c r="M134" s="46"/>
    </row>
    <row r="135" spans="1:13" s="52" customFormat="1" ht="182.25" customHeight="1" x14ac:dyDescent="0.25">
      <c r="A135" s="41" t="s">
        <v>116</v>
      </c>
      <c r="B135" s="41"/>
      <c r="C135" s="42" t="s">
        <v>193</v>
      </c>
      <c r="D135" s="43">
        <v>5</v>
      </c>
      <c r="E135" s="44" t="s">
        <v>148</v>
      </c>
      <c r="F135" s="44" t="s">
        <v>416</v>
      </c>
      <c r="G135" s="44"/>
      <c r="H135" s="43"/>
      <c r="I135" s="42"/>
      <c r="J135" s="46"/>
      <c r="K135" s="46"/>
      <c r="L135" s="46"/>
      <c r="M135" s="46"/>
    </row>
    <row r="136" spans="1:13" s="52" customFormat="1" ht="130.5" customHeight="1" x14ac:dyDescent="0.25">
      <c r="A136" s="41" t="s">
        <v>116</v>
      </c>
      <c r="B136" s="41"/>
      <c r="C136" s="42" t="s">
        <v>193</v>
      </c>
      <c r="D136" s="43">
        <v>6</v>
      </c>
      <c r="E136" s="44" t="s">
        <v>184</v>
      </c>
      <c r="F136" s="44" t="s">
        <v>185</v>
      </c>
      <c r="G136" s="44" t="s">
        <v>186</v>
      </c>
      <c r="H136" s="43"/>
      <c r="I136" s="42"/>
      <c r="J136" s="46"/>
      <c r="K136" s="46"/>
      <c r="L136" s="46"/>
      <c r="M136" s="46"/>
    </row>
    <row r="137" spans="1:13" s="52" customFormat="1" ht="43.5" x14ac:dyDescent="0.25">
      <c r="A137" s="41" t="s">
        <v>116</v>
      </c>
      <c r="B137" s="41"/>
      <c r="C137" s="42" t="s">
        <v>193</v>
      </c>
      <c r="D137" s="43">
        <v>7</v>
      </c>
      <c r="E137" s="44" t="s">
        <v>410</v>
      </c>
      <c r="F137" s="44" t="s">
        <v>118</v>
      </c>
      <c r="G137" s="44"/>
      <c r="H137" s="43"/>
      <c r="I137" s="42"/>
      <c r="J137" s="46"/>
      <c r="K137" s="46"/>
      <c r="L137" s="46"/>
      <c r="M137" s="46"/>
    </row>
    <row r="138" spans="1:13" s="52" customFormat="1" ht="15" x14ac:dyDescent="0.25">
      <c r="A138" s="47"/>
      <c r="B138" s="48" t="s">
        <v>194</v>
      </c>
      <c r="C138" s="48" t="s">
        <v>195</v>
      </c>
      <c r="D138" s="49"/>
      <c r="E138" s="50"/>
      <c r="F138" s="50"/>
      <c r="G138" s="50"/>
      <c r="H138" s="49"/>
      <c r="I138" s="48"/>
      <c r="J138" s="46"/>
      <c r="K138" s="46"/>
      <c r="L138" s="46"/>
      <c r="M138" s="46"/>
    </row>
    <row r="139" spans="1:13" s="52" customFormat="1" ht="87" x14ac:dyDescent="0.25">
      <c r="A139" s="41" t="s">
        <v>116</v>
      </c>
      <c r="B139" s="41"/>
      <c r="C139" s="42" t="s">
        <v>196</v>
      </c>
      <c r="D139" s="43">
        <v>1</v>
      </c>
      <c r="E139" s="44" t="s">
        <v>105</v>
      </c>
      <c r="F139" s="44" t="s">
        <v>106</v>
      </c>
      <c r="G139" s="44" t="s">
        <v>107</v>
      </c>
      <c r="H139" s="43" t="s">
        <v>108</v>
      </c>
      <c r="I139" s="42" t="s">
        <v>109</v>
      </c>
      <c r="J139" s="46"/>
      <c r="K139" s="46"/>
      <c r="L139" s="46"/>
      <c r="M139" s="46"/>
    </row>
    <row r="140" spans="1:13" s="52" customFormat="1" ht="72.5" x14ac:dyDescent="0.25">
      <c r="A140" s="41" t="s">
        <v>116</v>
      </c>
      <c r="B140" s="41"/>
      <c r="C140" s="42" t="s">
        <v>196</v>
      </c>
      <c r="D140" s="43">
        <v>2</v>
      </c>
      <c r="E140" s="44" t="s">
        <v>137</v>
      </c>
      <c r="F140" s="44" t="s">
        <v>467</v>
      </c>
      <c r="G140" s="44"/>
      <c r="H140" s="43"/>
      <c r="I140" s="42"/>
      <c r="J140" s="46"/>
      <c r="K140" s="46"/>
      <c r="L140" s="46"/>
      <c r="M140" s="46"/>
    </row>
    <row r="141" spans="1:13" s="52" customFormat="1" ht="43.5" x14ac:dyDescent="0.25">
      <c r="A141" s="41" t="s">
        <v>116</v>
      </c>
      <c r="B141" s="41"/>
      <c r="C141" s="42" t="s">
        <v>196</v>
      </c>
      <c r="D141" s="43">
        <v>3</v>
      </c>
      <c r="E141" s="44" t="s">
        <v>138</v>
      </c>
      <c r="F141" s="44" t="s">
        <v>139</v>
      </c>
      <c r="G141" s="44" t="s">
        <v>140</v>
      </c>
      <c r="H141" s="43"/>
      <c r="I141" s="42"/>
      <c r="J141" s="46"/>
      <c r="K141" s="46"/>
      <c r="L141" s="46"/>
      <c r="M141" s="46"/>
    </row>
    <row r="142" spans="1:13" s="52" customFormat="1" ht="391.5" x14ac:dyDescent="0.25">
      <c r="A142" s="41" t="s">
        <v>116</v>
      </c>
      <c r="B142" s="41"/>
      <c r="C142" s="42" t="s">
        <v>196</v>
      </c>
      <c r="D142" s="43">
        <v>4</v>
      </c>
      <c r="E142" s="44" t="s">
        <v>115</v>
      </c>
      <c r="F142" s="44" t="s">
        <v>470</v>
      </c>
      <c r="G142" s="44" t="s">
        <v>438</v>
      </c>
      <c r="H142" s="43"/>
      <c r="I142" s="42"/>
      <c r="J142" s="46"/>
      <c r="K142" s="46"/>
      <c r="L142" s="46"/>
      <c r="M142" s="46"/>
    </row>
    <row r="143" spans="1:13" s="52" customFormat="1" ht="58" x14ac:dyDescent="0.25">
      <c r="A143" s="41" t="s">
        <v>116</v>
      </c>
      <c r="B143" s="41"/>
      <c r="C143" s="42" t="s">
        <v>196</v>
      </c>
      <c r="D143" s="43">
        <v>5</v>
      </c>
      <c r="E143" s="44" t="s">
        <v>148</v>
      </c>
      <c r="F143" s="44" t="s">
        <v>416</v>
      </c>
      <c r="G143" s="44"/>
      <c r="H143" s="43"/>
      <c r="I143" s="42"/>
      <c r="J143" s="46"/>
      <c r="K143" s="46"/>
      <c r="L143" s="46"/>
      <c r="M143" s="46"/>
    </row>
    <row r="144" spans="1:13" s="52" customFormat="1" ht="58" x14ac:dyDescent="0.25">
      <c r="A144" s="41" t="s">
        <v>116</v>
      </c>
      <c r="B144" s="41"/>
      <c r="C144" s="42" t="s">
        <v>196</v>
      </c>
      <c r="D144" s="43">
        <v>6</v>
      </c>
      <c r="E144" s="44" t="s">
        <v>184</v>
      </c>
      <c r="F144" s="44" t="s">
        <v>185</v>
      </c>
      <c r="G144" s="44" t="s">
        <v>186</v>
      </c>
      <c r="H144" s="43"/>
      <c r="I144" s="42"/>
      <c r="J144" s="46"/>
      <c r="K144" s="46"/>
      <c r="L144" s="46"/>
      <c r="M144" s="46"/>
    </row>
    <row r="145" spans="1:13" s="52" customFormat="1" ht="43.5" x14ac:dyDescent="0.25">
      <c r="A145" s="41" t="s">
        <v>116</v>
      </c>
      <c r="B145" s="41"/>
      <c r="C145" s="42" t="s">
        <v>196</v>
      </c>
      <c r="D145" s="43">
        <v>7</v>
      </c>
      <c r="E145" s="44" t="s">
        <v>410</v>
      </c>
      <c r="F145" s="44" t="s">
        <v>118</v>
      </c>
      <c r="G145" s="44"/>
      <c r="H145" s="43"/>
      <c r="I145" s="42"/>
      <c r="J145" s="46"/>
      <c r="K145" s="46"/>
      <c r="L145" s="46"/>
      <c r="M145" s="46"/>
    </row>
    <row r="146" spans="1:13" s="52" customFormat="1" ht="15" x14ac:dyDescent="0.25">
      <c r="A146" s="47"/>
      <c r="B146" s="48" t="s">
        <v>197</v>
      </c>
      <c r="C146" s="48" t="s">
        <v>198</v>
      </c>
      <c r="D146" s="49"/>
      <c r="E146" s="50"/>
      <c r="F146" s="50"/>
      <c r="G146" s="50"/>
      <c r="H146" s="49"/>
      <c r="I146" s="48"/>
      <c r="J146" s="46"/>
      <c r="K146" s="46"/>
      <c r="L146" s="46"/>
      <c r="M146" s="46"/>
    </row>
    <row r="147" spans="1:13" s="52" customFormat="1" ht="174" x14ac:dyDescent="0.25">
      <c r="A147" s="41" t="s">
        <v>116</v>
      </c>
      <c r="B147" s="41"/>
      <c r="C147" s="42" t="s">
        <v>199</v>
      </c>
      <c r="D147" s="43">
        <v>1</v>
      </c>
      <c r="E147" s="44" t="s">
        <v>200</v>
      </c>
      <c r="F147" s="44" t="s">
        <v>201</v>
      </c>
      <c r="G147" s="44" t="s">
        <v>202</v>
      </c>
      <c r="H147" s="43" t="s">
        <v>203</v>
      </c>
      <c r="I147" s="42" t="s">
        <v>109</v>
      </c>
      <c r="J147" s="46"/>
      <c r="K147" s="46"/>
      <c r="L147" s="46"/>
      <c r="M147" s="46"/>
    </row>
    <row r="148" spans="1:13" s="52" customFormat="1" ht="130.5" x14ac:dyDescent="0.25">
      <c r="A148" s="41" t="s">
        <v>116</v>
      </c>
      <c r="B148" s="41"/>
      <c r="C148" s="42" t="s">
        <v>199</v>
      </c>
      <c r="D148" s="43">
        <v>2</v>
      </c>
      <c r="E148" s="44" t="s">
        <v>419</v>
      </c>
      <c r="F148" s="44" t="s">
        <v>204</v>
      </c>
      <c r="G148" s="44" t="s">
        <v>205</v>
      </c>
      <c r="H148" s="43"/>
      <c r="I148" s="42"/>
      <c r="J148" s="46"/>
      <c r="K148" s="46"/>
      <c r="L148" s="46"/>
      <c r="M148" s="46"/>
    </row>
    <row r="149" spans="1:13" s="52" customFormat="1" ht="43.5" x14ac:dyDescent="0.4">
      <c r="A149" s="41" t="s">
        <v>116</v>
      </c>
      <c r="B149" s="41"/>
      <c r="C149" s="42" t="s">
        <v>199</v>
      </c>
      <c r="D149" s="43">
        <v>3</v>
      </c>
      <c r="E149" s="44" t="s">
        <v>410</v>
      </c>
      <c r="F149" s="57" t="s">
        <v>118</v>
      </c>
      <c r="G149" s="44"/>
      <c r="H149" s="58"/>
      <c r="I149" s="42"/>
      <c r="J149" s="46"/>
      <c r="K149" s="46"/>
      <c r="L149" s="46"/>
      <c r="M149" s="46"/>
    </row>
    <row r="150" spans="1:13" s="52" customFormat="1" ht="15" x14ac:dyDescent="0.25">
      <c r="A150" s="47"/>
      <c r="B150" s="48" t="s">
        <v>206</v>
      </c>
      <c r="C150" s="48" t="s">
        <v>207</v>
      </c>
      <c r="D150" s="49"/>
      <c r="E150" s="50"/>
      <c r="F150" s="50"/>
      <c r="G150" s="50"/>
      <c r="H150" s="49"/>
      <c r="I150" s="48"/>
      <c r="J150" s="46"/>
      <c r="K150" s="46"/>
      <c r="L150" s="46"/>
      <c r="M150" s="46"/>
    </row>
    <row r="151" spans="1:13" s="52" customFormat="1" ht="174" x14ac:dyDescent="0.25">
      <c r="A151" s="41" t="s">
        <v>116</v>
      </c>
      <c r="B151" s="41"/>
      <c r="C151" s="42" t="s">
        <v>208</v>
      </c>
      <c r="D151" s="43">
        <v>1</v>
      </c>
      <c r="E151" s="44" t="s">
        <v>200</v>
      </c>
      <c r="F151" s="44" t="s">
        <v>201</v>
      </c>
      <c r="G151" s="44" t="s">
        <v>202</v>
      </c>
      <c r="H151" s="43" t="s">
        <v>203</v>
      </c>
      <c r="I151" s="42"/>
      <c r="J151" s="46"/>
      <c r="K151" s="46"/>
      <c r="L151" s="46"/>
      <c r="M151" s="46"/>
    </row>
    <row r="152" spans="1:13" s="52" customFormat="1" ht="130.5" x14ac:dyDescent="0.25">
      <c r="A152" s="41" t="s">
        <v>116</v>
      </c>
      <c r="B152" s="41"/>
      <c r="C152" s="42" t="s">
        <v>208</v>
      </c>
      <c r="D152" s="43">
        <v>2</v>
      </c>
      <c r="E152" s="44" t="s">
        <v>420</v>
      </c>
      <c r="F152" s="44" t="s">
        <v>209</v>
      </c>
      <c r="G152" s="44" t="s">
        <v>210</v>
      </c>
      <c r="H152" s="43"/>
      <c r="I152" s="42"/>
      <c r="J152" s="46"/>
      <c r="K152" s="46"/>
      <c r="L152" s="46"/>
      <c r="M152" s="46"/>
    </row>
    <row r="153" spans="1:13" s="52" customFormat="1" ht="43.5" x14ac:dyDescent="0.25">
      <c r="A153" s="41" t="s">
        <v>116</v>
      </c>
      <c r="B153" s="41"/>
      <c r="C153" s="42" t="s">
        <v>208</v>
      </c>
      <c r="D153" s="43">
        <v>3</v>
      </c>
      <c r="E153" s="44" t="s">
        <v>410</v>
      </c>
      <c r="F153" s="57" t="s">
        <v>118</v>
      </c>
      <c r="G153" s="44"/>
      <c r="H153" s="43"/>
      <c r="I153" s="42"/>
      <c r="J153" s="46"/>
      <c r="K153" s="46"/>
      <c r="L153" s="46"/>
      <c r="M153" s="46"/>
    </row>
    <row r="154" spans="1:13" s="52" customFormat="1" x14ac:dyDescent="0.45">
      <c r="A154" s="53"/>
      <c r="B154" s="48" t="s">
        <v>211</v>
      </c>
      <c r="C154" s="48" t="s">
        <v>212</v>
      </c>
      <c r="D154" s="54"/>
      <c r="E154" s="55"/>
      <c r="F154" s="59"/>
      <c r="G154" s="60"/>
      <c r="H154" s="60"/>
      <c r="I154" s="61"/>
      <c r="J154" s="46"/>
      <c r="K154" s="46"/>
      <c r="L154" s="46"/>
      <c r="M154" s="46"/>
    </row>
    <row r="155" spans="1:13" s="52" customFormat="1" ht="159.5" x14ac:dyDescent="0.25">
      <c r="A155" s="41" t="s">
        <v>116</v>
      </c>
      <c r="B155" s="41"/>
      <c r="C155" s="42" t="s">
        <v>213</v>
      </c>
      <c r="D155" s="43">
        <v>1</v>
      </c>
      <c r="E155" s="44" t="s">
        <v>200</v>
      </c>
      <c r="F155" s="44" t="s">
        <v>201</v>
      </c>
      <c r="G155" s="44" t="s">
        <v>214</v>
      </c>
      <c r="H155" s="43" t="s">
        <v>203</v>
      </c>
      <c r="I155" s="42" t="s">
        <v>109</v>
      </c>
      <c r="J155" s="46"/>
      <c r="K155" s="46"/>
      <c r="L155" s="46"/>
      <c r="M155" s="46"/>
    </row>
    <row r="156" spans="1:13" s="52" customFormat="1" ht="174" x14ac:dyDescent="0.25">
      <c r="A156" s="41" t="s">
        <v>116</v>
      </c>
      <c r="B156" s="41"/>
      <c r="C156" s="42" t="s">
        <v>213</v>
      </c>
      <c r="D156" s="43">
        <v>2</v>
      </c>
      <c r="E156" s="44" t="s">
        <v>421</v>
      </c>
      <c r="F156" s="44" t="s">
        <v>215</v>
      </c>
      <c r="G156" s="44" t="s">
        <v>216</v>
      </c>
      <c r="H156" s="43"/>
      <c r="I156" s="42"/>
      <c r="J156" s="46"/>
      <c r="K156" s="46"/>
      <c r="L156" s="46"/>
      <c r="M156" s="46"/>
    </row>
    <row r="157" spans="1:13" s="52" customFormat="1" ht="43.5" x14ac:dyDescent="0.25">
      <c r="A157" s="41" t="s">
        <v>116</v>
      </c>
      <c r="B157" s="41"/>
      <c r="C157" s="42" t="s">
        <v>213</v>
      </c>
      <c r="D157" s="43">
        <v>3</v>
      </c>
      <c r="E157" s="44" t="s">
        <v>410</v>
      </c>
      <c r="F157" s="57" t="s">
        <v>118</v>
      </c>
      <c r="G157" s="44"/>
      <c r="H157" s="43"/>
      <c r="I157" s="42"/>
      <c r="J157" s="46"/>
      <c r="K157" s="46"/>
      <c r="L157" s="46"/>
      <c r="M157" s="46"/>
    </row>
    <row r="158" spans="1:13" s="52" customFormat="1" ht="15" x14ac:dyDescent="0.25">
      <c r="A158" s="47"/>
      <c r="B158" s="48" t="s">
        <v>217</v>
      </c>
      <c r="C158" s="48" t="s">
        <v>218</v>
      </c>
      <c r="D158" s="49"/>
      <c r="E158" s="50"/>
      <c r="F158" s="50"/>
      <c r="G158" s="50"/>
      <c r="H158" s="49"/>
      <c r="I158" s="48"/>
      <c r="J158" s="46"/>
      <c r="K158" s="46"/>
      <c r="L158" s="46"/>
      <c r="M158" s="46"/>
    </row>
    <row r="159" spans="1:13" s="52" customFormat="1" ht="351" customHeight="1" x14ac:dyDescent="0.25">
      <c r="A159" s="41" t="s">
        <v>116</v>
      </c>
      <c r="B159" s="41"/>
      <c r="C159" s="42" t="s">
        <v>219</v>
      </c>
      <c r="D159" s="43">
        <v>1</v>
      </c>
      <c r="E159" s="44" t="s">
        <v>422</v>
      </c>
      <c r="F159" s="44" t="s">
        <v>425</v>
      </c>
      <c r="G159" s="44" t="s">
        <v>424</v>
      </c>
      <c r="H159" s="43" t="s">
        <v>220</v>
      </c>
      <c r="I159" s="42"/>
      <c r="J159" s="46"/>
      <c r="K159" s="46"/>
      <c r="L159" s="46"/>
      <c r="M159" s="46"/>
    </row>
    <row r="160" spans="1:13" s="52" customFormat="1" ht="43.5" x14ac:dyDescent="0.25">
      <c r="A160" s="41" t="s">
        <v>116</v>
      </c>
      <c r="B160" s="41"/>
      <c r="C160" s="42" t="s">
        <v>219</v>
      </c>
      <c r="D160" s="43">
        <v>2</v>
      </c>
      <c r="E160" s="44" t="s">
        <v>410</v>
      </c>
      <c r="F160" s="44" t="s">
        <v>118</v>
      </c>
      <c r="G160" s="44"/>
      <c r="H160" s="43"/>
      <c r="I160" s="42"/>
      <c r="J160" s="46"/>
      <c r="K160" s="46"/>
      <c r="L160" s="46"/>
      <c r="M160" s="46"/>
    </row>
    <row r="161" spans="1:13" s="52" customFormat="1" ht="15" x14ac:dyDescent="0.25">
      <c r="A161" s="47"/>
      <c r="B161" s="48" t="s">
        <v>221</v>
      </c>
      <c r="C161" s="48" t="s">
        <v>222</v>
      </c>
      <c r="D161" s="49"/>
      <c r="E161" s="50"/>
      <c r="F161" s="50"/>
      <c r="G161" s="50"/>
      <c r="H161" s="49"/>
      <c r="I161" s="48"/>
      <c r="J161" s="46"/>
      <c r="K161" s="46"/>
      <c r="L161" s="46"/>
      <c r="M161" s="46"/>
    </row>
    <row r="162" spans="1:13" s="52" customFormat="1" ht="409.5" x14ac:dyDescent="0.25">
      <c r="A162" s="41" t="s">
        <v>116</v>
      </c>
      <c r="B162" s="41"/>
      <c r="C162" s="42" t="s">
        <v>223</v>
      </c>
      <c r="D162" s="43">
        <v>1</v>
      </c>
      <c r="E162" s="44" t="s">
        <v>423</v>
      </c>
      <c r="F162" s="44" t="s">
        <v>224</v>
      </c>
      <c r="G162" s="44" t="s">
        <v>426</v>
      </c>
      <c r="H162" s="43" t="s">
        <v>220</v>
      </c>
      <c r="I162" s="42"/>
      <c r="J162" s="46"/>
      <c r="K162" s="46"/>
      <c r="L162" s="46"/>
      <c r="M162" s="46"/>
    </row>
    <row r="163" spans="1:13" s="52" customFormat="1" ht="43.5" x14ac:dyDescent="0.25">
      <c r="A163" s="41" t="s">
        <v>116</v>
      </c>
      <c r="B163" s="41"/>
      <c r="C163" s="42" t="s">
        <v>223</v>
      </c>
      <c r="D163" s="43">
        <v>2</v>
      </c>
      <c r="E163" s="44" t="s">
        <v>410</v>
      </c>
      <c r="F163" s="44" t="s">
        <v>118</v>
      </c>
      <c r="G163" s="44"/>
      <c r="H163" s="43"/>
      <c r="I163" s="42"/>
      <c r="J163" s="46"/>
      <c r="K163" s="46"/>
      <c r="L163" s="46"/>
      <c r="M163" s="46"/>
    </row>
    <row r="164" spans="1:13" s="52" customFormat="1" ht="15" x14ac:dyDescent="0.25">
      <c r="A164" s="53"/>
      <c r="B164" s="48" t="s">
        <v>225</v>
      </c>
      <c r="C164" s="48" t="s">
        <v>226</v>
      </c>
      <c r="D164" s="54"/>
      <c r="E164" s="55"/>
      <c r="F164" s="55"/>
      <c r="G164" s="55"/>
      <c r="H164" s="54"/>
      <c r="I164" s="56"/>
      <c r="J164" s="46"/>
      <c r="K164" s="46"/>
      <c r="L164" s="46"/>
      <c r="M164" s="46"/>
    </row>
    <row r="165" spans="1:13" s="52" customFormat="1" ht="261" x14ac:dyDescent="0.25">
      <c r="A165" s="41" t="s">
        <v>116</v>
      </c>
      <c r="B165" s="41"/>
      <c r="C165" s="42" t="s">
        <v>227</v>
      </c>
      <c r="D165" s="43">
        <v>1</v>
      </c>
      <c r="E165" s="44" t="s">
        <v>105</v>
      </c>
      <c r="F165" s="44" t="s">
        <v>106</v>
      </c>
      <c r="G165" s="44" t="s">
        <v>228</v>
      </c>
      <c r="H165" s="43" t="s">
        <v>144</v>
      </c>
      <c r="I165" s="42" t="s">
        <v>109</v>
      </c>
      <c r="J165" s="46"/>
      <c r="K165" s="46"/>
      <c r="L165" s="46"/>
      <c r="M165" s="46"/>
    </row>
    <row r="166" spans="1:13" s="52" customFormat="1" ht="409.5" customHeight="1" x14ac:dyDescent="0.25">
      <c r="A166" s="41" t="s">
        <v>116</v>
      </c>
      <c r="B166" s="41"/>
      <c r="C166" s="42" t="s">
        <v>227</v>
      </c>
      <c r="D166" s="43">
        <v>2</v>
      </c>
      <c r="E166" s="44" t="s">
        <v>229</v>
      </c>
      <c r="F166" s="44" t="s">
        <v>230</v>
      </c>
      <c r="G166" s="44" t="s">
        <v>427</v>
      </c>
      <c r="H166" s="43"/>
      <c r="I166" s="42"/>
      <c r="J166" s="46"/>
      <c r="K166" s="46"/>
      <c r="L166" s="46"/>
      <c r="M166" s="46"/>
    </row>
    <row r="167" spans="1:13" s="52" customFormat="1" ht="43.5" x14ac:dyDescent="0.25">
      <c r="A167" s="41" t="s">
        <v>116</v>
      </c>
      <c r="B167" s="41"/>
      <c r="C167" s="42" t="s">
        <v>227</v>
      </c>
      <c r="D167" s="43">
        <v>3</v>
      </c>
      <c r="E167" s="44" t="s">
        <v>231</v>
      </c>
      <c r="F167" s="44" t="s">
        <v>232</v>
      </c>
      <c r="G167" s="44"/>
      <c r="H167" s="43"/>
      <c r="I167" s="42"/>
      <c r="J167" s="46"/>
      <c r="K167" s="46"/>
      <c r="L167" s="46"/>
      <c r="M167" s="46"/>
    </row>
    <row r="168" spans="1:13" s="52" customFormat="1" ht="43.5" x14ac:dyDescent="0.25">
      <c r="A168" s="41" t="s">
        <v>116</v>
      </c>
      <c r="B168" s="41"/>
      <c r="C168" s="42" t="s">
        <v>227</v>
      </c>
      <c r="D168" s="43">
        <v>4</v>
      </c>
      <c r="E168" s="44" t="s">
        <v>410</v>
      </c>
      <c r="F168" s="44" t="s">
        <v>118</v>
      </c>
      <c r="G168" s="44"/>
      <c r="H168" s="43"/>
      <c r="I168" s="42"/>
      <c r="J168" s="46"/>
      <c r="K168" s="46"/>
      <c r="L168" s="46"/>
      <c r="M168" s="46"/>
    </row>
    <row r="169" spans="1:13" s="52" customFormat="1" ht="15" x14ac:dyDescent="0.25">
      <c r="A169" s="47"/>
      <c r="B169" s="48" t="s">
        <v>233</v>
      </c>
      <c r="C169" s="48" t="s">
        <v>234</v>
      </c>
      <c r="D169" s="49"/>
      <c r="E169" s="50"/>
      <c r="F169" s="62"/>
      <c r="G169" s="50"/>
      <c r="H169" s="49"/>
      <c r="I169" s="48"/>
      <c r="J169" s="46"/>
      <c r="K169" s="46"/>
      <c r="L169" s="46"/>
      <c r="M169" s="46"/>
    </row>
    <row r="170" spans="1:13" s="52" customFormat="1" ht="174" x14ac:dyDescent="0.4">
      <c r="A170" s="41" t="s">
        <v>116</v>
      </c>
      <c r="B170" s="41"/>
      <c r="C170" s="42" t="s">
        <v>235</v>
      </c>
      <c r="D170" s="43">
        <v>1</v>
      </c>
      <c r="E170" s="44" t="s">
        <v>236</v>
      </c>
      <c r="F170" s="44" t="s">
        <v>237</v>
      </c>
      <c r="G170" s="44" t="s">
        <v>238</v>
      </c>
      <c r="H170" s="43" t="s">
        <v>220</v>
      </c>
      <c r="I170" s="63"/>
      <c r="J170" s="46"/>
      <c r="K170" s="46"/>
      <c r="L170" s="46"/>
      <c r="M170" s="46"/>
    </row>
    <row r="171" spans="1:13" s="52" customFormat="1" ht="43.5" x14ac:dyDescent="0.45">
      <c r="A171" s="41" t="s">
        <v>103</v>
      </c>
      <c r="B171" s="41"/>
      <c r="C171" s="42" t="s">
        <v>235</v>
      </c>
      <c r="D171" s="43">
        <v>2</v>
      </c>
      <c r="E171" s="44" t="s">
        <v>410</v>
      </c>
      <c r="F171" s="57" t="s">
        <v>118</v>
      </c>
      <c r="G171" s="64"/>
      <c r="H171" s="64"/>
      <c r="I171" s="63"/>
      <c r="J171" s="46"/>
      <c r="K171" s="46"/>
      <c r="L171" s="46"/>
      <c r="M171" s="46"/>
    </row>
    <row r="172" spans="1:13" s="52" customFormat="1" ht="15" x14ac:dyDescent="0.25">
      <c r="A172" s="65"/>
      <c r="B172" s="48" t="s">
        <v>239</v>
      </c>
      <c r="C172" s="66" t="s">
        <v>240</v>
      </c>
      <c r="D172" s="67"/>
      <c r="E172" s="68"/>
      <c r="F172" s="68"/>
      <c r="G172" s="65"/>
      <c r="H172" s="65"/>
      <c r="I172" s="67"/>
      <c r="J172" s="46"/>
      <c r="K172" s="46"/>
      <c r="L172" s="46"/>
      <c r="M172" s="46"/>
    </row>
    <row r="173" spans="1:13" s="52" customFormat="1" ht="105" customHeight="1" x14ac:dyDescent="0.25">
      <c r="A173" s="41" t="s">
        <v>103</v>
      </c>
      <c r="B173" s="41"/>
      <c r="C173" s="41" t="s">
        <v>241</v>
      </c>
      <c r="D173" s="43">
        <v>1</v>
      </c>
      <c r="E173" s="44" t="s">
        <v>105</v>
      </c>
      <c r="F173" s="44" t="s">
        <v>106</v>
      </c>
      <c r="G173" s="44" t="s">
        <v>107</v>
      </c>
      <c r="H173" s="43" t="s">
        <v>76</v>
      </c>
      <c r="I173" s="42" t="s">
        <v>109</v>
      </c>
      <c r="J173" s="46"/>
      <c r="K173" s="46"/>
      <c r="L173" s="46"/>
      <c r="M173" s="46"/>
    </row>
    <row r="174" spans="1:13" s="52" customFormat="1" ht="165" customHeight="1" x14ac:dyDescent="0.25">
      <c r="A174" s="41" t="s">
        <v>103</v>
      </c>
      <c r="B174" s="41"/>
      <c r="C174" s="41" t="s">
        <v>241</v>
      </c>
      <c r="D174" s="43">
        <v>2</v>
      </c>
      <c r="E174" s="44" t="s">
        <v>122</v>
      </c>
      <c r="F174" s="44" t="s">
        <v>471</v>
      </c>
      <c r="G174" s="44"/>
      <c r="H174" s="43"/>
      <c r="I174" s="42"/>
      <c r="J174" s="46"/>
      <c r="K174" s="46"/>
      <c r="L174" s="46"/>
      <c r="M174" s="46"/>
    </row>
    <row r="175" spans="1:13" s="52" customFormat="1" ht="159.5" x14ac:dyDescent="0.25">
      <c r="A175" s="41" t="s">
        <v>103</v>
      </c>
      <c r="B175" s="41"/>
      <c r="C175" s="41" t="s">
        <v>241</v>
      </c>
      <c r="D175" s="43">
        <v>3</v>
      </c>
      <c r="E175" s="44" t="s">
        <v>430</v>
      </c>
      <c r="F175" s="44" t="s">
        <v>125</v>
      </c>
      <c r="G175" s="44"/>
      <c r="H175" s="43"/>
      <c r="I175" s="42"/>
      <c r="J175" s="46"/>
      <c r="K175" s="46"/>
      <c r="L175" s="46"/>
      <c r="M175" s="46"/>
    </row>
    <row r="176" spans="1:13" s="52" customFormat="1" ht="210" customHeight="1" x14ac:dyDescent="0.25">
      <c r="A176" s="41" t="s">
        <v>103</v>
      </c>
      <c r="B176" s="41"/>
      <c r="C176" s="41" t="s">
        <v>241</v>
      </c>
      <c r="D176" s="43">
        <v>4</v>
      </c>
      <c r="E176" s="44" t="s">
        <v>115</v>
      </c>
      <c r="F176" s="69" t="s">
        <v>428</v>
      </c>
      <c r="G176" s="83" t="s">
        <v>433</v>
      </c>
      <c r="H176" s="43"/>
      <c r="I176" s="42"/>
      <c r="J176" s="46"/>
      <c r="K176" s="46"/>
      <c r="L176" s="46"/>
      <c r="M176" s="46"/>
    </row>
    <row r="177" spans="1:13" s="52" customFormat="1" ht="409.5" x14ac:dyDescent="0.25">
      <c r="A177" s="41" t="s">
        <v>103</v>
      </c>
      <c r="B177" s="41"/>
      <c r="C177" s="41" t="s">
        <v>241</v>
      </c>
      <c r="D177" s="43">
        <v>5</v>
      </c>
      <c r="E177" s="44" t="s">
        <v>244</v>
      </c>
      <c r="F177" s="44" t="s">
        <v>469</v>
      </c>
      <c r="G177" s="44"/>
      <c r="H177" s="43"/>
      <c r="I177" s="42"/>
      <c r="J177" s="46"/>
      <c r="K177" s="46"/>
      <c r="L177" s="46"/>
      <c r="M177" s="46"/>
    </row>
    <row r="178" spans="1:13" s="52" customFormat="1" ht="43.5" x14ac:dyDescent="0.25">
      <c r="A178" s="41" t="s">
        <v>103</v>
      </c>
      <c r="B178" s="41"/>
      <c r="C178" s="41" t="s">
        <v>241</v>
      </c>
      <c r="D178" s="43">
        <v>6</v>
      </c>
      <c r="E178" s="44" t="s">
        <v>410</v>
      </c>
      <c r="F178" s="44" t="s">
        <v>118</v>
      </c>
      <c r="G178" s="44"/>
      <c r="H178" s="43"/>
      <c r="I178" s="42"/>
      <c r="J178" s="46"/>
      <c r="K178" s="46"/>
      <c r="L178" s="46"/>
      <c r="M178" s="46"/>
    </row>
    <row r="179" spans="1:13" s="52" customFormat="1" ht="15" x14ac:dyDescent="0.25">
      <c r="A179" s="65"/>
      <c r="B179" s="48" t="s">
        <v>246</v>
      </c>
      <c r="C179" s="66" t="s">
        <v>247</v>
      </c>
      <c r="D179" s="67"/>
      <c r="E179" s="68"/>
      <c r="F179" s="68"/>
      <c r="G179" s="65"/>
      <c r="H179" s="65"/>
      <c r="I179" s="67"/>
      <c r="J179" s="46"/>
      <c r="K179" s="46"/>
      <c r="L179" s="46"/>
      <c r="M179" s="46"/>
    </row>
    <row r="180" spans="1:13" s="52" customFormat="1" ht="72.5" x14ac:dyDescent="0.25">
      <c r="A180" s="41" t="s">
        <v>103</v>
      </c>
      <c r="B180" s="41"/>
      <c r="C180" s="41" t="s">
        <v>248</v>
      </c>
      <c r="D180" s="43">
        <v>1</v>
      </c>
      <c r="E180" s="44" t="s">
        <v>105</v>
      </c>
      <c r="F180" s="44" t="s">
        <v>106</v>
      </c>
      <c r="G180" s="44" t="s">
        <v>107</v>
      </c>
      <c r="H180" s="43" t="s">
        <v>76</v>
      </c>
      <c r="I180" s="42" t="s">
        <v>109</v>
      </c>
      <c r="J180" s="46"/>
      <c r="K180" s="46"/>
      <c r="L180" s="46"/>
      <c r="M180" s="46"/>
    </row>
    <row r="181" spans="1:13" s="52" customFormat="1" ht="116" x14ac:dyDescent="0.25">
      <c r="A181" s="41" t="s">
        <v>103</v>
      </c>
      <c r="B181" s="41"/>
      <c r="C181" s="41" t="s">
        <v>248</v>
      </c>
      <c r="D181" s="43">
        <v>2</v>
      </c>
      <c r="E181" s="44" t="s">
        <v>122</v>
      </c>
      <c r="F181" s="44" t="s">
        <v>471</v>
      </c>
      <c r="G181" s="44"/>
      <c r="H181" s="43"/>
      <c r="I181" s="42"/>
      <c r="J181" s="46"/>
      <c r="K181" s="46"/>
      <c r="L181" s="46"/>
      <c r="M181" s="46"/>
    </row>
    <row r="182" spans="1:13" s="52" customFormat="1" ht="159.5" x14ac:dyDescent="0.25">
      <c r="A182" s="41" t="s">
        <v>103</v>
      </c>
      <c r="B182" s="41"/>
      <c r="C182" s="41" t="s">
        <v>248</v>
      </c>
      <c r="D182" s="43">
        <v>3</v>
      </c>
      <c r="E182" s="44" t="s">
        <v>429</v>
      </c>
      <c r="F182" s="44" t="s">
        <v>125</v>
      </c>
      <c r="G182" s="44"/>
      <c r="H182" s="43"/>
      <c r="I182" s="42"/>
      <c r="J182" s="46"/>
      <c r="K182" s="46"/>
      <c r="L182" s="46"/>
      <c r="M182" s="46"/>
    </row>
    <row r="183" spans="1:13" s="52" customFormat="1" ht="130.5" x14ac:dyDescent="0.25">
      <c r="A183" s="41" t="s">
        <v>103</v>
      </c>
      <c r="B183" s="41"/>
      <c r="C183" s="41" t="s">
        <v>248</v>
      </c>
      <c r="D183" s="43">
        <v>4</v>
      </c>
      <c r="E183" s="44" t="s">
        <v>115</v>
      </c>
      <c r="F183" s="69" t="s">
        <v>243</v>
      </c>
      <c r="H183" s="43"/>
      <c r="I183" s="42"/>
      <c r="J183" s="46"/>
      <c r="K183" s="46"/>
      <c r="L183" s="46"/>
      <c r="M183" s="46"/>
    </row>
    <row r="184" spans="1:13" s="52" customFormat="1" ht="409.5" x14ac:dyDescent="0.25">
      <c r="A184" s="41" t="s">
        <v>103</v>
      </c>
      <c r="B184" s="41"/>
      <c r="C184" s="41" t="s">
        <v>248</v>
      </c>
      <c r="D184" s="43">
        <v>5</v>
      </c>
      <c r="E184" s="44" t="s">
        <v>244</v>
      </c>
      <c r="F184" s="44" t="s">
        <v>469</v>
      </c>
      <c r="G184" s="83" t="s">
        <v>433</v>
      </c>
      <c r="H184" s="43"/>
      <c r="I184" s="42"/>
      <c r="J184" s="46"/>
      <c r="K184" s="46"/>
      <c r="L184" s="46"/>
      <c r="M184" s="46"/>
    </row>
    <row r="185" spans="1:13" s="52" customFormat="1" ht="43.5" x14ac:dyDescent="0.25">
      <c r="A185" s="41" t="s">
        <v>103</v>
      </c>
      <c r="B185" s="41"/>
      <c r="C185" s="41" t="s">
        <v>248</v>
      </c>
      <c r="D185" s="43">
        <v>6</v>
      </c>
      <c r="E185" s="44" t="s">
        <v>410</v>
      </c>
      <c r="F185" s="44" t="s">
        <v>118</v>
      </c>
      <c r="G185" s="44"/>
      <c r="H185" s="43"/>
      <c r="I185" s="42"/>
      <c r="J185" s="46"/>
      <c r="K185" s="46"/>
      <c r="L185" s="46"/>
      <c r="M185" s="46"/>
    </row>
    <row r="186" spans="1:13" s="52" customFormat="1" ht="15" x14ac:dyDescent="0.25">
      <c r="A186" s="47"/>
      <c r="B186" s="48" t="s">
        <v>456</v>
      </c>
      <c r="C186" s="48" t="s">
        <v>252</v>
      </c>
      <c r="D186" s="49"/>
      <c r="E186" s="50"/>
      <c r="F186" s="50"/>
      <c r="G186" s="50"/>
      <c r="H186" s="49"/>
      <c r="I186" s="48"/>
      <c r="J186" s="46"/>
      <c r="K186" s="46"/>
      <c r="L186" s="46"/>
      <c r="M186" s="46"/>
    </row>
    <row r="187" spans="1:13" s="52" customFormat="1" ht="87" x14ac:dyDescent="0.25">
      <c r="A187" s="41" t="s">
        <v>103</v>
      </c>
      <c r="B187" s="41"/>
      <c r="C187" s="42" t="s">
        <v>253</v>
      </c>
      <c r="D187" s="43">
        <v>1</v>
      </c>
      <c r="E187" s="44" t="s">
        <v>254</v>
      </c>
      <c r="F187" s="44"/>
      <c r="G187" s="44"/>
      <c r="H187" s="43" t="s">
        <v>108</v>
      </c>
      <c r="I187" s="42" t="s">
        <v>255</v>
      </c>
      <c r="J187" s="46"/>
      <c r="K187" s="46"/>
      <c r="L187" s="46"/>
      <c r="M187" s="46"/>
    </row>
    <row r="188" spans="1:13" s="52" customFormat="1" ht="72.5" x14ac:dyDescent="0.25">
      <c r="A188" s="41" t="s">
        <v>103</v>
      </c>
      <c r="B188" s="41"/>
      <c r="C188" s="42" t="s">
        <v>253</v>
      </c>
      <c r="D188" s="43">
        <v>2</v>
      </c>
      <c r="E188" s="44" t="s">
        <v>256</v>
      </c>
      <c r="F188" s="44" t="s">
        <v>257</v>
      </c>
      <c r="G188" s="44"/>
      <c r="H188" s="43"/>
      <c r="I188" s="42"/>
      <c r="J188" s="46"/>
      <c r="K188" s="46"/>
      <c r="L188" s="46"/>
      <c r="M188" s="46"/>
    </row>
    <row r="189" spans="1:13" s="52" customFormat="1" ht="43.5" x14ac:dyDescent="0.25">
      <c r="A189" s="41" t="s">
        <v>103</v>
      </c>
      <c r="B189" s="41"/>
      <c r="C189" s="42" t="s">
        <v>253</v>
      </c>
      <c r="D189" s="43">
        <v>3</v>
      </c>
      <c r="E189" s="44" t="s">
        <v>258</v>
      </c>
      <c r="F189" s="44" t="s">
        <v>259</v>
      </c>
      <c r="G189" s="44"/>
      <c r="H189" s="43"/>
      <c r="I189" s="42"/>
      <c r="J189" s="46"/>
      <c r="K189" s="46"/>
      <c r="L189" s="46"/>
      <c r="M189" s="46"/>
    </row>
    <row r="190" spans="1:13" s="52" customFormat="1" ht="43.5" x14ac:dyDescent="0.25">
      <c r="A190" s="41" t="s">
        <v>103</v>
      </c>
      <c r="B190" s="41"/>
      <c r="C190" s="42" t="s">
        <v>253</v>
      </c>
      <c r="D190" s="43">
        <v>4</v>
      </c>
      <c r="E190" s="44" t="s">
        <v>260</v>
      </c>
      <c r="F190" s="44" t="s">
        <v>261</v>
      </c>
      <c r="G190" s="44"/>
      <c r="H190" s="43"/>
      <c r="I190" s="42"/>
      <c r="J190" s="46"/>
      <c r="K190" s="46"/>
      <c r="L190" s="46"/>
      <c r="M190" s="46"/>
    </row>
    <row r="191" spans="1:13" s="52" customFormat="1" ht="43.5" x14ac:dyDescent="0.25">
      <c r="A191" s="41" t="s">
        <v>103</v>
      </c>
      <c r="B191" s="41"/>
      <c r="C191" s="42" t="s">
        <v>253</v>
      </c>
      <c r="D191" s="43">
        <v>5</v>
      </c>
      <c r="E191" s="44" t="s">
        <v>262</v>
      </c>
      <c r="F191" s="44" t="s">
        <v>263</v>
      </c>
      <c r="G191" s="44"/>
      <c r="H191" s="43"/>
      <c r="I191" s="42"/>
      <c r="J191" s="46"/>
      <c r="K191" s="46"/>
      <c r="L191" s="46"/>
      <c r="M191" s="46"/>
    </row>
    <row r="192" spans="1:13" s="52" customFormat="1" ht="43.5" x14ac:dyDescent="0.25">
      <c r="A192" s="41" t="s">
        <v>103</v>
      </c>
      <c r="B192" s="41"/>
      <c r="C192" s="42" t="s">
        <v>253</v>
      </c>
      <c r="D192" s="43">
        <v>6</v>
      </c>
      <c r="E192" s="44" t="s">
        <v>264</v>
      </c>
      <c r="F192" s="44" t="s">
        <v>464</v>
      </c>
      <c r="G192" s="44"/>
      <c r="H192" s="43"/>
      <c r="I192" s="42"/>
      <c r="J192" s="46"/>
      <c r="K192" s="46"/>
      <c r="L192" s="46"/>
      <c r="M192" s="46"/>
    </row>
    <row r="193" spans="1:13" s="52" customFormat="1" ht="15" x14ac:dyDescent="0.25">
      <c r="A193" s="65"/>
      <c r="B193" s="48" t="s">
        <v>249</v>
      </c>
      <c r="C193" s="70" t="s">
        <v>266</v>
      </c>
      <c r="D193" s="67"/>
      <c r="E193" s="68"/>
      <c r="F193" s="68"/>
      <c r="G193" s="68"/>
      <c r="H193" s="67"/>
      <c r="I193" s="67"/>
      <c r="J193" s="46"/>
      <c r="K193" s="46"/>
      <c r="L193" s="46"/>
      <c r="M193" s="46"/>
    </row>
    <row r="194" spans="1:13" s="52" customFormat="1" ht="87" x14ac:dyDescent="0.25">
      <c r="A194" s="41" t="s">
        <v>103</v>
      </c>
      <c r="B194" s="41"/>
      <c r="C194" s="41" t="s">
        <v>267</v>
      </c>
      <c r="D194" s="43">
        <v>1</v>
      </c>
      <c r="E194" s="44" t="s">
        <v>268</v>
      </c>
      <c r="F194" s="44" t="s">
        <v>106</v>
      </c>
      <c r="G194" s="44" t="s">
        <v>107</v>
      </c>
      <c r="H194" s="43" t="s">
        <v>108</v>
      </c>
      <c r="I194" s="42" t="s">
        <v>109</v>
      </c>
      <c r="J194" s="46"/>
      <c r="K194" s="46"/>
      <c r="L194" s="46"/>
      <c r="M194" s="46"/>
    </row>
    <row r="195" spans="1:13" s="52" customFormat="1" ht="43.5" x14ac:dyDescent="0.25">
      <c r="A195" s="41" t="s">
        <v>103</v>
      </c>
      <c r="B195" s="41"/>
      <c r="C195" s="41" t="s">
        <v>267</v>
      </c>
      <c r="D195" s="43">
        <v>2</v>
      </c>
      <c r="E195" s="41" t="s">
        <v>269</v>
      </c>
      <c r="F195" s="41" t="s">
        <v>411</v>
      </c>
      <c r="G195" s="41"/>
      <c r="H195" s="41"/>
      <c r="I195" s="41"/>
      <c r="J195" s="46"/>
      <c r="K195" s="46"/>
      <c r="L195" s="46"/>
      <c r="M195" s="46"/>
    </row>
    <row r="196" spans="1:13" s="52" customFormat="1" ht="43.5" x14ac:dyDescent="0.25">
      <c r="A196" s="41" t="s">
        <v>103</v>
      </c>
      <c r="B196" s="41"/>
      <c r="C196" s="41" t="s">
        <v>267</v>
      </c>
      <c r="D196" s="43">
        <v>3</v>
      </c>
      <c r="E196" s="41" t="s">
        <v>270</v>
      </c>
      <c r="F196" s="89" t="s">
        <v>465</v>
      </c>
      <c r="G196" s="41" t="s">
        <v>271</v>
      </c>
      <c r="H196" s="41"/>
      <c r="I196" s="41"/>
      <c r="J196" s="46"/>
      <c r="K196" s="46"/>
      <c r="L196" s="46"/>
      <c r="M196" s="46"/>
    </row>
    <row r="197" spans="1:13" s="52" customFormat="1" ht="15" x14ac:dyDescent="0.25">
      <c r="A197" s="47"/>
      <c r="B197" s="48" t="s">
        <v>250</v>
      </c>
      <c r="C197" s="48" t="s">
        <v>272</v>
      </c>
      <c r="D197" s="49"/>
      <c r="E197" s="50"/>
      <c r="F197" s="50"/>
      <c r="G197" s="50"/>
      <c r="H197" s="49"/>
      <c r="I197" s="48"/>
      <c r="J197" s="46"/>
      <c r="K197" s="46"/>
      <c r="L197" s="46"/>
      <c r="M197" s="46"/>
    </row>
    <row r="198" spans="1:13" s="52" customFormat="1" ht="87" x14ac:dyDescent="0.25">
      <c r="A198" s="41" t="s">
        <v>103</v>
      </c>
      <c r="B198" s="41"/>
      <c r="C198" s="42" t="s">
        <v>273</v>
      </c>
      <c r="D198" s="43">
        <v>1</v>
      </c>
      <c r="E198" s="44" t="s">
        <v>105</v>
      </c>
      <c r="F198" s="44" t="s">
        <v>106</v>
      </c>
      <c r="G198" s="44" t="s">
        <v>107</v>
      </c>
      <c r="H198" s="43" t="s">
        <v>108</v>
      </c>
      <c r="I198" s="42" t="s">
        <v>109</v>
      </c>
      <c r="J198" s="46"/>
      <c r="K198" s="46"/>
      <c r="L198" s="46"/>
      <c r="M198" s="46"/>
    </row>
    <row r="199" spans="1:13" s="52" customFormat="1" ht="72.5" x14ac:dyDescent="0.25">
      <c r="A199" s="41" t="s">
        <v>103</v>
      </c>
      <c r="B199" s="41"/>
      <c r="C199" s="42" t="s">
        <v>273</v>
      </c>
      <c r="D199" s="43">
        <v>2</v>
      </c>
      <c r="E199" s="44" t="s">
        <v>137</v>
      </c>
      <c r="F199" s="44" t="s">
        <v>467</v>
      </c>
      <c r="G199" s="44"/>
      <c r="H199" s="43"/>
      <c r="I199" s="85"/>
      <c r="J199" s="46"/>
      <c r="K199" s="46"/>
      <c r="L199" s="46"/>
      <c r="M199" s="46"/>
    </row>
    <row r="200" spans="1:13" s="52" customFormat="1" ht="43.5" x14ac:dyDescent="0.25">
      <c r="A200" s="41" t="s">
        <v>103</v>
      </c>
      <c r="B200" s="41"/>
      <c r="C200" s="42" t="s">
        <v>273</v>
      </c>
      <c r="D200" s="43">
        <v>3</v>
      </c>
      <c r="E200" s="44" t="s">
        <v>138</v>
      </c>
      <c r="F200" s="44" t="s">
        <v>139</v>
      </c>
      <c r="G200" s="44" t="s">
        <v>140</v>
      </c>
      <c r="H200" s="43"/>
      <c r="I200" s="42"/>
      <c r="J200" s="46"/>
      <c r="K200" s="46"/>
      <c r="L200" s="46"/>
      <c r="M200" s="46"/>
    </row>
    <row r="201" spans="1:13" s="52" customFormat="1" ht="255" customHeight="1" x14ac:dyDescent="0.25">
      <c r="A201" s="41" t="s">
        <v>103</v>
      </c>
      <c r="B201" s="41"/>
      <c r="C201" s="42" t="s">
        <v>273</v>
      </c>
      <c r="D201" s="43">
        <v>4</v>
      </c>
      <c r="E201" s="44" t="s">
        <v>274</v>
      </c>
      <c r="F201" s="44" t="s">
        <v>466</v>
      </c>
      <c r="G201" s="83" t="s">
        <v>413</v>
      </c>
      <c r="H201" s="43"/>
      <c r="I201" s="42"/>
      <c r="J201" s="46"/>
      <c r="K201" s="46"/>
      <c r="L201" s="46"/>
      <c r="M201" s="46"/>
    </row>
    <row r="202" spans="1:13" s="52" customFormat="1" ht="60" customHeight="1" x14ac:dyDescent="0.25">
      <c r="A202" s="41" t="s">
        <v>103</v>
      </c>
      <c r="B202" s="41"/>
      <c r="C202" s="42" t="s">
        <v>273</v>
      </c>
      <c r="D202" s="43">
        <v>5</v>
      </c>
      <c r="E202" s="84" t="s">
        <v>414</v>
      </c>
      <c r="F202" s="44" t="s">
        <v>415</v>
      </c>
      <c r="G202" s="83" t="s">
        <v>440</v>
      </c>
      <c r="H202" s="43"/>
      <c r="I202" s="42"/>
      <c r="J202" s="46"/>
      <c r="K202" s="46"/>
      <c r="L202" s="46"/>
      <c r="M202" s="46"/>
    </row>
    <row r="203" spans="1:13" s="52" customFormat="1" ht="43.5" x14ac:dyDescent="0.25">
      <c r="A203" s="41" t="s">
        <v>103</v>
      </c>
      <c r="B203" s="41"/>
      <c r="C203" s="42" t="s">
        <v>273</v>
      </c>
      <c r="D203" s="43">
        <v>6</v>
      </c>
      <c r="E203" s="44" t="s">
        <v>410</v>
      </c>
      <c r="F203" s="44" t="s">
        <v>118</v>
      </c>
      <c r="G203" s="44"/>
      <c r="H203" s="43"/>
      <c r="I203" s="42"/>
      <c r="J203" s="46"/>
      <c r="K203" s="46"/>
      <c r="L203" s="46"/>
      <c r="M203" s="46"/>
    </row>
    <row r="204" spans="1:13" s="52" customFormat="1" ht="15" x14ac:dyDescent="0.25">
      <c r="A204" s="48"/>
      <c r="B204" s="48" t="s">
        <v>251</v>
      </c>
      <c r="C204" s="48" t="s">
        <v>461</v>
      </c>
      <c r="D204" s="48"/>
      <c r="E204" s="48"/>
      <c r="F204" s="48"/>
      <c r="G204" s="48"/>
      <c r="H204" s="48"/>
      <c r="I204" s="118"/>
      <c r="J204" s="119"/>
    </row>
    <row r="205" spans="1:13" s="52" customFormat="1" ht="87" x14ac:dyDescent="0.35">
      <c r="A205" s="41" t="s">
        <v>103</v>
      </c>
      <c r="B205" s="86"/>
      <c r="C205" s="41" t="s">
        <v>442</v>
      </c>
      <c r="D205" s="43">
        <v>1</v>
      </c>
      <c r="E205" s="42" t="s">
        <v>254</v>
      </c>
      <c r="F205" s="41"/>
      <c r="G205" s="41"/>
      <c r="H205" s="43" t="s">
        <v>108</v>
      </c>
      <c r="I205" s="42" t="s">
        <v>255</v>
      </c>
      <c r="J205" s="120"/>
    </row>
    <row r="206" spans="1:13" s="52" customFormat="1" ht="72.5" x14ac:dyDescent="0.25">
      <c r="A206" s="41" t="s">
        <v>103</v>
      </c>
      <c r="B206" s="41"/>
      <c r="C206" s="41" t="s">
        <v>442</v>
      </c>
      <c r="D206" s="43">
        <v>2</v>
      </c>
      <c r="E206" s="42" t="s">
        <v>454</v>
      </c>
      <c r="F206" s="44" t="s">
        <v>257</v>
      </c>
      <c r="G206" s="41" t="s">
        <v>443</v>
      </c>
      <c r="H206" s="87"/>
      <c r="I206" s="88"/>
      <c r="J206" s="120"/>
    </row>
    <row r="207" spans="1:13" s="52" customFormat="1" ht="43.5" x14ac:dyDescent="0.25">
      <c r="A207" s="41" t="s">
        <v>103</v>
      </c>
      <c r="B207" s="41"/>
      <c r="C207" s="41" t="s">
        <v>442</v>
      </c>
      <c r="D207" s="43">
        <v>3</v>
      </c>
      <c r="E207" s="42" t="s">
        <v>444</v>
      </c>
      <c r="F207" s="42" t="s">
        <v>445</v>
      </c>
      <c r="G207" s="42"/>
      <c r="H207" s="42"/>
      <c r="I207" s="42"/>
      <c r="J207" s="120"/>
    </row>
    <row r="208" spans="1:13" s="52" customFormat="1" ht="43.5" x14ac:dyDescent="0.25">
      <c r="A208" s="41" t="s">
        <v>103</v>
      </c>
      <c r="B208" s="41"/>
      <c r="C208" s="41" t="s">
        <v>442</v>
      </c>
      <c r="D208" s="43">
        <v>4</v>
      </c>
      <c r="E208" s="42" t="s">
        <v>446</v>
      </c>
      <c r="F208" s="42" t="s">
        <v>261</v>
      </c>
      <c r="G208" s="42"/>
      <c r="H208" s="42"/>
      <c r="I208" s="42"/>
      <c r="J208" s="120"/>
    </row>
    <row r="209" spans="1:10" s="52" customFormat="1" ht="43.5" x14ac:dyDescent="0.25">
      <c r="A209" s="41" t="s">
        <v>103</v>
      </c>
      <c r="B209" s="41"/>
      <c r="C209" s="41" t="s">
        <v>442</v>
      </c>
      <c r="D209" s="43">
        <v>5</v>
      </c>
      <c r="E209" s="42" t="s">
        <v>262</v>
      </c>
      <c r="F209" s="42" t="s">
        <v>263</v>
      </c>
      <c r="G209" s="42"/>
      <c r="H209" s="42"/>
      <c r="I209" s="42"/>
      <c r="J209" s="120"/>
    </row>
    <row r="210" spans="1:10" s="52" customFormat="1" ht="72.5" x14ac:dyDescent="0.25">
      <c r="A210" s="41" t="s">
        <v>103</v>
      </c>
      <c r="B210" s="41"/>
      <c r="C210" s="41" t="s">
        <v>442</v>
      </c>
      <c r="D210" s="43">
        <v>6</v>
      </c>
      <c r="E210" s="42" t="s">
        <v>264</v>
      </c>
      <c r="F210" s="42" t="s">
        <v>455</v>
      </c>
      <c r="G210" s="42" t="s">
        <v>447</v>
      </c>
      <c r="H210" s="42"/>
      <c r="I210" s="42"/>
      <c r="J210" s="120"/>
    </row>
    <row r="211" spans="1:10" s="52" customFormat="1" ht="275.5" x14ac:dyDescent="0.25">
      <c r="A211" s="41" t="s">
        <v>103</v>
      </c>
      <c r="B211" s="41"/>
      <c r="C211" s="41" t="s">
        <v>442</v>
      </c>
      <c r="D211" s="43">
        <v>7</v>
      </c>
      <c r="E211" s="44" t="s">
        <v>450</v>
      </c>
      <c r="F211" s="44" t="s">
        <v>453</v>
      </c>
      <c r="G211" s="44" t="s">
        <v>451</v>
      </c>
      <c r="H211" s="44"/>
      <c r="I211" s="44"/>
      <c r="J211" s="120"/>
    </row>
    <row r="212" spans="1:10" s="52" customFormat="1" ht="14.5" x14ac:dyDescent="0.25">
      <c r="A212" s="48"/>
      <c r="B212" s="48" t="s">
        <v>265</v>
      </c>
      <c r="C212" s="48" t="s">
        <v>462</v>
      </c>
      <c r="D212" s="48"/>
      <c r="E212" s="48"/>
      <c r="F212" s="48"/>
      <c r="G212" s="48"/>
      <c r="H212" s="48"/>
      <c r="I212" s="48"/>
      <c r="J212" s="121"/>
    </row>
    <row r="213" spans="1:10" s="52" customFormat="1" ht="87" x14ac:dyDescent="0.35">
      <c r="A213" s="41" t="s">
        <v>103</v>
      </c>
      <c r="B213" s="86"/>
      <c r="C213" s="41" t="s">
        <v>448</v>
      </c>
      <c r="D213" s="43">
        <v>1</v>
      </c>
      <c r="E213" s="42" t="s">
        <v>254</v>
      </c>
      <c r="F213" s="41"/>
      <c r="G213" s="41"/>
      <c r="H213" s="43" t="s">
        <v>108</v>
      </c>
      <c r="I213" s="42" t="s">
        <v>255</v>
      </c>
      <c r="J213" s="120"/>
    </row>
    <row r="214" spans="1:10" s="52" customFormat="1" ht="72.5" x14ac:dyDescent="0.25">
      <c r="A214" s="41" t="s">
        <v>103</v>
      </c>
      <c r="B214" s="41"/>
      <c r="C214" s="41" t="s">
        <v>448</v>
      </c>
      <c r="D214" s="43">
        <v>2</v>
      </c>
      <c r="E214" s="42" t="s">
        <v>472</v>
      </c>
      <c r="F214" s="44" t="s">
        <v>257</v>
      </c>
      <c r="G214" s="41" t="s">
        <v>443</v>
      </c>
      <c r="H214" s="87"/>
      <c r="I214" s="88"/>
      <c r="J214" s="120"/>
    </row>
    <row r="215" spans="1:10" s="52" customFormat="1" ht="43.5" x14ac:dyDescent="0.25">
      <c r="A215" s="41" t="s">
        <v>103</v>
      </c>
      <c r="B215" s="41"/>
      <c r="C215" s="41" t="s">
        <v>448</v>
      </c>
      <c r="D215" s="43">
        <v>3</v>
      </c>
      <c r="E215" s="42" t="s">
        <v>444</v>
      </c>
      <c r="F215" s="42" t="s">
        <v>445</v>
      </c>
      <c r="G215" s="42"/>
      <c r="H215" s="42"/>
      <c r="I215" s="42"/>
      <c r="J215" s="120"/>
    </row>
    <row r="216" spans="1:10" s="52" customFormat="1" ht="43.5" x14ac:dyDescent="0.25">
      <c r="A216" s="41" t="s">
        <v>103</v>
      </c>
      <c r="B216" s="41"/>
      <c r="C216" s="41" t="s">
        <v>448</v>
      </c>
      <c r="D216" s="43">
        <v>4</v>
      </c>
      <c r="E216" s="42" t="s">
        <v>446</v>
      </c>
      <c r="F216" s="42" t="s">
        <v>261</v>
      </c>
      <c r="G216" s="42"/>
      <c r="H216" s="42"/>
      <c r="I216" s="42"/>
      <c r="J216" s="120"/>
    </row>
    <row r="217" spans="1:10" s="52" customFormat="1" ht="43.5" x14ac:dyDescent="0.25">
      <c r="A217" s="41" t="s">
        <v>103</v>
      </c>
      <c r="B217" s="41"/>
      <c r="C217" s="41" t="s">
        <v>448</v>
      </c>
      <c r="D217" s="43">
        <v>5</v>
      </c>
      <c r="E217" s="42" t="s">
        <v>262</v>
      </c>
      <c r="F217" s="42" t="s">
        <v>263</v>
      </c>
      <c r="G217" s="42"/>
      <c r="H217" s="42"/>
      <c r="I217" s="42"/>
      <c r="J217" s="120"/>
    </row>
    <row r="218" spans="1:10" s="52" customFormat="1" ht="43.5" x14ac:dyDescent="0.25">
      <c r="A218" s="41" t="s">
        <v>103</v>
      </c>
      <c r="B218" s="41"/>
      <c r="C218" s="41" t="s">
        <v>448</v>
      </c>
      <c r="D218" s="43">
        <v>6</v>
      </c>
      <c r="E218" s="42" t="s">
        <v>264</v>
      </c>
      <c r="F218" s="42" t="s">
        <v>473</v>
      </c>
      <c r="G218" s="42"/>
      <c r="H218" s="42"/>
      <c r="I218" s="42"/>
      <c r="J218" s="120"/>
    </row>
    <row r="219" spans="1:10" s="52" customFormat="1" ht="409.5" x14ac:dyDescent="0.25">
      <c r="A219" s="41" t="s">
        <v>103</v>
      </c>
      <c r="B219" s="41"/>
      <c r="C219" s="41" t="s">
        <v>448</v>
      </c>
      <c r="D219" s="43">
        <v>7</v>
      </c>
      <c r="E219" s="44" t="s">
        <v>449</v>
      </c>
      <c r="F219" s="44" t="s">
        <v>452</v>
      </c>
      <c r="G219" s="44"/>
      <c r="H219" s="44"/>
      <c r="I219" s="44"/>
      <c r="J219" s="120"/>
    </row>
    <row r="220" spans="1:10" s="52" customFormat="1" ht="14.5" x14ac:dyDescent="0.25">
      <c r="A220" s="47"/>
      <c r="B220" s="48" t="s">
        <v>475</v>
      </c>
      <c r="C220" s="48" t="s">
        <v>476</v>
      </c>
      <c r="D220" s="49"/>
      <c r="E220" s="50"/>
      <c r="F220" s="50"/>
      <c r="G220" s="50"/>
      <c r="H220" s="49"/>
      <c r="I220" s="48"/>
    </row>
    <row r="221" spans="1:10" s="52" customFormat="1" ht="87" x14ac:dyDescent="0.25">
      <c r="A221" s="41" t="s">
        <v>116</v>
      </c>
      <c r="B221" s="41"/>
      <c r="C221" s="42" t="s">
        <v>121</v>
      </c>
      <c r="D221" s="43">
        <v>1</v>
      </c>
      <c r="E221" s="44" t="s">
        <v>105</v>
      </c>
      <c r="F221" s="44" t="s">
        <v>106</v>
      </c>
      <c r="G221" s="44" t="s">
        <v>107</v>
      </c>
      <c r="H221" s="43" t="s">
        <v>108</v>
      </c>
      <c r="I221" s="42" t="s">
        <v>109</v>
      </c>
    </row>
    <row r="222" spans="1:10" s="52" customFormat="1" ht="116" x14ac:dyDescent="0.25">
      <c r="A222" s="41" t="s">
        <v>116</v>
      </c>
      <c r="B222" s="41"/>
      <c r="C222" s="42" t="s">
        <v>121</v>
      </c>
      <c r="D222" s="43">
        <v>2</v>
      </c>
      <c r="E222" s="44" t="s">
        <v>122</v>
      </c>
      <c r="F222" s="44" t="s">
        <v>471</v>
      </c>
      <c r="G222" s="44" t="s">
        <v>123</v>
      </c>
      <c r="H222" s="43"/>
      <c r="I222" s="42"/>
    </row>
    <row r="223" spans="1:10" s="52" customFormat="1" ht="188.5" x14ac:dyDescent="0.25">
      <c r="A223" s="41" t="s">
        <v>116</v>
      </c>
      <c r="B223" s="41"/>
      <c r="C223" s="42" t="s">
        <v>121</v>
      </c>
      <c r="D223" s="43">
        <v>3</v>
      </c>
      <c r="E223" s="44" t="s">
        <v>474</v>
      </c>
      <c r="F223" s="44" t="s">
        <v>125</v>
      </c>
      <c r="G223" s="44" t="s">
        <v>412</v>
      </c>
      <c r="H223" s="43"/>
      <c r="I223" s="42"/>
    </row>
    <row r="224" spans="1:10" s="52" customFormat="1" ht="409.5" x14ac:dyDescent="0.25">
      <c r="A224" s="41" t="s">
        <v>116</v>
      </c>
      <c r="B224" s="41"/>
      <c r="C224" s="42" t="s">
        <v>121</v>
      </c>
      <c r="D224" s="43">
        <v>4</v>
      </c>
      <c r="E224" s="44" t="s">
        <v>115</v>
      </c>
      <c r="F224" s="44" t="s">
        <v>469</v>
      </c>
      <c r="G224" s="44" t="s">
        <v>417</v>
      </c>
      <c r="H224" s="43"/>
      <c r="I224" s="42"/>
    </row>
    <row r="225" spans="1:9" s="52" customFormat="1" ht="43.5" x14ac:dyDescent="0.25">
      <c r="A225" s="41" t="s">
        <v>116</v>
      </c>
      <c r="B225" s="41"/>
      <c r="C225" s="42" t="s">
        <v>121</v>
      </c>
      <c r="D225" s="43">
        <v>5</v>
      </c>
      <c r="E225" s="44" t="s">
        <v>410</v>
      </c>
      <c r="F225" s="44" t="s">
        <v>118</v>
      </c>
      <c r="G225" s="44"/>
      <c r="H225" s="43"/>
      <c r="I225" s="42"/>
    </row>
    <row r="226" spans="1:9" s="52" customFormat="1" ht="14.5" x14ac:dyDescent="0.25">
      <c r="A226" s="122"/>
      <c r="B226" s="122"/>
      <c r="C226" s="123"/>
      <c r="D226" s="124"/>
      <c r="E226" s="125"/>
      <c r="F226" s="125"/>
      <c r="G226" s="125"/>
      <c r="H226" s="124"/>
      <c r="I226" s="123"/>
    </row>
    <row r="227" spans="1:9" s="52" customFormat="1" ht="14.5" x14ac:dyDescent="0.25">
      <c r="A227" s="122"/>
      <c r="B227" s="122"/>
      <c r="C227" s="123"/>
      <c r="D227" s="124"/>
      <c r="E227" s="125"/>
      <c r="F227" s="125"/>
      <c r="G227" s="125"/>
      <c r="H227" s="124"/>
      <c r="I227" s="123"/>
    </row>
    <row r="228" spans="1:9" s="52" customFormat="1" x14ac:dyDescent="0.45">
      <c r="A228" s="27"/>
      <c r="B228" s="27"/>
      <c r="C228" s="27"/>
      <c r="D228" s="27"/>
      <c r="E228" s="27"/>
      <c r="F228" s="27"/>
      <c r="G228" s="27"/>
      <c r="H228" s="27"/>
      <c r="I228" s="58"/>
    </row>
    <row r="229" spans="1:9" s="52" customFormat="1" x14ac:dyDescent="0.45">
      <c r="A229" s="27"/>
      <c r="B229" s="27"/>
      <c r="C229" s="27"/>
      <c r="D229" s="27"/>
      <c r="E229" s="27"/>
      <c r="F229" s="27"/>
      <c r="G229" s="27"/>
      <c r="H229" s="27"/>
      <c r="I229" s="58"/>
    </row>
    <row r="230" spans="1:9" s="52" customFormat="1" x14ac:dyDescent="0.45">
      <c r="A230" s="27"/>
      <c r="B230" s="27"/>
      <c r="C230" s="27"/>
      <c r="D230" s="27"/>
      <c r="E230" s="27"/>
      <c r="F230" s="27"/>
      <c r="G230" s="27"/>
      <c r="H230" s="27"/>
      <c r="I230" s="58"/>
    </row>
    <row r="231" spans="1:9" s="52" customFormat="1" x14ac:dyDescent="0.45">
      <c r="A231" s="27"/>
      <c r="B231" s="27"/>
      <c r="C231" s="27"/>
      <c r="D231" s="27"/>
      <c r="E231" s="27"/>
      <c r="F231" s="27"/>
      <c r="G231" s="27"/>
      <c r="H231" s="27"/>
      <c r="I231" s="58"/>
    </row>
    <row r="232" spans="1:9" s="52" customFormat="1" x14ac:dyDescent="0.45">
      <c r="A232" s="27"/>
      <c r="B232" s="27"/>
      <c r="C232" s="27"/>
      <c r="D232" s="27"/>
      <c r="E232" s="27"/>
      <c r="F232" s="27"/>
      <c r="G232" s="27"/>
      <c r="H232" s="27"/>
      <c r="I232" s="58"/>
    </row>
    <row r="233" spans="1:9" s="52" customFormat="1" x14ac:dyDescent="0.45">
      <c r="A233" s="27"/>
      <c r="B233" s="27"/>
      <c r="C233" s="27"/>
      <c r="D233" s="27"/>
      <c r="E233" s="27"/>
      <c r="F233" s="27"/>
      <c r="G233" s="27"/>
      <c r="H233" s="27"/>
      <c r="I233" s="58"/>
    </row>
    <row r="234" spans="1:9" s="52" customFormat="1" x14ac:dyDescent="0.45">
      <c r="A234" s="27"/>
      <c r="B234" s="27"/>
      <c r="C234" s="27"/>
      <c r="D234" s="27"/>
      <c r="E234" s="27"/>
      <c r="F234" s="27"/>
      <c r="G234" s="27"/>
      <c r="H234" s="27"/>
      <c r="I234" s="58"/>
    </row>
    <row r="235" spans="1:9" s="52" customFormat="1" x14ac:dyDescent="0.45">
      <c r="A235" s="27"/>
      <c r="B235" s="27"/>
      <c r="C235" s="27"/>
      <c r="D235" s="27"/>
      <c r="E235" s="27"/>
      <c r="F235" s="27"/>
      <c r="G235" s="27"/>
      <c r="H235" s="27"/>
      <c r="I235" s="58"/>
    </row>
    <row r="236" spans="1:9" s="52" customFormat="1" x14ac:dyDescent="0.45">
      <c r="A236" s="27"/>
      <c r="B236" s="27"/>
      <c r="C236" s="27"/>
      <c r="D236" s="27"/>
      <c r="E236" s="27"/>
      <c r="F236" s="27"/>
      <c r="G236" s="27"/>
      <c r="H236" s="27"/>
      <c r="I236" s="58"/>
    </row>
    <row r="237" spans="1:9" s="52" customFormat="1" x14ac:dyDescent="0.45">
      <c r="A237" s="27"/>
      <c r="B237" s="27"/>
      <c r="C237" s="27"/>
      <c r="D237" s="27"/>
      <c r="E237" s="27"/>
      <c r="F237" s="27"/>
      <c r="G237" s="27"/>
      <c r="H237" s="27"/>
      <c r="I237" s="58"/>
    </row>
    <row r="238" spans="1:9" s="52" customFormat="1" x14ac:dyDescent="0.45">
      <c r="A238" s="27"/>
      <c r="B238" s="27"/>
      <c r="C238" s="27"/>
      <c r="D238" s="27"/>
      <c r="E238" s="27"/>
      <c r="F238" s="27"/>
      <c r="G238" s="27"/>
      <c r="H238" s="27"/>
      <c r="I238" s="58"/>
    </row>
    <row r="239" spans="1:9" s="52" customFormat="1" x14ac:dyDescent="0.45">
      <c r="A239" s="27"/>
      <c r="B239" s="27"/>
      <c r="C239" s="27"/>
      <c r="D239" s="27"/>
      <c r="E239" s="27"/>
      <c r="F239" s="27"/>
      <c r="G239" s="27"/>
      <c r="H239" s="27"/>
      <c r="I239" s="58"/>
    </row>
    <row r="240" spans="1:9" s="52" customFormat="1" x14ac:dyDescent="0.45">
      <c r="A240" s="27"/>
      <c r="B240" s="27"/>
      <c r="C240" s="27"/>
      <c r="D240" s="27"/>
      <c r="E240" s="27"/>
      <c r="F240" s="27"/>
      <c r="G240" s="27"/>
      <c r="H240" s="27"/>
      <c r="I240" s="58"/>
    </row>
    <row r="241" spans="1:9" s="52" customFormat="1" x14ac:dyDescent="0.45">
      <c r="A241" s="27"/>
      <c r="B241" s="27"/>
      <c r="C241" s="27"/>
      <c r="D241" s="27"/>
      <c r="E241" s="27"/>
      <c r="F241" s="27"/>
      <c r="G241" s="27"/>
      <c r="H241" s="27"/>
      <c r="I241" s="58"/>
    </row>
    <row r="242" spans="1:9" s="52" customFormat="1" x14ac:dyDescent="0.45">
      <c r="A242" s="27"/>
      <c r="B242" s="27"/>
      <c r="C242" s="27"/>
      <c r="D242" s="27"/>
      <c r="E242" s="27"/>
      <c r="F242" s="27"/>
      <c r="G242" s="27"/>
      <c r="H242" s="27"/>
      <c r="I242" s="58"/>
    </row>
    <row r="243" spans="1:9" s="52" customFormat="1" x14ac:dyDescent="0.45">
      <c r="A243" s="27"/>
      <c r="B243" s="27"/>
      <c r="C243" s="27"/>
      <c r="D243" s="27"/>
      <c r="E243" s="27"/>
      <c r="F243" s="27"/>
      <c r="G243" s="27"/>
      <c r="H243" s="27"/>
      <c r="I243" s="58"/>
    </row>
    <row r="244" spans="1:9" s="52" customFormat="1" x14ac:dyDescent="0.45">
      <c r="A244" s="27"/>
      <c r="B244" s="27"/>
      <c r="C244" s="27"/>
      <c r="D244" s="27"/>
      <c r="E244" s="27"/>
      <c r="F244" s="27"/>
      <c r="G244" s="27"/>
      <c r="H244" s="27"/>
      <c r="I244" s="58"/>
    </row>
    <row r="245" spans="1:9" s="52" customFormat="1" x14ac:dyDescent="0.45">
      <c r="A245" s="27"/>
      <c r="B245" s="27"/>
      <c r="C245" s="27"/>
      <c r="D245" s="27"/>
      <c r="E245" s="27"/>
      <c r="F245" s="27"/>
      <c r="G245" s="27"/>
      <c r="H245" s="27"/>
      <c r="I245" s="58"/>
    </row>
    <row r="246" spans="1:9" s="52" customFormat="1" x14ac:dyDescent="0.45">
      <c r="A246" s="27"/>
      <c r="B246" s="27"/>
      <c r="C246" s="27"/>
      <c r="D246" s="27"/>
      <c r="E246" s="27"/>
      <c r="F246" s="27"/>
      <c r="G246" s="27"/>
      <c r="H246" s="27"/>
      <c r="I246" s="58"/>
    </row>
    <row r="247" spans="1:9" s="52" customFormat="1" x14ac:dyDescent="0.45">
      <c r="A247" s="27"/>
      <c r="B247" s="27"/>
      <c r="C247" s="27"/>
      <c r="D247" s="27"/>
      <c r="E247" s="27"/>
      <c r="F247" s="27"/>
      <c r="G247" s="27"/>
      <c r="H247" s="27"/>
      <c r="I247" s="58"/>
    </row>
    <row r="248" spans="1:9" s="52" customFormat="1" x14ac:dyDescent="0.45">
      <c r="A248" s="27"/>
      <c r="B248" s="27"/>
      <c r="C248" s="27"/>
      <c r="D248" s="27"/>
      <c r="E248" s="27"/>
      <c r="F248" s="27"/>
      <c r="G248" s="27"/>
      <c r="H248" s="27"/>
      <c r="I248" s="58"/>
    </row>
    <row r="249" spans="1:9" s="52" customFormat="1" x14ac:dyDescent="0.45">
      <c r="A249" s="27"/>
      <c r="B249" s="27"/>
      <c r="C249" s="27"/>
      <c r="D249" s="27"/>
      <c r="E249" s="27"/>
      <c r="F249" s="27"/>
      <c r="G249" s="27"/>
      <c r="H249" s="27"/>
      <c r="I249" s="58"/>
    </row>
    <row r="250" spans="1:9" s="52" customFormat="1" x14ac:dyDescent="0.45">
      <c r="A250" s="27"/>
      <c r="B250" s="27"/>
      <c r="C250" s="27"/>
      <c r="D250" s="27"/>
      <c r="E250" s="27"/>
      <c r="F250" s="27"/>
      <c r="G250" s="27"/>
      <c r="H250" s="27"/>
      <c r="I250" s="58"/>
    </row>
    <row r="251" spans="1:9" s="52" customFormat="1" x14ac:dyDescent="0.45">
      <c r="A251" s="27"/>
      <c r="B251" s="27"/>
      <c r="C251" s="27"/>
      <c r="D251" s="27"/>
      <c r="E251" s="27"/>
      <c r="F251" s="27"/>
      <c r="G251" s="27"/>
      <c r="H251" s="27"/>
      <c r="I251" s="58"/>
    </row>
    <row r="252" spans="1:9" s="52" customFormat="1" x14ac:dyDescent="0.45">
      <c r="A252" s="27"/>
      <c r="B252" s="27"/>
      <c r="C252" s="27"/>
      <c r="D252" s="27"/>
      <c r="E252" s="27"/>
      <c r="F252" s="27"/>
      <c r="G252" s="27"/>
      <c r="H252" s="27"/>
      <c r="I252" s="58"/>
    </row>
    <row r="253" spans="1:9" s="52" customFormat="1" x14ac:dyDescent="0.45">
      <c r="A253" s="27"/>
      <c r="B253" s="27"/>
      <c r="C253" s="27"/>
      <c r="D253" s="27"/>
      <c r="E253" s="27"/>
      <c r="F253" s="27"/>
      <c r="G253" s="27"/>
      <c r="H253" s="27"/>
      <c r="I253" s="58"/>
    </row>
    <row r="254" spans="1:9" s="52" customFormat="1" x14ac:dyDescent="0.45">
      <c r="A254" s="27"/>
      <c r="B254" s="27"/>
      <c r="C254" s="27"/>
      <c r="D254" s="27"/>
      <c r="E254" s="27"/>
      <c r="F254" s="27"/>
      <c r="G254" s="27"/>
      <c r="H254" s="27"/>
      <c r="I254" s="58"/>
    </row>
    <row r="255" spans="1:9" s="52" customFormat="1" x14ac:dyDescent="0.45">
      <c r="A255" s="27"/>
      <c r="B255" s="27"/>
      <c r="C255" s="27"/>
      <c r="D255" s="27"/>
      <c r="E255" s="27"/>
      <c r="F255" s="27"/>
      <c r="G255" s="27"/>
      <c r="H255" s="27"/>
      <c r="I255" s="58"/>
    </row>
    <row r="256" spans="1:9" s="52" customFormat="1" x14ac:dyDescent="0.45">
      <c r="A256" s="27"/>
      <c r="B256" s="27"/>
      <c r="C256" s="27"/>
      <c r="D256" s="27"/>
      <c r="E256" s="27"/>
      <c r="F256" s="27"/>
      <c r="G256" s="27"/>
      <c r="H256" s="27"/>
      <c r="I256" s="58"/>
    </row>
    <row r="257" spans="1:9" s="52" customFormat="1" x14ac:dyDescent="0.45">
      <c r="A257" s="27"/>
      <c r="B257" s="27"/>
      <c r="C257" s="27"/>
      <c r="D257" s="27"/>
      <c r="E257" s="27"/>
      <c r="F257" s="27"/>
      <c r="G257" s="27"/>
      <c r="H257" s="27"/>
      <c r="I257" s="58"/>
    </row>
    <row r="258" spans="1:9" s="52" customFormat="1" x14ac:dyDescent="0.45">
      <c r="A258" s="27"/>
      <c r="B258" s="27"/>
      <c r="C258" s="27"/>
      <c r="D258" s="27"/>
      <c r="E258" s="27"/>
      <c r="F258" s="27"/>
      <c r="G258" s="27"/>
      <c r="H258" s="27"/>
      <c r="I258" s="58"/>
    </row>
    <row r="259" spans="1:9" s="52" customFormat="1" x14ac:dyDescent="0.45">
      <c r="A259" s="27"/>
      <c r="B259" s="27"/>
      <c r="C259" s="27"/>
      <c r="D259" s="27"/>
      <c r="E259" s="27"/>
      <c r="F259" s="27"/>
      <c r="G259" s="27"/>
      <c r="H259" s="27"/>
      <c r="I259" s="58"/>
    </row>
    <row r="260" spans="1:9" s="52" customFormat="1" x14ac:dyDescent="0.45">
      <c r="A260" s="27"/>
      <c r="B260" s="27"/>
      <c r="C260" s="27"/>
      <c r="D260" s="27"/>
      <c r="E260" s="27"/>
      <c r="F260" s="27"/>
      <c r="G260" s="27"/>
      <c r="H260" s="27"/>
      <c r="I260" s="58"/>
    </row>
    <row r="261" spans="1:9" s="52" customFormat="1" x14ac:dyDescent="0.45">
      <c r="A261" s="27"/>
      <c r="B261" s="27"/>
      <c r="C261" s="27"/>
      <c r="D261" s="27"/>
      <c r="E261" s="27"/>
      <c r="F261" s="27"/>
      <c r="G261" s="27"/>
      <c r="H261" s="27"/>
      <c r="I261" s="58"/>
    </row>
    <row r="262" spans="1:9" s="52" customFormat="1" x14ac:dyDescent="0.45">
      <c r="A262" s="27"/>
      <c r="B262" s="27"/>
      <c r="C262" s="27"/>
      <c r="D262" s="27"/>
      <c r="E262" s="27"/>
      <c r="F262" s="27"/>
      <c r="G262" s="27"/>
      <c r="H262" s="27"/>
      <c r="I262" s="58"/>
    </row>
    <row r="263" spans="1:9" s="52" customFormat="1" x14ac:dyDescent="0.45">
      <c r="A263" s="27"/>
      <c r="B263" s="27"/>
      <c r="C263" s="27"/>
      <c r="D263" s="27"/>
      <c r="E263" s="27"/>
      <c r="F263" s="27"/>
      <c r="G263" s="27"/>
      <c r="H263" s="27"/>
      <c r="I263" s="58"/>
    </row>
    <row r="264" spans="1:9" s="52" customFormat="1" x14ac:dyDescent="0.45">
      <c r="A264" s="27"/>
      <c r="B264" s="27"/>
      <c r="C264" s="27"/>
      <c r="D264" s="27"/>
      <c r="E264" s="27"/>
      <c r="F264" s="27"/>
      <c r="G264" s="27"/>
      <c r="H264" s="27"/>
      <c r="I264" s="58"/>
    </row>
    <row r="265" spans="1:9" s="52" customFormat="1" x14ac:dyDescent="0.45">
      <c r="A265" s="27"/>
      <c r="B265" s="27"/>
      <c r="C265" s="27"/>
      <c r="D265" s="27"/>
      <c r="E265" s="27"/>
      <c r="F265" s="27"/>
      <c r="G265" s="27"/>
      <c r="H265" s="27"/>
      <c r="I265" s="58"/>
    </row>
    <row r="266" spans="1:9" s="52" customFormat="1" x14ac:dyDescent="0.45">
      <c r="A266" s="27"/>
      <c r="B266" s="27"/>
      <c r="C266" s="27"/>
      <c r="D266" s="27"/>
      <c r="E266" s="27"/>
      <c r="F266" s="27"/>
      <c r="G266" s="27"/>
      <c r="H266" s="27"/>
      <c r="I266" s="58"/>
    </row>
    <row r="267" spans="1:9" s="52" customFormat="1" x14ac:dyDescent="0.45">
      <c r="A267" s="27"/>
      <c r="B267" s="27"/>
      <c r="C267" s="27"/>
      <c r="D267" s="27"/>
      <c r="E267" s="27"/>
      <c r="F267" s="27"/>
      <c r="G267" s="27"/>
      <c r="H267" s="27"/>
      <c r="I267" s="58"/>
    </row>
    <row r="268" spans="1:9" s="52" customFormat="1" x14ac:dyDescent="0.45">
      <c r="A268" s="27"/>
      <c r="B268" s="27"/>
      <c r="C268" s="27"/>
      <c r="D268" s="27"/>
      <c r="E268" s="27"/>
      <c r="F268" s="27"/>
      <c r="G268" s="27"/>
      <c r="H268" s="27"/>
      <c r="I268" s="58"/>
    </row>
    <row r="269" spans="1:9" s="52" customFormat="1" x14ac:dyDescent="0.45">
      <c r="A269" s="27"/>
      <c r="B269" s="27"/>
      <c r="C269" s="27"/>
      <c r="D269" s="27"/>
      <c r="E269" s="27"/>
      <c r="F269" s="27"/>
      <c r="G269" s="27"/>
      <c r="H269" s="27"/>
      <c r="I269" s="58"/>
    </row>
    <row r="270" spans="1:9" s="52" customFormat="1" x14ac:dyDescent="0.45">
      <c r="A270" s="27"/>
      <c r="B270" s="27"/>
      <c r="C270" s="27"/>
      <c r="D270" s="27"/>
      <c r="E270" s="27"/>
      <c r="F270" s="27"/>
      <c r="G270" s="27"/>
      <c r="H270" s="27"/>
      <c r="I270" s="58"/>
    </row>
    <row r="271" spans="1:9" s="52" customFormat="1" x14ac:dyDescent="0.45">
      <c r="A271" s="27"/>
      <c r="B271" s="27"/>
      <c r="C271" s="27"/>
      <c r="D271" s="27"/>
      <c r="E271" s="27"/>
      <c r="F271" s="27"/>
      <c r="G271" s="27"/>
      <c r="H271" s="27"/>
      <c r="I271" s="58"/>
    </row>
    <row r="272" spans="1:9" s="52" customFormat="1" x14ac:dyDescent="0.45">
      <c r="A272" s="27"/>
      <c r="B272" s="27"/>
      <c r="C272" s="27"/>
      <c r="D272" s="27"/>
      <c r="E272" s="27"/>
      <c r="F272" s="27"/>
      <c r="G272" s="27"/>
      <c r="H272" s="27"/>
      <c r="I272" s="58"/>
    </row>
    <row r="273" spans="1:9" s="52" customFormat="1" x14ac:dyDescent="0.45">
      <c r="A273" s="27"/>
      <c r="B273" s="27"/>
      <c r="C273" s="27"/>
      <c r="D273" s="27"/>
      <c r="E273" s="27"/>
      <c r="F273" s="27"/>
      <c r="G273" s="27"/>
      <c r="H273" s="27"/>
      <c r="I273" s="58"/>
    </row>
    <row r="274" spans="1:9" s="52" customFormat="1" x14ac:dyDescent="0.45">
      <c r="A274" s="27"/>
      <c r="B274" s="27"/>
      <c r="C274" s="27"/>
      <c r="D274" s="27"/>
      <c r="E274" s="27"/>
      <c r="F274" s="27"/>
      <c r="G274" s="27"/>
      <c r="H274" s="27"/>
      <c r="I274" s="58"/>
    </row>
    <row r="275" spans="1:9" s="52" customFormat="1" x14ac:dyDescent="0.45">
      <c r="A275" s="27"/>
      <c r="B275" s="27"/>
      <c r="C275" s="27"/>
      <c r="D275" s="27"/>
      <c r="E275" s="27"/>
      <c r="F275" s="27"/>
      <c r="G275" s="27"/>
      <c r="H275" s="27"/>
      <c r="I275" s="58"/>
    </row>
    <row r="276" spans="1:9" s="52" customFormat="1" x14ac:dyDescent="0.45">
      <c r="A276" s="27"/>
      <c r="B276" s="27"/>
      <c r="C276" s="27"/>
      <c r="D276" s="27"/>
      <c r="E276" s="27"/>
      <c r="F276" s="27"/>
      <c r="G276" s="27"/>
      <c r="H276" s="27"/>
      <c r="I276" s="58"/>
    </row>
    <row r="277" spans="1:9" s="52" customFormat="1" x14ac:dyDescent="0.45">
      <c r="A277" s="27"/>
      <c r="B277" s="27"/>
      <c r="C277" s="27"/>
      <c r="D277" s="27"/>
      <c r="E277" s="27"/>
      <c r="F277" s="27"/>
      <c r="G277" s="27"/>
      <c r="H277" s="27"/>
      <c r="I277" s="58"/>
    </row>
    <row r="278" spans="1:9" s="52" customFormat="1" x14ac:dyDescent="0.45">
      <c r="A278" s="27"/>
      <c r="B278" s="27"/>
      <c r="C278" s="27"/>
      <c r="D278" s="27"/>
      <c r="E278" s="27"/>
      <c r="F278" s="27"/>
      <c r="G278" s="27"/>
      <c r="H278" s="27"/>
      <c r="I278" s="58"/>
    </row>
    <row r="279" spans="1:9" s="52" customFormat="1" x14ac:dyDescent="0.45">
      <c r="A279" s="27"/>
      <c r="B279" s="27"/>
      <c r="C279" s="27"/>
      <c r="D279" s="27"/>
      <c r="E279" s="27"/>
      <c r="F279" s="27"/>
      <c r="G279" s="27"/>
      <c r="H279" s="27"/>
      <c r="I279" s="58"/>
    </row>
    <row r="280" spans="1:9" s="52" customFormat="1" x14ac:dyDescent="0.45">
      <c r="A280" s="27"/>
      <c r="B280" s="27"/>
      <c r="C280" s="27"/>
      <c r="D280" s="27"/>
      <c r="E280" s="27"/>
      <c r="F280" s="27"/>
      <c r="G280" s="27"/>
      <c r="H280" s="27"/>
      <c r="I280" s="58"/>
    </row>
    <row r="281" spans="1:9" s="52" customFormat="1" x14ac:dyDescent="0.45">
      <c r="A281" s="27"/>
      <c r="B281" s="27"/>
      <c r="C281" s="27"/>
      <c r="D281" s="27"/>
      <c r="E281" s="27"/>
      <c r="F281" s="27"/>
      <c r="G281" s="27"/>
      <c r="H281" s="27"/>
      <c r="I281" s="58"/>
    </row>
    <row r="282" spans="1:9" s="52" customFormat="1" x14ac:dyDescent="0.45">
      <c r="A282" s="27"/>
      <c r="B282" s="27"/>
      <c r="C282" s="27"/>
      <c r="D282" s="27"/>
      <c r="E282" s="27"/>
      <c r="F282" s="27"/>
      <c r="G282" s="27"/>
      <c r="H282" s="27"/>
      <c r="I282" s="58"/>
    </row>
    <row r="283" spans="1:9" s="52" customFormat="1" x14ac:dyDescent="0.45">
      <c r="A283" s="27"/>
      <c r="B283" s="27"/>
      <c r="C283" s="27"/>
      <c r="D283" s="27"/>
      <c r="E283" s="27"/>
      <c r="F283" s="27"/>
      <c r="G283" s="27"/>
      <c r="H283" s="27"/>
      <c r="I283" s="58"/>
    </row>
    <row r="284" spans="1:9" s="52" customFormat="1" x14ac:dyDescent="0.45">
      <c r="A284" s="27"/>
      <c r="B284" s="27"/>
      <c r="C284" s="27"/>
      <c r="D284" s="27"/>
      <c r="E284" s="27"/>
      <c r="F284" s="27"/>
      <c r="G284" s="27"/>
      <c r="H284" s="27"/>
      <c r="I284" s="58"/>
    </row>
    <row r="285" spans="1:9" s="52" customFormat="1" x14ac:dyDescent="0.45">
      <c r="A285" s="27"/>
      <c r="B285" s="27"/>
      <c r="C285" s="27"/>
      <c r="D285" s="27"/>
      <c r="E285" s="27"/>
      <c r="F285" s="27"/>
      <c r="G285" s="27"/>
      <c r="H285" s="27"/>
      <c r="I285" s="58"/>
    </row>
    <row r="286" spans="1:9" s="52" customFormat="1" x14ac:dyDescent="0.45">
      <c r="A286" s="27"/>
      <c r="B286" s="27"/>
      <c r="C286" s="27"/>
      <c r="D286" s="27"/>
      <c r="E286" s="27"/>
      <c r="F286" s="27"/>
      <c r="G286" s="27"/>
      <c r="H286" s="27"/>
      <c r="I286" s="58"/>
    </row>
    <row r="287" spans="1:9" s="52" customFormat="1" x14ac:dyDescent="0.45">
      <c r="A287" s="27"/>
      <c r="B287" s="27"/>
      <c r="C287" s="27"/>
      <c r="D287" s="27"/>
      <c r="E287" s="27"/>
      <c r="F287" s="27"/>
      <c r="G287" s="27"/>
      <c r="H287" s="27"/>
      <c r="I287" s="58"/>
    </row>
    <row r="288" spans="1:9" s="52" customFormat="1" x14ac:dyDescent="0.45">
      <c r="A288" s="27"/>
      <c r="B288" s="27"/>
      <c r="C288" s="27"/>
      <c r="D288" s="27"/>
      <c r="E288" s="27"/>
      <c r="F288" s="27"/>
      <c r="G288" s="27"/>
      <c r="H288" s="27"/>
      <c r="I288" s="58"/>
    </row>
    <row r="289" spans="1:9" s="52" customFormat="1" x14ac:dyDescent="0.45">
      <c r="A289" s="27"/>
      <c r="B289" s="27"/>
      <c r="C289" s="27"/>
      <c r="D289" s="27"/>
      <c r="E289" s="27"/>
      <c r="F289" s="27"/>
      <c r="G289" s="27"/>
      <c r="H289" s="27"/>
      <c r="I289" s="58"/>
    </row>
    <row r="290" spans="1:9" s="52" customFormat="1" x14ac:dyDescent="0.45">
      <c r="A290" s="27"/>
      <c r="B290" s="27"/>
      <c r="C290" s="27"/>
      <c r="D290" s="27"/>
      <c r="E290" s="27"/>
      <c r="F290" s="27"/>
      <c r="G290" s="27"/>
      <c r="H290" s="27"/>
      <c r="I290" s="58"/>
    </row>
    <row r="291" spans="1:9" s="52" customFormat="1" x14ac:dyDescent="0.45">
      <c r="A291" s="27"/>
      <c r="B291" s="27"/>
      <c r="C291" s="27"/>
      <c r="D291" s="27"/>
      <c r="E291" s="27"/>
      <c r="F291" s="27"/>
      <c r="G291" s="27"/>
      <c r="H291" s="27"/>
      <c r="I291" s="58"/>
    </row>
    <row r="292" spans="1:9" s="52" customFormat="1" x14ac:dyDescent="0.45">
      <c r="A292" s="27"/>
      <c r="B292" s="27"/>
      <c r="C292" s="27"/>
      <c r="D292" s="27"/>
      <c r="E292" s="27"/>
      <c r="F292" s="27"/>
      <c r="G292" s="27"/>
      <c r="H292" s="27"/>
      <c r="I292" s="58"/>
    </row>
    <row r="293" spans="1:9" s="52" customFormat="1" x14ac:dyDescent="0.45">
      <c r="A293" s="27"/>
      <c r="B293" s="27"/>
      <c r="C293" s="27"/>
      <c r="D293" s="27"/>
      <c r="E293" s="27"/>
      <c r="F293" s="27"/>
      <c r="G293" s="27"/>
      <c r="H293" s="27"/>
      <c r="I293" s="58"/>
    </row>
    <row r="294" spans="1:9" s="52" customFormat="1" x14ac:dyDescent="0.45">
      <c r="A294" s="27"/>
      <c r="B294" s="27"/>
      <c r="C294" s="27"/>
      <c r="D294" s="27"/>
      <c r="E294" s="27"/>
      <c r="F294" s="27"/>
      <c r="G294" s="27"/>
      <c r="H294" s="27"/>
      <c r="I294" s="58"/>
    </row>
    <row r="295" spans="1:9" s="52" customFormat="1" x14ac:dyDescent="0.45">
      <c r="A295" s="27"/>
      <c r="B295" s="27"/>
      <c r="C295" s="27"/>
      <c r="D295" s="27"/>
      <c r="E295" s="27"/>
      <c r="F295" s="27"/>
      <c r="G295" s="27"/>
      <c r="H295" s="27"/>
      <c r="I295" s="58"/>
    </row>
    <row r="296" spans="1:9" s="52" customFormat="1" x14ac:dyDescent="0.45">
      <c r="A296" s="27"/>
      <c r="B296" s="27"/>
      <c r="C296" s="27"/>
      <c r="D296" s="27"/>
      <c r="E296" s="27"/>
      <c r="F296" s="27"/>
      <c r="G296" s="27"/>
      <c r="H296" s="27"/>
      <c r="I296" s="58"/>
    </row>
    <row r="297" spans="1:9" s="52" customFormat="1" x14ac:dyDescent="0.45">
      <c r="A297" s="27"/>
      <c r="B297" s="27"/>
      <c r="C297" s="27"/>
      <c r="D297" s="27"/>
      <c r="E297" s="27"/>
      <c r="F297" s="27"/>
      <c r="G297" s="27"/>
      <c r="H297" s="27"/>
      <c r="I297" s="58"/>
    </row>
    <row r="298" spans="1:9" s="52" customFormat="1" x14ac:dyDescent="0.45">
      <c r="A298" s="27"/>
      <c r="B298" s="27"/>
      <c r="C298" s="27"/>
      <c r="D298" s="27"/>
      <c r="E298" s="27"/>
      <c r="F298" s="27"/>
      <c r="G298" s="27"/>
      <c r="H298" s="27"/>
      <c r="I298" s="58"/>
    </row>
    <row r="299" spans="1:9" s="52" customFormat="1" x14ac:dyDescent="0.45">
      <c r="A299" s="27"/>
      <c r="B299" s="27"/>
      <c r="C299" s="27"/>
      <c r="D299" s="27"/>
      <c r="E299" s="27"/>
      <c r="F299" s="27"/>
      <c r="G299" s="27"/>
      <c r="H299" s="27"/>
      <c r="I299" s="58"/>
    </row>
    <row r="300" spans="1:9" s="52" customFormat="1" x14ac:dyDescent="0.45">
      <c r="A300" s="27"/>
      <c r="B300" s="27"/>
      <c r="C300" s="27"/>
      <c r="D300" s="27"/>
      <c r="E300" s="27"/>
      <c r="F300" s="27"/>
      <c r="G300" s="27"/>
      <c r="H300" s="27"/>
      <c r="I300" s="58"/>
    </row>
    <row r="301" spans="1:9" s="52" customFormat="1" x14ac:dyDescent="0.45">
      <c r="A301" s="27"/>
      <c r="B301" s="27"/>
      <c r="C301" s="27"/>
      <c r="D301" s="27"/>
      <c r="E301" s="27"/>
      <c r="F301" s="27"/>
      <c r="G301" s="27"/>
      <c r="H301" s="27"/>
      <c r="I301" s="58"/>
    </row>
    <row r="302" spans="1:9" s="52" customFormat="1" x14ac:dyDescent="0.45">
      <c r="A302" s="27"/>
      <c r="B302" s="27"/>
      <c r="C302" s="27"/>
      <c r="D302" s="27"/>
      <c r="E302" s="27"/>
      <c r="F302" s="27"/>
      <c r="G302" s="27"/>
      <c r="H302" s="27"/>
      <c r="I302" s="58"/>
    </row>
    <row r="303" spans="1:9" s="52" customFormat="1" x14ac:dyDescent="0.45">
      <c r="A303" s="27"/>
      <c r="B303" s="27"/>
      <c r="C303" s="27"/>
      <c r="D303" s="27"/>
      <c r="E303" s="27"/>
      <c r="F303" s="27"/>
      <c r="G303" s="27"/>
      <c r="H303" s="27"/>
      <c r="I303" s="58"/>
    </row>
    <row r="304" spans="1:9" s="52" customFormat="1" x14ac:dyDescent="0.45">
      <c r="A304" s="27"/>
      <c r="B304" s="27"/>
      <c r="C304" s="27"/>
      <c r="D304" s="27"/>
      <c r="E304" s="27"/>
      <c r="F304" s="27"/>
      <c r="G304" s="27"/>
      <c r="H304" s="27"/>
      <c r="I304" s="58"/>
    </row>
    <row r="305" spans="1:9" s="52" customFormat="1" x14ac:dyDescent="0.45">
      <c r="A305" s="27"/>
      <c r="B305" s="27"/>
      <c r="C305" s="27"/>
      <c r="D305" s="27"/>
      <c r="E305" s="27"/>
      <c r="F305" s="27"/>
      <c r="G305" s="27"/>
      <c r="H305" s="27"/>
      <c r="I305" s="58"/>
    </row>
    <row r="306" spans="1:9" s="52" customFormat="1" x14ac:dyDescent="0.45">
      <c r="A306" s="27"/>
      <c r="B306" s="27"/>
      <c r="C306" s="27"/>
      <c r="D306" s="27"/>
      <c r="E306" s="27"/>
      <c r="F306" s="27"/>
      <c r="G306" s="27"/>
      <c r="H306" s="27"/>
      <c r="I306" s="58"/>
    </row>
    <row r="307" spans="1:9" s="52" customFormat="1" x14ac:dyDescent="0.45">
      <c r="A307" s="27"/>
      <c r="B307" s="27"/>
      <c r="C307" s="27"/>
      <c r="D307" s="27"/>
      <c r="E307" s="27"/>
      <c r="F307" s="27"/>
      <c r="G307" s="27"/>
      <c r="H307" s="27"/>
      <c r="I307" s="58"/>
    </row>
    <row r="308" spans="1:9" s="52" customFormat="1" x14ac:dyDescent="0.45">
      <c r="A308" s="27"/>
      <c r="B308" s="27"/>
      <c r="C308" s="27"/>
      <c r="D308" s="27"/>
      <c r="E308" s="27"/>
      <c r="F308" s="27"/>
      <c r="G308" s="27"/>
      <c r="H308" s="27"/>
      <c r="I308" s="58"/>
    </row>
    <row r="309" spans="1:9" s="52" customFormat="1" x14ac:dyDescent="0.45">
      <c r="A309" s="27"/>
      <c r="B309" s="27"/>
      <c r="C309" s="27"/>
      <c r="D309" s="27"/>
      <c r="E309" s="27"/>
      <c r="F309" s="27"/>
      <c r="G309" s="27"/>
      <c r="H309" s="27"/>
      <c r="I309" s="58"/>
    </row>
    <row r="310" spans="1:9" s="52" customFormat="1" x14ac:dyDescent="0.45">
      <c r="A310" s="27"/>
      <c r="B310" s="27"/>
      <c r="C310" s="27"/>
      <c r="D310" s="27"/>
      <c r="E310" s="27"/>
      <c r="F310" s="27"/>
      <c r="G310" s="27"/>
      <c r="H310" s="27"/>
      <c r="I310" s="58"/>
    </row>
    <row r="311" spans="1:9" s="52" customFormat="1" x14ac:dyDescent="0.45">
      <c r="A311" s="27"/>
      <c r="B311" s="27"/>
      <c r="C311" s="27"/>
      <c r="D311" s="27"/>
      <c r="E311" s="27"/>
      <c r="F311" s="27"/>
      <c r="G311" s="27"/>
      <c r="H311" s="27"/>
      <c r="I311" s="58"/>
    </row>
    <row r="312" spans="1:9" s="52" customFormat="1" x14ac:dyDescent="0.45">
      <c r="A312" s="27"/>
      <c r="B312" s="27"/>
      <c r="C312" s="27"/>
      <c r="D312" s="27"/>
      <c r="E312" s="27"/>
      <c r="F312" s="27"/>
      <c r="G312" s="27"/>
      <c r="H312" s="27"/>
      <c r="I312" s="58"/>
    </row>
    <row r="313" spans="1:9" s="52" customFormat="1" x14ac:dyDescent="0.45">
      <c r="A313" s="27"/>
      <c r="B313" s="27"/>
      <c r="C313" s="27"/>
      <c r="D313" s="27"/>
      <c r="E313" s="27"/>
      <c r="F313" s="27"/>
      <c r="G313" s="27"/>
      <c r="H313" s="27"/>
      <c r="I313" s="58"/>
    </row>
    <row r="314" spans="1:9" s="52" customFormat="1" x14ac:dyDescent="0.45">
      <c r="A314" s="27"/>
      <c r="B314" s="27"/>
      <c r="C314" s="27"/>
      <c r="D314" s="27"/>
      <c r="E314" s="27"/>
      <c r="F314" s="27"/>
      <c r="G314" s="27"/>
      <c r="H314" s="27"/>
      <c r="I314" s="58"/>
    </row>
    <row r="315" spans="1:9" s="52" customFormat="1" x14ac:dyDescent="0.45">
      <c r="A315" s="27"/>
      <c r="B315" s="27"/>
      <c r="C315" s="27"/>
      <c r="D315" s="27"/>
      <c r="E315" s="27"/>
      <c r="F315" s="27"/>
      <c r="G315" s="27"/>
      <c r="H315" s="27"/>
      <c r="I315" s="58"/>
    </row>
    <row r="316" spans="1:9" s="52" customFormat="1" x14ac:dyDescent="0.45">
      <c r="A316" s="27"/>
      <c r="B316" s="27"/>
      <c r="C316" s="27"/>
      <c r="D316" s="27"/>
      <c r="E316" s="27"/>
      <c r="F316" s="27"/>
      <c r="G316" s="27"/>
      <c r="H316" s="27"/>
      <c r="I316" s="58"/>
    </row>
    <row r="317" spans="1:9" s="52" customFormat="1" x14ac:dyDescent="0.45">
      <c r="A317" s="27"/>
      <c r="B317" s="27"/>
      <c r="C317" s="27"/>
      <c r="D317" s="27"/>
      <c r="E317" s="27"/>
      <c r="F317" s="27"/>
      <c r="G317" s="27"/>
      <c r="H317" s="27"/>
      <c r="I317" s="58"/>
    </row>
    <row r="318" spans="1:9" s="52" customFormat="1" x14ac:dyDescent="0.45">
      <c r="A318" s="27"/>
      <c r="B318" s="27"/>
      <c r="C318" s="27"/>
      <c r="D318" s="27"/>
      <c r="E318" s="27"/>
      <c r="F318" s="27"/>
      <c r="G318" s="27"/>
      <c r="H318" s="27"/>
      <c r="I318" s="58"/>
    </row>
    <row r="319" spans="1:9" s="52" customFormat="1" x14ac:dyDescent="0.45">
      <c r="A319" s="27"/>
      <c r="B319" s="27"/>
      <c r="C319" s="27"/>
      <c r="D319" s="27"/>
      <c r="E319" s="27"/>
      <c r="F319" s="27"/>
      <c r="G319" s="27"/>
      <c r="H319" s="27"/>
      <c r="I319" s="58"/>
    </row>
    <row r="320" spans="1:9" s="52" customFormat="1" x14ac:dyDescent="0.45">
      <c r="A320" s="27"/>
      <c r="B320" s="27"/>
      <c r="C320" s="27"/>
      <c r="D320" s="27"/>
      <c r="E320" s="27"/>
      <c r="F320" s="27"/>
      <c r="G320" s="27"/>
      <c r="H320" s="27"/>
      <c r="I320" s="58"/>
    </row>
    <row r="321" spans="1:9" s="52" customFormat="1" x14ac:dyDescent="0.45">
      <c r="A321" s="27"/>
      <c r="B321" s="27"/>
      <c r="C321" s="27"/>
      <c r="D321" s="27"/>
      <c r="E321" s="27"/>
      <c r="F321" s="27"/>
      <c r="G321" s="27"/>
      <c r="H321" s="27"/>
      <c r="I321" s="58"/>
    </row>
    <row r="322" spans="1:9" s="52" customFormat="1" x14ac:dyDescent="0.45">
      <c r="A322" s="27"/>
      <c r="B322" s="27"/>
      <c r="C322" s="27"/>
      <c r="D322" s="27"/>
      <c r="E322" s="27"/>
      <c r="F322" s="27"/>
      <c r="G322" s="27"/>
      <c r="H322" s="27"/>
      <c r="I322" s="58"/>
    </row>
    <row r="323" spans="1:9" s="52" customFormat="1" x14ac:dyDescent="0.45">
      <c r="A323" s="27"/>
      <c r="B323" s="27"/>
      <c r="C323" s="27"/>
      <c r="D323" s="27"/>
      <c r="E323" s="27"/>
      <c r="F323" s="27"/>
      <c r="G323" s="27"/>
      <c r="H323" s="27"/>
      <c r="I323" s="58"/>
    </row>
    <row r="324" spans="1:9" s="52" customFormat="1" x14ac:dyDescent="0.45">
      <c r="A324" s="27"/>
      <c r="B324" s="27"/>
      <c r="C324" s="27"/>
      <c r="D324" s="27"/>
      <c r="E324" s="27"/>
      <c r="F324" s="27"/>
      <c r="G324" s="27"/>
      <c r="H324" s="27"/>
      <c r="I324" s="58"/>
    </row>
    <row r="325" spans="1:9" s="52" customFormat="1" x14ac:dyDescent="0.45">
      <c r="A325" s="27"/>
      <c r="B325" s="27"/>
      <c r="C325" s="27"/>
      <c r="D325" s="27"/>
      <c r="E325" s="27"/>
      <c r="F325" s="27"/>
      <c r="G325" s="27"/>
      <c r="H325" s="27"/>
      <c r="I325" s="58"/>
    </row>
    <row r="326" spans="1:9" s="52" customFormat="1" x14ac:dyDescent="0.45">
      <c r="A326" s="27"/>
      <c r="B326" s="27"/>
      <c r="C326" s="27"/>
      <c r="D326" s="27"/>
      <c r="E326" s="27"/>
      <c r="F326" s="27"/>
      <c r="G326" s="27"/>
      <c r="H326" s="27"/>
      <c r="I326" s="58"/>
    </row>
    <row r="327" spans="1:9" s="52" customFormat="1" ht="72.75" customHeight="1" x14ac:dyDescent="0.45">
      <c r="A327" s="27"/>
      <c r="B327" s="27"/>
      <c r="C327" s="27"/>
      <c r="D327" s="27"/>
      <c r="E327" s="27"/>
      <c r="F327" s="27"/>
      <c r="G327" s="27"/>
      <c r="H327" s="27"/>
      <c r="I327" s="58"/>
    </row>
    <row r="328" spans="1:9" s="52" customFormat="1" x14ac:dyDescent="0.45">
      <c r="A328" s="27"/>
      <c r="B328" s="27"/>
      <c r="C328" s="27"/>
      <c r="D328" s="27"/>
      <c r="E328" s="27"/>
      <c r="F328" s="27"/>
      <c r="G328" s="27"/>
      <c r="H328" s="27"/>
      <c r="I328" s="58"/>
    </row>
    <row r="329" spans="1:9" s="52" customFormat="1" ht="69.75" customHeight="1" x14ac:dyDescent="0.45">
      <c r="A329" s="27"/>
      <c r="B329" s="27"/>
      <c r="C329" s="27"/>
      <c r="D329" s="27"/>
      <c r="E329" s="27"/>
      <c r="F329" s="27"/>
      <c r="G329" s="27"/>
      <c r="H329" s="27"/>
      <c r="I329" s="58"/>
    </row>
    <row r="330" spans="1:9" s="52" customFormat="1" x14ac:dyDescent="0.45">
      <c r="A330" s="27"/>
      <c r="B330" s="27"/>
      <c r="C330" s="27"/>
      <c r="D330" s="27"/>
      <c r="E330" s="27"/>
      <c r="F330" s="27"/>
      <c r="G330" s="27"/>
      <c r="H330" s="27"/>
      <c r="I330" s="58"/>
    </row>
    <row r="331" spans="1:9" s="52" customFormat="1" ht="86.25" customHeight="1" x14ac:dyDescent="0.45">
      <c r="A331" s="27"/>
      <c r="B331" s="27"/>
      <c r="C331" s="27"/>
      <c r="D331" s="27"/>
      <c r="E331" s="27"/>
      <c r="F331" s="27"/>
      <c r="G331" s="27"/>
      <c r="H331" s="27"/>
      <c r="I331" s="58"/>
    </row>
    <row r="332" spans="1:9" s="52" customFormat="1" x14ac:dyDescent="0.45">
      <c r="A332" s="27"/>
      <c r="B332" s="27"/>
      <c r="C332" s="27"/>
      <c r="D332" s="27"/>
      <c r="E332" s="27"/>
      <c r="F332" s="27"/>
      <c r="G332" s="27"/>
      <c r="H332" s="27"/>
      <c r="I332" s="58"/>
    </row>
    <row r="333" spans="1:9" s="52" customFormat="1" x14ac:dyDescent="0.45">
      <c r="A333" s="27"/>
      <c r="B333" s="27"/>
      <c r="C333" s="27"/>
      <c r="D333" s="27"/>
      <c r="E333" s="27"/>
      <c r="F333" s="27"/>
      <c r="G333" s="27"/>
      <c r="H333" s="27"/>
      <c r="I333" s="58"/>
    </row>
    <row r="334" spans="1:9" s="52" customFormat="1" x14ac:dyDescent="0.45">
      <c r="A334" s="27"/>
      <c r="B334" s="27"/>
      <c r="C334" s="27"/>
      <c r="D334" s="27"/>
      <c r="E334" s="27"/>
      <c r="F334" s="27"/>
      <c r="G334" s="27"/>
      <c r="H334" s="27"/>
      <c r="I334" s="58"/>
    </row>
    <row r="335" spans="1:9" s="52" customFormat="1" x14ac:dyDescent="0.45">
      <c r="A335" s="27"/>
      <c r="B335" s="27"/>
      <c r="C335" s="27"/>
      <c r="D335" s="27"/>
      <c r="E335" s="27"/>
      <c r="F335" s="27"/>
      <c r="G335" s="27"/>
      <c r="H335" s="27"/>
      <c r="I335" s="58"/>
    </row>
    <row r="336" spans="1:9" s="52" customFormat="1" x14ac:dyDescent="0.45">
      <c r="A336" s="27"/>
      <c r="B336" s="27"/>
      <c r="C336" s="27"/>
      <c r="D336" s="27"/>
      <c r="E336" s="27"/>
      <c r="F336" s="27"/>
      <c r="G336" s="27"/>
      <c r="H336" s="27"/>
      <c r="I336" s="58"/>
    </row>
    <row r="337" spans="1:9" s="52" customFormat="1" x14ac:dyDescent="0.45">
      <c r="A337" s="27"/>
      <c r="B337" s="27"/>
      <c r="C337" s="27"/>
      <c r="D337" s="27"/>
      <c r="E337" s="27"/>
      <c r="F337" s="27"/>
      <c r="G337" s="27"/>
      <c r="H337" s="27"/>
      <c r="I337" s="58"/>
    </row>
    <row r="338" spans="1:9" s="52" customFormat="1" x14ac:dyDescent="0.45">
      <c r="A338" s="27"/>
      <c r="B338" s="27"/>
      <c r="C338" s="27"/>
      <c r="D338" s="27"/>
      <c r="E338" s="27"/>
      <c r="F338" s="27"/>
      <c r="G338" s="27"/>
      <c r="H338" s="27"/>
      <c r="I338" s="58"/>
    </row>
    <row r="339" spans="1:9" s="52" customFormat="1" x14ac:dyDescent="0.45">
      <c r="A339" s="27"/>
      <c r="B339" s="27"/>
      <c r="C339" s="27"/>
      <c r="D339" s="27"/>
      <c r="E339" s="27"/>
      <c r="F339" s="27"/>
      <c r="G339" s="27"/>
      <c r="H339" s="27"/>
      <c r="I339" s="58"/>
    </row>
    <row r="340" spans="1:9" s="52" customFormat="1" x14ac:dyDescent="0.45">
      <c r="A340" s="27"/>
      <c r="B340" s="27"/>
      <c r="C340" s="27"/>
      <c r="D340" s="27"/>
      <c r="E340" s="27"/>
      <c r="F340" s="27"/>
      <c r="G340" s="27"/>
      <c r="H340" s="27"/>
      <c r="I340" s="58"/>
    </row>
    <row r="341" spans="1:9" s="52" customFormat="1" x14ac:dyDescent="0.45">
      <c r="A341" s="27"/>
      <c r="B341" s="27"/>
      <c r="C341" s="27"/>
      <c r="D341" s="27"/>
      <c r="E341" s="27"/>
      <c r="F341" s="27"/>
      <c r="G341" s="27"/>
      <c r="H341" s="27"/>
      <c r="I341" s="58"/>
    </row>
    <row r="342" spans="1:9" s="52" customFormat="1" x14ac:dyDescent="0.45">
      <c r="A342" s="27"/>
      <c r="B342" s="27"/>
      <c r="C342" s="27"/>
      <c r="D342" s="27"/>
      <c r="E342" s="27"/>
      <c r="F342" s="27"/>
      <c r="G342" s="27"/>
      <c r="H342" s="27"/>
      <c r="I342" s="58"/>
    </row>
    <row r="343" spans="1:9" s="52" customFormat="1" x14ac:dyDescent="0.45">
      <c r="A343" s="27"/>
      <c r="B343" s="27"/>
      <c r="C343" s="27"/>
      <c r="D343" s="27"/>
      <c r="E343" s="27"/>
      <c r="F343" s="27"/>
      <c r="G343" s="27"/>
      <c r="H343" s="27"/>
      <c r="I343" s="58"/>
    </row>
    <row r="344" spans="1:9" s="52" customFormat="1" x14ac:dyDescent="0.45">
      <c r="A344" s="27"/>
      <c r="B344" s="27"/>
      <c r="C344" s="27"/>
      <c r="D344" s="27"/>
      <c r="E344" s="27"/>
      <c r="F344" s="27"/>
      <c r="G344" s="27"/>
      <c r="H344" s="27"/>
      <c r="I344" s="58"/>
    </row>
    <row r="345" spans="1:9" s="52" customFormat="1" x14ac:dyDescent="0.45">
      <c r="A345" s="27"/>
      <c r="B345" s="27"/>
      <c r="C345" s="27"/>
      <c r="D345" s="27"/>
      <c r="E345" s="27"/>
      <c r="F345" s="27"/>
      <c r="G345" s="27"/>
      <c r="H345" s="27"/>
      <c r="I345" s="58"/>
    </row>
    <row r="346" spans="1:9" s="52" customFormat="1" x14ac:dyDescent="0.45">
      <c r="A346" s="27"/>
      <c r="B346" s="27"/>
      <c r="C346" s="27"/>
      <c r="D346" s="27"/>
      <c r="E346" s="27"/>
      <c r="F346" s="27"/>
      <c r="G346" s="27"/>
      <c r="H346" s="27"/>
      <c r="I346" s="58"/>
    </row>
    <row r="347" spans="1:9" s="52" customFormat="1" ht="71.25" customHeight="1" x14ac:dyDescent="0.45">
      <c r="A347" s="27"/>
      <c r="B347" s="27"/>
      <c r="C347" s="27"/>
      <c r="D347" s="27"/>
      <c r="E347" s="27"/>
      <c r="F347" s="27"/>
      <c r="G347" s="27"/>
      <c r="H347" s="27"/>
      <c r="I347" s="58"/>
    </row>
    <row r="348" spans="1:9" s="52" customFormat="1" x14ac:dyDescent="0.45">
      <c r="A348" s="27"/>
      <c r="B348" s="27"/>
      <c r="C348" s="27"/>
      <c r="D348" s="27"/>
      <c r="E348" s="27"/>
      <c r="F348" s="27"/>
      <c r="G348" s="27"/>
      <c r="H348" s="27"/>
      <c r="I348" s="58"/>
    </row>
    <row r="349" spans="1:9" s="52" customFormat="1" x14ac:dyDescent="0.45">
      <c r="A349" s="27"/>
      <c r="B349" s="27"/>
      <c r="C349" s="27"/>
      <c r="D349" s="27"/>
      <c r="E349" s="27"/>
      <c r="F349" s="27"/>
      <c r="G349" s="27"/>
      <c r="H349" s="27"/>
      <c r="I349" s="58"/>
    </row>
    <row r="350" spans="1:9" s="52" customFormat="1" x14ac:dyDescent="0.45">
      <c r="A350" s="27"/>
      <c r="B350" s="27"/>
      <c r="C350" s="27"/>
      <c r="D350" s="27"/>
      <c r="E350" s="27"/>
      <c r="F350" s="27"/>
      <c r="G350" s="27"/>
      <c r="H350" s="27"/>
      <c r="I350" s="58"/>
    </row>
    <row r="351" spans="1:9" s="52" customFormat="1" x14ac:dyDescent="0.45">
      <c r="A351" s="27"/>
      <c r="B351" s="27"/>
      <c r="C351" s="27"/>
      <c r="D351" s="27"/>
      <c r="E351" s="27"/>
      <c r="F351" s="27"/>
      <c r="G351" s="27"/>
      <c r="H351" s="27"/>
      <c r="I351" s="58"/>
    </row>
    <row r="352" spans="1:9" s="52" customFormat="1" x14ac:dyDescent="0.45">
      <c r="A352" s="27"/>
      <c r="B352" s="27"/>
      <c r="C352" s="27"/>
      <c r="D352" s="27"/>
      <c r="E352" s="27"/>
      <c r="F352" s="27"/>
      <c r="G352" s="27"/>
      <c r="H352" s="27"/>
      <c r="I352" s="58"/>
    </row>
    <row r="353" spans="1:9" s="52" customFormat="1" ht="72.75" customHeight="1" x14ac:dyDescent="0.45">
      <c r="A353" s="27"/>
      <c r="B353" s="27"/>
      <c r="C353" s="27"/>
      <c r="D353" s="27"/>
      <c r="E353" s="27"/>
      <c r="F353" s="27"/>
      <c r="G353" s="27"/>
      <c r="H353" s="27"/>
      <c r="I353" s="58"/>
    </row>
    <row r="354" spans="1:9" s="52" customFormat="1" x14ac:dyDescent="0.45">
      <c r="A354" s="27"/>
      <c r="B354" s="27"/>
      <c r="C354" s="27"/>
      <c r="D354" s="27"/>
      <c r="E354" s="27"/>
      <c r="F354" s="27"/>
      <c r="G354" s="27"/>
      <c r="H354" s="27"/>
      <c r="I354" s="58"/>
    </row>
    <row r="355" spans="1:9" s="52" customFormat="1" ht="69.75" customHeight="1" x14ac:dyDescent="0.45">
      <c r="A355" s="27"/>
      <c r="B355" s="27"/>
      <c r="C355" s="27"/>
      <c r="D355" s="27"/>
      <c r="E355" s="27"/>
      <c r="F355" s="27"/>
      <c r="G355" s="27"/>
      <c r="H355" s="27"/>
      <c r="I355" s="58"/>
    </row>
    <row r="356" spans="1:9" s="52" customFormat="1" x14ac:dyDescent="0.45">
      <c r="A356" s="27"/>
      <c r="B356" s="27"/>
      <c r="C356" s="27"/>
      <c r="D356" s="27"/>
      <c r="E356" s="27"/>
      <c r="F356" s="27"/>
      <c r="G356" s="27"/>
      <c r="H356" s="27"/>
      <c r="I356" s="58"/>
    </row>
    <row r="357" spans="1:9" s="52" customFormat="1" x14ac:dyDescent="0.45">
      <c r="A357" s="27"/>
      <c r="B357" s="27"/>
      <c r="C357" s="27"/>
      <c r="D357" s="27"/>
      <c r="E357" s="27"/>
      <c r="F357" s="27"/>
      <c r="G357" s="27"/>
      <c r="H357" s="27"/>
      <c r="I357" s="58"/>
    </row>
    <row r="358" spans="1:9" s="52" customFormat="1" x14ac:dyDescent="0.45">
      <c r="A358" s="27"/>
      <c r="B358" s="27"/>
      <c r="C358" s="27"/>
      <c r="D358" s="27"/>
      <c r="E358" s="27"/>
      <c r="F358" s="27"/>
      <c r="G358" s="27"/>
      <c r="H358" s="27"/>
      <c r="I358" s="58"/>
    </row>
    <row r="359" spans="1:9" s="52" customFormat="1" x14ac:dyDescent="0.45">
      <c r="A359" s="27"/>
      <c r="B359" s="27"/>
      <c r="C359" s="27"/>
      <c r="D359" s="27"/>
      <c r="E359" s="27"/>
      <c r="F359" s="27"/>
      <c r="G359" s="27"/>
      <c r="H359" s="27"/>
      <c r="I359" s="58"/>
    </row>
    <row r="360" spans="1:9" s="52" customFormat="1" x14ac:dyDescent="0.45">
      <c r="A360" s="27"/>
      <c r="B360" s="27"/>
      <c r="C360" s="27"/>
      <c r="D360" s="27"/>
      <c r="E360" s="27"/>
      <c r="F360" s="27"/>
      <c r="G360" s="27"/>
      <c r="H360" s="27"/>
      <c r="I360" s="58"/>
    </row>
    <row r="361" spans="1:9" s="52" customFormat="1" x14ac:dyDescent="0.45">
      <c r="A361" s="27"/>
      <c r="B361" s="27"/>
      <c r="C361" s="27"/>
      <c r="D361" s="27"/>
      <c r="E361" s="27"/>
      <c r="F361" s="27"/>
      <c r="G361" s="27"/>
      <c r="H361" s="27"/>
      <c r="I361" s="58"/>
    </row>
    <row r="362" spans="1:9" s="52" customFormat="1" x14ac:dyDescent="0.45">
      <c r="A362" s="27"/>
      <c r="B362" s="27"/>
      <c r="C362" s="27"/>
      <c r="D362" s="27"/>
      <c r="E362" s="27"/>
      <c r="F362" s="27"/>
      <c r="G362" s="27"/>
      <c r="H362" s="27"/>
      <c r="I362" s="58"/>
    </row>
    <row r="363" spans="1:9" s="52" customFormat="1" x14ac:dyDescent="0.45">
      <c r="A363" s="27"/>
      <c r="B363" s="27"/>
      <c r="C363" s="27"/>
      <c r="D363" s="27"/>
      <c r="E363" s="27"/>
      <c r="F363" s="27"/>
      <c r="G363" s="27"/>
      <c r="H363" s="27"/>
      <c r="I363" s="58"/>
    </row>
    <row r="364" spans="1:9" s="52" customFormat="1" x14ac:dyDescent="0.45">
      <c r="A364" s="27"/>
      <c r="B364" s="27"/>
      <c r="C364" s="27"/>
      <c r="D364" s="27"/>
      <c r="E364" s="27"/>
      <c r="F364" s="27"/>
      <c r="G364" s="27"/>
      <c r="H364" s="27"/>
      <c r="I364" s="58"/>
    </row>
    <row r="365" spans="1:9" s="52" customFormat="1" x14ac:dyDescent="0.45">
      <c r="A365" s="27"/>
      <c r="B365" s="27"/>
      <c r="C365" s="27"/>
      <c r="D365" s="27"/>
      <c r="E365" s="27"/>
      <c r="F365" s="27"/>
      <c r="G365" s="27"/>
      <c r="H365" s="27"/>
      <c r="I365" s="58"/>
    </row>
    <row r="366" spans="1:9" s="52" customFormat="1" x14ac:dyDescent="0.45">
      <c r="A366" s="27"/>
      <c r="B366" s="27"/>
      <c r="C366" s="27"/>
      <c r="D366" s="27"/>
      <c r="E366" s="27"/>
      <c r="F366" s="27"/>
      <c r="G366" s="27"/>
      <c r="H366" s="27"/>
      <c r="I366" s="58"/>
    </row>
    <row r="367" spans="1:9" s="52" customFormat="1" x14ac:dyDescent="0.45">
      <c r="A367" s="27"/>
      <c r="B367" s="27"/>
      <c r="C367" s="27"/>
      <c r="D367" s="27"/>
      <c r="E367" s="27"/>
      <c r="F367" s="27"/>
      <c r="G367" s="27"/>
      <c r="H367" s="27"/>
      <c r="I367" s="58"/>
    </row>
    <row r="368" spans="1:9" s="52" customFormat="1" x14ac:dyDescent="0.45">
      <c r="A368" s="27"/>
      <c r="B368" s="27"/>
      <c r="C368" s="27"/>
      <c r="D368" s="27"/>
      <c r="E368" s="27"/>
      <c r="F368" s="27"/>
      <c r="G368" s="27"/>
      <c r="H368" s="27"/>
      <c r="I368" s="58"/>
    </row>
    <row r="369" spans="1:9" s="52" customFormat="1" x14ac:dyDescent="0.45">
      <c r="A369" s="27"/>
      <c r="B369" s="27"/>
      <c r="C369" s="27"/>
      <c r="D369" s="27"/>
      <c r="E369" s="27"/>
      <c r="F369" s="27"/>
      <c r="G369" s="27"/>
      <c r="H369" s="27"/>
      <c r="I369" s="58"/>
    </row>
    <row r="370" spans="1:9" s="52" customFormat="1" x14ac:dyDescent="0.45">
      <c r="A370" s="27"/>
      <c r="B370" s="27"/>
      <c r="C370" s="27"/>
      <c r="D370" s="27"/>
      <c r="E370" s="27"/>
      <c r="F370" s="27"/>
      <c r="G370" s="27"/>
      <c r="H370" s="27"/>
      <c r="I370" s="58"/>
    </row>
    <row r="371" spans="1:9" s="52" customFormat="1" ht="71.25" customHeight="1" x14ac:dyDescent="0.45">
      <c r="A371" s="27"/>
      <c r="B371" s="27"/>
      <c r="C371" s="27"/>
      <c r="D371" s="27"/>
      <c r="E371" s="27"/>
      <c r="F371" s="27"/>
      <c r="G371" s="27"/>
      <c r="H371" s="27"/>
      <c r="I371" s="58"/>
    </row>
    <row r="372" spans="1:9" s="52" customFormat="1" x14ac:dyDescent="0.45">
      <c r="A372" s="27"/>
      <c r="B372" s="27"/>
      <c r="C372" s="27"/>
      <c r="D372" s="27"/>
      <c r="E372" s="27"/>
      <c r="F372" s="27"/>
      <c r="G372" s="27"/>
      <c r="H372" s="27"/>
      <c r="I372" s="58"/>
    </row>
    <row r="373" spans="1:9" s="52" customFormat="1" x14ac:dyDescent="0.45">
      <c r="A373" s="27"/>
      <c r="B373" s="27"/>
      <c r="C373" s="27"/>
      <c r="D373" s="27"/>
      <c r="E373" s="27"/>
      <c r="F373" s="27"/>
      <c r="G373" s="27"/>
      <c r="H373" s="27"/>
      <c r="I373" s="58"/>
    </row>
    <row r="374" spans="1:9" s="52" customFormat="1" x14ac:dyDescent="0.45">
      <c r="A374" s="27"/>
      <c r="B374" s="27"/>
      <c r="C374" s="27"/>
      <c r="D374" s="27"/>
      <c r="E374" s="27"/>
      <c r="F374" s="27"/>
      <c r="G374" s="27"/>
      <c r="H374" s="27"/>
      <c r="I374" s="58"/>
    </row>
    <row r="375" spans="1:9" s="52" customFormat="1" x14ac:dyDescent="0.45">
      <c r="A375" s="27"/>
      <c r="B375" s="27"/>
      <c r="C375" s="27"/>
      <c r="D375" s="27"/>
      <c r="E375" s="27"/>
      <c r="F375" s="27"/>
      <c r="G375" s="27"/>
      <c r="H375" s="27"/>
      <c r="I375" s="58"/>
    </row>
    <row r="376" spans="1:9" s="52" customFormat="1" x14ac:dyDescent="0.45">
      <c r="A376" s="27"/>
      <c r="B376" s="27"/>
      <c r="C376" s="27"/>
      <c r="D376" s="27"/>
      <c r="E376" s="27"/>
      <c r="F376" s="27"/>
      <c r="G376" s="27"/>
      <c r="H376" s="27"/>
      <c r="I376" s="58"/>
    </row>
    <row r="377" spans="1:9" s="52" customFormat="1" x14ac:dyDescent="0.45">
      <c r="A377" s="27"/>
      <c r="B377" s="27"/>
      <c r="C377" s="27"/>
      <c r="D377" s="27"/>
      <c r="E377" s="27"/>
      <c r="F377" s="27"/>
      <c r="G377" s="27"/>
      <c r="H377" s="27"/>
      <c r="I377" s="58"/>
    </row>
    <row r="378" spans="1:9" s="52" customFormat="1" x14ac:dyDescent="0.45">
      <c r="A378" s="27"/>
      <c r="B378" s="27"/>
      <c r="C378" s="27"/>
      <c r="D378" s="27"/>
      <c r="E378" s="27"/>
      <c r="F378" s="27"/>
      <c r="G378" s="27"/>
      <c r="H378" s="27"/>
      <c r="I378" s="58"/>
    </row>
    <row r="379" spans="1:9" s="52" customFormat="1" x14ac:dyDescent="0.45">
      <c r="A379" s="27"/>
      <c r="B379" s="27"/>
      <c r="C379" s="27"/>
      <c r="D379" s="27"/>
      <c r="E379" s="27"/>
      <c r="F379" s="27"/>
      <c r="G379" s="27"/>
      <c r="H379" s="27"/>
      <c r="I379" s="58"/>
    </row>
    <row r="380" spans="1:9" s="52" customFormat="1" x14ac:dyDescent="0.45">
      <c r="A380" s="27"/>
      <c r="B380" s="27"/>
      <c r="C380" s="27"/>
      <c r="D380" s="27"/>
      <c r="E380" s="27"/>
      <c r="F380" s="27"/>
      <c r="G380" s="27"/>
      <c r="H380" s="27"/>
      <c r="I380" s="58"/>
    </row>
    <row r="381" spans="1:9" s="52" customFormat="1" x14ac:dyDescent="0.45">
      <c r="A381" s="27"/>
      <c r="B381" s="27"/>
      <c r="C381" s="27"/>
      <c r="D381" s="27"/>
      <c r="E381" s="27"/>
      <c r="F381" s="27"/>
      <c r="G381" s="27"/>
      <c r="H381" s="27"/>
      <c r="I381" s="58"/>
    </row>
    <row r="382" spans="1:9" s="52" customFormat="1" x14ac:dyDescent="0.45">
      <c r="A382" s="27"/>
      <c r="B382" s="27"/>
      <c r="C382" s="27"/>
      <c r="D382" s="27"/>
      <c r="E382" s="27"/>
      <c r="F382" s="27"/>
      <c r="G382" s="27"/>
      <c r="H382" s="27"/>
      <c r="I382" s="58"/>
    </row>
    <row r="383" spans="1:9" s="52" customFormat="1" x14ac:dyDescent="0.45">
      <c r="A383" s="27"/>
      <c r="B383" s="27"/>
      <c r="C383" s="27"/>
      <c r="D383" s="27"/>
      <c r="E383" s="27"/>
      <c r="F383" s="27"/>
      <c r="G383" s="27"/>
      <c r="H383" s="27"/>
      <c r="I383" s="58"/>
    </row>
    <row r="384" spans="1:9" s="52" customFormat="1" x14ac:dyDescent="0.45">
      <c r="A384" s="27"/>
      <c r="B384" s="27"/>
      <c r="C384" s="27"/>
      <c r="D384" s="27"/>
      <c r="E384" s="27"/>
      <c r="F384" s="27"/>
      <c r="G384" s="27"/>
      <c r="H384" s="27"/>
      <c r="I384" s="58"/>
    </row>
    <row r="385" spans="1:9" s="52" customFormat="1" x14ac:dyDescent="0.45">
      <c r="A385" s="27"/>
      <c r="B385" s="27"/>
      <c r="C385" s="27"/>
      <c r="D385" s="27"/>
      <c r="E385" s="27"/>
      <c r="F385" s="27"/>
      <c r="G385" s="27"/>
      <c r="H385" s="27"/>
      <c r="I385" s="58"/>
    </row>
    <row r="386" spans="1:9" s="52" customFormat="1" x14ac:dyDescent="0.45">
      <c r="A386" s="27"/>
      <c r="B386" s="27"/>
      <c r="C386" s="27"/>
      <c r="D386" s="27"/>
      <c r="E386" s="27"/>
      <c r="F386" s="27"/>
      <c r="G386" s="27"/>
      <c r="H386" s="27"/>
      <c r="I386" s="58"/>
    </row>
    <row r="387" spans="1:9" s="52" customFormat="1" x14ac:dyDescent="0.45">
      <c r="A387" s="27"/>
      <c r="B387" s="27"/>
      <c r="C387" s="27"/>
      <c r="D387" s="27"/>
      <c r="E387" s="27"/>
      <c r="F387" s="27"/>
      <c r="G387" s="27"/>
      <c r="H387" s="27"/>
      <c r="I387" s="58"/>
    </row>
    <row r="388" spans="1:9" s="52" customFormat="1" x14ac:dyDescent="0.45">
      <c r="A388" s="27"/>
      <c r="B388" s="27"/>
      <c r="C388" s="27"/>
      <c r="D388" s="27"/>
      <c r="E388" s="27"/>
      <c r="F388" s="27"/>
      <c r="G388" s="27"/>
      <c r="H388" s="27"/>
      <c r="I388" s="58"/>
    </row>
    <row r="389" spans="1:9" s="52" customFormat="1" x14ac:dyDescent="0.45">
      <c r="A389" s="27"/>
      <c r="B389" s="27"/>
      <c r="C389" s="27"/>
      <c r="D389" s="27"/>
      <c r="E389" s="27"/>
      <c r="F389" s="27"/>
      <c r="G389" s="27"/>
      <c r="H389" s="27"/>
      <c r="I389" s="58"/>
    </row>
    <row r="390" spans="1:9" s="52" customFormat="1" x14ac:dyDescent="0.45">
      <c r="A390" s="27"/>
      <c r="B390" s="27"/>
      <c r="C390" s="27"/>
      <c r="D390" s="27"/>
      <c r="E390" s="27"/>
      <c r="F390" s="27"/>
      <c r="G390" s="27"/>
      <c r="H390" s="27"/>
      <c r="I390" s="58"/>
    </row>
    <row r="391" spans="1:9" s="52" customFormat="1" x14ac:dyDescent="0.45">
      <c r="A391" s="27"/>
      <c r="B391" s="27"/>
      <c r="C391" s="27"/>
      <c r="D391" s="27"/>
      <c r="E391" s="27"/>
      <c r="F391" s="27"/>
      <c r="G391" s="27"/>
      <c r="H391" s="27"/>
      <c r="I391" s="58"/>
    </row>
    <row r="392" spans="1:9" s="52" customFormat="1" x14ac:dyDescent="0.45">
      <c r="A392" s="27"/>
      <c r="B392" s="27"/>
      <c r="C392" s="27"/>
      <c r="D392" s="27"/>
      <c r="E392" s="27"/>
      <c r="F392" s="27"/>
      <c r="G392" s="27"/>
      <c r="H392" s="27"/>
      <c r="I392" s="58"/>
    </row>
    <row r="393" spans="1:9" s="52" customFormat="1" x14ac:dyDescent="0.45">
      <c r="A393" s="27"/>
      <c r="B393" s="27"/>
      <c r="C393" s="27"/>
      <c r="D393" s="27"/>
      <c r="E393" s="27"/>
      <c r="F393" s="27"/>
      <c r="G393" s="27"/>
      <c r="H393" s="27"/>
      <c r="I393" s="58"/>
    </row>
    <row r="394" spans="1:9" s="52" customFormat="1" x14ac:dyDescent="0.45">
      <c r="A394" s="27"/>
      <c r="B394" s="27"/>
      <c r="C394" s="27"/>
      <c r="D394" s="27"/>
      <c r="E394" s="27"/>
      <c r="F394" s="27"/>
      <c r="G394" s="27"/>
      <c r="H394" s="27"/>
      <c r="I394" s="58"/>
    </row>
    <row r="395" spans="1:9" s="52" customFormat="1" x14ac:dyDescent="0.45">
      <c r="A395" s="27"/>
      <c r="B395" s="27"/>
      <c r="C395" s="27"/>
      <c r="D395" s="27"/>
      <c r="E395" s="27"/>
      <c r="F395" s="27"/>
      <c r="G395" s="27"/>
      <c r="H395" s="27"/>
      <c r="I395" s="58"/>
    </row>
    <row r="396" spans="1:9" s="52" customFormat="1" x14ac:dyDescent="0.45">
      <c r="A396" s="27"/>
      <c r="B396" s="27"/>
      <c r="C396" s="27"/>
      <c r="D396" s="27"/>
      <c r="E396" s="27"/>
      <c r="F396" s="27"/>
      <c r="G396" s="27"/>
      <c r="H396" s="27"/>
      <c r="I396" s="58"/>
    </row>
    <row r="397" spans="1:9" s="52" customFormat="1" x14ac:dyDescent="0.45">
      <c r="A397" s="27"/>
      <c r="B397" s="27"/>
      <c r="C397" s="27"/>
      <c r="D397" s="27"/>
      <c r="E397" s="27"/>
      <c r="F397" s="27"/>
      <c r="G397" s="27"/>
      <c r="H397" s="27"/>
      <c r="I397" s="58"/>
    </row>
    <row r="398" spans="1:9" s="52" customFormat="1" x14ac:dyDescent="0.45">
      <c r="A398" s="27"/>
      <c r="B398" s="27"/>
      <c r="C398" s="27"/>
      <c r="D398" s="27"/>
      <c r="E398" s="27"/>
      <c r="F398" s="27"/>
      <c r="G398" s="27"/>
      <c r="H398" s="27"/>
      <c r="I398" s="58"/>
    </row>
    <row r="399" spans="1:9" s="52" customFormat="1" x14ac:dyDescent="0.45">
      <c r="A399" s="27"/>
      <c r="B399" s="27"/>
      <c r="C399" s="27"/>
      <c r="D399" s="27"/>
      <c r="E399" s="27"/>
      <c r="F399" s="27"/>
      <c r="G399" s="27"/>
      <c r="H399" s="27"/>
      <c r="I399" s="58"/>
    </row>
    <row r="400" spans="1:9" s="52" customFormat="1" x14ac:dyDescent="0.45">
      <c r="A400" s="27"/>
      <c r="B400" s="27"/>
      <c r="C400" s="27"/>
      <c r="D400" s="27"/>
      <c r="E400" s="27"/>
      <c r="F400" s="27"/>
      <c r="G400" s="27"/>
      <c r="H400" s="27"/>
      <c r="I400" s="58"/>
    </row>
    <row r="401" spans="1:9" s="52" customFormat="1" x14ac:dyDescent="0.45">
      <c r="A401" s="27"/>
      <c r="B401" s="27"/>
      <c r="C401" s="27"/>
      <c r="D401" s="27"/>
      <c r="E401" s="27"/>
      <c r="F401" s="27"/>
      <c r="G401" s="27"/>
      <c r="H401" s="27"/>
      <c r="I401" s="58"/>
    </row>
    <row r="402" spans="1:9" s="52" customFormat="1" x14ac:dyDescent="0.45">
      <c r="A402" s="27"/>
      <c r="B402" s="27"/>
      <c r="C402" s="27"/>
      <c r="D402" s="27"/>
      <c r="E402" s="27"/>
      <c r="F402" s="27"/>
      <c r="G402" s="27"/>
      <c r="H402" s="27"/>
      <c r="I402" s="58"/>
    </row>
    <row r="403" spans="1:9" s="52" customFormat="1" x14ac:dyDescent="0.45">
      <c r="A403" s="27"/>
      <c r="B403" s="27"/>
      <c r="C403" s="27"/>
      <c r="D403" s="27"/>
      <c r="E403" s="27"/>
      <c r="F403" s="27"/>
      <c r="G403" s="27"/>
      <c r="H403" s="27"/>
      <c r="I403" s="58"/>
    </row>
    <row r="404" spans="1:9" s="52" customFormat="1" x14ac:dyDescent="0.45">
      <c r="A404" s="27"/>
      <c r="B404" s="27"/>
      <c r="C404" s="27"/>
      <c r="D404" s="27"/>
      <c r="E404" s="27"/>
      <c r="F404" s="27"/>
      <c r="G404" s="27"/>
      <c r="H404" s="27"/>
      <c r="I404" s="58"/>
    </row>
    <row r="405" spans="1:9" s="52" customFormat="1" x14ac:dyDescent="0.45">
      <c r="A405" s="27"/>
      <c r="B405" s="27"/>
      <c r="C405" s="27"/>
      <c r="D405" s="27"/>
      <c r="E405" s="27"/>
      <c r="F405" s="27"/>
      <c r="G405" s="27"/>
      <c r="H405" s="27"/>
      <c r="I405" s="58"/>
    </row>
    <row r="406" spans="1:9" s="52" customFormat="1" x14ac:dyDescent="0.45">
      <c r="A406" s="27"/>
      <c r="B406" s="27"/>
      <c r="C406" s="27"/>
      <c r="D406" s="27"/>
      <c r="E406" s="27"/>
      <c r="F406" s="27"/>
      <c r="G406" s="27"/>
      <c r="H406" s="27"/>
      <c r="I406" s="58"/>
    </row>
    <row r="407" spans="1:9" s="52" customFormat="1" x14ac:dyDescent="0.45">
      <c r="A407" s="27"/>
      <c r="B407" s="27"/>
      <c r="C407" s="27"/>
      <c r="D407" s="27"/>
      <c r="E407" s="27"/>
      <c r="F407" s="27"/>
      <c r="G407" s="27"/>
      <c r="H407" s="27"/>
      <c r="I407" s="58"/>
    </row>
    <row r="408" spans="1:9" s="52" customFormat="1" x14ac:dyDescent="0.45">
      <c r="A408" s="27"/>
      <c r="B408" s="27"/>
      <c r="C408" s="27"/>
      <c r="D408" s="27"/>
      <c r="E408" s="27"/>
      <c r="F408" s="27"/>
      <c r="G408" s="27"/>
      <c r="H408" s="27"/>
      <c r="I408" s="58"/>
    </row>
    <row r="409" spans="1:9" s="52" customFormat="1" x14ac:dyDescent="0.45">
      <c r="A409" s="27"/>
      <c r="B409" s="27"/>
      <c r="C409" s="27"/>
      <c r="D409" s="27"/>
      <c r="E409" s="27"/>
      <c r="F409" s="27"/>
      <c r="G409" s="27"/>
      <c r="H409" s="27"/>
      <c r="I409" s="58"/>
    </row>
    <row r="410" spans="1:9" s="52" customFormat="1" x14ac:dyDescent="0.45">
      <c r="A410" s="27"/>
      <c r="B410" s="27"/>
      <c r="C410" s="27"/>
      <c r="D410" s="27"/>
      <c r="E410" s="27"/>
      <c r="F410" s="27"/>
      <c r="G410" s="27"/>
      <c r="H410" s="27"/>
      <c r="I410" s="58"/>
    </row>
    <row r="411" spans="1:9" s="52" customFormat="1" x14ac:dyDescent="0.45">
      <c r="A411" s="27"/>
      <c r="B411" s="27"/>
      <c r="C411" s="27"/>
      <c r="D411" s="27"/>
      <c r="E411" s="27"/>
      <c r="F411" s="27"/>
      <c r="G411" s="27"/>
      <c r="H411" s="27"/>
      <c r="I411" s="58"/>
    </row>
    <row r="412" spans="1:9" s="52" customFormat="1" x14ac:dyDescent="0.45">
      <c r="A412" s="27"/>
      <c r="B412" s="27"/>
      <c r="C412" s="27"/>
      <c r="D412" s="27"/>
      <c r="E412" s="27"/>
      <c r="F412" s="27"/>
      <c r="G412" s="27"/>
      <c r="H412" s="27"/>
      <c r="I412" s="58"/>
    </row>
    <row r="413" spans="1:9" s="52" customFormat="1" x14ac:dyDescent="0.45">
      <c r="A413" s="27"/>
      <c r="B413" s="27"/>
      <c r="C413" s="27"/>
      <c r="D413" s="27"/>
      <c r="E413" s="27"/>
      <c r="F413" s="27"/>
      <c r="G413" s="27"/>
      <c r="H413" s="27"/>
      <c r="I413" s="58"/>
    </row>
    <row r="414" spans="1:9" s="52" customFormat="1" x14ac:dyDescent="0.45">
      <c r="A414" s="27"/>
      <c r="B414" s="27"/>
      <c r="C414" s="27"/>
      <c r="D414" s="27"/>
      <c r="E414" s="27"/>
      <c r="F414" s="27"/>
      <c r="G414" s="27"/>
      <c r="H414" s="27"/>
      <c r="I414" s="58"/>
    </row>
    <row r="415" spans="1:9" s="52" customFormat="1" x14ac:dyDescent="0.45">
      <c r="A415" s="27"/>
      <c r="B415" s="27"/>
      <c r="C415" s="27"/>
      <c r="D415" s="27"/>
      <c r="E415" s="27"/>
      <c r="F415" s="27"/>
      <c r="G415" s="27"/>
      <c r="H415" s="27"/>
      <c r="I415" s="58"/>
    </row>
    <row r="416" spans="1:9" s="52" customFormat="1" x14ac:dyDescent="0.45">
      <c r="A416" s="27"/>
      <c r="B416" s="27"/>
      <c r="C416" s="27"/>
      <c r="D416" s="27"/>
      <c r="E416" s="27"/>
      <c r="F416" s="27"/>
      <c r="G416" s="27"/>
      <c r="H416" s="27"/>
      <c r="I416" s="58"/>
    </row>
    <row r="417" spans="1:9" s="52" customFormat="1" x14ac:dyDescent="0.45">
      <c r="A417" s="27"/>
      <c r="B417" s="27"/>
      <c r="C417" s="27"/>
      <c r="D417" s="27"/>
      <c r="E417" s="27"/>
      <c r="F417" s="27"/>
      <c r="G417" s="27"/>
      <c r="H417" s="27"/>
      <c r="I417" s="58"/>
    </row>
    <row r="418" spans="1:9" s="52" customFormat="1" x14ac:dyDescent="0.45">
      <c r="A418" s="27"/>
      <c r="B418" s="27"/>
      <c r="C418" s="27"/>
      <c r="D418" s="27"/>
      <c r="E418" s="27"/>
      <c r="F418" s="27"/>
      <c r="G418" s="27"/>
      <c r="H418" s="27"/>
      <c r="I418" s="58"/>
    </row>
    <row r="419" spans="1:9" s="52" customFormat="1" x14ac:dyDescent="0.45">
      <c r="A419" s="27"/>
      <c r="B419" s="27"/>
      <c r="C419" s="27"/>
      <c r="D419" s="27"/>
      <c r="E419" s="27"/>
      <c r="F419" s="27"/>
      <c r="G419" s="27"/>
      <c r="H419" s="27"/>
      <c r="I419" s="58"/>
    </row>
    <row r="420" spans="1:9" s="52" customFormat="1" x14ac:dyDescent="0.45">
      <c r="A420" s="27"/>
      <c r="B420" s="27"/>
      <c r="C420" s="27"/>
      <c r="D420" s="27"/>
      <c r="E420" s="27"/>
      <c r="F420" s="27"/>
      <c r="G420" s="27"/>
      <c r="H420" s="27"/>
      <c r="I420" s="58"/>
    </row>
  </sheetData>
  <mergeCells count="8">
    <mergeCell ref="A14:B14"/>
    <mergeCell ref="C14:D14"/>
    <mergeCell ref="A15:C15"/>
    <mergeCell ref="D10:E10"/>
    <mergeCell ref="A12:B12"/>
    <mergeCell ref="C12:D12"/>
    <mergeCell ref="A13:B13"/>
    <mergeCell ref="C13:D13"/>
  </mergeCells>
  <phoneticPr fontId="52" type="noConversion"/>
  <pageMargins left="0.70833333333333304" right="0.70833333333333304" top="0.74791666666666701" bottom="0.74791666666666701" header="0.511811023622047" footer="0.31527777777777799"/>
  <pageSetup scale="45" orientation="landscape" horizontalDpi="300" verticalDpi="300"/>
  <headerFooter>
    <oddFooter>&amp;R&amp;"Montserrat,Normal"&amp;10Página &amp;P de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9:F224"/>
  <sheetViews>
    <sheetView topLeftCell="A24" zoomScaleNormal="100" workbookViewId="0">
      <selection activeCell="E14" sqref="E14"/>
    </sheetView>
  </sheetViews>
  <sheetFormatPr baseColWidth="10" defaultColWidth="10.54296875" defaultRowHeight="14.5" x14ac:dyDescent="0.35"/>
  <cols>
    <col min="5" max="5" width="57.90625" customWidth="1"/>
    <col min="6" max="6" width="15.453125" customWidth="1"/>
  </cols>
  <sheetData>
    <row r="19" spans="1:6" x14ac:dyDescent="0.35">
      <c r="B19" t="s">
        <v>276</v>
      </c>
      <c r="C19" t="str">
        <f>IF('Casos de Prueba'!B20&lt;&gt;0,'Casos de Prueba'!B20&amp;"-"&amp;'Casos de Prueba'!C20:E20,"")</f>
        <v>CP01-Folio Fiscal</v>
      </c>
    </row>
    <row r="20" spans="1:6" x14ac:dyDescent="0.35">
      <c r="A20">
        <f t="shared" ref="A20:A83" si="0">LEN(E20)</f>
        <v>64</v>
      </c>
      <c r="B20">
        <f t="shared" ref="B20:B83" si="1">LEN(F20)</f>
        <v>217</v>
      </c>
      <c r="C20" t="str">
        <f>IF('Casos de Prueba'!B21&lt;&gt;0,'Casos de Prueba'!B21&amp;"-"&amp;'Casos de Prueba'!C21:E21,"")</f>
        <v/>
      </c>
      <c r="D20">
        <f>IF(LEN($C20)&gt;0,"",'Casos de Prueba'!D21)</f>
        <v>1</v>
      </c>
      <c r="E20" t="str">
        <f>IF(LEN($C20)&gt;0,"",'Casos de Prueba'!E21)</f>
        <v>Usuario ingresa al Portal Empleados Consulta Central Retenciones</v>
      </c>
      <c r="F20" t="str">
        <f>IF(LEN($C20)&gt;0,"",'Casos de Prueba'!F21&amp;CHAR(10)&amp;'Casos de Prueba'!G21)</f>
        <v>El sistema despliega las siguientes opciones de búsqueda:
- Folio Fiscal
- Fecha Inicial y Final de Emisión
- Masiva UUID
El Usuario previamente se autenticó  y accedió al portal Empleados-Consulta Central Retenciones</v>
      </c>
    </row>
    <row r="21" spans="1:6" x14ac:dyDescent="0.35">
      <c r="A21">
        <f t="shared" si="0"/>
        <v>33</v>
      </c>
      <c r="B21">
        <f t="shared" si="1"/>
        <v>183</v>
      </c>
      <c r="C21" t="str">
        <f>IF('Casos de Prueba'!B22&lt;&gt;0,'Casos de Prueba'!B22&amp;"-"&amp;'Casos de Prueba'!C22:E22,"")</f>
        <v/>
      </c>
      <c r="D21">
        <f>IF(LEN($C21)&gt;0,"",'Casos de Prueba'!D22)</f>
        <v>2</v>
      </c>
      <c r="E21" t="str">
        <f>IF(LEN($C21)&gt;0,"",'Casos de Prueba'!E22)</f>
        <v>Selecciona la opción Folio Fiscal</v>
      </c>
      <c r="F21" t="str">
        <f>IF(LEN($C21)&gt;0,"",'Casos de Prueba'!F22&amp;CHAR(10)&amp;'Casos de Prueba'!G22)</f>
        <v xml:space="preserve">El sistema despliega cuadro de texto para incorporar el número de Folio Fiscal que se requiere buscar.
Se inhabilita el campo Fecha Inicial de Emisión
(Aplica la Regla de Negocio 01) </v>
      </c>
    </row>
    <row r="22" spans="1:6" x14ac:dyDescent="0.35">
      <c r="A22">
        <f t="shared" si="0"/>
        <v>35</v>
      </c>
      <c r="B22">
        <f t="shared" si="1"/>
        <v>69</v>
      </c>
      <c r="C22" t="str">
        <f>IF('Casos de Prueba'!B23&lt;&gt;0,'Casos de Prueba'!B23&amp;"-"&amp;'Casos de Prueba'!C23:E23,"")</f>
        <v/>
      </c>
      <c r="D22">
        <f>IF(LEN($C22)&gt;0,"",'Casos de Prueba'!D23)</f>
        <v>3</v>
      </c>
      <c r="E22" t="str">
        <f>IF(LEN($C22)&gt;0,"",'Casos de Prueba'!E23)</f>
        <v xml:space="preserve">Ingresa los datos del Folio Fiscal </v>
      </c>
      <c r="F22" t="str">
        <f>IF(LEN($C22)&gt;0,"",'Casos de Prueba'!F23&amp;CHAR(10)&amp;'Casos de Prueba'!G23)</f>
        <v xml:space="preserve">El sistema muestra los datos que se van ingresando del folio fiscal
</v>
      </c>
    </row>
    <row r="23" spans="1:6" x14ac:dyDescent="0.35">
      <c r="A23">
        <f t="shared" si="0"/>
        <v>31</v>
      </c>
      <c r="B23">
        <f t="shared" si="1"/>
        <v>1016</v>
      </c>
      <c r="C23" t="str">
        <f>IF('Casos de Prueba'!B24&lt;&gt;0,'Casos de Prueba'!B24&amp;"-"&amp;'Casos de Prueba'!C24:E24,"")</f>
        <v/>
      </c>
      <c r="D23">
        <f>IF(LEN($C23)&gt;0,"",'Casos de Prueba'!D24)</f>
        <v>4</v>
      </c>
      <c r="E23" t="str">
        <f>IF(LEN($C23)&gt;0,"",'Casos de Prueba'!E24)</f>
        <v>Da clic en el botón buscar CFDI</v>
      </c>
      <c r="F23" t="str">
        <f>IF(LEN($C23)&gt;0,"",'Casos de Prueba'!F24&amp;CHAR(10)&amp;'Casos de Prueba'!G24)</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Metadata.
2)	Exportar Resultados a PDF.
3)	Exportar Resultados a CSV.
Al seleccionar el botón de folio fiscal se deben deshabilitar los campos correspondientes a la consulta por periodo de fecha de emisión.
a)	En una consulta por Folio fiscal o cuando se realice la consulta por periodo de fecha y el resultado sea uno:
o	Descargar Metadata 
o	Exportar Resultados PDF
o	Exportar Resultados CSV</v>
      </c>
    </row>
    <row r="24" spans="1:6" x14ac:dyDescent="0.35">
      <c r="A24">
        <f t="shared" si="0"/>
        <v>24</v>
      </c>
      <c r="B24">
        <f t="shared" si="1"/>
        <v>69</v>
      </c>
      <c r="C24" t="str">
        <f>IF('Casos de Prueba'!B25&lt;&gt;0,'Casos de Prueba'!B25&amp;"-"&amp;'Casos de Prueba'!C25:E25,"")</f>
        <v/>
      </c>
      <c r="D24">
        <f>IF(LEN($C24)&gt;0,"",'Casos de Prueba'!D25)</f>
        <v>5</v>
      </c>
      <c r="E24" t="str">
        <f>IF(LEN($C24)&gt;0,"",'Casos de Prueba'!E25)</f>
        <v>Da clic en Cerrar Sesión</v>
      </c>
      <c r="F24" t="str">
        <f>IF(LEN($C24)&gt;0,"",'Casos de Prueba'!F25&amp;CHAR(10)&amp;'Casos de Prueba'!G25)</f>
        <v xml:space="preserve">Cierra la aplicación y se direcciona a la pantalla de autenticación.
</v>
      </c>
    </row>
    <row r="25" spans="1:6" x14ac:dyDescent="0.35">
      <c r="A25">
        <f t="shared" si="0"/>
        <v>0</v>
      </c>
      <c r="B25">
        <f t="shared" si="1"/>
        <v>0</v>
      </c>
      <c r="C25" t="str">
        <f>IF('Casos de Prueba'!B26&lt;&gt;0,'Casos de Prueba'!B26&amp;"-"&amp;'Casos de Prueba'!C26:E26,"")</f>
        <v>CP02-RFC Emisor</v>
      </c>
      <c r="D25" t="str">
        <f>IF(LEN($C25)&gt;0,"",'Casos de Prueba'!D26)</f>
        <v/>
      </c>
      <c r="E25" t="str">
        <f>IF(LEN($C25)&gt;0,"",'Casos de Prueba'!E26)</f>
        <v/>
      </c>
      <c r="F25" t="str">
        <f>IF(LEN($C25)&gt;0,"",'Casos de Prueba'!F26&amp;CHAR(10)&amp;'Casos de Prueba'!G26)</f>
        <v/>
      </c>
    </row>
    <row r="26" spans="1:6" x14ac:dyDescent="0.35">
      <c r="A26">
        <f t="shared" si="0"/>
        <v>64</v>
      </c>
      <c r="B26">
        <f t="shared" si="1"/>
        <v>217</v>
      </c>
      <c r="C26" t="str">
        <f>IF('Casos de Prueba'!B27&lt;&gt;0,'Casos de Prueba'!B27&amp;"-"&amp;'Casos de Prueba'!C27:E27,"")</f>
        <v/>
      </c>
      <c r="D26">
        <f>IF(LEN($C26)&gt;0,"",'Casos de Prueba'!D27)</f>
        <v>1</v>
      </c>
      <c r="E26" t="str">
        <f>IF(LEN($C26)&gt;0,"",'Casos de Prueba'!E27)</f>
        <v>Usuario ingresa al Portal Empleados Consulta Central Retenciones</v>
      </c>
      <c r="F26" t="str">
        <f>IF(LEN($C26)&gt;0,"",'Casos de Prueba'!F27&amp;CHAR(10)&amp;'Casos de Prueba'!G27)</f>
        <v>El sistema despliega las siguientes opciones de búsqueda:
- Folio Fiscal
- Fecha Inicial y Final de Emisión
- Masiva UUID
El Usuario previamente se autenticó  y accedió al portal Empleados-Consulta Central Retenciones</v>
      </c>
    </row>
    <row r="27" spans="1:6" x14ac:dyDescent="0.35">
      <c r="A27">
        <f t="shared" si="0"/>
        <v>45</v>
      </c>
      <c r="B27">
        <f t="shared" si="1"/>
        <v>449</v>
      </c>
      <c r="C27" t="str">
        <f>IF('Casos de Prueba'!B28&lt;&gt;0,'Casos de Prueba'!B28&amp;"-"&amp;'Casos de Prueba'!C28:E28,"")</f>
        <v/>
      </c>
      <c r="D27">
        <f>IF(LEN($C27)&gt;0,"",'Casos de Prueba'!D28)</f>
        <v>2</v>
      </c>
      <c r="E27" t="str">
        <f>IF(LEN($C27)&gt;0,"",'Casos de Prueba'!E28)</f>
        <v>Selecciona la opción Fecha Inicial de Emisión</v>
      </c>
      <c r="F27" t="str">
        <f>IF(LEN($C27)&gt;0,"",'Casos de Prueba'!F28&amp;CHAR(10)&amp;'Casos de Prueba'!G28)</f>
        <v xml:space="preserve">El sistema habilita los siguientes campos:
•	Fecha Inicial de Emisión (*).
•	Fecha Final de Emisión (*). (RN04)
•	RFC Emisor. (RN02)
•	RFC Receptor. (RN02)
•	Estado del Comprobante.
•	Tipo de Comprobante (Complemento) (RN17).* Campos obligatorios
El Usuario previamente se autenticó  y accedió al portal Empleados-Consulta Central Retenciones
Se debe incorporar el RFC de al menos alguno de los siguientes:
- RFC Emisor (RN02)
- RFC Receptor (RN02) </v>
      </c>
    </row>
    <row r="28" spans="1:6" x14ac:dyDescent="0.35">
      <c r="A28">
        <f t="shared" si="0"/>
        <v>213</v>
      </c>
      <c r="B28">
        <f t="shared" si="1"/>
        <v>383</v>
      </c>
      <c r="C28" t="str">
        <f>IF('Casos de Prueba'!B29&lt;&gt;0,'Casos de Prueba'!B29&amp;"-"&amp;'Casos de Prueba'!C29:E29,"")</f>
        <v/>
      </c>
      <c r="D28">
        <f>IF(LEN($C28)&gt;0,"",'Casos de Prueba'!D29)</f>
        <v>3</v>
      </c>
      <c r="E28" t="str">
        <f>IF(LEN($C28)&gt;0,"",'Casos de Prueba'!E29)</f>
        <v xml:space="preserve">Ingresa los datos:
- *Fecha inicial de emisión
- *Fecha final de emisión
-  RFC Emisor
-  RFC Receptor
De manera opcional:
-  Estado del Comprobante
- Tipo de Comprobante(Complemento)(RN17)
* Campos obligatorios
</v>
      </c>
      <c r="F28" t="str">
        <f>IF(LEN($C28)&gt;0,"",'Casos de Prueba'!F29&amp;CHAR(10)&amp;'Casos de Prueba'!G29)</f>
        <v>El sistema muestra los datos que se van ingresando 
Al seleccionar el botón para la consulta por periodo de fecha de emisión, se debe deshabilitar el campo correspondiente a la consulta de Folio Fiscal.
Debe contar con al menos un RFC (Emisor o Receptor) como parámetro de búsqueda, permitiendo los siguientes supuestos:
1)	RFC Emisor,
2)	RFC Receptor.
3)	RFC Emisor y RFC Receptor.</v>
      </c>
    </row>
    <row r="29" spans="1:6" x14ac:dyDescent="0.35">
      <c r="A29">
        <f t="shared" si="0"/>
        <v>31</v>
      </c>
      <c r="B29">
        <f t="shared" si="1"/>
        <v>1300</v>
      </c>
      <c r="C29" t="str">
        <f>IF('Casos de Prueba'!B30&lt;&gt;0,'Casos de Prueba'!B30&amp;"-"&amp;'Casos de Prueba'!C30:E30,"")</f>
        <v/>
      </c>
      <c r="D29">
        <f>IF(LEN($C29)&gt;0,"",'Casos de Prueba'!D30)</f>
        <v>4</v>
      </c>
      <c r="E29" t="str">
        <f>IF(LEN($C29)&gt;0,"",'Casos de Prueba'!E30)</f>
        <v>Da clic en el botón buscar CFDI</v>
      </c>
      <c r="F29" t="str">
        <f>IF(LEN($C29)&gt;0,"",'Casos de Prueba'!F30&amp;CHAR(10)&amp;'Casos de Prueba'!G30)</f>
        <v xml:space="preserve">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
</v>
      </c>
    </row>
    <row r="30" spans="1:6" x14ac:dyDescent="0.35">
      <c r="A30">
        <f t="shared" si="0"/>
        <v>24</v>
      </c>
      <c r="B30">
        <f t="shared" si="1"/>
        <v>69</v>
      </c>
      <c r="C30" t="str">
        <f>IF('Casos de Prueba'!B31&lt;&gt;0,'Casos de Prueba'!B31&amp;"-"&amp;'Casos de Prueba'!C31:E31,"")</f>
        <v/>
      </c>
      <c r="D30">
        <f>IF(LEN($C30)&gt;0,"",'Casos de Prueba'!D31)</f>
        <v>5</v>
      </c>
      <c r="E30" t="str">
        <f>IF(LEN($C30)&gt;0,"",'Casos de Prueba'!E31)</f>
        <v>Da clic en Cerrar Sesión</v>
      </c>
      <c r="F30" t="str">
        <f>IF(LEN($C30)&gt;0,"",'Casos de Prueba'!F31&amp;CHAR(10)&amp;'Casos de Prueba'!G31)</f>
        <v xml:space="preserve">Cierra la aplicación y se direcciona a la pantalla de autenticación.
</v>
      </c>
    </row>
    <row r="31" spans="1:6" x14ac:dyDescent="0.35">
      <c r="A31">
        <f t="shared" si="0"/>
        <v>0</v>
      </c>
      <c r="B31">
        <f t="shared" si="1"/>
        <v>0</v>
      </c>
      <c r="C31" t="str">
        <f>IF('Casos de Prueba'!B32&lt;&gt;0,'Casos de Prueba'!B32&amp;"-"&amp;'Casos de Prueba'!C32:E32,"")</f>
        <v>CP03-RFC Receptor</v>
      </c>
      <c r="D31" t="str">
        <f>IF(LEN($C31)&gt;0,"",'Casos de Prueba'!D32)</f>
        <v/>
      </c>
      <c r="E31" t="str">
        <f>IF(LEN($C31)&gt;0,"",'Casos de Prueba'!E32)</f>
        <v/>
      </c>
      <c r="F31" t="str">
        <f>IF(LEN($C31)&gt;0,"",'Casos de Prueba'!F32&amp;CHAR(10)&amp;'Casos de Prueba'!G32)</f>
        <v/>
      </c>
    </row>
    <row r="32" spans="1:6" x14ac:dyDescent="0.35">
      <c r="A32">
        <f t="shared" si="0"/>
        <v>64</v>
      </c>
      <c r="B32">
        <f t="shared" si="1"/>
        <v>217</v>
      </c>
      <c r="C32" t="str">
        <f>IF('Casos de Prueba'!B33&lt;&gt;0,'Casos de Prueba'!B33&amp;"-"&amp;'Casos de Prueba'!C33:E33,"")</f>
        <v/>
      </c>
      <c r="D32">
        <f>IF(LEN($C32)&gt;0,"",'Casos de Prueba'!D33)</f>
        <v>1</v>
      </c>
      <c r="E32" t="str">
        <f>IF(LEN($C32)&gt;0,"",'Casos de Prueba'!E33)</f>
        <v>Usuario ingresa al Portal Empleados Consulta Central Retenciones</v>
      </c>
      <c r="F32" t="str">
        <f>IF(LEN($C32)&gt;0,"",'Casos de Prueba'!F33&amp;CHAR(10)&amp;'Casos de Prueba'!G33)</f>
        <v>El sistema despliega las siguientes opciones de búsqueda:
- Folio Fiscal
- Fecha Inicial y Final de Emisión
- Masiva UUID
El Usuario previamente se autenticó  y accedió al portal Empleados-Consulta Central Retenciones</v>
      </c>
    </row>
    <row r="33" spans="1:6" x14ac:dyDescent="0.35">
      <c r="A33">
        <f t="shared" si="0"/>
        <v>45</v>
      </c>
      <c r="B33">
        <f t="shared" si="1"/>
        <v>247</v>
      </c>
      <c r="C33" t="str">
        <f>IF('Casos de Prueba'!B34&lt;&gt;0,'Casos de Prueba'!B34&amp;"-"&amp;'Casos de Prueba'!C34:E34,"")</f>
        <v/>
      </c>
      <c r="D33">
        <f>IF(LEN($C33)&gt;0,"",'Casos de Prueba'!D34)</f>
        <v>2</v>
      </c>
      <c r="E33" t="str">
        <f>IF(LEN($C33)&gt;0,"",'Casos de Prueba'!E34)</f>
        <v>Selecciona la opción Fecha Inicial de Emisión</v>
      </c>
      <c r="F33" t="str">
        <f>IF(LEN($C33)&gt;0,"",'Casos de Prueba'!F34&amp;CHAR(10)&amp;'Casos de Prueba'!G34)</f>
        <v xml:space="preserve">El sistema habilita los siguientes campos:
•	Fecha Inicial de Emisión (*).
•	Fecha Final de Emisión (*). (RN04)
•	RFC Emisor. (RN02)
•	RFC Receptor. (RN02)
•	Estado del Comprobante.
•	Tipo de Comprobante (Complemento) (RN17).* Campos obligatorios
</v>
      </c>
    </row>
    <row r="34" spans="1:6" x14ac:dyDescent="0.35">
      <c r="A34">
        <f t="shared" si="0"/>
        <v>213</v>
      </c>
      <c r="B34">
        <f t="shared" si="1"/>
        <v>52</v>
      </c>
      <c r="C34" t="str">
        <f>IF('Casos de Prueba'!B35&lt;&gt;0,'Casos de Prueba'!B35&amp;"-"&amp;'Casos de Prueba'!C35:E35,"")</f>
        <v/>
      </c>
      <c r="D34">
        <f>IF(LEN($C34)&gt;0,"",'Casos de Prueba'!D35)</f>
        <v>3</v>
      </c>
      <c r="E34" t="str">
        <f>IF(LEN($C34)&gt;0,"",'Casos de Prueba'!E35)</f>
        <v xml:space="preserve">Ingresa los datos:
- *Fecha inicial de emisión
- *Fecha final de emisión
-  RFC Emisor
-  RFC Receptor
De manera opcional:
-  Estado del Comprobante
- Tipo de Comprobante(Complemento)(RN17)
* Campos obligatorios
</v>
      </c>
      <c r="F34" t="str">
        <f>IF(LEN($C34)&gt;0,"",'Casos de Prueba'!F35&amp;CHAR(10)&amp;'Casos de Prueba'!G35)</f>
        <v xml:space="preserve">El sistema muestra los datos que se van ingresando 
</v>
      </c>
    </row>
    <row r="35" spans="1:6" x14ac:dyDescent="0.35">
      <c r="A35">
        <f t="shared" si="0"/>
        <v>31</v>
      </c>
      <c r="B35">
        <f t="shared" si="1"/>
        <v>1300</v>
      </c>
      <c r="C35" t="str">
        <f>IF('Casos de Prueba'!B36&lt;&gt;0,'Casos de Prueba'!B36&amp;"-"&amp;'Casos de Prueba'!C36:E36,"")</f>
        <v/>
      </c>
      <c r="D35">
        <f>IF(LEN($C35)&gt;0,"",'Casos de Prueba'!D36)</f>
        <v>4</v>
      </c>
      <c r="E35" t="str">
        <f>IF(LEN($C35)&gt;0,"",'Casos de Prueba'!E36)</f>
        <v>Da clic en el botón buscar CFDI</v>
      </c>
      <c r="F35" t="str">
        <f>IF(LEN($C35)&gt;0,"",'Casos de Prueba'!F36&amp;CHAR(10)&amp;'Casos de Prueba'!G36)</f>
        <v xml:space="preserve">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
</v>
      </c>
    </row>
    <row r="36" spans="1:6" x14ac:dyDescent="0.35">
      <c r="A36">
        <f t="shared" si="0"/>
        <v>24</v>
      </c>
      <c r="B36">
        <f t="shared" si="1"/>
        <v>69</v>
      </c>
      <c r="C36" t="str">
        <f>IF('Casos de Prueba'!B37&lt;&gt;0,'Casos de Prueba'!B37&amp;"-"&amp;'Casos de Prueba'!C37:E37,"")</f>
        <v/>
      </c>
      <c r="D36">
        <f>IF(LEN($C36)&gt;0,"",'Casos de Prueba'!D37)</f>
        <v>5</v>
      </c>
      <c r="E36" t="str">
        <f>IF(LEN($C36)&gt;0,"",'Casos de Prueba'!E37)</f>
        <v>Da clic en Cerrar Sesión</v>
      </c>
      <c r="F36" t="str">
        <f>IF(LEN($C36)&gt;0,"",'Casos de Prueba'!F37&amp;CHAR(10)&amp;'Casos de Prueba'!G37)</f>
        <v xml:space="preserve">Cierra la aplicación y se direcciona a la pantalla de autenticación.
</v>
      </c>
    </row>
    <row r="37" spans="1:6" x14ac:dyDescent="0.35">
      <c r="A37">
        <f t="shared" si="0"/>
        <v>0</v>
      </c>
      <c r="B37">
        <f t="shared" si="1"/>
        <v>0</v>
      </c>
      <c r="C37" t="str">
        <f>IF('Casos de Prueba'!B38&lt;&gt;0,'Casos de Prueba'!B38&amp;"-"&amp;'Casos de Prueba'!C38:E38,"")</f>
        <v>CP04-RFC Receptor y RFC Emisor</v>
      </c>
      <c r="D37" t="str">
        <f>IF(LEN($C37)&gt;0,"",'Casos de Prueba'!D38)</f>
        <v/>
      </c>
      <c r="E37" t="str">
        <f>IF(LEN($C37)&gt;0,"",'Casos de Prueba'!E38)</f>
        <v/>
      </c>
      <c r="F37" t="str">
        <f>IF(LEN($C37)&gt;0,"",'Casos de Prueba'!F38&amp;CHAR(10)&amp;'Casos de Prueba'!G38)</f>
        <v/>
      </c>
    </row>
    <row r="38" spans="1:6" x14ac:dyDescent="0.35">
      <c r="A38">
        <f t="shared" si="0"/>
        <v>64</v>
      </c>
      <c r="B38">
        <f t="shared" si="1"/>
        <v>217</v>
      </c>
      <c r="C38" t="str">
        <f>IF('Casos de Prueba'!B39&lt;&gt;0,'Casos de Prueba'!B39&amp;"-"&amp;'Casos de Prueba'!C39:E39,"")</f>
        <v/>
      </c>
      <c r="D38">
        <f>IF(LEN($C38)&gt;0,"",'Casos de Prueba'!D39)</f>
        <v>1</v>
      </c>
      <c r="E38" t="str">
        <f>IF(LEN($C38)&gt;0,"",'Casos de Prueba'!E39)</f>
        <v>Usuario ingresa al Portal Empleados Consulta Central Retenciones</v>
      </c>
      <c r="F38" t="str">
        <f>IF(LEN($C38)&gt;0,"",'Casos de Prueba'!F39&amp;CHAR(10)&amp;'Casos de Prueba'!G39)</f>
        <v>El sistema despliega las siguientes opciones de búsqueda:
- Folio Fiscal
- Fecha Inicial y Final de Emisión
- Masiva UUID
El Usuario previamente se autenticó  y accedió al portal Empleados-Consulta Central Retenciones</v>
      </c>
    </row>
    <row r="39" spans="1:6" x14ac:dyDescent="0.35">
      <c r="A39">
        <f t="shared" si="0"/>
        <v>45</v>
      </c>
      <c r="B39">
        <f t="shared" si="1"/>
        <v>247</v>
      </c>
      <c r="C39" t="str">
        <f>IF('Casos de Prueba'!B40&lt;&gt;0,'Casos de Prueba'!B40&amp;"-"&amp;'Casos de Prueba'!C40:E40,"")</f>
        <v/>
      </c>
      <c r="D39">
        <f>IF(LEN($C39)&gt;0,"",'Casos de Prueba'!D40)</f>
        <v>2</v>
      </c>
      <c r="E39" t="str">
        <f>IF(LEN($C39)&gt;0,"",'Casos de Prueba'!E40)</f>
        <v>Selecciona la opción Fecha Inicial de Emisión</v>
      </c>
      <c r="F39" t="str">
        <f>IF(LEN($C39)&gt;0,"",'Casos de Prueba'!F40&amp;CHAR(10)&amp;'Casos de Prueba'!G40)</f>
        <v xml:space="preserve">El sistema habilita los siguientes campos:
•	Fecha Inicial de Emisión (*).
•	Fecha Final de Emisión (*). (RN04)
•	RFC Emisor. (RN02)
•	RFC Receptor. (RN02)
•	Estado del Comprobante.
•	Tipo de Comprobante (Complemento) (RN17).* Campos obligatorios
</v>
      </c>
    </row>
    <row r="40" spans="1:6" x14ac:dyDescent="0.35">
      <c r="A40">
        <f t="shared" si="0"/>
        <v>213</v>
      </c>
      <c r="B40">
        <f t="shared" si="1"/>
        <v>52</v>
      </c>
      <c r="C40" t="str">
        <f>IF('Casos de Prueba'!B41&lt;&gt;0,'Casos de Prueba'!B41&amp;"-"&amp;'Casos de Prueba'!C41:E41,"")</f>
        <v/>
      </c>
      <c r="D40">
        <f>IF(LEN($C40)&gt;0,"",'Casos de Prueba'!D41)</f>
        <v>3</v>
      </c>
      <c r="E40" t="str">
        <f>IF(LEN($C40)&gt;0,"",'Casos de Prueba'!E41)</f>
        <v xml:space="preserve">Ingresa los datos:
- *Fecha inicial de emisión
- *Fecha final de emisión
-  RFC Emisor
-  RFC Receptor
De manera opcional:
-  Estado del Comprobante
- Tipo de Comprobante(Complemento)(RN17)
* Campos obligatorios
</v>
      </c>
      <c r="F40" t="str">
        <f>IF(LEN($C40)&gt;0,"",'Casos de Prueba'!F41&amp;CHAR(10)&amp;'Casos de Prueba'!G41)</f>
        <v xml:space="preserve">El sistema muestra los datos que se van ingresando 
</v>
      </c>
    </row>
    <row r="41" spans="1:6" x14ac:dyDescent="0.35">
      <c r="A41">
        <f t="shared" si="0"/>
        <v>31</v>
      </c>
      <c r="B41">
        <f t="shared" si="1"/>
        <v>1300</v>
      </c>
      <c r="C41" t="str">
        <f>IF('Casos de Prueba'!B42&lt;&gt;0,'Casos de Prueba'!B42&amp;"-"&amp;'Casos de Prueba'!C42:E42,"")</f>
        <v/>
      </c>
      <c r="D41">
        <f>IF(LEN($C41)&gt;0,"",'Casos de Prueba'!D42)</f>
        <v>4</v>
      </c>
      <c r="E41" t="str">
        <f>IF(LEN($C41)&gt;0,"",'Casos de Prueba'!E42)</f>
        <v>Da clic en el botón buscar CFDI</v>
      </c>
      <c r="F41" t="str">
        <f>IF(LEN($C41)&gt;0,"",'Casos de Prueba'!F42&amp;CHAR(10)&amp;'Casos de Prueba'!G42)</f>
        <v xml:space="preserve">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
</v>
      </c>
    </row>
    <row r="42" spans="1:6" x14ac:dyDescent="0.35">
      <c r="A42">
        <f t="shared" si="0"/>
        <v>24</v>
      </c>
      <c r="B42">
        <f t="shared" si="1"/>
        <v>69</v>
      </c>
      <c r="C42" t="str">
        <f>IF('Casos de Prueba'!B43&lt;&gt;0,'Casos de Prueba'!B43&amp;"-"&amp;'Casos de Prueba'!C43:E43,"")</f>
        <v/>
      </c>
      <c r="D42">
        <f>IF(LEN($C42)&gt;0,"",'Casos de Prueba'!D43)</f>
        <v>5</v>
      </c>
      <c r="E42" t="str">
        <f>IF(LEN($C42)&gt;0,"",'Casos de Prueba'!E43)</f>
        <v>Da clic en Cerrar Sesión</v>
      </c>
      <c r="F42" t="str">
        <f>IF(LEN($C42)&gt;0,"",'Casos de Prueba'!F43&amp;CHAR(10)&amp;'Casos de Prueba'!G43)</f>
        <v xml:space="preserve">Cierra la aplicación y se direcciona a la pantalla de autenticación.
</v>
      </c>
    </row>
    <row r="43" spans="1:6" x14ac:dyDescent="0.35">
      <c r="A43">
        <f t="shared" si="0"/>
        <v>0</v>
      </c>
      <c r="B43">
        <f t="shared" si="1"/>
        <v>0</v>
      </c>
      <c r="C43" t="str">
        <f>IF('Casos de Prueba'!B44&lt;&gt;0,'Casos de Prueba'!B44&amp;"-"&amp;'Casos de Prueba'!C44:E44,"")</f>
        <v>CP05-Masiva UUID</v>
      </c>
      <c r="D43" t="str">
        <f>IF(LEN($C43)&gt;0,"",'Casos de Prueba'!D44)</f>
        <v/>
      </c>
      <c r="E43" t="str">
        <f>IF(LEN($C43)&gt;0,"",'Casos de Prueba'!E44)</f>
        <v/>
      </c>
      <c r="F43" t="str">
        <f>IF(LEN($C43)&gt;0,"",'Casos de Prueba'!F44&amp;CHAR(10)&amp;'Casos de Prueba'!G44)</f>
        <v/>
      </c>
    </row>
    <row r="44" spans="1:6" x14ac:dyDescent="0.35">
      <c r="A44">
        <f t="shared" si="0"/>
        <v>64</v>
      </c>
      <c r="B44">
        <f t="shared" si="1"/>
        <v>217</v>
      </c>
      <c r="C44" t="str">
        <f>IF('Casos de Prueba'!B45&lt;&gt;0,'Casos de Prueba'!B45&amp;"-"&amp;'Casos de Prueba'!C45:E45,"")</f>
        <v/>
      </c>
      <c r="D44">
        <f>IF(LEN($C44)&gt;0,"",'Casos de Prueba'!D45)</f>
        <v>1</v>
      </c>
      <c r="E44" t="str">
        <f>IF(LEN($C44)&gt;0,"",'Casos de Prueba'!E45)</f>
        <v>Usuario ingresa al Portal Empleados Consulta Central Retenciones</v>
      </c>
      <c r="F44" t="str">
        <f>IF(LEN($C44)&gt;0,"",'Casos de Prueba'!F45&amp;CHAR(10)&amp;'Casos de Prueba'!G45)</f>
        <v>El sistema despliega las siguientes opciones de búsqueda:
- Folio Fiscal
- Fecha Inicial y Final de Emisión
- Masiva UUID
El Usuario previamente se autenticó  y accedió al portal Empleados-Consulta Central Retenciones</v>
      </c>
    </row>
    <row r="45" spans="1:6" x14ac:dyDescent="0.35">
      <c r="A45">
        <f t="shared" si="0"/>
        <v>32</v>
      </c>
      <c r="B45">
        <f t="shared" si="1"/>
        <v>118</v>
      </c>
      <c r="C45" t="str">
        <f>IF('Casos de Prueba'!B46&lt;&gt;0,'Casos de Prueba'!B46&amp;"-"&amp;'Casos de Prueba'!C46:E46,"")</f>
        <v/>
      </c>
      <c r="D45">
        <f>IF(LEN($C45)&gt;0,"",'Casos de Prueba'!D46)</f>
        <v>2</v>
      </c>
      <c r="E45" t="str">
        <f>IF(LEN($C45)&gt;0,"",'Casos de Prueba'!E46)</f>
        <v>Selecciona la opción Masiva UUID</v>
      </c>
      <c r="F45" t="str">
        <f>IF(LEN($C45)&gt;0,"",'Casos de Prueba'!F46&amp;CHAR(10)&amp;'Casos de Prueba'!G46)</f>
        <v xml:space="preserve">El sistema despliega las siguientes opciones de búsqueda:
- Boton Seleccionar* 
- Archivos Solicitados
- Botón Enviar
</v>
      </c>
    </row>
    <row r="46" spans="1:6" x14ac:dyDescent="0.35">
      <c r="A46">
        <f t="shared" si="0"/>
        <v>61</v>
      </c>
      <c r="B46">
        <f t="shared" si="1"/>
        <v>135</v>
      </c>
      <c r="C46" t="str">
        <f>IF('Casos de Prueba'!B47&lt;&gt;0,'Casos de Prueba'!B47&amp;"-"&amp;'Casos de Prueba'!C47:E47,"")</f>
        <v/>
      </c>
      <c r="D46">
        <f>IF(LEN($C46)&gt;0,"",'Casos de Prueba'!D47)</f>
        <v>3</v>
      </c>
      <c r="E46" t="str">
        <f>IF(LEN($C46)&gt;0,"",'Casos de Prueba'!E47)</f>
        <v>Selecciona el archivo(txt) mediante el explorador de Windows.</v>
      </c>
      <c r="F46" t="str">
        <f>IF(LEN($C46)&gt;0,"",'Casos de Prueba'!F47&amp;CHAR(10)&amp;'Casos de Prueba'!G47)</f>
        <v xml:space="preserve">
El  aplicativo ejecuta la consulta y arroja el resultado conforme a los UUID definidos en el archivo.  
Archivo TXT con distintos UUID</v>
      </c>
    </row>
    <row r="47" spans="1:6" x14ac:dyDescent="0.35">
      <c r="A47">
        <f t="shared" si="0"/>
        <v>31</v>
      </c>
      <c r="B47">
        <f t="shared" si="1"/>
        <v>1213</v>
      </c>
      <c r="C47" t="str">
        <f>IF('Casos de Prueba'!B48&lt;&gt;0,'Casos de Prueba'!B48&amp;"-"&amp;'Casos de Prueba'!C48:E48,"")</f>
        <v/>
      </c>
      <c r="D47">
        <f>IF(LEN($C47)&gt;0,"",'Casos de Prueba'!D48)</f>
        <v>4</v>
      </c>
      <c r="E47" t="str">
        <f>IF(LEN($C47)&gt;0,"",'Casos de Prueba'!E48)</f>
        <v>Da clic en el botón buscar CFDI</v>
      </c>
      <c r="F47" t="str">
        <f>IF(LEN($C47)&gt;0,"",'Casos de Prueba'!F48&amp;CHAR(10)&amp;'Casos de Prueba'!G48)</f>
        <v>En caso de no encontrar información ir al CP "Sin Resultados"
En caso contrario el sistema muestra:
Tabla con el encabezado y los datos siguientes:
+ Acciones   
• Descargar.(XML)
• Recuperar Representacion Impresa.(RI)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 Botones: 
1)	Descargar seleccionados XML
2)	Exportar resultados a PDF
3)	Exportar resultados a CSV
El aplicativo realiza la consulta masiva de esos UUID y se muestra el detalle de los CFDI de Retenciones con las funcionalidades que actualmente existen
•	El servicio solo permite la consulta a través de archivos de texto plano (.txt).
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v>
      </c>
    </row>
    <row r="48" spans="1:6" x14ac:dyDescent="0.35">
      <c r="A48">
        <f t="shared" si="0"/>
        <v>24</v>
      </c>
      <c r="B48">
        <f t="shared" si="1"/>
        <v>69</v>
      </c>
      <c r="C48" t="str">
        <f>IF('Casos de Prueba'!B49&lt;&gt;0,'Casos de Prueba'!B49&amp;"-"&amp;'Casos de Prueba'!C49:E49,"")</f>
        <v/>
      </c>
      <c r="D48">
        <f>IF(LEN($C48)&gt;0,"",'Casos de Prueba'!D49)</f>
        <v>5</v>
      </c>
      <c r="E48" t="str">
        <f>IF(LEN($C48)&gt;0,"",'Casos de Prueba'!E49)</f>
        <v>Da clic en Cerrar Sesión</v>
      </c>
      <c r="F48" t="str">
        <f>IF(LEN($C48)&gt;0,"",'Casos de Prueba'!F49&amp;CHAR(10)&amp;'Casos de Prueba'!G49)</f>
        <v xml:space="preserve">Cierra la aplicación y se direcciona a la pantalla de autenticación.
</v>
      </c>
    </row>
    <row r="49" spans="1:6" x14ac:dyDescent="0.35">
      <c r="A49">
        <f t="shared" si="0"/>
        <v>0</v>
      </c>
      <c r="B49">
        <f t="shared" si="1"/>
        <v>0</v>
      </c>
      <c r="C49" t="str">
        <f>IF('Casos de Prueba'!B50&lt;&gt;0,'Casos de Prueba'!B50&amp;"-"&amp;'Casos de Prueba'!C50:E50,"")</f>
        <v>CP06-Folio Fiscal/Acuse de Cancelación</v>
      </c>
      <c r="D49" t="str">
        <f>IF(LEN($C49)&gt;0,"",'Casos de Prueba'!D50)</f>
        <v/>
      </c>
      <c r="E49" t="str">
        <f>IF(LEN($C49)&gt;0,"",'Casos de Prueba'!E50)</f>
        <v/>
      </c>
      <c r="F49" t="str">
        <f>IF(LEN($C49)&gt;0,"",'Casos de Prueba'!F50&amp;CHAR(10)&amp;'Casos de Prueba'!G50)</f>
        <v/>
      </c>
    </row>
    <row r="50" spans="1:6" x14ac:dyDescent="0.35">
      <c r="A50">
        <f t="shared" si="0"/>
        <v>64</v>
      </c>
      <c r="B50">
        <f t="shared" si="1"/>
        <v>217</v>
      </c>
      <c r="C50" t="str">
        <f>IF('Casos de Prueba'!B51&lt;&gt;0,'Casos de Prueba'!B51&amp;"-"&amp;'Casos de Prueba'!C51:E51,"")</f>
        <v/>
      </c>
      <c r="D50">
        <f>IF(LEN($C50)&gt;0,"",'Casos de Prueba'!D51)</f>
        <v>1</v>
      </c>
      <c r="E50" t="str">
        <f>IF(LEN($C50)&gt;0,"",'Casos de Prueba'!E51)</f>
        <v>Usuario ingresa al Portal Empleados Consulta Central Retenciones</v>
      </c>
      <c r="F50" t="str">
        <f>IF(LEN($C50)&gt;0,"",'Casos de Prueba'!F51&amp;CHAR(10)&amp;'Casos de Prueba'!G51)</f>
        <v>El sistema despliega las siguientes opciones de búsqueda:
- Folio Fiscal
- Fecha Inicial y Final de Emisión
- Masiva UUID
El Usuario previamente se autenticó  y accedió al portal Empleados-Consulta Central Retenciones</v>
      </c>
    </row>
    <row r="51" spans="1:6" x14ac:dyDescent="0.35">
      <c r="A51">
        <f t="shared" si="0"/>
        <v>33</v>
      </c>
      <c r="B51">
        <f t="shared" si="1"/>
        <v>102</v>
      </c>
      <c r="C51" t="str">
        <f>IF('Casos de Prueba'!B52&lt;&gt;0,'Casos de Prueba'!B52&amp;"-"&amp;'Casos de Prueba'!C52:E52,"")</f>
        <v/>
      </c>
      <c r="D51">
        <f>IF(LEN($C51)&gt;0,"",'Casos de Prueba'!D52)</f>
        <v>2</v>
      </c>
      <c r="E51" t="str">
        <f>IF(LEN($C51)&gt;0,"",'Casos de Prueba'!E52)</f>
        <v>Selecciona la opción Folio Fiscal</v>
      </c>
      <c r="F51" t="str">
        <f>IF(LEN($C51)&gt;0,"",'Casos de Prueba'!F52&amp;CHAR(10)&amp;'Casos de Prueba'!G52)</f>
        <v xml:space="preserve">El sistema despliega cuadro de texto para incorporar el número de Folio Fiscal que se requiere buscar
</v>
      </c>
    </row>
    <row r="52" spans="1:6" x14ac:dyDescent="0.35">
      <c r="A52">
        <f t="shared" si="0"/>
        <v>35</v>
      </c>
      <c r="B52">
        <f t="shared" si="1"/>
        <v>69</v>
      </c>
      <c r="C52" t="str">
        <f>IF('Casos de Prueba'!B53&lt;&gt;0,'Casos de Prueba'!B53&amp;"-"&amp;'Casos de Prueba'!C53:E53,"")</f>
        <v/>
      </c>
      <c r="D52">
        <f>IF(LEN($C52)&gt;0,"",'Casos de Prueba'!D53)</f>
        <v>3</v>
      </c>
      <c r="E52" t="str">
        <f>IF(LEN($C52)&gt;0,"",'Casos de Prueba'!E53)</f>
        <v xml:space="preserve">Ingresa los datos del Folio Fiscal </v>
      </c>
      <c r="F52" t="str">
        <f>IF(LEN($C52)&gt;0,"",'Casos de Prueba'!F53&amp;CHAR(10)&amp;'Casos de Prueba'!G53)</f>
        <v xml:space="preserve">El sistema muestra los datos que se van ingresando del folio fiscal
</v>
      </c>
    </row>
    <row r="53" spans="1:6" x14ac:dyDescent="0.35">
      <c r="A53">
        <f t="shared" si="0"/>
        <v>32</v>
      </c>
      <c r="B53">
        <f t="shared" si="1"/>
        <v>1016</v>
      </c>
      <c r="C53" t="str">
        <f>IF('Casos de Prueba'!B54&lt;&gt;0,'Casos de Prueba'!B54&amp;"-"&amp;'Casos de Prueba'!C54:E54,"")</f>
        <v/>
      </c>
      <c r="D53">
        <f>IF(LEN($C53)&gt;0,"",'Casos de Prueba'!D54)</f>
        <v>4</v>
      </c>
      <c r="E53" t="str">
        <f>IF(LEN($C53)&gt;0,"",'Casos de Prueba'!E54)</f>
        <v xml:space="preserve">Da clic en el botón buscar CFDI </v>
      </c>
      <c r="F53" t="str">
        <f>IF(LEN($C53)&gt;0,"",'Casos de Prueba'!F54&amp;CHAR(10)&amp;'Casos de Prueba'!G54)</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Metadata.
2)	Exportar Resultados a PDF.
3)	Exportar Resultados a CSV.
Al seleccionar el botón de folio fiscal se deben deshabilitar los campos correspondientes a la consulta por periodo de fecha de emisión.
a)	En una consulta por Folio fiscal o cuando se realice la consulta por periodo de fecha y el resultado sea uno:
o	Descargar Metadata 
o	Exportar Resultados PDF
o	Exportar Resultados CSV</v>
      </c>
    </row>
    <row r="54" spans="1:6" x14ac:dyDescent="0.35">
      <c r="A54">
        <f t="shared" si="0"/>
        <v>58</v>
      </c>
      <c r="B54">
        <f t="shared" si="1"/>
        <v>108</v>
      </c>
      <c r="C54" t="str">
        <f>IF('Casos de Prueba'!B55&lt;&gt;0,'Casos de Prueba'!B55&amp;"-"&amp;'Casos de Prueba'!C55:E55,"")</f>
        <v/>
      </c>
      <c r="D54">
        <f>IF(LEN($C54)&gt;0,"",'Casos de Prueba'!D55)</f>
        <v>5</v>
      </c>
      <c r="E54" t="str">
        <f>IF(LEN($C54)&gt;0,"",'Casos de Prueba'!E55)</f>
        <v>Selecciona un folio fiscal (UUID) de la tabla “Resultados”</v>
      </c>
      <c r="F54" t="str">
        <f>IF(LEN($C54)&gt;0,"",'Casos de Prueba'!F55&amp;CHAR(10)&amp;'Casos de Prueba'!G55)</f>
        <v xml:space="preserve">En la columna de acciones se desplegaran los botones:
•Recuperar Representación Impresa  
•	Descargar XML
</v>
      </c>
    </row>
    <row r="55" spans="1:6" x14ac:dyDescent="0.35">
      <c r="A55">
        <f t="shared" si="0"/>
        <v>213</v>
      </c>
      <c r="B55">
        <f t="shared" si="1"/>
        <v>755</v>
      </c>
      <c r="C55" t="str">
        <f>IF('Casos de Prueba'!B56&lt;&gt;0,'Casos de Prueba'!B56&amp;"-"&amp;'Casos de Prueba'!C56:E56,"")</f>
        <v/>
      </c>
      <c r="D55">
        <f>IF(LEN($C55)&gt;0,"",'Casos de Prueba'!D56)</f>
        <v>6</v>
      </c>
      <c r="E55" t="str">
        <f>IF(LEN($C55)&gt;0,"",'Casos de Prueba'!E56)</f>
        <v>El usuario selecciona un folio fiscal (UUID) de la tabla “Resultados” y ubica la columna “Estado del Comprobante” que tenga el valor “Cancelado” y da clic  en el hipervinculo para descargar el acuse de cancelación</v>
      </c>
      <c r="F55" t="str">
        <f>IF(LEN($C55)&gt;0,"",'Casos de Prueba'!F56&amp;CHAR(10)&amp;'Casos de Prueba'!G56)</f>
        <v>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Retencion:
•	Fecha y hora de solicitud.
•	Fecha y hora de cancelación
•	RFC Emisor
•	Folio Fiscal
•	Estatus de Proceso de Cancelación.
•	Motivo de Cancelación.
•	CFDI Reemplaza.
•	Sello digital SAT.
Esta opción solo será visible en la columna “Estado del Comprobante, cuando exista una solicitud de la cancelación asociada al CFDI de Retenciones.
Se podrá realizar la descarga del acuse en formato PDF, recuperando el acuse con el estatus final.</v>
      </c>
    </row>
    <row r="56" spans="1:6" x14ac:dyDescent="0.35">
      <c r="A56">
        <f t="shared" si="0"/>
        <v>24</v>
      </c>
      <c r="B56">
        <f t="shared" si="1"/>
        <v>69</v>
      </c>
      <c r="C56" t="str">
        <f>IF('Casos de Prueba'!B57&lt;&gt;0,'Casos de Prueba'!B57&amp;"-"&amp;'Casos de Prueba'!C57:E57,"")</f>
        <v/>
      </c>
      <c r="D56">
        <f>IF(LEN($C56)&gt;0,"",'Casos de Prueba'!D57)</f>
        <v>7</v>
      </c>
      <c r="E56" t="str">
        <f>IF(LEN($C56)&gt;0,"",'Casos de Prueba'!E57)</f>
        <v>Da clic en Cerrar Sesión</v>
      </c>
      <c r="F56" t="str">
        <f>IF(LEN($C56)&gt;0,"",'Casos de Prueba'!F57&amp;CHAR(10)&amp;'Casos de Prueba'!G57)</f>
        <v xml:space="preserve">Cierra la aplicación y se direcciona a la pantalla de autenticación.
</v>
      </c>
    </row>
    <row r="57" spans="1:6" x14ac:dyDescent="0.35">
      <c r="A57">
        <f t="shared" si="0"/>
        <v>0</v>
      </c>
      <c r="B57">
        <f t="shared" si="1"/>
        <v>0</v>
      </c>
      <c r="C57" t="str">
        <f>IF('Casos de Prueba'!B58&lt;&gt;0,'Casos de Prueba'!B58&amp;"-"&amp;'Casos de Prueba'!C58:E58,"")</f>
        <v>CP07-RFCEmisor/Acuse Cancelación</v>
      </c>
      <c r="D57" t="str">
        <f>IF(LEN($C57)&gt;0,"",'Casos de Prueba'!D58)</f>
        <v/>
      </c>
      <c r="E57" t="str">
        <f>IF(LEN($C57)&gt;0,"",'Casos de Prueba'!E58)</f>
        <v/>
      </c>
      <c r="F57" t="str">
        <f>IF(LEN($C57)&gt;0,"",'Casos de Prueba'!F58&amp;CHAR(10)&amp;'Casos de Prueba'!G58)</f>
        <v/>
      </c>
    </row>
    <row r="58" spans="1:6" x14ac:dyDescent="0.35">
      <c r="A58">
        <f t="shared" si="0"/>
        <v>64</v>
      </c>
      <c r="B58">
        <f t="shared" si="1"/>
        <v>217</v>
      </c>
      <c r="C58" t="str">
        <f>IF('Casos de Prueba'!B59&lt;&gt;0,'Casos de Prueba'!B59&amp;"-"&amp;'Casos de Prueba'!C59:E59,"")</f>
        <v/>
      </c>
      <c r="D58">
        <f>IF(LEN($C58)&gt;0,"",'Casos de Prueba'!D59)</f>
        <v>1</v>
      </c>
      <c r="E58" t="str">
        <f>IF(LEN($C58)&gt;0,"",'Casos de Prueba'!E59)</f>
        <v>Usuario ingresa al Portal Empleados Consulta Central Retenciones</v>
      </c>
      <c r="F58" t="str">
        <f>IF(LEN($C58)&gt;0,"",'Casos de Prueba'!F59&amp;CHAR(10)&amp;'Casos de Prueba'!G59)</f>
        <v>El sistema despliega las siguientes opciones de búsqueda:
- Folio Fiscal
- Fecha Inicial y Final de Emisión
- Masiva UUID
El Usuario previamente se autenticó  y accedió al portal Empleados-Consulta Central Retenciones</v>
      </c>
    </row>
    <row r="59" spans="1:6" x14ac:dyDescent="0.35">
      <c r="A59">
        <f t="shared" si="0"/>
        <v>45</v>
      </c>
      <c r="B59">
        <f t="shared" si="1"/>
        <v>247</v>
      </c>
      <c r="C59" t="str">
        <f>IF('Casos de Prueba'!B60&lt;&gt;0,'Casos de Prueba'!B60&amp;"-"&amp;'Casos de Prueba'!C60:E60,"")</f>
        <v/>
      </c>
      <c r="D59">
        <f>IF(LEN($C59)&gt;0,"",'Casos de Prueba'!D60)</f>
        <v>2</v>
      </c>
      <c r="E59" t="str">
        <f>IF(LEN($C59)&gt;0,"",'Casos de Prueba'!E60)</f>
        <v>Selecciona la opción Fecha Inicial de Emisión</v>
      </c>
      <c r="F59" t="str">
        <f>IF(LEN($C59)&gt;0,"",'Casos de Prueba'!F60&amp;CHAR(10)&amp;'Casos de Prueba'!G60)</f>
        <v xml:space="preserve">El sistema habilita los siguientes campos:
•	Fecha Inicial de Emisión (*).
•	Fecha Final de Emisión (*). (RN04)
•	RFC Emisor. (RN02)
•	RFC Receptor. (RN02)
•	Estado del Comprobante.
•	Tipo de Comprobante (Complemento) (RN17).* Campos obligatorios
</v>
      </c>
    </row>
    <row r="60" spans="1:6" x14ac:dyDescent="0.35">
      <c r="A60">
        <f t="shared" si="0"/>
        <v>213</v>
      </c>
      <c r="B60">
        <f t="shared" si="1"/>
        <v>52</v>
      </c>
      <c r="C60" t="str">
        <f>IF('Casos de Prueba'!B61&lt;&gt;0,'Casos de Prueba'!B61&amp;"-"&amp;'Casos de Prueba'!C61:E61,"")</f>
        <v/>
      </c>
      <c r="D60">
        <f>IF(LEN($C60)&gt;0,"",'Casos de Prueba'!D61)</f>
        <v>3</v>
      </c>
      <c r="E60" t="str">
        <f>IF(LEN($C60)&gt;0,"",'Casos de Prueba'!E61)</f>
        <v xml:space="preserve">Ingresa los datos:
- *Fecha inicial de emisión
- *Fecha final de emisión
-  RFC Emisor
-  RFC Receptor
De manera opcional:
-  Estado del Comprobante
- Tipo de Comprobante(Complemento)(RN17)
* Campos obligatorios
</v>
      </c>
      <c r="F60" t="str">
        <f>IF(LEN($C60)&gt;0,"",'Casos de Prueba'!F61&amp;CHAR(10)&amp;'Casos de Prueba'!G61)</f>
        <v xml:space="preserve">El sistema muestra los datos que se van ingresando 
</v>
      </c>
    </row>
    <row r="61" spans="1:6" x14ac:dyDescent="0.35">
      <c r="A61">
        <f t="shared" si="0"/>
        <v>31</v>
      </c>
      <c r="B61">
        <f t="shared" si="1"/>
        <v>1331</v>
      </c>
      <c r="C61" t="str">
        <f>IF('Casos de Prueba'!B62&lt;&gt;0,'Casos de Prueba'!B62&amp;"-"&amp;'Casos de Prueba'!C62:E62,"")</f>
        <v/>
      </c>
      <c r="D61">
        <f>IF(LEN($C61)&gt;0,"",'Casos de Prueba'!D62)</f>
        <v>4</v>
      </c>
      <c r="E61" t="str">
        <f>IF(LEN($C61)&gt;0,"",'Casos de Prueba'!E62)</f>
        <v>Da clic en el botón buscar CFDI</v>
      </c>
      <c r="F61" t="str">
        <f>IF(LEN($C61)&gt;0,"",'Casos de Prueba'!F62&amp;CHAR(10)&amp;'Casos de Prueba'!G62)</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(Aplica la Regla de Negocio 05)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62" spans="1:6" x14ac:dyDescent="0.35">
      <c r="A62">
        <f t="shared" si="0"/>
        <v>58</v>
      </c>
      <c r="B62">
        <f t="shared" si="1"/>
        <v>131</v>
      </c>
      <c r="C62" t="str">
        <f>IF('Casos de Prueba'!B63&lt;&gt;0,'Casos de Prueba'!B63&amp;"-"&amp;'Casos de Prueba'!C63:E63,"")</f>
        <v/>
      </c>
      <c r="D62">
        <f>IF(LEN($C62)&gt;0,"",'Casos de Prueba'!D63)</f>
        <v>5</v>
      </c>
      <c r="E62" t="str">
        <f>IF(LEN($C62)&gt;0,"",'Casos de Prueba'!E63)</f>
        <v>Selecciona un folio fiscal (UUID) de la tabla “Resultados”</v>
      </c>
      <c r="F62" t="str">
        <f>IF(LEN($C62)&gt;0,"",'Casos de Prueba'!F63&amp;CHAR(10)&amp;'Casos de Prueba'!G63)</f>
        <v xml:space="preserve">En la columna de acciones se desplegaran los botones:
•	Acuse de Cancelación
•Recuperar Representación Impresa  
•	Descargar XML
</v>
      </c>
    </row>
    <row r="63" spans="1:6" x14ac:dyDescent="0.35">
      <c r="A63">
        <f t="shared" si="0"/>
        <v>213</v>
      </c>
      <c r="B63">
        <f t="shared" si="1"/>
        <v>755</v>
      </c>
      <c r="C63" t="str">
        <f>IF('Casos de Prueba'!B64&lt;&gt;0,'Casos de Prueba'!B64&amp;"-"&amp;'Casos de Prueba'!C64:E64,"")</f>
        <v/>
      </c>
      <c r="D63">
        <f>IF(LEN($C63)&gt;0,"",'Casos de Prueba'!D64)</f>
        <v>6</v>
      </c>
      <c r="E63" t="str">
        <f>IF(LEN($C63)&gt;0,"",'Casos de Prueba'!E64)</f>
        <v>El usuario selecciona un folio fiscal (UUID) de la tabla “Resultados” y ubica la columna “Estado del Comprobante” que tenga el valor “Cancelado” y da clic  en el hipervinculo para descargar el acuse de cancelación</v>
      </c>
      <c r="F63" t="str">
        <f>IF(LEN($C63)&gt;0,"",'Casos de Prueba'!F64&amp;CHAR(10)&amp;'Casos de Prueba'!G64)</f>
        <v>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Retencion:
•	Fecha y hora de solicitud.
•	Fecha y hora de cancelación
•	RFC Emisor
•	Folio Fiscal
•	Estatus de Proceso de Cancelación.
•	Motivo de Cancelación.
•	CFDI Reemplaza.
•	Sello digital SAT.
Esta opción solo será visible en la columna “Estado del Comprobante, cuando exista una solicitud de la cancelación asociada al CFDI de Retenciones.
Se podrá realizar la descarga del acuse en formato PDF, recuperando el acuse con el estatus final.</v>
      </c>
    </row>
    <row r="64" spans="1:6" x14ac:dyDescent="0.35">
      <c r="A64">
        <f t="shared" si="0"/>
        <v>24</v>
      </c>
      <c r="B64">
        <f t="shared" si="1"/>
        <v>69</v>
      </c>
      <c r="C64" t="str">
        <f>IF('Casos de Prueba'!B65&lt;&gt;0,'Casos de Prueba'!B65&amp;"-"&amp;'Casos de Prueba'!C65:E65,"")</f>
        <v/>
      </c>
      <c r="D64">
        <f>IF(LEN($C64)&gt;0,"",'Casos de Prueba'!D65)</f>
        <v>7</v>
      </c>
      <c r="E64" t="str">
        <f>IF(LEN($C64)&gt;0,"",'Casos de Prueba'!E65)</f>
        <v>Da clic en Cerrar Sesión</v>
      </c>
      <c r="F64" t="str">
        <f>IF(LEN($C64)&gt;0,"",'Casos de Prueba'!F65&amp;CHAR(10)&amp;'Casos de Prueba'!G65)</f>
        <v xml:space="preserve">Cierra la aplicación y se direcciona a la pantalla de autenticación.
</v>
      </c>
    </row>
    <row r="65" spans="1:6" x14ac:dyDescent="0.35">
      <c r="A65">
        <f t="shared" si="0"/>
        <v>0</v>
      </c>
      <c r="B65">
        <f t="shared" si="1"/>
        <v>0</v>
      </c>
      <c r="C65" t="str">
        <f>IF('Casos de Prueba'!B66&lt;&gt;0,'Casos de Prueba'!B66&amp;"-"&amp;'Casos de Prueba'!C66:E66,"")</f>
        <v>CP08-RFCReceptor/Acuse de Cancelación</v>
      </c>
      <c r="D65" t="str">
        <f>IF(LEN($C65)&gt;0,"",'Casos de Prueba'!D66)</f>
        <v/>
      </c>
      <c r="E65" t="str">
        <f>IF(LEN($C65)&gt;0,"",'Casos de Prueba'!E66)</f>
        <v/>
      </c>
      <c r="F65" t="str">
        <f>IF(LEN($C65)&gt;0,"",'Casos de Prueba'!F66&amp;CHAR(10)&amp;'Casos de Prueba'!G66)</f>
        <v/>
      </c>
    </row>
    <row r="66" spans="1:6" x14ac:dyDescent="0.35">
      <c r="A66">
        <f t="shared" si="0"/>
        <v>64</v>
      </c>
      <c r="B66">
        <f t="shared" si="1"/>
        <v>217</v>
      </c>
      <c r="C66" t="str">
        <f>IF('Casos de Prueba'!B67&lt;&gt;0,'Casos de Prueba'!B67&amp;"-"&amp;'Casos de Prueba'!C67:E67,"")</f>
        <v/>
      </c>
      <c r="D66">
        <f>IF(LEN($C66)&gt;0,"",'Casos de Prueba'!D67)</f>
        <v>1</v>
      </c>
      <c r="E66" t="str">
        <f>IF(LEN($C66)&gt;0,"",'Casos de Prueba'!E67)</f>
        <v>Usuario ingresa al Portal Empleados Consulta Central Retenciones</v>
      </c>
      <c r="F66" t="str">
        <f>IF(LEN($C66)&gt;0,"",'Casos de Prueba'!F67&amp;CHAR(10)&amp;'Casos de Prueba'!G67)</f>
        <v>El sistema despliega las siguientes opciones de búsqueda:
- Folio Fiscal
- Fecha Inicial y Final de Emisión
- Masiva UUID
El Usuario previamente se autenticó  y accedió al portal Empleados-Consulta Central Retenciones</v>
      </c>
    </row>
    <row r="67" spans="1:6" x14ac:dyDescent="0.35">
      <c r="A67">
        <f t="shared" si="0"/>
        <v>45</v>
      </c>
      <c r="B67">
        <f t="shared" si="1"/>
        <v>247</v>
      </c>
      <c r="C67" t="str">
        <f>IF('Casos de Prueba'!B68&lt;&gt;0,'Casos de Prueba'!B68&amp;"-"&amp;'Casos de Prueba'!C68:E68,"")</f>
        <v/>
      </c>
      <c r="D67">
        <f>IF(LEN($C67)&gt;0,"",'Casos de Prueba'!D68)</f>
        <v>2</v>
      </c>
      <c r="E67" t="str">
        <f>IF(LEN($C67)&gt;0,"",'Casos de Prueba'!E68)</f>
        <v>Selecciona la opción Fecha Inicial de Emisión</v>
      </c>
      <c r="F67" t="str">
        <f>IF(LEN($C67)&gt;0,"",'Casos de Prueba'!F68&amp;CHAR(10)&amp;'Casos de Prueba'!G68)</f>
        <v xml:space="preserve">El sistema habilita los siguientes campos:
•	Fecha Inicial de Emisión (*).
•	Fecha Final de Emisión (*). (RN04)
•	RFC Emisor. (RN02)
•	RFC Receptor. (RN02)
•	Estado del Comprobante.
•	Tipo de Comprobante (Complemento) (RN17).* Campos obligatorios
</v>
      </c>
    </row>
    <row r="68" spans="1:6" x14ac:dyDescent="0.35">
      <c r="A68">
        <f t="shared" si="0"/>
        <v>213</v>
      </c>
      <c r="B68">
        <f t="shared" si="1"/>
        <v>52</v>
      </c>
      <c r="C68" t="str">
        <f>IF('Casos de Prueba'!B69&lt;&gt;0,'Casos de Prueba'!B69&amp;"-"&amp;'Casos de Prueba'!C69:E69,"")</f>
        <v/>
      </c>
      <c r="D68">
        <f>IF(LEN($C68)&gt;0,"",'Casos de Prueba'!D69)</f>
        <v>3</v>
      </c>
      <c r="E68" t="str">
        <f>IF(LEN($C68)&gt;0,"",'Casos de Prueba'!E69)</f>
        <v xml:space="preserve">Ingresa los datos:
- *Fecha inicial de emisión
- *Fecha final de emisión
-  RFC Emisor
-  RFC Receptor
De manera opcional:
-  Estado del Comprobante
- Tipo de Comprobante(Complemento)(RN17)
* Campos obligatorios
</v>
      </c>
      <c r="F68" t="str">
        <f>IF(LEN($C68)&gt;0,"",'Casos de Prueba'!F69&amp;CHAR(10)&amp;'Casos de Prueba'!G69)</f>
        <v xml:space="preserve">El sistema muestra los datos que se van ingresando 
</v>
      </c>
    </row>
    <row r="69" spans="1:6" x14ac:dyDescent="0.35">
      <c r="A69">
        <f t="shared" si="0"/>
        <v>31</v>
      </c>
      <c r="B69">
        <f t="shared" si="1"/>
        <v>1141</v>
      </c>
      <c r="C69" t="str">
        <f>IF('Casos de Prueba'!B70&lt;&gt;0,'Casos de Prueba'!B70&amp;"-"&amp;'Casos de Prueba'!C70:E70,"")</f>
        <v/>
      </c>
      <c r="D69">
        <f>IF(LEN($C69)&gt;0,"",'Casos de Prueba'!D70)</f>
        <v>4</v>
      </c>
      <c r="E69" t="str">
        <f>IF(LEN($C69)&gt;0,"",'Casos de Prueba'!E70)</f>
        <v>Da clic en el botón buscar CFDI</v>
      </c>
      <c r="F69" t="str">
        <f>IF(LEN($C69)&gt;0,"",'Casos de Prueba'!F70&amp;CHAR(10)&amp;'Casos de Prueba'!G70)</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70" spans="1:6" x14ac:dyDescent="0.35">
      <c r="A70">
        <f t="shared" si="0"/>
        <v>58</v>
      </c>
      <c r="B70">
        <f t="shared" si="1"/>
        <v>131</v>
      </c>
      <c r="C70" t="str">
        <f>IF('Casos de Prueba'!B71&lt;&gt;0,'Casos de Prueba'!B71&amp;"-"&amp;'Casos de Prueba'!C71:E71,"")</f>
        <v/>
      </c>
      <c r="D70">
        <f>IF(LEN($C70)&gt;0,"",'Casos de Prueba'!D71)</f>
        <v>5</v>
      </c>
      <c r="E70" t="str">
        <f>IF(LEN($C70)&gt;0,"",'Casos de Prueba'!E71)</f>
        <v>Selecciona un folio fiscal (UUID) de la tabla “Resultados”</v>
      </c>
      <c r="F70" t="str">
        <f>IF(LEN($C70)&gt;0,"",'Casos de Prueba'!F71&amp;CHAR(10)&amp;'Casos de Prueba'!G71)</f>
        <v xml:space="preserve">En la columna de acciones se desplegaran los botones:
•	Acuse de Cancelación
•Recuperar Representación Impresa  
•	Descargar XML
</v>
      </c>
    </row>
    <row r="71" spans="1:6" x14ac:dyDescent="0.35">
      <c r="A71">
        <f t="shared" si="0"/>
        <v>213</v>
      </c>
      <c r="B71">
        <f t="shared" si="1"/>
        <v>755</v>
      </c>
      <c r="C71" t="str">
        <f>IF('Casos de Prueba'!B72&lt;&gt;0,'Casos de Prueba'!B72&amp;"-"&amp;'Casos de Prueba'!C72:E72,"")</f>
        <v/>
      </c>
      <c r="D71">
        <f>IF(LEN($C71)&gt;0,"",'Casos de Prueba'!D72)</f>
        <v>6</v>
      </c>
      <c r="E71" t="str">
        <f>IF(LEN($C71)&gt;0,"",'Casos de Prueba'!E72)</f>
        <v>El usuario selecciona un folio fiscal (UUID) de la tabla “Resultados” y ubica la columna “Estado del Comprobante” que tenga el valor “Cancelado” y da clic  en el hipervinculo para descargar el acuse de cancelación</v>
      </c>
      <c r="F71" t="str">
        <f>IF(LEN($C71)&gt;0,"",'Casos de Prueba'!F72&amp;CHAR(10)&amp;'Casos de Prueba'!G72)</f>
        <v>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Retencion:
•	Fecha y hora de solicitud.
•	Fecha y hora de cancelación
•	RFC Emisor
•	Folio Fiscal
•	Estatus de Proceso de Cancelación.
•	Motivo de Cancelación.
•	CFDI Reemplaza.
•	Sello digital SAT.
Esta opción solo será visible en la columna “Estado del Comprobante, cuando exista una solicitud de la cancelación asociada al CFDI de Retenciones.
Se podrá realizar la descarga del acuse en formato PDF, recuperando el acuse con el estatus final.</v>
      </c>
    </row>
    <row r="72" spans="1:6" x14ac:dyDescent="0.35">
      <c r="A72">
        <f t="shared" si="0"/>
        <v>24</v>
      </c>
      <c r="B72">
        <f t="shared" si="1"/>
        <v>69</v>
      </c>
      <c r="C72" t="str">
        <f>IF('Casos de Prueba'!B73&lt;&gt;0,'Casos de Prueba'!B73&amp;"-"&amp;'Casos de Prueba'!C73:E73,"")</f>
        <v/>
      </c>
      <c r="D72">
        <f>IF(LEN($C72)&gt;0,"",'Casos de Prueba'!D73)</f>
        <v>7</v>
      </c>
      <c r="E72" t="str">
        <f>IF(LEN($C72)&gt;0,"",'Casos de Prueba'!E73)</f>
        <v>Da clic en Cerrar Sesión</v>
      </c>
      <c r="F72" t="str">
        <f>IF(LEN($C72)&gt;0,"",'Casos de Prueba'!F73&amp;CHAR(10)&amp;'Casos de Prueba'!G73)</f>
        <v xml:space="preserve">Cierra la aplicación y se direcciona a la pantalla de autenticación.
</v>
      </c>
    </row>
    <row r="73" spans="1:6" x14ac:dyDescent="0.35">
      <c r="A73">
        <f t="shared" si="0"/>
        <v>0</v>
      </c>
      <c r="B73">
        <f t="shared" si="1"/>
        <v>0</v>
      </c>
      <c r="C73" t="str">
        <f>IF('Casos de Prueba'!B74&lt;&gt;0,'Casos de Prueba'!B74&amp;"-"&amp;'Casos de Prueba'!C74:E74,"")</f>
        <v>CP09-Masiva UUID/Acuse de Cancelación</v>
      </c>
      <c r="D73" t="str">
        <f>IF(LEN($C73)&gt;0,"",'Casos de Prueba'!D74)</f>
        <v/>
      </c>
      <c r="E73" t="str">
        <f>IF(LEN($C73)&gt;0,"",'Casos de Prueba'!E74)</f>
        <v/>
      </c>
      <c r="F73" t="str">
        <f>IF(LEN($C73)&gt;0,"",'Casos de Prueba'!F74&amp;CHAR(10)&amp;'Casos de Prueba'!G74)</f>
        <v/>
      </c>
    </row>
    <row r="74" spans="1:6" x14ac:dyDescent="0.35">
      <c r="A74">
        <f t="shared" si="0"/>
        <v>64</v>
      </c>
      <c r="B74">
        <f t="shared" si="1"/>
        <v>280</v>
      </c>
      <c r="C74" t="str">
        <f>IF('Casos de Prueba'!B75&lt;&gt;0,'Casos de Prueba'!B75&amp;"-"&amp;'Casos de Prueba'!C75:E75,"")</f>
        <v/>
      </c>
      <c r="D74">
        <f>IF(LEN($C74)&gt;0,"",'Casos de Prueba'!D75)</f>
        <v>1</v>
      </c>
      <c r="E74" t="str">
        <f>IF(LEN($C74)&gt;0,"",'Casos de Prueba'!E75)</f>
        <v>Usuario ingresa al Portal Empleados Consulta Central Retenciones</v>
      </c>
      <c r="F74" t="str">
        <f>IF(LEN($C74)&gt;0,"",'Casos de Prueba'!F75&amp;CHAR(10)&amp;'Casos de Prueba'!G75)</f>
        <v>El sistema despliega las siguientes opciones de búsqueda:
- Folio Fiscal
- Fecha Inicial y Final de Emisión
- Masiva UUID
El Usuario previamente se autenticó  y accedió al portal Empleados-Consulta Central Retenciones
Para este caso de prueba el comprobante debe estar cancelado.</v>
      </c>
    </row>
    <row r="75" spans="1:6" x14ac:dyDescent="0.35">
      <c r="A75">
        <f t="shared" si="0"/>
        <v>32</v>
      </c>
      <c r="B75">
        <f t="shared" si="1"/>
        <v>118</v>
      </c>
      <c r="C75" t="str">
        <f>IF('Casos de Prueba'!B76&lt;&gt;0,'Casos de Prueba'!B76&amp;"-"&amp;'Casos de Prueba'!C76:E76,"")</f>
        <v/>
      </c>
      <c r="D75">
        <f>IF(LEN($C75)&gt;0,"",'Casos de Prueba'!D76)</f>
        <v>2</v>
      </c>
      <c r="E75" t="str">
        <f>IF(LEN($C75)&gt;0,"",'Casos de Prueba'!E76)</f>
        <v>Selecciona la opción Masiva UUID</v>
      </c>
      <c r="F75" t="str">
        <f>IF(LEN($C75)&gt;0,"",'Casos de Prueba'!F76&amp;CHAR(10)&amp;'Casos de Prueba'!G76)</f>
        <v xml:space="preserve">El sistema despliega las siguientes opciones de búsqueda:
- Boton Seleccionar* 
- Archivos Solicitados
- Botón Enviar
</v>
      </c>
    </row>
    <row r="76" spans="1:6" x14ac:dyDescent="0.35">
      <c r="A76">
        <f t="shared" si="0"/>
        <v>61</v>
      </c>
      <c r="B76">
        <f t="shared" si="1"/>
        <v>135</v>
      </c>
      <c r="C76" t="str">
        <f>IF('Casos de Prueba'!B77&lt;&gt;0,'Casos de Prueba'!B77&amp;"-"&amp;'Casos de Prueba'!C77:E77,"")</f>
        <v/>
      </c>
      <c r="D76">
        <f>IF(LEN($C76)&gt;0,"",'Casos de Prueba'!D77)</f>
        <v>3</v>
      </c>
      <c r="E76" t="str">
        <f>IF(LEN($C76)&gt;0,"",'Casos de Prueba'!E77)</f>
        <v>Selecciona el archivo(txt) mediante el explorador de Windows.</v>
      </c>
      <c r="F76" t="str">
        <f>IF(LEN($C76)&gt;0,"",'Casos de Prueba'!F77&amp;CHAR(10)&amp;'Casos de Prueba'!G77)</f>
        <v xml:space="preserve">
El  aplicativo ejecuta la consulta y arroja el resultado conforme a los UUID definidos en el archivo.  
Archivo TXT con distintos UUID</v>
      </c>
    </row>
    <row r="77" spans="1:6" x14ac:dyDescent="0.35">
      <c r="A77">
        <f t="shared" si="0"/>
        <v>31</v>
      </c>
      <c r="B77">
        <f t="shared" si="1"/>
        <v>1130</v>
      </c>
      <c r="C77" t="str">
        <f>IF('Casos de Prueba'!B78&lt;&gt;0,'Casos de Prueba'!B78&amp;"-"&amp;'Casos de Prueba'!C78:E78,"")</f>
        <v/>
      </c>
      <c r="D77">
        <f>IF(LEN($C77)&gt;0,"",'Casos de Prueba'!D78)</f>
        <v>4</v>
      </c>
      <c r="E77" t="str">
        <f>IF(LEN($C77)&gt;0,"",'Casos de Prueba'!E78)</f>
        <v>Da clic en el botón buscar CFDI</v>
      </c>
      <c r="F77" t="str">
        <f>IF(LEN($C77)&gt;0,"",'Casos de Prueba'!F78&amp;CHAR(10)&amp;'Casos de Prueba'!G78)</f>
        <v>En caso de no encontrar información ir al CP "Sin Resultados"
En caso contrario el sistema muestra:
Tabla con el encabezado y los datos siguientes:
+ Acciones   
• Descargar.(XML)
• Recuperar Representacion Impresa.(RI)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 Botones: 
1)	Descargar seleccionados XML
2)	Exportar resultados a PDF
3)	Exportar resultados a CSV
El aplicativo realiza la consulta masiva de esos UUID y se muestra el detalle de los CFDI de Retenciones con las funcionalidades que actualmente existen
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v>
      </c>
    </row>
    <row r="78" spans="1:6" x14ac:dyDescent="0.35">
      <c r="A78">
        <f t="shared" si="0"/>
        <v>58</v>
      </c>
      <c r="B78">
        <f t="shared" si="1"/>
        <v>131</v>
      </c>
      <c r="C78" t="str">
        <f>IF('Casos de Prueba'!B79&lt;&gt;0,'Casos de Prueba'!B79&amp;"-"&amp;'Casos de Prueba'!C79:E79,"")</f>
        <v/>
      </c>
      <c r="D78">
        <f>IF(LEN($C78)&gt;0,"",'Casos de Prueba'!D79)</f>
        <v>5</v>
      </c>
      <c r="E78" t="str">
        <f>IF(LEN($C78)&gt;0,"",'Casos de Prueba'!E79)</f>
        <v>Selecciona un folio fiscal (UUID) de la tabla “Resultados”</v>
      </c>
      <c r="F78" t="str">
        <f>IF(LEN($C78)&gt;0,"",'Casos de Prueba'!F79&amp;CHAR(10)&amp;'Casos de Prueba'!G79)</f>
        <v xml:space="preserve">En la columna de acciones se desplegaran los botones:
•	Acuse de Cancelación
•Recuperar Representación Impresa  
•	Descargar XML
</v>
      </c>
    </row>
    <row r="79" spans="1:6" x14ac:dyDescent="0.35">
      <c r="A79">
        <f t="shared" si="0"/>
        <v>213</v>
      </c>
      <c r="B79">
        <f t="shared" si="1"/>
        <v>755</v>
      </c>
      <c r="C79" t="str">
        <f>IF('Casos de Prueba'!B80&lt;&gt;0,'Casos de Prueba'!B80&amp;"-"&amp;'Casos de Prueba'!C80:E80,"")</f>
        <v/>
      </c>
      <c r="D79">
        <f>IF(LEN($C79)&gt;0,"",'Casos de Prueba'!D80)</f>
        <v>6</v>
      </c>
      <c r="E79" t="str">
        <f>IF(LEN($C79)&gt;0,"",'Casos de Prueba'!E80)</f>
        <v>El usuario selecciona un folio fiscal (UUID) de la tabla “Resultados” y ubica la columna “Estado del Comprobante” que tenga el valor “Cancelado” y da clic  en el hipervinculo para descargar el acuse de cancelación</v>
      </c>
      <c r="F79" t="str">
        <f>IF(LEN($C79)&gt;0,"",'Casos de Prueba'!F80&amp;CHAR(10)&amp;'Casos de Prueba'!G80)</f>
        <v>El sistema abre una ventana emergente y comienza con la descarga del acuse de cancelación en formato PDF.
-	Nombre de la Institución: ‘Servicio de Administración Tributaria’ y el nombre del do-cumento ‘Acuse de Cancelación de CFDI de Retención’ al centro de la página.
-	Datos del Acuse de Cancelación de CFDI Retencion:
•	Fecha y hora de solicitud.
•	Fecha y hora de cancelación
•	RFC Emisor
•	Folio Fiscal
•	Estatus de Proceso de Cancelación.
•	Motivo de Cancelación.
•	CFDI Reemplaza.
•	Sello digital SAT.
Esta opción solo será visible en la columna “Estado del Comprobante, cuando exista una solicitud de la cancelación asociada al CFDI de Retenciones.
Se podrá realizar la descarga del acuse en formato PDF, recuperando el acuse con el estatus final.</v>
      </c>
    </row>
    <row r="80" spans="1:6" x14ac:dyDescent="0.35">
      <c r="A80">
        <f t="shared" si="0"/>
        <v>24</v>
      </c>
      <c r="B80">
        <f t="shared" si="1"/>
        <v>69</v>
      </c>
      <c r="C80" t="str">
        <f>IF('Casos de Prueba'!B81&lt;&gt;0,'Casos de Prueba'!B81&amp;"-"&amp;'Casos de Prueba'!C81:E81,"")</f>
        <v/>
      </c>
      <c r="D80">
        <f>IF(LEN($C80)&gt;0,"",'Casos de Prueba'!D81)</f>
        <v>7</v>
      </c>
      <c r="E80" t="str">
        <f>IF(LEN($C80)&gt;0,"",'Casos de Prueba'!E81)</f>
        <v>Da clic en Cerrar Sesión</v>
      </c>
      <c r="F80" t="str">
        <f>IF(LEN($C80)&gt;0,"",'Casos de Prueba'!F81&amp;CHAR(10)&amp;'Casos de Prueba'!G81)</f>
        <v xml:space="preserve">Cierra la aplicación y se direcciona a la pantalla de autenticación.
</v>
      </c>
    </row>
    <row r="81" spans="1:6" x14ac:dyDescent="0.35">
      <c r="A81">
        <f t="shared" si="0"/>
        <v>0</v>
      </c>
      <c r="B81">
        <f t="shared" si="1"/>
        <v>0</v>
      </c>
      <c r="C81" t="str">
        <f>IF('Casos de Prueba'!B82&lt;&gt;0,'Casos de Prueba'!B82&amp;"-"&amp;'Casos de Prueba'!C82:E82,"")</f>
        <v>CP10-Folio Fiscal/Descargar RI</v>
      </c>
      <c r="D81" t="str">
        <f>IF(LEN($C81)&gt;0,"",'Casos de Prueba'!D82)</f>
        <v/>
      </c>
      <c r="E81" t="str">
        <f>IF(LEN($C81)&gt;0,"",'Casos de Prueba'!E82)</f>
        <v/>
      </c>
      <c r="F81" t="str">
        <f>IF(LEN($C81)&gt;0,"",'Casos de Prueba'!F82&amp;CHAR(10)&amp;'Casos de Prueba'!G82)</f>
        <v/>
      </c>
    </row>
    <row r="82" spans="1:6" x14ac:dyDescent="0.35">
      <c r="A82">
        <f t="shared" si="0"/>
        <v>64</v>
      </c>
      <c r="B82">
        <f t="shared" si="1"/>
        <v>217</v>
      </c>
      <c r="C82" t="str">
        <f>IF('Casos de Prueba'!B83&lt;&gt;0,'Casos de Prueba'!B83&amp;"-"&amp;'Casos de Prueba'!C83:E83,"")</f>
        <v/>
      </c>
      <c r="D82">
        <f>IF(LEN($C82)&gt;0,"",'Casos de Prueba'!D83)</f>
        <v>1</v>
      </c>
      <c r="E82" t="str">
        <f>IF(LEN($C82)&gt;0,"",'Casos de Prueba'!E83)</f>
        <v>Usuario ingresa al Portal Empleados Consulta Central Retenciones</v>
      </c>
      <c r="F82" t="str">
        <f>IF(LEN($C82)&gt;0,"",'Casos de Prueba'!F83&amp;CHAR(10)&amp;'Casos de Prueba'!G83)</f>
        <v>El sistema despliega las siguientes opciones de búsqueda:
- Folio Fiscal
- Fecha Inicial y Final de Emisión
- Masiva UUID
El Usuario previamente se autenticó  y accedió al portal Empleados-Consulta Central Retenciones</v>
      </c>
    </row>
    <row r="83" spans="1:6" x14ac:dyDescent="0.35">
      <c r="A83">
        <f t="shared" si="0"/>
        <v>33</v>
      </c>
      <c r="B83">
        <f t="shared" si="1"/>
        <v>102</v>
      </c>
      <c r="C83" t="str">
        <f>IF('Casos de Prueba'!B84&lt;&gt;0,'Casos de Prueba'!B84&amp;"-"&amp;'Casos de Prueba'!C84:E84,"")</f>
        <v/>
      </c>
      <c r="D83">
        <f>IF(LEN($C83)&gt;0,"",'Casos de Prueba'!D84)</f>
        <v>2</v>
      </c>
      <c r="E83" t="str">
        <f>IF(LEN($C83)&gt;0,"",'Casos de Prueba'!E84)</f>
        <v>Selecciona la opción Folio Fiscal</v>
      </c>
      <c r="F83" t="str">
        <f>IF(LEN($C83)&gt;0,"",'Casos de Prueba'!F84&amp;CHAR(10)&amp;'Casos de Prueba'!G84)</f>
        <v xml:space="preserve">El sistema despliega cuadro de texto para incorporar el número de Folio Fiscal que se requiere buscar
</v>
      </c>
    </row>
    <row r="84" spans="1:6" x14ac:dyDescent="0.35">
      <c r="A84">
        <f t="shared" ref="A84:A147" si="2">LEN(E84)</f>
        <v>35</v>
      </c>
      <c r="B84">
        <f t="shared" ref="B84:B147" si="3">LEN(F84)</f>
        <v>69</v>
      </c>
      <c r="C84" t="str">
        <f>IF('Casos de Prueba'!B85&lt;&gt;0,'Casos de Prueba'!B85&amp;"-"&amp;'Casos de Prueba'!C85:E85,"")</f>
        <v/>
      </c>
      <c r="D84">
        <f>IF(LEN($C84)&gt;0,"",'Casos de Prueba'!D85)</f>
        <v>3</v>
      </c>
      <c r="E84" t="str">
        <f>IF(LEN($C84)&gt;0,"",'Casos de Prueba'!E85)</f>
        <v xml:space="preserve">Ingresa los datos del Folio Fiscal </v>
      </c>
      <c r="F84" t="str">
        <f>IF(LEN($C84)&gt;0,"",'Casos de Prueba'!F85&amp;CHAR(10)&amp;'Casos de Prueba'!G85)</f>
        <v xml:space="preserve">El sistema muestra los datos que se van ingresando del folio fiscal
</v>
      </c>
    </row>
    <row r="85" spans="1:6" x14ac:dyDescent="0.35">
      <c r="A85">
        <f t="shared" si="2"/>
        <v>32</v>
      </c>
      <c r="B85">
        <f t="shared" si="3"/>
        <v>1016</v>
      </c>
      <c r="C85" t="str">
        <f>IF('Casos de Prueba'!B86&lt;&gt;0,'Casos de Prueba'!B86&amp;"-"&amp;'Casos de Prueba'!C86:E86,"")</f>
        <v/>
      </c>
      <c r="D85">
        <f>IF(LEN($C85)&gt;0,"",'Casos de Prueba'!D86)</f>
        <v>4</v>
      </c>
      <c r="E85" t="str">
        <f>IF(LEN($C85)&gt;0,"",'Casos de Prueba'!E86)</f>
        <v xml:space="preserve">Da clic en el botón buscar CFDI </v>
      </c>
      <c r="F85" t="str">
        <f>IF(LEN($C85)&gt;0,"",'Casos de Prueba'!F86&amp;CHAR(10)&amp;'Casos de Prueba'!G86)</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Metadata.
2)	Exportar Resultados a PDF.
3)	Exportar Resultados a CSV.
Al seleccionar el botón de folio fiscal se deben deshabilitar los campos correspondientes a la consulta por periodo de fecha de emisión.
a)	En una consulta por Folio fiscal o cuando se realice la consulta por periodo de fecha y el resultado sea uno:
o	Descargar Metadata 
o	Exportar Resultados PDF
o	Exportar Resultados CSV</v>
      </c>
    </row>
    <row r="86" spans="1:6" x14ac:dyDescent="0.35">
      <c r="A86">
        <f t="shared" si="2"/>
        <v>58</v>
      </c>
      <c r="B86">
        <f t="shared" si="3"/>
        <v>108</v>
      </c>
      <c r="C86" t="str">
        <f>IF('Casos de Prueba'!B87&lt;&gt;0,'Casos de Prueba'!B87&amp;"-"&amp;'Casos de Prueba'!C87:E87,"")</f>
        <v/>
      </c>
      <c r="D86">
        <f>IF(LEN($C86)&gt;0,"",'Casos de Prueba'!D87)</f>
        <v>5</v>
      </c>
      <c r="E86" t="str">
        <f>IF(LEN($C86)&gt;0,"",'Casos de Prueba'!E87)</f>
        <v>Selecciona un folio fiscal (UUID) de la tabla “Resultados”</v>
      </c>
      <c r="F86" t="str">
        <f>IF(LEN($C86)&gt;0,"",'Casos de Prueba'!F87&amp;CHAR(10)&amp;'Casos de Prueba'!G87)</f>
        <v xml:space="preserve">En la columna de acciones se desplegaran los botones:
•Recuperar Representación Impresa  
•	Descargar XML
</v>
      </c>
    </row>
    <row r="87" spans="1:6" x14ac:dyDescent="0.35">
      <c r="A87">
        <f t="shared" si="2"/>
        <v>56</v>
      </c>
      <c r="B87">
        <f t="shared" si="3"/>
        <v>213</v>
      </c>
      <c r="C87" t="str">
        <f>IF('Casos de Prueba'!B88&lt;&gt;0,'Casos de Prueba'!B88&amp;"-"&amp;'Casos de Prueba'!C88:E88,"")</f>
        <v/>
      </c>
      <c r="D87">
        <f>IF(LEN($C87)&gt;0,"",'Casos de Prueba'!D88)</f>
        <v>6</v>
      </c>
      <c r="E87" t="str">
        <f>IF(LEN($C87)&gt;0,"",'Casos de Prueba'!E88)</f>
        <v>Da clic en el la opción Recuperar Representación Impresa</v>
      </c>
      <c r="F87" t="str">
        <f>IF(LEN($C87)&gt;0,"",'Casos de Prueba'!F88&amp;CHAR(10)&amp;'Casos de Prueba'!G88)</f>
        <v>El sistema muestra la representación impresa del comprobante
Esta descarga se realiza uno a uno, contemplando el límite diario establecido para los archivos PDF en su RI.
(Aplica las Reglas de Negocio 07, 08 y 14)</v>
      </c>
    </row>
    <row r="88" spans="1:6" x14ac:dyDescent="0.35">
      <c r="A88">
        <f t="shared" si="2"/>
        <v>24</v>
      </c>
      <c r="B88">
        <f t="shared" si="3"/>
        <v>69</v>
      </c>
      <c r="C88" t="str">
        <f>IF('Casos de Prueba'!B89&lt;&gt;0,'Casos de Prueba'!B89&amp;"-"&amp;'Casos de Prueba'!C89:E89,"")</f>
        <v/>
      </c>
      <c r="D88">
        <f>IF(LEN($C88)&gt;0,"",'Casos de Prueba'!D89)</f>
        <v>7</v>
      </c>
      <c r="E88" t="str">
        <f>IF(LEN($C88)&gt;0,"",'Casos de Prueba'!E89)</f>
        <v>Da clic en Cerrar Sesión</v>
      </c>
      <c r="F88" t="str">
        <f>IF(LEN($C88)&gt;0,"",'Casos de Prueba'!F89&amp;CHAR(10)&amp;'Casos de Prueba'!G89)</f>
        <v xml:space="preserve">Cierra la aplicación y se direcciona a la pantalla de autenticación.
</v>
      </c>
    </row>
    <row r="89" spans="1:6" x14ac:dyDescent="0.35">
      <c r="A89">
        <f t="shared" si="2"/>
        <v>0</v>
      </c>
      <c r="B89">
        <f t="shared" si="3"/>
        <v>0</v>
      </c>
      <c r="C89" t="str">
        <f>IF('Casos de Prueba'!B90&lt;&gt;0,'Casos de Prueba'!B90&amp;"-"&amp;'Casos de Prueba'!C90:E90,"")</f>
        <v>CP11-RFCEmisor/Descargar RI</v>
      </c>
      <c r="D89" t="str">
        <f>IF(LEN($C89)&gt;0,"",'Casos de Prueba'!D90)</f>
        <v/>
      </c>
      <c r="E89" t="str">
        <f>IF(LEN($C89)&gt;0,"",'Casos de Prueba'!E90)</f>
        <v/>
      </c>
      <c r="F89" t="str">
        <f>IF(LEN($C89)&gt;0,"",'Casos de Prueba'!F90&amp;CHAR(10)&amp;'Casos de Prueba'!G90)</f>
        <v/>
      </c>
    </row>
    <row r="90" spans="1:6" x14ac:dyDescent="0.35">
      <c r="A90">
        <f t="shared" si="2"/>
        <v>64</v>
      </c>
      <c r="B90">
        <f t="shared" si="3"/>
        <v>217</v>
      </c>
      <c r="C90" t="str">
        <f>IF('Casos de Prueba'!B91&lt;&gt;0,'Casos de Prueba'!B91&amp;"-"&amp;'Casos de Prueba'!C91:E91,"")</f>
        <v/>
      </c>
      <c r="D90">
        <f>IF(LEN($C90)&gt;0,"",'Casos de Prueba'!D91)</f>
        <v>1</v>
      </c>
      <c r="E90" t="str">
        <f>IF(LEN($C90)&gt;0,"",'Casos de Prueba'!E91)</f>
        <v>Usuario ingresa al Portal Empleados Consulta Central Retenciones</v>
      </c>
      <c r="F90" t="str">
        <f>IF(LEN($C90)&gt;0,"",'Casos de Prueba'!F91&amp;CHAR(10)&amp;'Casos de Prueba'!G91)</f>
        <v>El sistema despliega las siguientes opciones de búsqueda:
- Folio Fiscal
- Fecha Inicial y Final de Emisión
- Masiva UUID
El Usuario previamente se autenticó  y accedió al portal Empleados-Consulta Central Retenciones</v>
      </c>
    </row>
    <row r="91" spans="1:6" x14ac:dyDescent="0.35">
      <c r="A91">
        <f t="shared" si="2"/>
        <v>45</v>
      </c>
      <c r="B91">
        <f t="shared" si="3"/>
        <v>247</v>
      </c>
      <c r="C91" t="str">
        <f>IF('Casos de Prueba'!B92&lt;&gt;0,'Casos de Prueba'!B92&amp;"-"&amp;'Casos de Prueba'!C92:E92,"")</f>
        <v/>
      </c>
      <c r="D91">
        <f>IF(LEN($C91)&gt;0,"",'Casos de Prueba'!D92)</f>
        <v>2</v>
      </c>
      <c r="E91" t="str">
        <f>IF(LEN($C91)&gt;0,"",'Casos de Prueba'!E92)</f>
        <v>Selecciona la opción Fecha Inicial de Emisión</v>
      </c>
      <c r="F91" t="str">
        <f>IF(LEN($C91)&gt;0,"",'Casos de Prueba'!F92&amp;CHAR(10)&amp;'Casos de Prueba'!G92)</f>
        <v xml:space="preserve">El sistema habilita los siguientes campos:
•	Fecha Inicial de Emisión (*).
•	Fecha Final de Emisión (*). (RN04)
•	RFC Emisor. (RN02)
•	RFC Receptor. (RN02)
•	Estado del Comprobante.
•	Tipo de Comprobante (Complemento) (RN17).* Campos obligatorios
</v>
      </c>
    </row>
    <row r="92" spans="1:6" x14ac:dyDescent="0.35">
      <c r="A92">
        <f t="shared" si="2"/>
        <v>213</v>
      </c>
      <c r="B92">
        <f t="shared" si="3"/>
        <v>52</v>
      </c>
      <c r="C92" t="str">
        <f>IF('Casos de Prueba'!B93&lt;&gt;0,'Casos de Prueba'!B93&amp;"-"&amp;'Casos de Prueba'!C93:E93,"")</f>
        <v/>
      </c>
      <c r="D92">
        <f>IF(LEN($C92)&gt;0,"",'Casos de Prueba'!D93)</f>
        <v>3</v>
      </c>
      <c r="E92" t="str">
        <f>IF(LEN($C92)&gt;0,"",'Casos de Prueba'!E93)</f>
        <v xml:space="preserve">Ingresa los datos:
- *Fecha inicial de emisión
- *Fecha final de emisión
-  RFC Emisor
-  RFC Receptor
De manera opcional:
-  Estado del Comprobante
- Tipo de Comprobante(Complemento)(RN17)
* Campos obligatorios
</v>
      </c>
      <c r="F92" t="str">
        <f>IF(LEN($C92)&gt;0,"",'Casos de Prueba'!F93&amp;CHAR(10)&amp;'Casos de Prueba'!G93)</f>
        <v xml:space="preserve">El sistema muestra los datos que se van ingresando 
</v>
      </c>
    </row>
    <row r="93" spans="1:6" x14ac:dyDescent="0.35">
      <c r="A93">
        <f t="shared" si="2"/>
        <v>31</v>
      </c>
      <c r="B93">
        <f t="shared" si="3"/>
        <v>1332</v>
      </c>
      <c r="C93" t="str">
        <f>IF('Casos de Prueba'!B94&lt;&gt;0,'Casos de Prueba'!B94&amp;"-"&amp;'Casos de Prueba'!C94:E94,"")</f>
        <v/>
      </c>
      <c r="D93">
        <f>IF(LEN($C93)&gt;0,"",'Casos de Prueba'!D94)</f>
        <v>4</v>
      </c>
      <c r="E93" t="str">
        <f>IF(LEN($C93)&gt;0,"",'Casos de Prueba'!E94)</f>
        <v>Da clic en el botón buscar CFDI</v>
      </c>
      <c r="F93" t="str">
        <f>IF(LEN($C93)&gt;0,"",'Casos de Prueba'!F94&amp;CHAR(10)&amp;'Casos de Prueba'!G94)</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(Aplica la Regla de Negocio 05)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94" spans="1:6" x14ac:dyDescent="0.35">
      <c r="A94">
        <f t="shared" si="2"/>
        <v>58</v>
      </c>
      <c r="B94">
        <f t="shared" si="3"/>
        <v>108</v>
      </c>
      <c r="C94" t="str">
        <f>IF('Casos de Prueba'!B95&lt;&gt;0,'Casos de Prueba'!B95&amp;"-"&amp;'Casos de Prueba'!C95:E95,"")</f>
        <v/>
      </c>
      <c r="D94">
        <f>IF(LEN($C94)&gt;0,"",'Casos de Prueba'!D95)</f>
        <v>5</v>
      </c>
      <c r="E94" t="str">
        <f>IF(LEN($C94)&gt;0,"",'Casos de Prueba'!E95)</f>
        <v>Selecciona un folio fiscal (UUID) de la tabla “Resultados”</v>
      </c>
      <c r="F94" t="str">
        <f>IF(LEN($C94)&gt;0,"",'Casos de Prueba'!F95&amp;CHAR(10)&amp;'Casos de Prueba'!G95)</f>
        <v xml:space="preserve">En la columna de acciones se desplegaran los botones:
•Recuperar Representación Impresa  
•	Descargar XML
</v>
      </c>
    </row>
    <row r="95" spans="1:6" x14ac:dyDescent="0.35">
      <c r="A95">
        <f t="shared" si="2"/>
        <v>56</v>
      </c>
      <c r="B95">
        <f t="shared" si="3"/>
        <v>213</v>
      </c>
      <c r="C95" t="str">
        <f>IF('Casos de Prueba'!B96&lt;&gt;0,'Casos de Prueba'!B96&amp;"-"&amp;'Casos de Prueba'!C96:E96,"")</f>
        <v/>
      </c>
      <c r="D95">
        <f>IF(LEN($C95)&gt;0,"",'Casos de Prueba'!D96)</f>
        <v>6</v>
      </c>
      <c r="E95" t="str">
        <f>IF(LEN($C95)&gt;0,"",'Casos de Prueba'!E96)</f>
        <v>Da clic en el la opción Recuperar Representación Impresa</v>
      </c>
      <c r="F95" t="str">
        <f>IF(LEN($C95)&gt;0,"",'Casos de Prueba'!F96&amp;CHAR(10)&amp;'Casos de Prueba'!G96)</f>
        <v>El sistema muestra la representación impresa del comprobante
Esta descarga se realiza uno a uno, contemplando el límite diario establecido para los archivos PDF en su RI.
(Aplica las Reglas de Negocio 07, 08 y 14)</v>
      </c>
    </row>
    <row r="96" spans="1:6" x14ac:dyDescent="0.35">
      <c r="A96">
        <f t="shared" si="2"/>
        <v>24</v>
      </c>
      <c r="B96">
        <f t="shared" si="3"/>
        <v>69</v>
      </c>
      <c r="C96" t="str">
        <f>IF('Casos de Prueba'!B97&lt;&gt;0,'Casos de Prueba'!B97&amp;"-"&amp;'Casos de Prueba'!C97:E97,"")</f>
        <v/>
      </c>
      <c r="D96">
        <f>IF(LEN($C96)&gt;0,"",'Casos de Prueba'!D97)</f>
        <v>7</v>
      </c>
      <c r="E96" t="str">
        <f>IF(LEN($C96)&gt;0,"",'Casos de Prueba'!E97)</f>
        <v>Da clic en Cerrar Sesión</v>
      </c>
      <c r="F96" t="str">
        <f>IF(LEN($C96)&gt;0,"",'Casos de Prueba'!F97&amp;CHAR(10)&amp;'Casos de Prueba'!G97)</f>
        <v xml:space="preserve">Cierra la aplicación y se direcciona a la pantalla de autenticación.
</v>
      </c>
    </row>
    <row r="97" spans="1:6" x14ac:dyDescent="0.35">
      <c r="A97">
        <f t="shared" si="2"/>
        <v>0</v>
      </c>
      <c r="B97">
        <f t="shared" si="3"/>
        <v>0</v>
      </c>
      <c r="C97" t="str">
        <f>IF('Casos de Prueba'!B98&lt;&gt;0,'Casos de Prueba'!B98&amp;"-"&amp;'Casos de Prueba'!C98:E98,"")</f>
        <v>CP12-RFCReceptor/Ver detalleRI</v>
      </c>
      <c r="D97" t="str">
        <f>IF(LEN($C97)&gt;0,"",'Casos de Prueba'!D98)</f>
        <v/>
      </c>
      <c r="E97" t="str">
        <f>IF(LEN($C97)&gt;0,"",'Casos de Prueba'!E98)</f>
        <v/>
      </c>
      <c r="F97" t="str">
        <f>IF(LEN($C97)&gt;0,"",'Casos de Prueba'!F98&amp;CHAR(10)&amp;'Casos de Prueba'!G98)</f>
        <v/>
      </c>
    </row>
    <row r="98" spans="1:6" x14ac:dyDescent="0.35">
      <c r="A98">
        <f t="shared" si="2"/>
        <v>64</v>
      </c>
      <c r="B98">
        <f t="shared" si="3"/>
        <v>217</v>
      </c>
      <c r="C98" t="str">
        <f>IF('Casos de Prueba'!B99&lt;&gt;0,'Casos de Prueba'!B99&amp;"-"&amp;'Casos de Prueba'!C99:E99,"")</f>
        <v/>
      </c>
      <c r="D98">
        <f>IF(LEN($C98)&gt;0,"",'Casos de Prueba'!D99)</f>
        <v>1</v>
      </c>
      <c r="E98" t="str">
        <f>IF(LEN($C98)&gt;0,"",'Casos de Prueba'!E99)</f>
        <v>Usuario ingresa al Portal Empleados Consulta Central Retenciones</v>
      </c>
      <c r="F98" t="str">
        <f>IF(LEN($C98)&gt;0,"",'Casos de Prueba'!F99&amp;CHAR(10)&amp;'Casos de Prueba'!G99)</f>
        <v>El sistema despliega las siguientes opciones de búsqueda:
- Folio Fiscal
- Fecha Inicial y Final de Emisión
- Masiva UUID
El Usuario previamente se autenticó  y accedió al portal Empleados-Consulta Central Retenciones</v>
      </c>
    </row>
    <row r="99" spans="1:6" x14ac:dyDescent="0.35">
      <c r="A99">
        <f t="shared" si="2"/>
        <v>45</v>
      </c>
      <c r="B99">
        <f t="shared" si="3"/>
        <v>247</v>
      </c>
      <c r="C99" t="str">
        <f>IF('Casos de Prueba'!B100&lt;&gt;0,'Casos de Prueba'!B100&amp;"-"&amp;'Casos de Prueba'!C100:E100,"")</f>
        <v/>
      </c>
      <c r="D99">
        <f>IF(LEN($C99)&gt;0,"",'Casos de Prueba'!D100)</f>
        <v>2</v>
      </c>
      <c r="E99" t="str">
        <f>IF(LEN($C99)&gt;0,"",'Casos de Prueba'!E100)</f>
        <v>Selecciona la opción Fecha Inicial de Emisión</v>
      </c>
      <c r="F99" t="str">
        <f>IF(LEN($C99)&gt;0,"",'Casos de Prueba'!F100&amp;CHAR(10)&amp;'Casos de Prueba'!G100)</f>
        <v xml:space="preserve">El sistema habilita los siguientes campos:
•	Fecha Inicial de Emisión (*).
•	Fecha Final de Emisión (*). (RN04)
•	RFC Emisor. (RN02)
•	RFC Receptor. (RN02)
•	Estado del Comprobante.
•	Tipo de Comprobante (Complemento) (RN17).* Campos obligatorios
</v>
      </c>
    </row>
    <row r="100" spans="1:6" x14ac:dyDescent="0.35">
      <c r="A100">
        <f t="shared" si="2"/>
        <v>213</v>
      </c>
      <c r="B100">
        <f t="shared" si="3"/>
        <v>52</v>
      </c>
      <c r="C100" t="str">
        <f>IF('Casos de Prueba'!B101&lt;&gt;0,'Casos de Prueba'!B101&amp;"-"&amp;'Casos de Prueba'!C101:E101,"")</f>
        <v/>
      </c>
      <c r="D100">
        <f>IF(LEN($C100)&gt;0,"",'Casos de Prueba'!D101)</f>
        <v>3</v>
      </c>
      <c r="E100" t="str">
        <f>IF(LEN($C100)&gt;0,"",'Casos de Prueba'!E101)</f>
        <v xml:space="preserve">Ingresa los datos:
- *Fecha inicial de emisión
- *Fecha final de emisión
-  RFC Emisor
-  RFC Receptor
De manera opcional:
-  Estado del Comprobante
- Tipo de Comprobante(Complemento)(RN17)
* Campos obligatorios
</v>
      </c>
      <c r="F100" t="str">
        <f>IF(LEN($C100)&gt;0,"",'Casos de Prueba'!F101&amp;CHAR(10)&amp;'Casos de Prueba'!G101)</f>
        <v xml:space="preserve">El sistema muestra los datos que se van ingresando 
</v>
      </c>
    </row>
    <row r="101" spans="1:6" x14ac:dyDescent="0.35">
      <c r="A101">
        <f t="shared" si="2"/>
        <v>31</v>
      </c>
      <c r="B101">
        <f t="shared" si="3"/>
        <v>1332</v>
      </c>
      <c r="C101" t="str">
        <f>IF('Casos de Prueba'!B102&lt;&gt;0,'Casos de Prueba'!B102&amp;"-"&amp;'Casos de Prueba'!C102:E102,"")</f>
        <v/>
      </c>
      <c r="D101">
        <f>IF(LEN($C101)&gt;0,"",'Casos de Prueba'!D102)</f>
        <v>4</v>
      </c>
      <c r="E101" t="str">
        <f>IF(LEN($C101)&gt;0,"",'Casos de Prueba'!E102)</f>
        <v>Da clic en el botón buscar CFDI</v>
      </c>
      <c r="F101" t="str">
        <f>IF(LEN($C101)&gt;0,"",'Casos de Prueba'!F102&amp;CHAR(10)&amp;'Casos de Prueba'!G102)</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(Aplica la Regla de Negocio 05)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102" spans="1:6" x14ac:dyDescent="0.35">
      <c r="A102">
        <f t="shared" si="2"/>
        <v>58</v>
      </c>
      <c r="B102">
        <f t="shared" si="3"/>
        <v>108</v>
      </c>
      <c r="C102" t="str">
        <f>IF('Casos de Prueba'!B103&lt;&gt;0,'Casos de Prueba'!B103&amp;"-"&amp;'Casos de Prueba'!C103:E103,"")</f>
        <v/>
      </c>
      <c r="D102">
        <f>IF(LEN($C102)&gt;0,"",'Casos de Prueba'!D103)</f>
        <v>5</v>
      </c>
      <c r="E102" t="str">
        <f>IF(LEN($C102)&gt;0,"",'Casos de Prueba'!E103)</f>
        <v>Selecciona un folio fiscal (UUID) de la tabla “Resultados”</v>
      </c>
      <c r="F102" t="str">
        <f>IF(LEN($C102)&gt;0,"",'Casos de Prueba'!F103&amp;CHAR(10)&amp;'Casos de Prueba'!G103)</f>
        <v xml:space="preserve">En la columna de acciones se desplegaran los botones:
•Recuperar Representación Impresa  
•	Descargar XML
</v>
      </c>
    </row>
    <row r="103" spans="1:6" x14ac:dyDescent="0.35">
      <c r="A103">
        <f t="shared" si="2"/>
        <v>56</v>
      </c>
      <c r="B103">
        <f t="shared" si="3"/>
        <v>213</v>
      </c>
      <c r="C103" t="str">
        <f>IF('Casos de Prueba'!B104&lt;&gt;0,'Casos de Prueba'!B104&amp;"-"&amp;'Casos de Prueba'!C104:E104,"")</f>
        <v/>
      </c>
      <c r="D103">
        <f>IF(LEN($C103)&gt;0,"",'Casos de Prueba'!D104)</f>
        <v>6</v>
      </c>
      <c r="E103" t="str">
        <f>IF(LEN($C103)&gt;0,"",'Casos de Prueba'!E104)</f>
        <v>Da clic en el la opción Recuperar Representación Impresa</v>
      </c>
      <c r="F103" t="str">
        <f>IF(LEN($C103)&gt;0,"",'Casos de Prueba'!F104&amp;CHAR(10)&amp;'Casos de Prueba'!G104)</f>
        <v>El sistema muestra la representación impresa del comprobante
Esta descarga se realiza uno a uno, contemplando el límite diario establecido para los archivos PDF en su RI.
(Aplica las Reglas de Negocio 07, 08 y 14)</v>
      </c>
    </row>
    <row r="104" spans="1:6" x14ac:dyDescent="0.35">
      <c r="A104">
        <f t="shared" si="2"/>
        <v>24</v>
      </c>
      <c r="B104">
        <f t="shared" si="3"/>
        <v>69</v>
      </c>
      <c r="C104" t="str">
        <f>IF('Casos de Prueba'!B105&lt;&gt;0,'Casos de Prueba'!B105&amp;"-"&amp;'Casos de Prueba'!C105:E105,"")</f>
        <v/>
      </c>
      <c r="D104">
        <f>IF(LEN($C104)&gt;0,"",'Casos de Prueba'!D105)</f>
        <v>7</v>
      </c>
      <c r="E104" t="str">
        <f>IF(LEN($C104)&gt;0,"",'Casos de Prueba'!E105)</f>
        <v>Da clic en Cerrar Sesión</v>
      </c>
      <c r="F104" t="str">
        <f>IF(LEN($C104)&gt;0,"",'Casos de Prueba'!F105&amp;CHAR(10)&amp;'Casos de Prueba'!G105)</f>
        <v xml:space="preserve">Cierra la aplicación y se direcciona a la pantalla de autenticación.
</v>
      </c>
    </row>
    <row r="105" spans="1:6" x14ac:dyDescent="0.35">
      <c r="A105">
        <f t="shared" si="2"/>
        <v>0</v>
      </c>
      <c r="B105">
        <f t="shared" si="3"/>
        <v>0</v>
      </c>
      <c r="C105" t="str">
        <f>IF('Casos de Prueba'!B106&lt;&gt;0,'Casos de Prueba'!B106&amp;"-"&amp;'Casos de Prueba'!C106:E106,"")</f>
        <v>CP13-Masiva UUID/Ver detalle RI</v>
      </c>
      <c r="D105" t="str">
        <f>IF(LEN($C105)&gt;0,"",'Casos de Prueba'!D106)</f>
        <v/>
      </c>
      <c r="E105" t="str">
        <f>IF(LEN($C105)&gt;0,"",'Casos de Prueba'!E106)</f>
        <v/>
      </c>
      <c r="F105" t="str">
        <f>IF(LEN($C105)&gt;0,"",'Casos de Prueba'!F106&amp;CHAR(10)&amp;'Casos de Prueba'!G106)</f>
        <v/>
      </c>
    </row>
    <row r="106" spans="1:6" x14ac:dyDescent="0.35">
      <c r="A106">
        <f t="shared" si="2"/>
        <v>64</v>
      </c>
      <c r="B106">
        <f t="shared" si="3"/>
        <v>217</v>
      </c>
      <c r="C106" t="str">
        <f>IF('Casos de Prueba'!B107&lt;&gt;0,'Casos de Prueba'!B107&amp;"-"&amp;'Casos de Prueba'!C107:E107,"")</f>
        <v/>
      </c>
      <c r="D106">
        <f>IF(LEN($C106)&gt;0,"",'Casos de Prueba'!D107)</f>
        <v>1</v>
      </c>
      <c r="E106" t="str">
        <f>IF(LEN($C106)&gt;0,"",'Casos de Prueba'!E107)</f>
        <v>Usuario ingresa al Portal Empleados Consulta Central Retenciones</v>
      </c>
      <c r="F106" t="str">
        <f>IF(LEN($C106)&gt;0,"",'Casos de Prueba'!F107&amp;CHAR(10)&amp;'Casos de Prueba'!G107)</f>
        <v>El sistema despliega las siguientes opciones de búsqueda:
- Folio Fiscal
- Fecha Inicial y Final de Emisión
- Masiva UUID
El Usuario previamente se autenticó  y accedió al portal Empleados-Consulta Central Retenciones</v>
      </c>
    </row>
    <row r="107" spans="1:6" x14ac:dyDescent="0.35">
      <c r="A107">
        <f t="shared" si="2"/>
        <v>32</v>
      </c>
      <c r="B107">
        <f t="shared" si="3"/>
        <v>118</v>
      </c>
      <c r="C107" t="str">
        <f>IF('Casos de Prueba'!B108&lt;&gt;0,'Casos de Prueba'!B108&amp;"-"&amp;'Casos de Prueba'!C108:E108,"")</f>
        <v/>
      </c>
      <c r="D107">
        <f>IF(LEN($C107)&gt;0,"",'Casos de Prueba'!D108)</f>
        <v>2</v>
      </c>
      <c r="E107" t="str">
        <f>IF(LEN($C107)&gt;0,"",'Casos de Prueba'!E108)</f>
        <v>Selecciona la opción Masiva UUID</v>
      </c>
      <c r="F107" t="str">
        <f>IF(LEN($C107)&gt;0,"",'Casos de Prueba'!F108&amp;CHAR(10)&amp;'Casos de Prueba'!G108)</f>
        <v xml:space="preserve">El sistema despliega las siguientes opciones de búsqueda:
- Boton Seleccionar* 
- Archivos Solicitados
- Botón Enviar
</v>
      </c>
    </row>
    <row r="108" spans="1:6" x14ac:dyDescent="0.35">
      <c r="A108">
        <f t="shared" si="2"/>
        <v>61</v>
      </c>
      <c r="B108">
        <f t="shared" si="3"/>
        <v>135</v>
      </c>
      <c r="C108" t="str">
        <f>IF('Casos de Prueba'!B109&lt;&gt;0,'Casos de Prueba'!B109&amp;"-"&amp;'Casos de Prueba'!C109:E109,"")</f>
        <v/>
      </c>
      <c r="D108">
        <f>IF(LEN($C108)&gt;0,"",'Casos de Prueba'!D109)</f>
        <v>3</v>
      </c>
      <c r="E108" t="str">
        <f>IF(LEN($C108)&gt;0,"",'Casos de Prueba'!E109)</f>
        <v>Selecciona el archivo(txt) mediante el explorador de Windows.</v>
      </c>
      <c r="F108" t="str">
        <f>IF(LEN($C108)&gt;0,"",'Casos de Prueba'!F109&amp;CHAR(10)&amp;'Casos de Prueba'!G109)</f>
        <v xml:space="preserve">
El  aplicativo ejecuta la consulta y arroja el resultado conforme a los UUID definidos en el archivo.  
Archivo TXT con distintos UUID</v>
      </c>
    </row>
    <row r="109" spans="1:6" x14ac:dyDescent="0.35">
      <c r="A109">
        <f t="shared" si="2"/>
        <v>31</v>
      </c>
      <c r="B109">
        <f t="shared" si="3"/>
        <v>1214</v>
      </c>
      <c r="C109" t="str">
        <f>IF('Casos de Prueba'!B110&lt;&gt;0,'Casos de Prueba'!B110&amp;"-"&amp;'Casos de Prueba'!C110:E110,"")</f>
        <v/>
      </c>
      <c r="D109">
        <f>IF(LEN($C109)&gt;0,"",'Casos de Prueba'!D110)</f>
        <v>4</v>
      </c>
      <c r="E109" t="str">
        <f>IF(LEN($C109)&gt;0,"",'Casos de Prueba'!E110)</f>
        <v>Da clic en el botón buscar CFDI</v>
      </c>
      <c r="F109" t="str">
        <f>IF(LEN($C109)&gt;0,"",'Casos de Prueba'!F110&amp;CHAR(10)&amp;'Casos de Prueba'!G110)</f>
        <v>En caso de no encontrar información ir al CP "Sin Resultados"
En caso contrario el sistema muestra:
Tabla con el encabezado y los datos siguientes:
+ Acciones   
• Descargar.(XML)
• Recuperar Representacion Impresa.(RI)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 Botones: 
1)	Descargar seleccionados XML
2)	Exportar resultados a PDF
3)	Exportar resultados a CSV
El aplicativo realiza la consulta masiva de esos UUID y se muestra el detalle de los CFDI de Retenciones con las funcionalidades que actualmente existen
• El servicio solo permite la consulta a través de archivos de texto plano (.txt).
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v>
      </c>
    </row>
    <row r="110" spans="1:6" x14ac:dyDescent="0.35">
      <c r="A110">
        <f t="shared" si="2"/>
        <v>58</v>
      </c>
      <c r="B110">
        <f t="shared" si="3"/>
        <v>108</v>
      </c>
      <c r="C110" t="str">
        <f>IF('Casos de Prueba'!B111&lt;&gt;0,'Casos de Prueba'!B111&amp;"-"&amp;'Casos de Prueba'!C111:E111,"")</f>
        <v/>
      </c>
      <c r="D110">
        <f>IF(LEN($C110)&gt;0,"",'Casos de Prueba'!D111)</f>
        <v>5</v>
      </c>
      <c r="E110" t="str">
        <f>IF(LEN($C110)&gt;0,"",'Casos de Prueba'!E111)</f>
        <v>Selecciona un folio fiscal (UUID) de la tabla “Resultados”</v>
      </c>
      <c r="F110" t="str">
        <f>IF(LEN($C110)&gt;0,"",'Casos de Prueba'!F111&amp;CHAR(10)&amp;'Casos de Prueba'!G111)</f>
        <v xml:space="preserve">En la columna de acciones se desplegaran los botones:
•Recuperar Representación Impresa  
•	Descargar XML
</v>
      </c>
    </row>
    <row r="111" spans="1:6" x14ac:dyDescent="0.35">
      <c r="A111">
        <f t="shared" si="2"/>
        <v>56</v>
      </c>
      <c r="B111">
        <f t="shared" si="3"/>
        <v>213</v>
      </c>
      <c r="C111" t="str">
        <f>IF('Casos de Prueba'!B112&lt;&gt;0,'Casos de Prueba'!B112&amp;"-"&amp;'Casos de Prueba'!C112:E112,"")</f>
        <v/>
      </c>
      <c r="D111">
        <f>IF(LEN($C111)&gt;0,"",'Casos de Prueba'!D112)</f>
        <v>6</v>
      </c>
      <c r="E111" t="str">
        <f>IF(LEN($C111)&gt;0,"",'Casos de Prueba'!E112)</f>
        <v>Da clic en el la opción Recuperar Representación Impresa</v>
      </c>
      <c r="F111" t="str">
        <f>IF(LEN($C111)&gt;0,"",'Casos de Prueba'!F112&amp;CHAR(10)&amp;'Casos de Prueba'!G112)</f>
        <v>El sistema muestra la representación impresa del comprobante
Esta descarga se realiza uno a uno, contemplando el límite diario establecido para los archivos PDF en su RI.
(Aplica las Reglas de Negocio 07, 08 y 14)</v>
      </c>
    </row>
    <row r="112" spans="1:6" x14ac:dyDescent="0.35">
      <c r="A112">
        <f t="shared" si="2"/>
        <v>24</v>
      </c>
      <c r="B112">
        <f t="shared" si="3"/>
        <v>69</v>
      </c>
      <c r="C112" t="str">
        <f>IF('Casos de Prueba'!B113&lt;&gt;0,'Casos de Prueba'!B113&amp;"-"&amp;'Casos de Prueba'!C113:E113,"")</f>
        <v/>
      </c>
      <c r="D112">
        <f>IF(LEN($C112)&gt;0,"",'Casos de Prueba'!D113)</f>
        <v>7</v>
      </c>
      <c r="E112" t="str">
        <f>IF(LEN($C112)&gt;0,"",'Casos de Prueba'!E113)</f>
        <v>Da clic en Cerrar Sesión</v>
      </c>
      <c r="F112" t="str">
        <f>IF(LEN($C112)&gt;0,"",'Casos de Prueba'!F113&amp;CHAR(10)&amp;'Casos de Prueba'!G113)</f>
        <v xml:space="preserve">Cierra la aplicación y se direcciona a la pantalla de autenticación.
</v>
      </c>
    </row>
    <row r="113" spans="1:6" x14ac:dyDescent="0.35">
      <c r="A113">
        <f t="shared" si="2"/>
        <v>0</v>
      </c>
      <c r="B113">
        <f t="shared" si="3"/>
        <v>0</v>
      </c>
      <c r="C113" t="str">
        <f>IF('Casos de Prueba'!B114&lt;&gt;0,'Casos de Prueba'!B114&amp;"-"&amp;'Casos de Prueba'!C114:E114,"")</f>
        <v>CP14-Folio Fiscal/Descargar XML</v>
      </c>
      <c r="D113" t="str">
        <f>IF(LEN($C113)&gt;0,"",'Casos de Prueba'!D114)</f>
        <v/>
      </c>
      <c r="E113" t="str">
        <f>IF(LEN($C113)&gt;0,"",'Casos de Prueba'!E114)</f>
        <v/>
      </c>
      <c r="F113" t="str">
        <f>IF(LEN($C113)&gt;0,"",'Casos de Prueba'!F114&amp;CHAR(10)&amp;'Casos de Prueba'!G114)</f>
        <v/>
      </c>
    </row>
    <row r="114" spans="1:6" x14ac:dyDescent="0.35">
      <c r="A114">
        <f t="shared" si="2"/>
        <v>64</v>
      </c>
      <c r="B114">
        <f t="shared" si="3"/>
        <v>217</v>
      </c>
      <c r="C114" t="str">
        <f>IF('Casos de Prueba'!B115&lt;&gt;0,'Casos de Prueba'!B115&amp;"-"&amp;'Casos de Prueba'!C115:E115,"")</f>
        <v/>
      </c>
      <c r="D114">
        <f>IF(LEN($C114)&gt;0,"",'Casos de Prueba'!D115)</f>
        <v>1</v>
      </c>
      <c r="E114" t="str">
        <f>IF(LEN($C114)&gt;0,"",'Casos de Prueba'!E115)</f>
        <v>Usuario ingresa al Portal Empleados Consulta Central Retenciones</v>
      </c>
      <c r="F114" t="str">
        <f>IF(LEN($C114)&gt;0,"",'Casos de Prueba'!F115&amp;CHAR(10)&amp;'Casos de Prueba'!G115)</f>
        <v>El sistema despliega las siguientes opciones de búsqueda:
- Folio Fiscal
- Fecha Inicial y Final de Emisión
- Masiva UUID
El Usuario previamente se autenticó  y accedió al portal Empleados-Consulta Central Retenciones</v>
      </c>
    </row>
    <row r="115" spans="1:6" x14ac:dyDescent="0.35">
      <c r="A115">
        <f t="shared" si="2"/>
        <v>33</v>
      </c>
      <c r="B115">
        <f t="shared" si="3"/>
        <v>102</v>
      </c>
      <c r="C115" t="str">
        <f>IF('Casos de Prueba'!B116&lt;&gt;0,'Casos de Prueba'!B116&amp;"-"&amp;'Casos de Prueba'!C116:E116,"")</f>
        <v/>
      </c>
      <c r="D115">
        <f>IF(LEN($C115)&gt;0,"",'Casos de Prueba'!D116)</f>
        <v>2</v>
      </c>
      <c r="E115" t="str">
        <f>IF(LEN($C115)&gt;0,"",'Casos de Prueba'!E116)</f>
        <v>Selecciona la opción Folio Fiscal</v>
      </c>
      <c r="F115" t="str">
        <f>IF(LEN($C115)&gt;0,"",'Casos de Prueba'!F116&amp;CHAR(10)&amp;'Casos de Prueba'!G116)</f>
        <v xml:space="preserve">El sistema despliega cuadro de texto para incorporar el número de Folio Fiscal que se requiere buscar
</v>
      </c>
    </row>
    <row r="116" spans="1:6" x14ac:dyDescent="0.35">
      <c r="A116">
        <f t="shared" si="2"/>
        <v>35</v>
      </c>
      <c r="B116">
        <f t="shared" si="3"/>
        <v>69</v>
      </c>
      <c r="C116" t="str">
        <f>IF('Casos de Prueba'!B117&lt;&gt;0,'Casos de Prueba'!B117&amp;"-"&amp;'Casos de Prueba'!C117:E117,"")</f>
        <v/>
      </c>
      <c r="D116">
        <f>IF(LEN($C116)&gt;0,"",'Casos de Prueba'!D117)</f>
        <v>3</v>
      </c>
      <c r="E116" t="str">
        <f>IF(LEN($C116)&gt;0,"",'Casos de Prueba'!E117)</f>
        <v xml:space="preserve">Ingresa los datos del Folio Fiscal </v>
      </c>
      <c r="F116" t="str">
        <f>IF(LEN($C116)&gt;0,"",'Casos de Prueba'!F117&amp;CHAR(10)&amp;'Casos de Prueba'!G117)</f>
        <v xml:space="preserve">El sistema muestra los datos que se van ingresando del folio fiscal
</v>
      </c>
    </row>
    <row r="117" spans="1:6" x14ac:dyDescent="0.35">
      <c r="A117">
        <f t="shared" si="2"/>
        <v>32</v>
      </c>
      <c r="B117">
        <f t="shared" si="3"/>
        <v>1016</v>
      </c>
      <c r="C117" t="str">
        <f>IF('Casos de Prueba'!B118&lt;&gt;0,'Casos de Prueba'!B118&amp;"-"&amp;'Casos de Prueba'!C118:E118,"")</f>
        <v/>
      </c>
      <c r="D117">
        <f>IF(LEN($C117)&gt;0,"",'Casos de Prueba'!D118)</f>
        <v>4</v>
      </c>
      <c r="E117" t="str">
        <f>IF(LEN($C117)&gt;0,"",'Casos de Prueba'!E118)</f>
        <v xml:space="preserve">Da clic en el botón buscar CFDI </v>
      </c>
      <c r="F117" t="str">
        <f>IF(LEN($C117)&gt;0,"",'Casos de Prueba'!F118&amp;CHAR(10)&amp;'Casos de Prueba'!G118)</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Metadata.
2)	Exportar Resultados a PDF.
3)	Exportar Resultados a CSV.
Al seleccionar el botón de folio fiscal se deben deshabilitar los campos correspondientes a la consulta por periodo de fecha de emisión.
a)	En una consulta por Folio fiscal o cuando se realice la consulta por periodo de fecha y el resultado sea uno:
o	Descargar Metadata 
o	Exportar Resultados PDF
o	Exportar Resultados CSV</v>
      </c>
    </row>
    <row r="118" spans="1:6" x14ac:dyDescent="0.35">
      <c r="A118">
        <f t="shared" si="2"/>
        <v>58</v>
      </c>
      <c r="B118">
        <f t="shared" si="3"/>
        <v>108</v>
      </c>
      <c r="C118" t="str">
        <f>IF('Casos de Prueba'!B119&lt;&gt;0,'Casos de Prueba'!B119&amp;"-"&amp;'Casos de Prueba'!C119:E119,"")</f>
        <v/>
      </c>
      <c r="D118">
        <f>IF(LEN($C118)&gt;0,"",'Casos de Prueba'!D119)</f>
        <v>5</v>
      </c>
      <c r="E118" t="str">
        <f>IF(LEN($C118)&gt;0,"",'Casos de Prueba'!E119)</f>
        <v>Selecciona un folio fiscal (UUID) de la tabla “Resultados”</v>
      </c>
      <c r="F118" t="str">
        <f>IF(LEN($C118)&gt;0,"",'Casos de Prueba'!F119&amp;CHAR(10)&amp;'Casos de Prueba'!G119)</f>
        <v xml:space="preserve">En la columna de acciones se desplegaran los botones:
•Recuperar Representación Impresa  
•	Descargar XML
</v>
      </c>
    </row>
    <row r="119" spans="1:6" x14ac:dyDescent="0.35">
      <c r="A119">
        <f t="shared" si="2"/>
        <v>34</v>
      </c>
      <c r="B119">
        <f t="shared" si="3"/>
        <v>223</v>
      </c>
      <c r="C119" t="str">
        <f>IF('Casos de Prueba'!B120&lt;&gt;0,'Casos de Prueba'!B120&amp;"-"&amp;'Casos de Prueba'!C120:E120,"")</f>
        <v/>
      </c>
      <c r="D119">
        <f>IF(LEN($C119)&gt;0,"",'Casos de Prueba'!D120)</f>
        <v>6</v>
      </c>
      <c r="E119" t="str">
        <f>IF(LEN($C119)&gt;0,"",'Casos de Prueba'!E120)</f>
        <v>Da clic en la opción Descargar XML</v>
      </c>
      <c r="F119" t="str">
        <f>IF(LEN($C119)&gt;0,"",'Casos de Prueba'!F120&amp;CHAR(10)&amp;'Casos de Prueba'!G120)</f>
        <v>El sistema abre una ventana emergente que permitirá descargar el contenido del XML.
Esta descarga se realiza uno a uno, contemplando el límite diario establecido para los archivos XML.
(Aplica las Reglas de Negocio 09 y 14)</v>
      </c>
    </row>
    <row r="120" spans="1:6" x14ac:dyDescent="0.35">
      <c r="A120">
        <f t="shared" si="2"/>
        <v>24</v>
      </c>
      <c r="B120">
        <f t="shared" si="3"/>
        <v>69</v>
      </c>
      <c r="C120" t="str">
        <f>IF('Casos de Prueba'!B121&lt;&gt;0,'Casos de Prueba'!B121&amp;"-"&amp;'Casos de Prueba'!C121:E121,"")</f>
        <v/>
      </c>
      <c r="D120">
        <f>IF(LEN($C120)&gt;0,"",'Casos de Prueba'!D121)</f>
        <v>7</v>
      </c>
      <c r="E120" t="str">
        <f>IF(LEN($C120)&gt;0,"",'Casos de Prueba'!E121)</f>
        <v>Da clic en Cerrar Sesión</v>
      </c>
      <c r="F120" t="str">
        <f>IF(LEN($C120)&gt;0,"",'Casos de Prueba'!F121&amp;CHAR(10)&amp;'Casos de Prueba'!G121)</f>
        <v xml:space="preserve">Cierra la aplicación y se direcciona a la pantalla de autenticación.
</v>
      </c>
    </row>
    <row r="121" spans="1:6" x14ac:dyDescent="0.35">
      <c r="A121">
        <f t="shared" si="2"/>
        <v>0</v>
      </c>
      <c r="B121">
        <f t="shared" si="3"/>
        <v>0</v>
      </c>
      <c r="C121" t="str">
        <f>IF('Casos de Prueba'!B122&lt;&gt;0,'Casos de Prueba'!B122&amp;"-"&amp;'Casos de Prueba'!C122:E122,"")</f>
        <v>CP15-RFCEmisor/Descargar XML</v>
      </c>
      <c r="D121" t="str">
        <f>IF(LEN($C121)&gt;0,"",'Casos de Prueba'!D122)</f>
        <v/>
      </c>
      <c r="E121" t="str">
        <f>IF(LEN($C121)&gt;0,"",'Casos de Prueba'!E122)</f>
        <v/>
      </c>
      <c r="F121" t="str">
        <f>IF(LEN($C121)&gt;0,"",'Casos de Prueba'!F122&amp;CHAR(10)&amp;'Casos de Prueba'!G122)</f>
        <v/>
      </c>
    </row>
    <row r="122" spans="1:6" x14ac:dyDescent="0.35">
      <c r="A122">
        <f t="shared" si="2"/>
        <v>64</v>
      </c>
      <c r="B122">
        <f t="shared" si="3"/>
        <v>217</v>
      </c>
      <c r="C122" t="str">
        <f>IF('Casos de Prueba'!B123&lt;&gt;0,'Casos de Prueba'!B123&amp;"-"&amp;'Casos de Prueba'!C123:E123,"")</f>
        <v/>
      </c>
      <c r="D122">
        <f>IF(LEN($C122)&gt;0,"",'Casos de Prueba'!D123)</f>
        <v>1</v>
      </c>
      <c r="E122" t="str">
        <f>IF(LEN($C122)&gt;0,"",'Casos de Prueba'!E123)</f>
        <v>Usuario ingresa al Portal Empleados Consulta Central Retenciones</v>
      </c>
      <c r="F122" t="str">
        <f>IF(LEN($C122)&gt;0,"",'Casos de Prueba'!F123&amp;CHAR(10)&amp;'Casos de Prueba'!G123)</f>
        <v>El sistema despliega las siguientes opciones de búsqueda:
- Folio Fiscal
- Fecha Inicial y Final de Emisión
- Masiva UUID
El Usuario previamente se autenticó  y accedió al portal Empleados-Consulta Central Retenciones</v>
      </c>
    </row>
    <row r="123" spans="1:6" x14ac:dyDescent="0.35">
      <c r="A123">
        <f t="shared" si="2"/>
        <v>45</v>
      </c>
      <c r="B123">
        <f t="shared" si="3"/>
        <v>247</v>
      </c>
      <c r="C123" t="str">
        <f>IF('Casos de Prueba'!B124&lt;&gt;0,'Casos de Prueba'!B124&amp;"-"&amp;'Casos de Prueba'!C124:E124,"")</f>
        <v/>
      </c>
      <c r="D123">
        <f>IF(LEN($C123)&gt;0,"",'Casos de Prueba'!D124)</f>
        <v>2</v>
      </c>
      <c r="E123" t="str">
        <f>IF(LEN($C123)&gt;0,"",'Casos de Prueba'!E124)</f>
        <v>Selecciona la opción Fecha Inicial de Emisión</v>
      </c>
      <c r="F123" t="str">
        <f>IF(LEN($C123)&gt;0,"",'Casos de Prueba'!F124&amp;CHAR(10)&amp;'Casos de Prueba'!G124)</f>
        <v xml:space="preserve">El sistema habilita los siguientes campos:
•	Fecha Inicial de Emisión (*).
•	Fecha Final de Emisión (*). (RN04)
•	RFC Emisor. (RN02)
•	RFC Receptor. (RN02)
•	Estado del Comprobante.
•	Tipo de Comprobante (Complemento) (RN17).* Campos obligatorios
</v>
      </c>
    </row>
    <row r="124" spans="1:6" x14ac:dyDescent="0.35">
      <c r="A124">
        <f t="shared" si="2"/>
        <v>213</v>
      </c>
      <c r="B124">
        <f t="shared" si="3"/>
        <v>52</v>
      </c>
      <c r="C124" t="str">
        <f>IF('Casos de Prueba'!B125&lt;&gt;0,'Casos de Prueba'!B125&amp;"-"&amp;'Casos de Prueba'!C125:E125,"")</f>
        <v/>
      </c>
      <c r="D124">
        <f>IF(LEN($C124)&gt;0,"",'Casos de Prueba'!D125)</f>
        <v>3</v>
      </c>
      <c r="E124" t="str">
        <f>IF(LEN($C124)&gt;0,"",'Casos de Prueba'!E125)</f>
        <v xml:space="preserve">Ingresa los datos:
- *Fecha inicial de emisión
- *Fecha final de emisión
-  RFC Emisor
-  RFC Receptor
De manera opcional:
-  Estado del Comprobante
- Tipo de Comprobante(Complemento)(RN17)
* Campos obligatorios
</v>
      </c>
      <c r="F124" t="str">
        <f>IF(LEN($C124)&gt;0,"",'Casos de Prueba'!F125&amp;CHAR(10)&amp;'Casos de Prueba'!G125)</f>
        <v xml:space="preserve">El sistema muestra los datos que se van ingresando 
</v>
      </c>
    </row>
    <row r="125" spans="1:6" x14ac:dyDescent="0.35">
      <c r="A125">
        <f t="shared" si="2"/>
        <v>31</v>
      </c>
      <c r="B125">
        <f t="shared" si="3"/>
        <v>1299</v>
      </c>
      <c r="C125" t="str">
        <f>IF('Casos de Prueba'!B126&lt;&gt;0,'Casos de Prueba'!B126&amp;"-"&amp;'Casos de Prueba'!C126:E126,"")</f>
        <v/>
      </c>
      <c r="D125">
        <f>IF(LEN($C125)&gt;0,"",'Casos de Prueba'!D126)</f>
        <v>4</v>
      </c>
      <c r="E125" t="str">
        <f>IF(LEN($C125)&gt;0,"",'Casos de Prueba'!E126)</f>
        <v>Da clic en el botón buscar CFDI</v>
      </c>
      <c r="F125" t="str">
        <f>IF(LEN($C125)&gt;0,"",'Casos de Prueba'!F126&amp;CHAR(10)&amp;'Casos de Prueba'!G126)</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126" spans="1:6" x14ac:dyDescent="0.35">
      <c r="A126">
        <f t="shared" si="2"/>
        <v>58</v>
      </c>
      <c r="B126">
        <f t="shared" si="3"/>
        <v>108</v>
      </c>
      <c r="C126" t="str">
        <f>IF('Casos de Prueba'!B127&lt;&gt;0,'Casos de Prueba'!B127&amp;"-"&amp;'Casos de Prueba'!C127:E127,"")</f>
        <v/>
      </c>
      <c r="D126">
        <f>IF(LEN($C126)&gt;0,"",'Casos de Prueba'!D127)</f>
        <v>5</v>
      </c>
      <c r="E126" t="str">
        <f>IF(LEN($C126)&gt;0,"",'Casos de Prueba'!E127)</f>
        <v>Selecciona un folio fiscal (UUID) de la tabla “Resultados”</v>
      </c>
      <c r="F126" t="str">
        <f>IF(LEN($C126)&gt;0,"",'Casos de Prueba'!F127&amp;CHAR(10)&amp;'Casos de Prueba'!G127)</f>
        <v xml:space="preserve">En la columna de acciones se desplegaran los botones:
•Recuperar Representación Impresa  
•	Descargar XML
</v>
      </c>
    </row>
    <row r="127" spans="1:6" x14ac:dyDescent="0.35">
      <c r="A127">
        <f t="shared" si="2"/>
        <v>34</v>
      </c>
      <c r="B127">
        <f t="shared" si="3"/>
        <v>223</v>
      </c>
      <c r="C127" t="str">
        <f>IF('Casos de Prueba'!B128&lt;&gt;0,'Casos de Prueba'!B128&amp;"-"&amp;'Casos de Prueba'!C128:E128,"")</f>
        <v/>
      </c>
      <c r="D127">
        <f>IF(LEN($C127)&gt;0,"",'Casos de Prueba'!D128)</f>
        <v>6</v>
      </c>
      <c r="E127" t="str">
        <f>IF(LEN($C127)&gt;0,"",'Casos de Prueba'!E128)</f>
        <v>Da clic en la opción Descargar XML</v>
      </c>
      <c r="F127" t="str">
        <f>IF(LEN($C127)&gt;0,"",'Casos de Prueba'!F128&amp;CHAR(10)&amp;'Casos de Prueba'!G128)</f>
        <v>El sistema abre una ventana emergente que permitirá descargar el contenido del XML.
Esta descarga se realiza uno a uno, contemplando el límite diario establecido para los archivos XML.
(Aplica las Reglas de Negocio 09 y 14)</v>
      </c>
    </row>
    <row r="128" spans="1:6" x14ac:dyDescent="0.35">
      <c r="A128">
        <f t="shared" si="2"/>
        <v>24</v>
      </c>
      <c r="B128">
        <f t="shared" si="3"/>
        <v>69</v>
      </c>
      <c r="C128" t="str">
        <f>IF('Casos de Prueba'!B129&lt;&gt;0,'Casos de Prueba'!B129&amp;"-"&amp;'Casos de Prueba'!C129:E129,"")</f>
        <v/>
      </c>
      <c r="D128">
        <f>IF(LEN($C128)&gt;0,"",'Casos de Prueba'!D129)</f>
        <v>7</v>
      </c>
      <c r="E128" t="str">
        <f>IF(LEN($C128)&gt;0,"",'Casos de Prueba'!E129)</f>
        <v>Da clic en Cerrar Sesión</v>
      </c>
      <c r="F128" t="str">
        <f>IF(LEN($C128)&gt;0,"",'Casos de Prueba'!F129&amp;CHAR(10)&amp;'Casos de Prueba'!G129)</f>
        <v xml:space="preserve">Cierra la aplicación y se direcciona a la pantalla de autenticación.
</v>
      </c>
    </row>
    <row r="129" spans="1:6" x14ac:dyDescent="0.35">
      <c r="A129">
        <f t="shared" si="2"/>
        <v>0</v>
      </c>
      <c r="B129">
        <f t="shared" si="3"/>
        <v>0</v>
      </c>
      <c r="C129" t="str">
        <f>IF('Casos de Prueba'!B130&lt;&gt;0,'Casos de Prueba'!B130&amp;"-"&amp;'Casos de Prueba'!C130:E130,"")</f>
        <v>CP16-RFCReceptor/Descargar</v>
      </c>
      <c r="D129" t="str">
        <f>IF(LEN($C129)&gt;0,"",'Casos de Prueba'!D130)</f>
        <v/>
      </c>
      <c r="E129" t="str">
        <f>IF(LEN($C129)&gt;0,"",'Casos de Prueba'!E130)</f>
        <v/>
      </c>
      <c r="F129" t="str">
        <f>IF(LEN($C129)&gt;0,"",'Casos de Prueba'!F130&amp;CHAR(10)&amp;'Casos de Prueba'!G130)</f>
        <v/>
      </c>
    </row>
    <row r="130" spans="1:6" x14ac:dyDescent="0.35">
      <c r="A130">
        <f t="shared" si="2"/>
        <v>64</v>
      </c>
      <c r="B130">
        <f t="shared" si="3"/>
        <v>217</v>
      </c>
      <c r="C130" t="str">
        <f>IF('Casos de Prueba'!B131&lt;&gt;0,'Casos de Prueba'!B131&amp;"-"&amp;'Casos de Prueba'!C131:E131,"")</f>
        <v/>
      </c>
      <c r="D130">
        <f>IF(LEN($C130)&gt;0,"",'Casos de Prueba'!D131)</f>
        <v>1</v>
      </c>
      <c r="E130" t="str">
        <f>IF(LEN($C130)&gt;0,"",'Casos de Prueba'!E131)</f>
        <v>Usuario ingresa al Portal Empleados Consulta Central Retenciones</v>
      </c>
      <c r="F130" t="str">
        <f>IF(LEN($C130)&gt;0,"",'Casos de Prueba'!F131&amp;CHAR(10)&amp;'Casos de Prueba'!G131)</f>
        <v>El sistema despliega las siguientes opciones de búsqueda:
- Folio Fiscal
- Fecha Inicial y Final de Emisión
- Masiva UUID
El Usuario previamente se autenticó  y accedió al portal Empleados-Consulta Central Retenciones</v>
      </c>
    </row>
    <row r="131" spans="1:6" x14ac:dyDescent="0.35">
      <c r="A131">
        <f t="shared" si="2"/>
        <v>45</v>
      </c>
      <c r="B131">
        <f t="shared" si="3"/>
        <v>247</v>
      </c>
      <c r="C131" t="str">
        <f>IF('Casos de Prueba'!B132&lt;&gt;0,'Casos de Prueba'!B132&amp;"-"&amp;'Casos de Prueba'!C132:E132,"")</f>
        <v/>
      </c>
      <c r="D131">
        <f>IF(LEN($C131)&gt;0,"",'Casos de Prueba'!D132)</f>
        <v>2</v>
      </c>
      <c r="E131" t="str">
        <f>IF(LEN($C131)&gt;0,"",'Casos de Prueba'!E132)</f>
        <v>Selecciona la opción Fecha Inicial de Emisión</v>
      </c>
      <c r="F131" t="str">
        <f>IF(LEN($C131)&gt;0,"",'Casos de Prueba'!F132&amp;CHAR(10)&amp;'Casos de Prueba'!G132)</f>
        <v xml:space="preserve">El sistema habilita los siguientes campos:
•	Fecha Inicial de Emisión (*).
•	Fecha Final de Emisión (*). (RN04)
•	RFC Emisor. (RN02)
•	RFC Receptor. (RN02)
•	Estado del Comprobante.
•	Tipo de Comprobante (Complemento) (RN17).* Campos obligatorios
</v>
      </c>
    </row>
    <row r="132" spans="1:6" x14ac:dyDescent="0.35">
      <c r="A132">
        <f t="shared" si="2"/>
        <v>213</v>
      </c>
      <c r="B132">
        <f t="shared" si="3"/>
        <v>52</v>
      </c>
      <c r="C132" t="str">
        <f>IF('Casos de Prueba'!B133&lt;&gt;0,'Casos de Prueba'!B133&amp;"-"&amp;'Casos de Prueba'!C133:E133,"")</f>
        <v/>
      </c>
      <c r="D132">
        <f>IF(LEN($C132)&gt;0,"",'Casos de Prueba'!D133)</f>
        <v>3</v>
      </c>
      <c r="E132" t="str">
        <f>IF(LEN($C132)&gt;0,"",'Casos de Prueba'!E133)</f>
        <v xml:space="preserve">Ingresa los datos:
- *Fecha inicial de emisión
- *Fecha final de emisión
-  RFC Emisor
-  RFC Receptor
De manera opcional:
-  Estado del Comprobante
- Tipo de Comprobante(Complemento)(RN17)
* Campos obligatorios
</v>
      </c>
      <c r="F132" t="str">
        <f>IF(LEN($C132)&gt;0,"",'Casos de Prueba'!F133&amp;CHAR(10)&amp;'Casos de Prueba'!G133)</f>
        <v xml:space="preserve">El sistema muestra los datos que se van ingresando 
</v>
      </c>
    </row>
    <row r="133" spans="1:6" x14ac:dyDescent="0.35">
      <c r="A133">
        <f t="shared" si="2"/>
        <v>31</v>
      </c>
      <c r="B133">
        <f t="shared" si="3"/>
        <v>1299</v>
      </c>
      <c r="C133" t="str">
        <f>IF('Casos de Prueba'!B134&lt;&gt;0,'Casos de Prueba'!B134&amp;"-"&amp;'Casos de Prueba'!C134:E134,"")</f>
        <v/>
      </c>
      <c r="D133">
        <f>IF(LEN($C133)&gt;0,"",'Casos de Prueba'!D134)</f>
        <v>4</v>
      </c>
      <c r="E133" t="str">
        <f>IF(LEN($C133)&gt;0,"",'Casos de Prueba'!E134)</f>
        <v>Da clic en el botón buscar CFDI</v>
      </c>
      <c r="F133" t="str">
        <f>IF(LEN($C133)&gt;0,"",'Casos de Prueba'!F134&amp;CHAR(10)&amp;'Casos de Prueba'!G134)</f>
        <v>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En caso de que no se tenga información, el aplicativo dejará en blanco la sección que corresponda en la tabla de resultados.
(Aplica la Regla de Negocio 06)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134" spans="1:6" x14ac:dyDescent="0.35">
      <c r="A134">
        <f t="shared" si="2"/>
        <v>58</v>
      </c>
      <c r="B134">
        <f t="shared" si="3"/>
        <v>108</v>
      </c>
      <c r="C134" t="str">
        <f>IF('Casos de Prueba'!B135&lt;&gt;0,'Casos de Prueba'!B135&amp;"-"&amp;'Casos de Prueba'!C135:E135,"")</f>
        <v/>
      </c>
      <c r="D134">
        <f>IF(LEN($C134)&gt;0,"",'Casos de Prueba'!D135)</f>
        <v>5</v>
      </c>
      <c r="E134" t="str">
        <f>IF(LEN($C134)&gt;0,"",'Casos de Prueba'!E135)</f>
        <v>Selecciona un folio fiscal (UUID) de la tabla “Resultados”</v>
      </c>
      <c r="F134" t="str">
        <f>IF(LEN($C134)&gt;0,"",'Casos de Prueba'!F135&amp;CHAR(10)&amp;'Casos de Prueba'!G135)</f>
        <v xml:space="preserve">En la columna de acciones se desplegaran los botones:
•Recuperar Representación Impresa  
•	Descargar XML
</v>
      </c>
    </row>
    <row r="135" spans="1:6" x14ac:dyDescent="0.35">
      <c r="A135">
        <f t="shared" si="2"/>
        <v>34</v>
      </c>
      <c r="B135">
        <f t="shared" si="3"/>
        <v>223</v>
      </c>
      <c r="C135" t="str">
        <f>IF('Casos de Prueba'!B136&lt;&gt;0,'Casos de Prueba'!B136&amp;"-"&amp;'Casos de Prueba'!C136:E136,"")</f>
        <v/>
      </c>
      <c r="D135">
        <f>IF(LEN($C135)&gt;0,"",'Casos de Prueba'!D136)</f>
        <v>6</v>
      </c>
      <c r="E135" t="str">
        <f>IF(LEN($C135)&gt;0,"",'Casos de Prueba'!E136)</f>
        <v>Da clic en la opción Descargar XML</v>
      </c>
      <c r="F135" t="str">
        <f>IF(LEN($C135)&gt;0,"",'Casos de Prueba'!F136&amp;CHAR(10)&amp;'Casos de Prueba'!G136)</f>
        <v>El sistema abre una ventana emergente que permitirá descargar el contenido del XML.
Esta descarga se realiza uno a uno, contemplando el límite diario establecido para los archivos XML.
(Aplica las Reglas de Negocio 09 y 14)</v>
      </c>
    </row>
    <row r="136" spans="1:6" x14ac:dyDescent="0.35">
      <c r="A136">
        <f t="shared" si="2"/>
        <v>24</v>
      </c>
      <c r="B136">
        <f t="shared" si="3"/>
        <v>69</v>
      </c>
      <c r="C136" t="str">
        <f>IF('Casos de Prueba'!B137&lt;&gt;0,'Casos de Prueba'!B137&amp;"-"&amp;'Casos de Prueba'!C137:E137,"")</f>
        <v/>
      </c>
      <c r="D136">
        <f>IF(LEN($C136)&gt;0,"",'Casos de Prueba'!D137)</f>
        <v>7</v>
      </c>
      <c r="E136" t="str">
        <f>IF(LEN($C136)&gt;0,"",'Casos de Prueba'!E137)</f>
        <v>Da clic en Cerrar Sesión</v>
      </c>
      <c r="F136" t="str">
        <f>IF(LEN($C136)&gt;0,"",'Casos de Prueba'!F137&amp;CHAR(10)&amp;'Casos de Prueba'!G137)</f>
        <v xml:space="preserve">Cierra la aplicación y se direcciona a la pantalla de autenticación.
</v>
      </c>
    </row>
    <row r="137" spans="1:6" x14ac:dyDescent="0.35">
      <c r="A137">
        <f t="shared" si="2"/>
        <v>0</v>
      </c>
      <c r="B137">
        <f t="shared" si="3"/>
        <v>0</v>
      </c>
      <c r="C137" t="str">
        <f>IF('Casos de Prueba'!B138&lt;&gt;0,'Casos de Prueba'!B138&amp;"-"&amp;'Casos de Prueba'!C138:E138,"")</f>
        <v>CP17-Masiva UUID/Descargar</v>
      </c>
      <c r="D137" t="str">
        <f>IF(LEN($C137)&gt;0,"",'Casos de Prueba'!D138)</f>
        <v/>
      </c>
      <c r="E137" t="str">
        <f>IF(LEN($C137)&gt;0,"",'Casos de Prueba'!E138)</f>
        <v/>
      </c>
      <c r="F137" t="str">
        <f>IF(LEN($C137)&gt;0,"",'Casos de Prueba'!F138&amp;CHAR(10)&amp;'Casos de Prueba'!G138)</f>
        <v/>
      </c>
    </row>
    <row r="138" spans="1:6" x14ac:dyDescent="0.35">
      <c r="A138">
        <f t="shared" si="2"/>
        <v>64</v>
      </c>
      <c r="B138">
        <f t="shared" si="3"/>
        <v>217</v>
      </c>
      <c r="C138" t="str">
        <f>IF('Casos de Prueba'!B139&lt;&gt;0,'Casos de Prueba'!B139&amp;"-"&amp;'Casos de Prueba'!C139:E139,"")</f>
        <v/>
      </c>
      <c r="D138">
        <f>IF(LEN($C138)&gt;0,"",'Casos de Prueba'!D139)</f>
        <v>1</v>
      </c>
      <c r="E138" t="str">
        <f>IF(LEN($C138)&gt;0,"",'Casos de Prueba'!E139)</f>
        <v>Usuario ingresa al Portal Empleados Consulta Central Retenciones</v>
      </c>
      <c r="F138" t="str">
        <f>IF(LEN($C138)&gt;0,"",'Casos de Prueba'!F139&amp;CHAR(10)&amp;'Casos de Prueba'!G139)</f>
        <v>El sistema despliega las siguientes opciones de búsqueda:
- Folio Fiscal
- Fecha Inicial y Final de Emisión
- Masiva UUID
El Usuario previamente se autenticó  y accedió al portal Empleados-Consulta Central Retenciones</v>
      </c>
    </row>
    <row r="139" spans="1:6" x14ac:dyDescent="0.35">
      <c r="A139">
        <f t="shared" si="2"/>
        <v>32</v>
      </c>
      <c r="B139">
        <f t="shared" si="3"/>
        <v>118</v>
      </c>
      <c r="C139" t="str">
        <f>IF('Casos de Prueba'!B140&lt;&gt;0,'Casos de Prueba'!B140&amp;"-"&amp;'Casos de Prueba'!C140:E140,"")</f>
        <v/>
      </c>
      <c r="D139">
        <f>IF(LEN($C139)&gt;0,"",'Casos de Prueba'!D140)</f>
        <v>2</v>
      </c>
      <c r="E139" t="str">
        <f>IF(LEN($C139)&gt;0,"",'Casos de Prueba'!E140)</f>
        <v>Selecciona la opción Masiva UUID</v>
      </c>
      <c r="F139" t="str">
        <f>IF(LEN($C139)&gt;0,"",'Casos de Prueba'!F140&amp;CHAR(10)&amp;'Casos de Prueba'!G140)</f>
        <v xml:space="preserve">El sistema despliega las siguientes opciones de búsqueda:
- Boton Seleccionar* 
- Archivos Solicitados
- Botón Enviar
</v>
      </c>
    </row>
    <row r="140" spans="1:6" x14ac:dyDescent="0.35">
      <c r="A140">
        <f t="shared" si="2"/>
        <v>61</v>
      </c>
      <c r="B140">
        <f t="shared" si="3"/>
        <v>135</v>
      </c>
      <c r="C140" t="str">
        <f>IF('Casos de Prueba'!B141&lt;&gt;0,'Casos de Prueba'!B141&amp;"-"&amp;'Casos de Prueba'!C141:E141,"")</f>
        <v/>
      </c>
      <c r="D140">
        <f>IF(LEN($C140)&gt;0,"",'Casos de Prueba'!D141)</f>
        <v>3</v>
      </c>
      <c r="E140" t="str">
        <f>IF(LEN($C140)&gt;0,"",'Casos de Prueba'!E141)</f>
        <v>Selecciona el archivo(txt) mediante el explorador de Windows.</v>
      </c>
      <c r="F140" t="str">
        <f>IF(LEN($C140)&gt;0,"",'Casos de Prueba'!F141&amp;CHAR(10)&amp;'Casos de Prueba'!G141)</f>
        <v xml:space="preserve">
El  aplicativo ejecuta la consulta y arroja el resultado conforme a los UUID definidos en el archivo.  
Archivo TXT con distintos UUID</v>
      </c>
    </row>
    <row r="141" spans="1:6" x14ac:dyDescent="0.35">
      <c r="A141">
        <f t="shared" si="2"/>
        <v>31</v>
      </c>
      <c r="B141">
        <f t="shared" si="3"/>
        <v>1130</v>
      </c>
      <c r="C141" t="str">
        <f>IF('Casos de Prueba'!B142&lt;&gt;0,'Casos de Prueba'!B142&amp;"-"&amp;'Casos de Prueba'!C142:E142,"")</f>
        <v/>
      </c>
      <c r="D141">
        <f>IF(LEN($C141)&gt;0,"",'Casos de Prueba'!D142)</f>
        <v>4</v>
      </c>
      <c r="E141" t="str">
        <f>IF(LEN($C141)&gt;0,"",'Casos de Prueba'!E142)</f>
        <v>Da clic en el botón buscar CFDI</v>
      </c>
      <c r="F141" t="str">
        <f>IF(LEN($C141)&gt;0,"",'Casos de Prueba'!F142&amp;CHAR(10)&amp;'Casos de Prueba'!G142)</f>
        <v>En caso de no encontrar información ir al CP "Sin Resultados"
En caso contrario el sistema muestra:
Tabla con el encabezado y los datos siguientes:
+ Acciones   
• Descargar.(XML)
• Recuperar Representacion Impresa.(RI)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 Botones: 
1)	Descargar seleccionados XML
2)	Exportar resultados a PDF
3)	Exportar resultados a CSV
El aplicativo realiza la consulta masiva de esos UUID y se muestra el detalle de los CFDI de Retenciones con las funcionalidades que actualmente existen
Nota: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v>
      </c>
    </row>
    <row r="142" spans="1:6" x14ac:dyDescent="0.35">
      <c r="A142">
        <f t="shared" si="2"/>
        <v>58</v>
      </c>
      <c r="B142">
        <f t="shared" si="3"/>
        <v>108</v>
      </c>
      <c r="C142" t="str">
        <f>IF('Casos de Prueba'!B143&lt;&gt;0,'Casos de Prueba'!B143&amp;"-"&amp;'Casos de Prueba'!C143:E143,"")</f>
        <v/>
      </c>
      <c r="D142">
        <f>IF(LEN($C142)&gt;0,"",'Casos de Prueba'!D143)</f>
        <v>5</v>
      </c>
      <c r="E142" t="str">
        <f>IF(LEN($C142)&gt;0,"",'Casos de Prueba'!E143)</f>
        <v>Selecciona un folio fiscal (UUID) de la tabla “Resultados”</v>
      </c>
      <c r="F142" t="str">
        <f>IF(LEN($C142)&gt;0,"",'Casos de Prueba'!F143&amp;CHAR(10)&amp;'Casos de Prueba'!G143)</f>
        <v xml:space="preserve">En la columna de acciones se desplegaran los botones:
•Recuperar Representación Impresa  
•	Descargar XML
</v>
      </c>
    </row>
    <row r="143" spans="1:6" x14ac:dyDescent="0.35">
      <c r="A143">
        <f t="shared" si="2"/>
        <v>34</v>
      </c>
      <c r="B143">
        <f t="shared" si="3"/>
        <v>223</v>
      </c>
      <c r="C143" t="str">
        <f>IF('Casos de Prueba'!B144&lt;&gt;0,'Casos de Prueba'!B144&amp;"-"&amp;'Casos de Prueba'!C144:E144,"")</f>
        <v/>
      </c>
      <c r="D143">
        <f>IF(LEN($C143)&gt;0,"",'Casos de Prueba'!D144)</f>
        <v>6</v>
      </c>
      <c r="E143" t="str">
        <f>IF(LEN($C143)&gt;0,"",'Casos de Prueba'!E144)</f>
        <v>Da clic en la opción Descargar XML</v>
      </c>
      <c r="F143" t="str">
        <f>IF(LEN($C143)&gt;0,"",'Casos de Prueba'!F144&amp;CHAR(10)&amp;'Casos de Prueba'!G144)</f>
        <v>El sistema abre una ventana emergente que permitirá descargar el contenido del XML.
Esta descarga se realiza uno a uno, contemplando el límite diario establecido para los archivos XML.
(Aplica las Reglas de Negocio 09 y 14)</v>
      </c>
    </row>
    <row r="144" spans="1:6" x14ac:dyDescent="0.35">
      <c r="A144">
        <f t="shared" si="2"/>
        <v>24</v>
      </c>
      <c r="B144">
        <f t="shared" si="3"/>
        <v>69</v>
      </c>
      <c r="C144" t="str">
        <f>IF('Casos de Prueba'!B145&lt;&gt;0,'Casos de Prueba'!B145&amp;"-"&amp;'Casos de Prueba'!C145:E145,"")</f>
        <v/>
      </c>
      <c r="D144">
        <f>IF(LEN($C144)&gt;0,"",'Casos de Prueba'!D145)</f>
        <v>7</v>
      </c>
      <c r="E144" t="str">
        <f>IF(LEN($C144)&gt;0,"",'Casos de Prueba'!E145)</f>
        <v>Da clic en Cerrar Sesión</v>
      </c>
      <c r="F144" t="str">
        <f>IF(LEN($C144)&gt;0,"",'Casos de Prueba'!F145&amp;CHAR(10)&amp;'Casos de Prueba'!G145)</f>
        <v xml:space="preserve">Cierra la aplicación y se direcciona a la pantalla de autenticación.
</v>
      </c>
    </row>
    <row r="145" spans="1:6" x14ac:dyDescent="0.35">
      <c r="A145">
        <f t="shared" si="2"/>
        <v>0</v>
      </c>
      <c r="B145">
        <f t="shared" si="3"/>
        <v>0</v>
      </c>
      <c r="C145" t="str">
        <f>IF('Casos de Prueba'!B146&lt;&gt;0,'Casos de Prueba'!B146&amp;"-"&amp;'Casos de Prueba'!C146:E146,"")</f>
        <v>CP18-Botón Descargar Seleccionados XML</v>
      </c>
      <c r="D145" t="str">
        <f>IF(LEN($C145)&gt;0,"",'Casos de Prueba'!D146)</f>
        <v/>
      </c>
      <c r="E145" t="str">
        <f>IF(LEN($C145)&gt;0,"",'Casos de Prueba'!E146)</f>
        <v/>
      </c>
      <c r="F145" t="str">
        <f>IF(LEN($C145)&gt;0,"",'Casos de Prueba'!F146&amp;CHAR(10)&amp;'Casos de Prueba'!G146)</f>
        <v/>
      </c>
    </row>
    <row r="146" spans="1:6" x14ac:dyDescent="0.35">
      <c r="A146">
        <f t="shared" si="2"/>
        <v>31</v>
      </c>
      <c r="B146">
        <f t="shared" si="3"/>
        <v>300</v>
      </c>
      <c r="C146" t="str">
        <f>IF('Casos de Prueba'!B147&lt;&gt;0,'Casos de Prueba'!B147&amp;"-"&amp;'Casos de Prueba'!C147:E147,"")</f>
        <v/>
      </c>
      <c r="D146">
        <f>IF(LEN($C146)&gt;0,"",'Casos de Prueba'!D147)</f>
        <v>1</v>
      </c>
      <c r="E146" t="str">
        <f>IF(LEN($C146)&gt;0,"",'Casos de Prueba'!E147)</f>
        <v xml:space="preserve">Selecciona los Folios fiscales </v>
      </c>
      <c r="F146" t="str">
        <f>IF(LEN($C146)&gt;0,"",'Casos de Prueba'!F147&amp;CHAR(10)&amp;'Casos de Prueba'!G147)</f>
        <v>El sistema muestra la selección de los CFDI
Viene del paso 4 de los Casos de Prueba: 
CP02 ConsultaCentral_CFDI-Ret_Búsqueda/RFCEmisor
CP03 ConsultaCentral_CFDI-Ret_Búsqueda/RFCReceptor
CP04 ConsultaCentral_CFDI-Ret_Búsqueda/RFCReceptor y RFCEmisor
CP05 ConsultaCentral_CFDI-Ret_Búsqueda/Masiva UUID</v>
      </c>
    </row>
    <row r="147" spans="1:6" x14ac:dyDescent="0.35">
      <c r="A147">
        <f t="shared" si="2"/>
        <v>48</v>
      </c>
      <c r="B147">
        <f t="shared" si="3"/>
        <v>627</v>
      </c>
      <c r="C147" t="str">
        <f>IF('Casos de Prueba'!B148&lt;&gt;0,'Casos de Prueba'!B148&amp;"-"&amp;'Casos de Prueba'!C148:E148,"")</f>
        <v/>
      </c>
      <c r="D147">
        <f>IF(LEN($C147)&gt;0,"",'Casos de Prueba'!D148)</f>
        <v>2</v>
      </c>
      <c r="E147" t="str">
        <f>IF(LEN($C147)&gt;0,"",'Casos de Prueba'!E148)</f>
        <v>Selecciona el boton: Descargar Seleccionados XML</v>
      </c>
      <c r="F147" t="str">
        <f>IF(LEN($C147)&gt;0,"",'Casos de Prueba'!F148&amp;CHAR(10)&amp;'Casos de Prueba'!G148)</f>
        <v xml:space="preserve">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(Aplica la Regla de Negocio 10).
Se generará de manera automática un número de folio de descarga 
El archivo ZIP correspondiente a la descarga masiva, debe contener los archivos XML seleccionados. 
(Aplica las Reglas de Negocio 09, 14 y 16) </v>
      </c>
    </row>
    <row r="148" spans="1:6" x14ac:dyDescent="0.35">
      <c r="A148">
        <f t="shared" ref="A148:A211" si="4">LEN(E148)</f>
        <v>24</v>
      </c>
      <c r="B148">
        <f t="shared" ref="B148:B211" si="5">LEN(F148)</f>
        <v>69</v>
      </c>
      <c r="C148" t="str">
        <f>IF('Casos de Prueba'!B149&lt;&gt;0,'Casos de Prueba'!B149&amp;"-"&amp;'Casos de Prueba'!C149:E149,"")</f>
        <v/>
      </c>
      <c r="D148">
        <f>IF(LEN($C148)&gt;0,"",'Casos de Prueba'!D149)</f>
        <v>3</v>
      </c>
      <c r="E148" t="str">
        <f>IF(LEN($C148)&gt;0,"",'Casos de Prueba'!E149)</f>
        <v>Da clic en Cerrar Sesión</v>
      </c>
      <c r="F148" t="str">
        <f>IF(LEN($C148)&gt;0,"",'Casos de Prueba'!F149&amp;CHAR(10)&amp;'Casos de Prueba'!G149)</f>
        <v xml:space="preserve">Cierra la aplicación y se direcciona a la pantalla de autenticación.
</v>
      </c>
    </row>
    <row r="149" spans="1:6" x14ac:dyDescent="0.35">
      <c r="A149">
        <f t="shared" si="4"/>
        <v>0</v>
      </c>
      <c r="B149">
        <f t="shared" si="5"/>
        <v>0</v>
      </c>
      <c r="C149" t="str">
        <f>IF('Casos de Prueba'!B150&lt;&gt;0,'Casos de Prueba'!B150&amp;"-"&amp;'Casos de Prueba'!C150:E150,"")</f>
        <v>CP19-Botón Descargar RI</v>
      </c>
      <c r="D149" t="str">
        <f>IF(LEN($C149)&gt;0,"",'Casos de Prueba'!D150)</f>
        <v/>
      </c>
      <c r="E149" t="str">
        <f>IF(LEN($C149)&gt;0,"",'Casos de Prueba'!E150)</f>
        <v/>
      </c>
      <c r="F149" t="str">
        <f>IF(LEN($C149)&gt;0,"",'Casos de Prueba'!F150&amp;CHAR(10)&amp;'Casos de Prueba'!G150)</f>
        <v/>
      </c>
    </row>
    <row r="150" spans="1:6" x14ac:dyDescent="0.35">
      <c r="A150">
        <f t="shared" si="4"/>
        <v>31</v>
      </c>
      <c r="B150">
        <f t="shared" si="5"/>
        <v>300</v>
      </c>
      <c r="C150" t="str">
        <f>IF('Casos de Prueba'!B151&lt;&gt;0,'Casos de Prueba'!B151&amp;"-"&amp;'Casos de Prueba'!C151:E151,"")</f>
        <v/>
      </c>
      <c r="D150">
        <f>IF(LEN($C150)&gt;0,"",'Casos de Prueba'!D151)</f>
        <v>1</v>
      </c>
      <c r="E150" t="str">
        <f>IF(LEN($C150)&gt;0,"",'Casos de Prueba'!E151)</f>
        <v xml:space="preserve">Selecciona los Folios fiscales </v>
      </c>
      <c r="F150" t="str">
        <f>IF(LEN($C150)&gt;0,"",'Casos de Prueba'!F151&amp;CHAR(10)&amp;'Casos de Prueba'!G151)</f>
        <v>El sistema muestra la selección de los CFDI
Viene del paso 4 de los Casos de Prueba: 
CP02 ConsultaCentral_CFDI-Ret_Búsqueda/RFCEmisor
CP03 ConsultaCentral_CFDI-Ret_Búsqueda/RFCReceptor
CP04 ConsultaCentral_CFDI-Ret_Búsqueda/RFCReceptor y RFCEmisor
CP05 ConsultaCentral_CFDI-Ret_Búsqueda/Masiva UUID</v>
      </c>
    </row>
    <row r="151" spans="1:6" x14ac:dyDescent="0.35">
      <c r="A151">
        <f t="shared" si="4"/>
        <v>32</v>
      </c>
      <c r="B151">
        <f t="shared" si="5"/>
        <v>668</v>
      </c>
      <c r="C151" t="str">
        <f>IF('Casos de Prueba'!B152&lt;&gt;0,'Casos de Prueba'!B152&amp;"-"&amp;'Casos de Prueba'!C152:E152,"")</f>
        <v/>
      </c>
      <c r="D151">
        <f>IF(LEN($C151)&gt;0,"",'Casos de Prueba'!D152)</f>
        <v>2</v>
      </c>
      <c r="E151" t="str">
        <f>IF(LEN($C151)&gt;0,"",'Casos de Prueba'!E152)</f>
        <v>Selecciona el boton: Descarga RI</v>
      </c>
      <c r="F151" t="str">
        <f>IF(LEN($C151)&gt;0,"",'Casos de Prueba'!F152&amp;CHAR(10)&amp;'Casos de Prueba'!G152)</f>
        <v>Al seleccionar este botón se debe generar una petición al servicio de descarga masiva de los comprobantes en su Representación Impresa (RI) en formato PDF, a través de un paquete de archivos comprimidos en formato ZIP, este paquete contará con un identificador denominado “Folio de descarga”, el cual podrá ser consultado desde la funcionalidad del botón “Recuperar descargas de CFDI”
(Aplica la Regla de Negocio 10) .
El archivo ZIP correspondiente a la descarga masiva, debe contener los CFDI de retenciones que resultaron de la consulta realizada y se encuentran visibles en pantalla, como máximo 1,000 registros. 
(Aplica las Reglas de Negocio 05, 07, 08, 14 y 16)</v>
      </c>
    </row>
    <row r="152" spans="1:6" x14ac:dyDescent="0.35">
      <c r="A152">
        <f t="shared" si="4"/>
        <v>24</v>
      </c>
      <c r="B152">
        <f t="shared" si="5"/>
        <v>69</v>
      </c>
      <c r="C152" t="str">
        <f>IF('Casos de Prueba'!B153&lt;&gt;0,'Casos de Prueba'!B153&amp;"-"&amp;'Casos de Prueba'!C153:E153,"")</f>
        <v/>
      </c>
      <c r="D152">
        <f>IF(LEN($C152)&gt;0,"",'Casos de Prueba'!D153)</f>
        <v>3</v>
      </c>
      <c r="E152" t="str">
        <f>IF(LEN($C152)&gt;0,"",'Casos de Prueba'!E153)</f>
        <v>Da clic en Cerrar Sesión</v>
      </c>
      <c r="F152" t="str">
        <f>IF(LEN($C152)&gt;0,"",'Casos de Prueba'!F153&amp;CHAR(10)&amp;'Casos de Prueba'!G153)</f>
        <v xml:space="preserve">Cierra la aplicación y se direcciona a la pantalla de autenticación.
</v>
      </c>
    </row>
    <row r="153" spans="1:6" x14ac:dyDescent="0.35">
      <c r="A153">
        <f t="shared" si="4"/>
        <v>0</v>
      </c>
      <c r="B153">
        <f t="shared" si="5"/>
        <v>0</v>
      </c>
      <c r="C153" t="str">
        <f>IF('Casos de Prueba'!B154&lt;&gt;0,'Casos de Prueba'!B154&amp;"-"&amp;'Casos de Prueba'!C154:E154,"")</f>
        <v>CP20-Botón Descarga Metadata</v>
      </c>
      <c r="D153" t="str">
        <f>IF(LEN($C153)&gt;0,"",'Casos de Prueba'!D154)</f>
        <v/>
      </c>
      <c r="E153" t="str">
        <f>IF(LEN($C153)&gt;0,"",'Casos de Prueba'!E154)</f>
        <v/>
      </c>
      <c r="F153" t="str">
        <f>IF(LEN($C153)&gt;0,"",'Casos de Prueba'!F154&amp;CHAR(10)&amp;'Casos de Prueba'!G154)</f>
        <v/>
      </c>
    </row>
    <row r="154" spans="1:6" x14ac:dyDescent="0.35">
      <c r="A154">
        <f t="shared" si="4"/>
        <v>31</v>
      </c>
      <c r="B154">
        <f t="shared" si="5"/>
        <v>299</v>
      </c>
      <c r="C154" t="str">
        <f>IF('Casos de Prueba'!B155&lt;&gt;0,'Casos de Prueba'!B155&amp;"-"&amp;'Casos de Prueba'!C155:E155,"")</f>
        <v/>
      </c>
      <c r="D154">
        <f>IF(LEN($C154)&gt;0,"",'Casos de Prueba'!D155)</f>
        <v>1</v>
      </c>
      <c r="E154" t="str">
        <f>IF(LEN($C154)&gt;0,"",'Casos de Prueba'!E155)</f>
        <v xml:space="preserve">Selecciona los Folios fiscales </v>
      </c>
      <c r="F154" t="str">
        <f>IF(LEN($C154)&gt;0,"",'Casos de Prueba'!F155&amp;CHAR(10)&amp;'Casos de Prueba'!G155)</f>
        <v>El sistema muestra la selección de los CFDI
Viene del paso 4 de los Casos de Prueba: 
CP02 ConsultaCentral_CFDI-Ret_Búsqueda/RFCEmisor
CP03 ConsultaCentral_CFDI-Ret_Búsqueda/RFCReceptor
CP04 ConsultaCentral_CFDI-Ret_Búsqueda/RFCReceptor y RFCEmisor
CP05 ConsultaCentral_CFDI-Ret_Búsqueda/Masiva UUID</v>
      </c>
    </row>
    <row r="155" spans="1:6" x14ac:dyDescent="0.35">
      <c r="A155">
        <f t="shared" si="4"/>
        <v>40</v>
      </c>
      <c r="B155">
        <f t="shared" si="5"/>
        <v>833</v>
      </c>
      <c r="C155" t="str">
        <f>IF('Casos de Prueba'!B156&lt;&gt;0,'Casos de Prueba'!B156&amp;"-"&amp;'Casos de Prueba'!C156:E156,"")</f>
        <v/>
      </c>
      <c r="D155">
        <f>IF(LEN($C155)&gt;0,"",'Casos de Prueba'!D156)</f>
        <v>2</v>
      </c>
      <c r="E155" t="str">
        <f>IF(LEN($C155)&gt;0,"",'Casos de Prueba'!E156)</f>
        <v xml:space="preserve">Selecciona el boton: Descargar Metadata
</v>
      </c>
      <c r="F155" t="str">
        <f>IF(LEN($C155)&gt;0,"",'Casos de Prueba'!F156&amp;CHAR(10)&amp;'Casos de Prueba'!G156)</f>
        <v>Al seleccionar este botón se debe generar una petición al servicio de descarga masiva de la metada de los CFDI que ampara retenciones e información de pagos que resultaron de la consulta, a través de un archivo de texto plano comprimido en formato ZIP, este paquete contará con un identificador denominado “Folio de descarga”, el cual podrá ser consultado desde la funcionalidad del botón “Recuperar descargas de CFDI”
(Aplica la Regla de Negocio 10).
El archivo de texto plano debe de contener los datos de la metadata para los CFDI que ampara retenciones e información de pagos que corresponden al resultado de la consulta y que se visualizan en pantalla, como máximo 1,000 registros.
(Aplica las Reglas de Negocio 05 y 16) 
Se descarga un archivo txt donde se muestra el detalle de los comprobantes separados por el carácter “~”.</v>
      </c>
    </row>
    <row r="156" spans="1:6" x14ac:dyDescent="0.35">
      <c r="A156">
        <f t="shared" si="4"/>
        <v>24</v>
      </c>
      <c r="B156">
        <f t="shared" si="5"/>
        <v>69</v>
      </c>
      <c r="C156" t="str">
        <f>IF('Casos de Prueba'!B157&lt;&gt;0,'Casos de Prueba'!B157&amp;"-"&amp;'Casos de Prueba'!C157:E157,"")</f>
        <v/>
      </c>
      <c r="D156">
        <f>IF(LEN($C156)&gt;0,"",'Casos de Prueba'!D157)</f>
        <v>3</v>
      </c>
      <c r="E156" t="str">
        <f>IF(LEN($C156)&gt;0,"",'Casos de Prueba'!E157)</f>
        <v>Da clic en Cerrar Sesión</v>
      </c>
      <c r="F156" t="str">
        <f>IF(LEN($C156)&gt;0,"",'Casos de Prueba'!F157&amp;CHAR(10)&amp;'Casos de Prueba'!G157)</f>
        <v xml:space="preserve">Cierra la aplicación y se direcciona a la pantalla de autenticación.
</v>
      </c>
    </row>
    <row r="157" spans="1:6" x14ac:dyDescent="0.35">
      <c r="A157">
        <f t="shared" si="4"/>
        <v>0</v>
      </c>
      <c r="B157">
        <f t="shared" si="5"/>
        <v>0</v>
      </c>
      <c r="C157" t="str">
        <f>IF('Casos de Prueba'!B158&lt;&gt;0,'Casos de Prueba'!B158&amp;"-"&amp;'Casos de Prueba'!C158:E158,"")</f>
        <v>CP21-Exportar resultados a PDF</v>
      </c>
      <c r="D157" t="str">
        <f>IF(LEN($C157)&gt;0,"",'Casos de Prueba'!D158)</f>
        <v/>
      </c>
      <c r="E157" t="str">
        <f>IF(LEN($C157)&gt;0,"",'Casos de Prueba'!E158)</f>
        <v/>
      </c>
      <c r="F157" t="str">
        <f>IF(LEN($C157)&gt;0,"",'Casos de Prueba'!F158&amp;CHAR(10)&amp;'Casos de Prueba'!G158)</f>
        <v/>
      </c>
    </row>
    <row r="158" spans="1:6" x14ac:dyDescent="0.35">
      <c r="A158">
        <f t="shared" si="4"/>
        <v>45</v>
      </c>
      <c r="B158">
        <f t="shared" si="5"/>
        <v>708</v>
      </c>
      <c r="C158" t="str">
        <f>IF('Casos de Prueba'!B159&lt;&gt;0,'Casos de Prueba'!B159&amp;"-"&amp;'Casos de Prueba'!C159:E159,"")</f>
        <v/>
      </c>
      <c r="D158">
        <f>IF(LEN($C158)&gt;0,"",'Casos de Prueba'!D159)</f>
        <v>1</v>
      </c>
      <c r="E158" t="str">
        <f>IF(LEN($C158)&gt;0,"",'Casos de Prueba'!E159)</f>
        <v>Da clic en el botón Exportar resultados a PDF</v>
      </c>
      <c r="F158" t="str">
        <f>IF(LEN($C158)&gt;0,"",'Casos de Prueba'!F159&amp;CHAR(10)&amp;'Casos de Prueba'!G159)</f>
        <v xml:space="preserve"> 
Viene de los Casos de Prueba: 
CP02 
CP03
CP04 
CP05 
El Reporte de Resultados a PDF, deberá contar con las siguientes características: 
	Logos del SAT y Hacienda vigentes, con el nombre de la institución: ‘Servicio de Administración Tributaria’ y el nombre del aplicativo ‘Consulta Central Retenciones’ al centro de la página.
	Datos del CFDI: Folio Fiscal, RFC Emisor, RFC Receptor, Total, Fecha Emisión, Fecha Certificación, Estado del Comprobante, Nombre o Razón Social Emisor, Nombre o Razón Social Receptor, Subtotal, Efecto del Comprobante, RFC PAC.
	Fecha y hora (parte inferior izquierda) y Número de páginas: x de 500 (parte inferior derecha), el reporte deberá contener dos CFDI por página.</v>
      </c>
    </row>
    <row r="159" spans="1:6" x14ac:dyDescent="0.35">
      <c r="A159">
        <f t="shared" si="4"/>
        <v>24</v>
      </c>
      <c r="B159">
        <f t="shared" si="5"/>
        <v>69</v>
      </c>
      <c r="C159" t="str">
        <f>IF('Casos de Prueba'!B160&lt;&gt;0,'Casos de Prueba'!B160&amp;"-"&amp;'Casos de Prueba'!C160:E160,"")</f>
        <v/>
      </c>
      <c r="D159">
        <f>IF(LEN($C159)&gt;0,"",'Casos de Prueba'!D160)</f>
        <v>2</v>
      </c>
      <c r="E159" t="str">
        <f>IF(LEN($C159)&gt;0,"",'Casos de Prueba'!E160)</f>
        <v>Da clic en Cerrar Sesión</v>
      </c>
      <c r="F159" t="str">
        <f>IF(LEN($C159)&gt;0,"",'Casos de Prueba'!F160&amp;CHAR(10)&amp;'Casos de Prueba'!G160)</f>
        <v xml:space="preserve">Cierra la aplicación y se direcciona a la pantalla de autenticación.
</v>
      </c>
    </row>
    <row r="160" spans="1:6" x14ac:dyDescent="0.35">
      <c r="A160">
        <f t="shared" si="4"/>
        <v>0</v>
      </c>
      <c r="B160">
        <f t="shared" si="5"/>
        <v>0</v>
      </c>
      <c r="C160" t="str">
        <f>IF('Casos de Prueba'!B161&lt;&gt;0,'Casos de Prueba'!B161&amp;"-"&amp;'Casos de Prueba'!C161:E161,"")</f>
        <v>CP22-Exportar resultados a CSV</v>
      </c>
      <c r="D160" t="str">
        <f>IF(LEN($C160)&gt;0,"",'Casos de Prueba'!D161)</f>
        <v/>
      </c>
      <c r="E160" t="str">
        <f>IF(LEN($C160)&gt;0,"",'Casos de Prueba'!E161)</f>
        <v/>
      </c>
      <c r="F160" t="str">
        <f>IF(LEN($C160)&gt;0,"",'Casos de Prueba'!F161&amp;CHAR(10)&amp;'Casos de Prueba'!G161)</f>
        <v/>
      </c>
    </row>
    <row r="161" spans="1:6" x14ac:dyDescent="0.35">
      <c r="A161">
        <f t="shared" si="4"/>
        <v>45</v>
      </c>
      <c r="B161">
        <f t="shared" si="5"/>
        <v>1086</v>
      </c>
      <c r="C161" t="str">
        <f>IF('Casos de Prueba'!B162&lt;&gt;0,'Casos de Prueba'!B162&amp;"-"&amp;'Casos de Prueba'!C162:E162,"")</f>
        <v/>
      </c>
      <c r="D161">
        <f>IF(LEN($C161)&gt;0,"",'Casos de Prueba'!D162)</f>
        <v>1</v>
      </c>
      <c r="E161" t="str">
        <f>IF(LEN($C161)&gt;0,"",'Casos de Prueba'!E162)</f>
        <v>Da clic en el botón Exportar resultados a CSV</v>
      </c>
      <c r="F161" t="str">
        <f>IF(LEN($C161)&gt;0,"",'Casos de Prueba'!F162&amp;CHAR(10)&amp;'Casos de Prueba'!G162)</f>
        <v>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CP01
CP02
CP03
CP04r
CP05
El Reporte de Resultados a CSV, deberá contar con toda la información contenida en el resultado de la consulta en la tabla a un documento Excel, con los nombres de las columnas:
•	Folio Fiscal
•	RFC Emisor
•	Nombre o Razón Social del Emisor
•	RFC Receptor 
•	Nombre o Razón Social del Receptor
•	Fecha de Emisión
•	Fecha de Certificación
•	Monto Total Retenido 
•	Monto Total de la Operación  
•	Estado del Comprobante 
•	Clave de la retención
•	Fecha de Cancelación
•	PAC que Certificó
•	Estatus de Cancelacion
•	Estatus de Proceso de Cancelacion
•	Fecha de Solicitud de Cancelacion
•	Motivo de cancelación
•	Folio de sustitución</v>
      </c>
    </row>
    <row r="162" spans="1:6" x14ac:dyDescent="0.35">
      <c r="A162">
        <f t="shared" si="4"/>
        <v>24</v>
      </c>
      <c r="B162">
        <f t="shared" si="5"/>
        <v>69</v>
      </c>
      <c r="C162" t="str">
        <f>IF('Casos de Prueba'!B163&lt;&gt;0,'Casos de Prueba'!B163&amp;"-"&amp;'Casos de Prueba'!C163:E163,"")</f>
        <v/>
      </c>
      <c r="D162">
        <f>IF(LEN($C162)&gt;0,"",'Casos de Prueba'!D163)</f>
        <v>2</v>
      </c>
      <c r="E162" t="str">
        <f>IF(LEN($C162)&gt;0,"",'Casos de Prueba'!E163)</f>
        <v>Da clic en Cerrar Sesión</v>
      </c>
      <c r="F162" t="str">
        <f>IF(LEN($C162)&gt;0,"",'Casos de Prueba'!F163&amp;CHAR(10)&amp;'Casos de Prueba'!G163)</f>
        <v xml:space="preserve">Cierra la aplicación y se direcciona a la pantalla de autenticación.
</v>
      </c>
    </row>
    <row r="163" spans="1:6" x14ac:dyDescent="0.35">
      <c r="A163">
        <f t="shared" si="4"/>
        <v>0</v>
      </c>
      <c r="B163">
        <f t="shared" si="5"/>
        <v>0</v>
      </c>
      <c r="C163" t="str">
        <f>IF('Casos de Prueba'!B164&lt;&gt;0,'Casos de Prueba'!B164&amp;"-"&amp;'Casos de Prueba'!C164:E164,"")</f>
        <v>CP23-Recuperar Descarga de CFDI</v>
      </c>
      <c r="D163" t="str">
        <f>IF(LEN($C163)&gt;0,"",'Casos de Prueba'!D164)</f>
        <v/>
      </c>
      <c r="E163" t="str">
        <f>IF(LEN($C163)&gt;0,"",'Casos de Prueba'!E164)</f>
        <v/>
      </c>
      <c r="F163" t="str">
        <f>IF(LEN($C163)&gt;0,"",'Casos de Prueba'!F164&amp;CHAR(10)&amp;'Casos de Prueba'!G164)</f>
        <v/>
      </c>
    </row>
    <row r="164" spans="1:6" x14ac:dyDescent="0.35">
      <c r="A164">
        <f t="shared" si="4"/>
        <v>64</v>
      </c>
      <c r="B164">
        <f t="shared" si="5"/>
        <v>576</v>
      </c>
      <c r="C164" t="str">
        <f>IF('Casos de Prueba'!B165&lt;&gt;0,'Casos de Prueba'!B165&amp;"-"&amp;'Casos de Prueba'!C165:E165,"")</f>
        <v/>
      </c>
      <c r="D164">
        <f>IF(LEN($C164)&gt;0,"",'Casos de Prueba'!D165)</f>
        <v>1</v>
      </c>
      <c r="E164" t="str">
        <f>IF(LEN($C164)&gt;0,"",'Casos de Prueba'!E165)</f>
        <v>Usuario ingresa al Portal Empleados Consulta Central Retenciones</v>
      </c>
      <c r="F164" t="str">
        <f>IF(LEN($C164)&gt;0,"",'Casos de Prueba'!F165&amp;CHAR(10)&amp;'Casos de Prueba'!G165)</f>
        <v>El sistema despliega las siguientes opciones de búsqueda:
- Folio Fiscal
- Fecha Inicial y Final de Emisión
- Masiva UUID
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
La información que se muestra en el archivo pdf, será toda la relativa a cada CFDI, en caso de que en alguna columna no se tenga información no se mostrará.</v>
      </c>
    </row>
    <row r="165" spans="1:6" x14ac:dyDescent="0.35">
      <c r="A165">
        <f t="shared" si="4"/>
        <v>50</v>
      </c>
      <c r="B165">
        <f t="shared" si="5"/>
        <v>1474</v>
      </c>
      <c r="C165" t="str">
        <f>IF('Casos de Prueba'!B166&lt;&gt;0,'Casos de Prueba'!B166&amp;"-"&amp;'Casos de Prueba'!C166:E166,"")</f>
        <v/>
      </c>
      <c r="D165">
        <f>IF(LEN($C165)&gt;0,"",'Casos de Prueba'!D166)</f>
        <v>2</v>
      </c>
      <c r="E165" t="str">
        <f>IF(LEN($C165)&gt;0,"",'Casos de Prueba'!E166)</f>
        <v>Selecciona la opción "Recuperar descargas de CFDI"</v>
      </c>
      <c r="F165" t="str">
        <f>IF(LEN($C165)&gt;0,"",'Casos de Prueba'!F166&amp;CHAR(10)&amp;'Casos de Prueba'!G166)</f>
        <v xml:space="preserve">Al dar clic al botón “Recuperar Descarga de CFDI” se debe generar una ventana adicional denominada “Solicitudes de descarga masiva”.
En esta ventana se visualiza el o los paquetes de los archivos generados por cada una de las solicitudes de descargas masivas, identificadas mediante el folio de descarga.
(RN10) 
Los campos que contiene esta ventana adicional son:
•	Solicitudes de descarga masiva: Título de la ventana (se debe visualizar centrado).
•	Descargar: Titulo que indica la selección de la descarga  
•	# de Paquete: Título que indica el número de paquete que contiene la solicitud de descarga.
•	Folio de Descarga: Título que indica el folio de descarga de la solicitud.
•	Tipo: Título que indica el formato del documento.
•	# de Documentos: Título que indica el número de archivos que contiene el paquete.
•	Fecha de la Solicitud: Título que indica la fecha que se solicitó la descarga.
•	  Icono que representa la funcionalidad de descarga del paquete de archivos correspondiente.
El tiempo para generar los paquetes es de 48 horas máximo, a partir de la fecha de generación del folio de descarga.
El aplicativo debe permitir la descarga de los paquetes con el icono de “Descargar”  , generando una ventana emergente con un archivo ZIP con la información correspondiente.
Los paquetes de descargas masivas estarán disponibles en la ventana de “Solicitudes de Descarga Masiva” a partir de la fecha de generación del folio de descarga, en un plazo de 3 días.
</v>
      </c>
    </row>
    <row r="166" spans="1:6" x14ac:dyDescent="0.35">
      <c r="A166">
        <f t="shared" si="4"/>
        <v>59</v>
      </c>
      <c r="B166">
        <f t="shared" si="5"/>
        <v>48</v>
      </c>
      <c r="C166" t="str">
        <f>IF('Casos de Prueba'!B167&lt;&gt;0,'Casos de Prueba'!B167&amp;"-"&amp;'Casos de Prueba'!C167:E167,"")</f>
        <v/>
      </c>
      <c r="D166">
        <f>IF(LEN($C166)&gt;0,"",'Casos de Prueba'!D167)</f>
        <v>3</v>
      </c>
      <c r="E166" t="str">
        <f>IF(LEN($C166)&gt;0,"",'Casos de Prueba'!E167)</f>
        <v xml:space="preserve">Seleccionar un registro y dar clic en el icono "Descargar" </v>
      </c>
      <c r="F166" t="str">
        <f>IF(LEN($C166)&gt;0,"",'Casos de Prueba'!F167&amp;CHAR(10)&amp;'Casos de Prueba'!G167)</f>
        <v xml:space="preserve">Se realiza la descarga del archivo seleccionado
</v>
      </c>
    </row>
    <row r="167" spans="1:6" x14ac:dyDescent="0.35">
      <c r="A167">
        <f t="shared" si="4"/>
        <v>24</v>
      </c>
      <c r="B167">
        <f t="shared" si="5"/>
        <v>69</v>
      </c>
      <c r="C167" t="str">
        <f>IF('Casos de Prueba'!B168&lt;&gt;0,'Casos de Prueba'!B168&amp;"-"&amp;'Casos de Prueba'!C168:E168,"")</f>
        <v/>
      </c>
      <c r="D167">
        <f>IF(LEN($C167)&gt;0,"",'Casos de Prueba'!D168)</f>
        <v>4</v>
      </c>
      <c r="E167" t="str">
        <f>IF(LEN($C167)&gt;0,"",'Casos de Prueba'!E168)</f>
        <v>Da clic en Cerrar Sesión</v>
      </c>
      <c r="F167" t="str">
        <f>IF(LEN($C167)&gt;0,"",'Casos de Prueba'!F168&amp;CHAR(10)&amp;'Casos de Prueba'!G168)</f>
        <v xml:space="preserve">Cierra la aplicación y se direcciona a la pantalla de autenticación.
</v>
      </c>
    </row>
    <row r="168" spans="1:6" x14ac:dyDescent="0.35">
      <c r="A168">
        <f t="shared" si="4"/>
        <v>0</v>
      </c>
      <c r="B168">
        <f t="shared" si="5"/>
        <v>0</v>
      </c>
      <c r="C168" t="str">
        <f>IF('Casos de Prueba'!B169&lt;&gt;0,'Casos de Prueba'!B169&amp;"-"&amp;'Casos de Prueba'!C169:E169,"")</f>
        <v>CP24-Sin Resultados</v>
      </c>
      <c r="D168" t="str">
        <f>IF(LEN($C168)&gt;0,"",'Casos de Prueba'!D169)</f>
        <v/>
      </c>
      <c r="E168" t="str">
        <f>IF(LEN($C168)&gt;0,"",'Casos de Prueba'!E169)</f>
        <v/>
      </c>
      <c r="F168" t="str">
        <f>IF(LEN($C168)&gt;0,"",'Casos de Prueba'!F169&amp;CHAR(10)&amp;'Casos de Prueba'!G169)</f>
        <v/>
      </c>
    </row>
    <row r="169" spans="1:6" x14ac:dyDescent="0.35">
      <c r="A169">
        <f t="shared" si="4"/>
        <v>26</v>
      </c>
      <c r="B169">
        <f t="shared" si="5"/>
        <v>520</v>
      </c>
      <c r="C169" t="str">
        <f>IF('Casos de Prueba'!B170&lt;&gt;0,'Casos de Prueba'!B170&amp;"-"&amp;'Casos de Prueba'!C170:E170,"")</f>
        <v/>
      </c>
      <c r="D169">
        <f>IF(LEN($C169)&gt;0,"",'Casos de Prueba'!D170)</f>
        <v>1</v>
      </c>
      <c r="E169" t="str">
        <f>IF(LEN($C169)&gt;0,"",'Casos de Prueba'!E170)</f>
        <v>Da clic en el botón buscar</v>
      </c>
      <c r="F169" t="str">
        <f>IF(LEN($C169)&gt;0,"",'Casos de Prueba'!F170&amp;CHAR(10)&amp;'Casos de Prueba'!G170)</f>
        <v>En caso de que no se encuentre información con los parámetros de búsqueda ingresados, el sistema muestra el siguiente mensaje: “No existen registros que cumplan con los criterios de búsqueda ingresados, intentar nuevamente”
Viene de los Casos de Prueba: 
CP01 ConsultaCentral_CFDI-Ret_Búsqueda/Folio Fiscal
CP02 ConsultaCentral_CFDI-Ret_Búsqueda/RFCEmisor
CP03 ConsultaCentral_CFDI-Ret_Búsqueda/RFCReceptor
CP04 ConsultaCentral_CFDI-Ret_Búsqueda/RFCReceptor y RFCEmisor
CP05 ConsultaCentral_CFDI-Ret_Búsqueda/Masiva UUID</v>
      </c>
    </row>
    <row r="170" spans="1:6" x14ac:dyDescent="0.35">
      <c r="A170">
        <f t="shared" si="4"/>
        <v>24</v>
      </c>
      <c r="B170">
        <f t="shared" si="5"/>
        <v>69</v>
      </c>
      <c r="C170" t="str">
        <f>IF('Casos de Prueba'!B171&lt;&gt;0,'Casos de Prueba'!B171&amp;"-"&amp;'Casos de Prueba'!C171:E171,"")</f>
        <v/>
      </c>
      <c r="D170">
        <f>IF(LEN($C170)&gt;0,"",'Casos de Prueba'!D171)</f>
        <v>2</v>
      </c>
      <c r="E170" t="str">
        <f>IF(LEN($C170)&gt;0,"",'Casos de Prueba'!E171)</f>
        <v>Da clic en Cerrar Sesión</v>
      </c>
      <c r="F170" t="str">
        <f>IF(LEN($C170)&gt;0,"",'Casos de Prueba'!F171&amp;CHAR(10)&amp;'Casos de Prueba'!G171)</f>
        <v xml:space="preserve">Cierra la aplicación y se direcciona a la pantalla de autenticación.
</v>
      </c>
    </row>
    <row r="171" spans="1:6" x14ac:dyDescent="0.35">
      <c r="A171">
        <f t="shared" si="4"/>
        <v>0</v>
      </c>
      <c r="B171">
        <f t="shared" si="5"/>
        <v>0</v>
      </c>
      <c r="C171" t="str">
        <f>IF('Casos de Prueba'!B172&lt;&gt;0,'Casos de Prueba'!B172&amp;"-"&amp;'Casos de Prueba'!C172:E172,"")</f>
        <v>CP25-RFC Emisor/PPE</v>
      </c>
      <c r="D171" t="str">
        <f>IF(LEN($C171)&gt;0,"",'Casos de Prueba'!D172)</f>
        <v/>
      </c>
      <c r="E171" t="str">
        <f>IF(LEN($C171)&gt;0,"",'Casos de Prueba'!E172)</f>
        <v/>
      </c>
      <c r="F171" t="str">
        <f>IF(LEN($C171)&gt;0,"",'Casos de Prueba'!F172&amp;CHAR(10)&amp;'Casos de Prueba'!G172)</f>
        <v/>
      </c>
    </row>
    <row r="172" spans="1:6" x14ac:dyDescent="0.35">
      <c r="A172">
        <f t="shared" si="4"/>
        <v>64</v>
      </c>
      <c r="B172">
        <f t="shared" si="5"/>
        <v>217</v>
      </c>
      <c r="C172" t="str">
        <f>IF('Casos de Prueba'!B173&lt;&gt;0,'Casos de Prueba'!B173&amp;"-"&amp;'Casos de Prueba'!C173:E173,"")</f>
        <v/>
      </c>
      <c r="D172">
        <f>IF(LEN($C172)&gt;0,"",'Casos de Prueba'!D173)</f>
        <v>1</v>
      </c>
      <c r="E172" t="str">
        <f>IF(LEN($C172)&gt;0,"",'Casos de Prueba'!E173)</f>
        <v>Usuario ingresa al Portal Empleados Consulta Central Retenciones</v>
      </c>
      <c r="F172" t="str">
        <f>IF(LEN($C172)&gt;0,"",'Casos de Prueba'!F173&amp;CHAR(10)&amp;'Casos de Prueba'!G173)</f>
        <v>El sistema despliega las siguientes opciones de búsqueda:
- Folio Fiscal
- Fecha Inicial y Final de Emisión
- Masiva UUID
El Usuario previamente se autenticó  y accedió al portal Empleados-Consulta Central Retenciones</v>
      </c>
    </row>
    <row r="173" spans="1:6" x14ac:dyDescent="0.35">
      <c r="A173">
        <f t="shared" si="4"/>
        <v>45</v>
      </c>
      <c r="B173">
        <f t="shared" si="5"/>
        <v>247</v>
      </c>
      <c r="C173" t="str">
        <f>IF('Casos de Prueba'!B174&lt;&gt;0,'Casos de Prueba'!B174&amp;"-"&amp;'Casos de Prueba'!C174:E174,"")</f>
        <v/>
      </c>
      <c r="D173">
        <f>IF(LEN($C173)&gt;0,"",'Casos de Prueba'!D174)</f>
        <v>2</v>
      </c>
      <c r="E173" t="str">
        <f>IF(LEN($C173)&gt;0,"",'Casos de Prueba'!E174)</f>
        <v>Selecciona la opción Fecha Inicial de Emisión</v>
      </c>
      <c r="F173" t="str">
        <f>IF(LEN($C173)&gt;0,"",'Casos de Prueba'!F174&amp;CHAR(10)&amp;'Casos de Prueba'!G174)</f>
        <v xml:space="preserve">El sistema habilita los siguientes campos:
•	Fecha Inicial de Emisión (*).
•	Fecha Final de Emisión (*). (RN04)
•	RFC Emisor. (RN02)
•	RFC Receptor. (RN02)
•	Estado del Comprobante.
•	Tipo de Comprobante (Complemento) (RN17).* Campos obligatorios
</v>
      </c>
    </row>
    <row r="174" spans="1:6" x14ac:dyDescent="0.35">
      <c r="A174">
        <f t="shared" si="4"/>
        <v>213</v>
      </c>
      <c r="B174">
        <f t="shared" si="5"/>
        <v>52</v>
      </c>
      <c r="C174" t="str">
        <f>IF('Casos de Prueba'!B175&lt;&gt;0,'Casos de Prueba'!B175&amp;"-"&amp;'Casos de Prueba'!C175:E175,"")</f>
        <v/>
      </c>
      <c r="D174">
        <f>IF(LEN($C174)&gt;0,"",'Casos de Prueba'!D175)</f>
        <v>3</v>
      </c>
      <c r="E174" t="str">
        <f>IF(LEN($C174)&gt;0,"",'Casos de Prueba'!E175)</f>
        <v xml:space="preserve">Ingresa los datos:
- *Fecha inicial de emisión
- *Fecha final de emisión
-  RFC Emisor
-  RFC Receptor
De manera opcional:
-  Estado del Comprobante
- Tipo de Comprobante(Complemento)(RN17)
* Campos obligatorios
</v>
      </c>
      <c r="F174" t="str">
        <f>IF(LEN($C174)&gt;0,"",'Casos de Prueba'!F175&amp;CHAR(10)&amp;'Casos de Prueba'!G175)</f>
        <v xml:space="preserve">El sistema muestra los datos que se van ingresando 
</v>
      </c>
    </row>
    <row r="175" spans="1:6" x14ac:dyDescent="0.35">
      <c r="A175">
        <f t="shared" si="4"/>
        <v>31</v>
      </c>
      <c r="B175">
        <f t="shared" si="5"/>
        <v>727</v>
      </c>
      <c r="C175" t="str">
        <f>IF('Casos de Prueba'!B176&lt;&gt;0,'Casos de Prueba'!B176&amp;"-"&amp;'Casos de Prueba'!C176:E176,"")</f>
        <v/>
      </c>
      <c r="D175">
        <f>IF(LEN($C175)&gt;0,"",'Casos de Prueba'!D176)</f>
        <v>4</v>
      </c>
      <c r="E175" t="str">
        <f>IF(LEN($C175)&gt;0,"",'Casos de Prueba'!E176)</f>
        <v>Da clic en el botón buscar CFDI</v>
      </c>
      <c r="F175" t="str">
        <f>IF(LEN($C175)&gt;0,"",'Casos de Prueba'!F176&amp;CHAR(10)&amp;'Casos de Prueba'!G176)</f>
        <v>El sistema valida que el usuario tenga permisos para consultar  PPE.
Si se encuentra en la lista para poder ver los PPE, el sistema muestra los resultados de acuerdo a la consulta, más  los registros RFC PPE.
Si el usuario no cuenta con permisos, muestra los resultados de acuerdo a una consulta normal no incluyendo los registros RFC PPE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176" spans="1:6" x14ac:dyDescent="0.35">
      <c r="A176">
        <f t="shared" si="4"/>
        <v>58</v>
      </c>
      <c r="B176">
        <f t="shared" si="5"/>
        <v>755</v>
      </c>
      <c r="C176" t="str">
        <f>IF('Casos de Prueba'!B177&lt;&gt;0,'Casos de Prueba'!B177&amp;"-"&amp;'Casos de Prueba'!C177:E177,"")</f>
        <v/>
      </c>
      <c r="D176">
        <f>IF(LEN($C176)&gt;0,"",'Casos de Prueba'!D177)</f>
        <v>5</v>
      </c>
      <c r="E176" t="str">
        <f>IF(LEN($C176)&gt;0,"",'Casos de Prueba'!E177)</f>
        <v>El usuario valida los registros en la sección "Resultados"</v>
      </c>
      <c r="F176" t="str">
        <f>IF(LEN($C176)&gt;0,"",'Casos de Prueba'!F177&amp;CHAR(10)&amp;'Casos de Prueba'!G177)</f>
        <v xml:space="preserve">En caso de no encontrar información ir al CP "Sin Resultados"
En caso contrario el sistema muestra:
Tabla con el encabezado y los datos siguientes:
A.	Casilla Acciones 
1)	Seleccionar.
2)	Descargar XML.
3)	Recuperar Representación Impresa.
B.	Datos de la Metadata del CFDI.
Columnas:
•	Folio Fiscal
•	RFC Emisor
•	Nombre o Razón Social del Emisor
•	RFC Receptor 
•	Nombre o Razón Social del Receptor
•	Fecha de Emisión
•	Fecha de Certificación
•	PAC que Certificó
•	Monto Total de la Operación  
•	Estado del Comprobante 
•	Fecha de Cancelación
•	Motivo de cancelación
•	Folio de sustitución
C.	Botones: 
1)	Descargar Seleccionados XML.
2)	Descargas RI.
3)	Descargar Metadata.
4)	Exportar Resultados a PDF.
5)	Exportar Resultados a CSV.
D.	Paginador.
</v>
      </c>
    </row>
    <row r="177" spans="1:6" x14ac:dyDescent="0.35">
      <c r="A177">
        <f t="shared" si="4"/>
        <v>24</v>
      </c>
      <c r="B177">
        <f t="shared" si="5"/>
        <v>69</v>
      </c>
      <c r="C177" t="str">
        <f>IF('Casos de Prueba'!B178&lt;&gt;0,'Casos de Prueba'!B178&amp;"-"&amp;'Casos de Prueba'!C178:E178,"")</f>
        <v/>
      </c>
      <c r="D177">
        <f>IF(LEN($C177)&gt;0,"",'Casos de Prueba'!D178)</f>
        <v>6</v>
      </c>
      <c r="E177" t="str">
        <f>IF(LEN($C177)&gt;0,"",'Casos de Prueba'!E178)</f>
        <v>Da clic en Cerrar Sesión</v>
      </c>
      <c r="F177" t="str">
        <f>IF(LEN($C177)&gt;0,"",'Casos de Prueba'!F178&amp;CHAR(10)&amp;'Casos de Prueba'!G178)</f>
        <v xml:space="preserve">Cierra la aplicación y se direcciona a la pantalla de autenticación.
</v>
      </c>
    </row>
    <row r="178" spans="1:6" x14ac:dyDescent="0.35">
      <c r="A178">
        <f t="shared" si="4"/>
        <v>0</v>
      </c>
      <c r="B178">
        <f t="shared" si="5"/>
        <v>0</v>
      </c>
      <c r="C178" t="str">
        <f>IF('Casos de Prueba'!B179&lt;&gt;0,'Casos de Prueba'!B179&amp;"-"&amp;'Casos de Prueba'!C179:E179,"")</f>
        <v>CP26-RFC Receptor/PPE</v>
      </c>
      <c r="D178" t="str">
        <f>IF(LEN($C178)&gt;0,"",'Casos de Prueba'!D179)</f>
        <v/>
      </c>
      <c r="E178" t="str">
        <f>IF(LEN($C178)&gt;0,"",'Casos de Prueba'!E179)</f>
        <v/>
      </c>
      <c r="F178" t="str">
        <f>IF(LEN($C178)&gt;0,"",'Casos de Prueba'!F179&amp;CHAR(10)&amp;'Casos de Prueba'!G179)</f>
        <v/>
      </c>
    </row>
    <row r="179" spans="1:6" x14ac:dyDescent="0.35">
      <c r="A179">
        <f t="shared" si="4"/>
        <v>64</v>
      </c>
      <c r="B179">
        <f t="shared" si="5"/>
        <v>217</v>
      </c>
      <c r="C179" t="str">
        <f>IF('Casos de Prueba'!B180&lt;&gt;0,'Casos de Prueba'!B180&amp;"-"&amp;'Casos de Prueba'!C180:E180,"")</f>
        <v/>
      </c>
      <c r="D179">
        <f>IF(LEN($C179)&gt;0,"",'Casos de Prueba'!D180)</f>
        <v>1</v>
      </c>
      <c r="E179" t="str">
        <f>IF(LEN($C179)&gt;0,"",'Casos de Prueba'!E180)</f>
        <v>Usuario ingresa al Portal Empleados Consulta Central Retenciones</v>
      </c>
      <c r="F179" t="str">
        <f>IF(LEN($C179)&gt;0,"",'Casos de Prueba'!F180&amp;CHAR(10)&amp;'Casos de Prueba'!G180)</f>
        <v>El sistema despliega las siguientes opciones de búsqueda:
- Folio Fiscal
- Fecha Inicial y Final de Emisión
- Masiva UUID
El Usuario previamente se autenticó  y accedió al portal Empleados-Consulta Central Retenciones</v>
      </c>
    </row>
    <row r="180" spans="1:6" x14ac:dyDescent="0.35">
      <c r="A180">
        <f t="shared" si="4"/>
        <v>45</v>
      </c>
      <c r="B180">
        <f t="shared" si="5"/>
        <v>247</v>
      </c>
      <c r="C180" t="str">
        <f>IF('Casos de Prueba'!B181&lt;&gt;0,'Casos de Prueba'!B181&amp;"-"&amp;'Casos de Prueba'!C181:E181,"")</f>
        <v/>
      </c>
      <c r="D180">
        <f>IF(LEN($C180)&gt;0,"",'Casos de Prueba'!D181)</f>
        <v>2</v>
      </c>
      <c r="E180" t="str">
        <f>IF(LEN($C180)&gt;0,"",'Casos de Prueba'!E181)</f>
        <v>Selecciona la opción Fecha Inicial de Emisión</v>
      </c>
      <c r="F180" t="str">
        <f>IF(LEN($C180)&gt;0,"",'Casos de Prueba'!F181&amp;CHAR(10)&amp;'Casos de Prueba'!G181)</f>
        <v xml:space="preserve">El sistema habilita los siguientes campos:
•	Fecha Inicial de Emisión (*).
•	Fecha Final de Emisión (*). (RN04)
•	RFC Emisor. (RN02)
•	RFC Receptor. (RN02)
•	Estado del Comprobante.
•	Tipo de Comprobante (Complemento) (RN17).* Campos obligatorios
</v>
      </c>
    </row>
    <row r="181" spans="1:6" x14ac:dyDescent="0.35">
      <c r="A181">
        <f t="shared" si="4"/>
        <v>213</v>
      </c>
      <c r="B181">
        <f t="shared" si="5"/>
        <v>52</v>
      </c>
      <c r="C181" t="str">
        <f>IF('Casos de Prueba'!B182&lt;&gt;0,'Casos de Prueba'!B182&amp;"-"&amp;'Casos de Prueba'!C182:E182,"")</f>
        <v/>
      </c>
      <c r="D181">
        <f>IF(LEN($C181)&gt;0,"",'Casos de Prueba'!D182)</f>
        <v>3</v>
      </c>
      <c r="E181" t="str">
        <f>IF(LEN($C181)&gt;0,"",'Casos de Prueba'!E182)</f>
        <v xml:space="preserve">Ingresa los datos:
- *Fecha inicial de emisión
- *Fecha final de emisión
-  RFC Emisor
-  RFC Receptor
De manera opcional:
-  Estado del Comprobante
- Tipo de Comprobante(Complemento)(RN17)
* Campos obligatorios
</v>
      </c>
      <c r="F181" t="str">
        <f>IF(LEN($C181)&gt;0,"",'Casos de Prueba'!F182&amp;CHAR(10)&amp;'Casos de Prueba'!G182)</f>
        <v xml:space="preserve">El sistema muestra los datos que se van ingresando 
</v>
      </c>
    </row>
    <row r="182" spans="1:6" x14ac:dyDescent="0.35">
      <c r="A182">
        <f t="shared" si="4"/>
        <v>31</v>
      </c>
      <c r="B182">
        <f t="shared" si="5"/>
        <v>728</v>
      </c>
      <c r="C182" t="str">
        <f>IF('Casos de Prueba'!B183&lt;&gt;0,'Casos de Prueba'!B183&amp;"-"&amp;'Casos de Prueba'!C183:E183,"")</f>
        <v/>
      </c>
      <c r="D182">
        <f>IF(LEN($C182)&gt;0,"",'Casos de Prueba'!D183)</f>
        <v>4</v>
      </c>
      <c r="E182" t="str">
        <f>IF(LEN($C182)&gt;0,"",'Casos de Prueba'!E183)</f>
        <v>Da clic en el botón buscar CFDI</v>
      </c>
      <c r="F182" t="str">
        <f>IF(LEN($C182)&gt;0,"",'Casos de Prueba'!F183&amp;CHAR(10)&amp;'Casos de Prueba'!G184)</f>
        <v>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a)	En una consulta por Folio fiscal o cuando se realice la consulta por periodo de fecha y el resultado sea uno:
o	Descargar Metadata 
o	Exportar Resultados PDF
o	Exportar Resultados CSV
b)	En una consulta por periodo de fecha de emisión y el resultado sea más de uno
o	Descargar RI
o	Descargar Seleccionados XML
o	Descargar Metadata
o	Exportar Resultados PDF
o	Exportar Resultados CSV</v>
      </c>
    </row>
    <row r="183" spans="1:6" x14ac:dyDescent="0.35">
      <c r="A183">
        <f t="shared" si="4"/>
        <v>58</v>
      </c>
      <c r="B183" t="e">
        <f t="shared" si="5"/>
        <v>#REF!</v>
      </c>
      <c r="C183" t="str">
        <f>IF('Casos de Prueba'!B184&lt;&gt;0,'Casos de Prueba'!B184&amp;"-"&amp;'Casos de Prueba'!C184:E184,"")</f>
        <v/>
      </c>
      <c r="D183">
        <f>IF(LEN($C183)&gt;0,"",'Casos de Prueba'!D184)</f>
        <v>5</v>
      </c>
      <c r="E183" t="str">
        <f>IF(LEN($C183)&gt;0,"",'Casos de Prueba'!E184)</f>
        <v>El usuario valida los registros en la sección "Resultados"</v>
      </c>
      <c r="F183" t="e">
        <f>IF(LEN($C183)&gt;0,"",'Casos de Prueba'!F184&amp;CHAR(10)&amp;'Casos de Prueba'!#REF!)</f>
        <v>#REF!</v>
      </c>
    </row>
    <row r="184" spans="1:6" x14ac:dyDescent="0.35">
      <c r="A184">
        <f t="shared" si="4"/>
        <v>24</v>
      </c>
      <c r="B184">
        <f t="shared" si="5"/>
        <v>69</v>
      </c>
      <c r="C184" t="str">
        <f>IF('Casos de Prueba'!B185&lt;&gt;0,'Casos de Prueba'!B185&amp;"-"&amp;'Casos de Prueba'!C185:E185,"")</f>
        <v/>
      </c>
      <c r="D184">
        <f>IF(LEN($C184)&gt;0,"",'Casos de Prueba'!D185)</f>
        <v>6</v>
      </c>
      <c r="E184" t="str">
        <f>IF(LEN($C184)&gt;0,"",'Casos de Prueba'!E185)</f>
        <v>Da clic en Cerrar Sesión</v>
      </c>
      <c r="F184" t="str">
        <f>IF(LEN($C184)&gt;0,"",'Casos de Prueba'!F185&amp;CHAR(10)&amp;'Casos de Prueba'!G185)</f>
        <v xml:space="preserve">Cierra la aplicación y se direcciona a la pantalla de autenticación.
</v>
      </c>
    </row>
    <row r="185" spans="1:6" x14ac:dyDescent="0.35">
      <c r="A185" t="e">
        <f t="shared" si="4"/>
        <v>#REF!</v>
      </c>
      <c r="B185" t="e">
        <f t="shared" si="5"/>
        <v>#REF!</v>
      </c>
      <c r="C185" t="e">
        <f>IF('Casos de Prueba'!#REF!&lt;&gt;0,'Casos de Prueba'!#REF!&amp;"-"&amp;_xlfn.SINGLE('Casos de Prueba'!#REF!),"")</f>
        <v>#REF!</v>
      </c>
      <c r="D185" t="e">
        <f>IF(LEN($C185)&gt;0,"",'Casos de Prueba'!#REF!)</f>
        <v>#REF!</v>
      </c>
      <c r="E185" t="e">
        <f>IF(LEN($C185)&gt;0,"",'Casos de Prueba'!#REF!)</f>
        <v>#REF!</v>
      </c>
      <c r="F185" t="e">
        <f>IF(LEN($C185)&gt;0,"",'Casos de Prueba'!#REF!&amp;CHAR(10)&amp;'Casos de Prueba'!#REF!)</f>
        <v>#REF!</v>
      </c>
    </row>
    <row r="186" spans="1:6" x14ac:dyDescent="0.35">
      <c r="A186" t="e">
        <f t="shared" si="4"/>
        <v>#REF!</v>
      </c>
      <c r="B186" t="e">
        <f t="shared" si="5"/>
        <v>#REF!</v>
      </c>
      <c r="C186" t="e">
        <f>IF('Casos de Prueba'!#REF!&lt;&gt;0,'Casos de Prueba'!#REF!&amp;"-"&amp;_xlfn.SINGLE('Casos de Prueba'!#REF!),"")</f>
        <v>#REF!</v>
      </c>
      <c r="D186" t="e">
        <f>IF(LEN($C186)&gt;0,"",'Casos de Prueba'!#REF!)</f>
        <v>#REF!</v>
      </c>
      <c r="E186" t="e">
        <f>IF(LEN($C186)&gt;0,"",'Casos de Prueba'!#REF!)</f>
        <v>#REF!</v>
      </c>
      <c r="F186" t="e">
        <f>IF(LEN($C186)&gt;0,"",'Casos de Prueba'!#REF!&amp;CHAR(10)&amp;'Casos de Prueba'!#REF!)</f>
        <v>#REF!</v>
      </c>
    </row>
    <row r="187" spans="1:6" x14ac:dyDescent="0.35">
      <c r="A187" t="e">
        <f t="shared" si="4"/>
        <v>#REF!</v>
      </c>
      <c r="B187" t="e">
        <f t="shared" si="5"/>
        <v>#REF!</v>
      </c>
      <c r="C187" t="e">
        <f>IF('Casos de Prueba'!#REF!&lt;&gt;0,'Casos de Prueba'!#REF!&amp;"-"&amp;_xlfn.SINGLE('Casos de Prueba'!#REF!),"")</f>
        <v>#REF!</v>
      </c>
      <c r="D187" t="e">
        <f>IF(LEN($C187)&gt;0,"",'Casos de Prueba'!#REF!)</f>
        <v>#REF!</v>
      </c>
      <c r="E187" t="e">
        <f>IF(LEN($C187)&gt;0,"",'Casos de Prueba'!#REF!)</f>
        <v>#REF!</v>
      </c>
      <c r="F187" t="e">
        <f>IF(LEN($C187)&gt;0,"",'Casos de Prueba'!#REF!&amp;CHAR(10)&amp;'Casos de Prueba'!#REF!)</f>
        <v>#REF!</v>
      </c>
    </row>
    <row r="188" spans="1:6" x14ac:dyDescent="0.35">
      <c r="A188" t="e">
        <f t="shared" si="4"/>
        <v>#REF!</v>
      </c>
      <c r="B188" t="e">
        <f t="shared" si="5"/>
        <v>#REF!</v>
      </c>
      <c r="C188" t="e">
        <f>IF('Casos de Prueba'!#REF!&lt;&gt;0,'Casos de Prueba'!#REF!&amp;"-"&amp;_xlfn.SINGLE('Casos de Prueba'!#REF!),"")</f>
        <v>#REF!</v>
      </c>
      <c r="D188" t="e">
        <f>IF(LEN($C188)&gt;0,"",'Casos de Prueba'!#REF!)</f>
        <v>#REF!</v>
      </c>
      <c r="E188" t="e">
        <f>IF(LEN($C188)&gt;0,"",'Casos de Prueba'!#REF!)</f>
        <v>#REF!</v>
      </c>
      <c r="F188" t="e">
        <f>IF(LEN($C188)&gt;0,"",'Casos de Prueba'!#REF!&amp;CHAR(10)&amp;'Casos de Prueba'!#REF!)</f>
        <v>#REF!</v>
      </c>
    </row>
    <row r="189" spans="1:6" x14ac:dyDescent="0.35">
      <c r="A189" t="e">
        <f t="shared" si="4"/>
        <v>#REF!</v>
      </c>
      <c r="B189" t="e">
        <f t="shared" si="5"/>
        <v>#REF!</v>
      </c>
      <c r="C189" t="e">
        <f>IF('Casos de Prueba'!#REF!&lt;&gt;0,'Casos de Prueba'!#REF!&amp;"-"&amp;_xlfn.SINGLE('Casos de Prueba'!#REF!),"")</f>
        <v>#REF!</v>
      </c>
      <c r="D189" t="e">
        <f>IF(LEN($C189)&gt;0,"",'Casos de Prueba'!#REF!)</f>
        <v>#REF!</v>
      </c>
      <c r="E189" t="e">
        <f>IF(LEN($C189)&gt;0,"",'Casos de Prueba'!#REF!)</f>
        <v>#REF!</v>
      </c>
      <c r="F189" t="e">
        <f>IF(LEN($C189)&gt;0,"",'Casos de Prueba'!#REF!&amp;CHAR(10)&amp;'Casos de Prueba'!#REF!)</f>
        <v>#REF!</v>
      </c>
    </row>
    <row r="190" spans="1:6" x14ac:dyDescent="0.35">
      <c r="A190" t="e">
        <f t="shared" si="4"/>
        <v>#REF!</v>
      </c>
      <c r="B190" t="e">
        <f t="shared" si="5"/>
        <v>#REF!</v>
      </c>
      <c r="C190" t="e">
        <f>IF('Casos de Prueba'!#REF!&lt;&gt;0,'Casos de Prueba'!#REF!&amp;"-"&amp;_xlfn.SINGLE('Casos de Prueba'!#REF!),"")</f>
        <v>#REF!</v>
      </c>
      <c r="D190" t="e">
        <f>IF(LEN($C190)&gt;0,"",'Casos de Prueba'!#REF!)</f>
        <v>#REF!</v>
      </c>
      <c r="E190" t="e">
        <f>IF(LEN($C190)&gt;0,"",'Casos de Prueba'!#REF!)</f>
        <v>#REF!</v>
      </c>
      <c r="F190" t="e">
        <f>IF(LEN($C190)&gt;0,"",'Casos de Prueba'!#REF!&amp;CHAR(10)&amp;'Casos de Prueba'!#REF!)</f>
        <v>#REF!</v>
      </c>
    </row>
    <row r="191" spans="1:6" x14ac:dyDescent="0.35">
      <c r="A191" t="e">
        <f t="shared" si="4"/>
        <v>#REF!</v>
      </c>
      <c r="B191" t="e">
        <f t="shared" si="5"/>
        <v>#REF!</v>
      </c>
      <c r="C191" t="e">
        <f>IF('Casos de Prueba'!#REF!&lt;&gt;0,'Casos de Prueba'!#REF!&amp;"-"&amp;_xlfn.SINGLE('Casos de Prueba'!#REF!),"")</f>
        <v>#REF!</v>
      </c>
      <c r="D191" t="e">
        <f>IF(LEN($C191)&gt;0,"",'Casos de Prueba'!#REF!)</f>
        <v>#REF!</v>
      </c>
      <c r="E191" t="e">
        <f>IF(LEN($C191)&gt;0,"",'Casos de Prueba'!#REF!)</f>
        <v>#REF!</v>
      </c>
      <c r="F191" t="e">
        <f>IF(LEN($C191)&gt;0,"",'Casos de Prueba'!#REF!&amp;CHAR(10)&amp;'Casos de Prueba'!#REF!)</f>
        <v>#REF!</v>
      </c>
    </row>
    <row r="192" spans="1:6" x14ac:dyDescent="0.35">
      <c r="A192" t="e">
        <f t="shared" si="4"/>
        <v>#REF!</v>
      </c>
      <c r="B192" t="e">
        <f t="shared" si="5"/>
        <v>#REF!</v>
      </c>
      <c r="C192" t="e">
        <f>IF('Casos de Prueba'!#REF!&lt;&gt;0,'Casos de Prueba'!#REF!&amp;"-"&amp;_xlfn.SINGLE('Casos de Prueba'!#REF!),"")</f>
        <v>#REF!</v>
      </c>
      <c r="D192" t="e">
        <f>IF(LEN($C192)&gt;0,"",'Casos de Prueba'!#REF!)</f>
        <v>#REF!</v>
      </c>
      <c r="E192" t="e">
        <f>IF(LEN($C192)&gt;0,"",'Casos de Prueba'!#REF!)</f>
        <v>#REF!</v>
      </c>
      <c r="F192" t="e">
        <f>IF(LEN($C192)&gt;0,"",'Casos de Prueba'!#REF!&amp;CHAR(10)&amp;'Casos de Prueba'!#REF!)</f>
        <v>#REF!</v>
      </c>
    </row>
    <row r="193" spans="1:6" x14ac:dyDescent="0.35">
      <c r="A193" t="e">
        <f t="shared" si="4"/>
        <v>#REF!</v>
      </c>
      <c r="B193" t="e">
        <f t="shared" si="5"/>
        <v>#REF!</v>
      </c>
      <c r="C193" t="e">
        <f>IF('Casos de Prueba'!#REF!&lt;&gt;0,'Casos de Prueba'!#REF!&amp;"-"&amp;_xlfn.SINGLE('Casos de Prueba'!#REF!),"")</f>
        <v>#REF!</v>
      </c>
      <c r="D193" t="e">
        <f>IF(LEN($C193)&gt;0,"",'Casos de Prueba'!#REF!)</f>
        <v>#REF!</v>
      </c>
      <c r="E193" t="e">
        <f>IF(LEN($C193)&gt;0,"",'Casos de Prueba'!#REF!)</f>
        <v>#REF!</v>
      </c>
      <c r="F193" t="e">
        <f>IF(LEN($C193)&gt;0,"",'Casos de Prueba'!#REF!&amp;CHAR(10)&amp;'Casos de Prueba'!#REF!)</f>
        <v>#REF!</v>
      </c>
    </row>
    <row r="194" spans="1:6" x14ac:dyDescent="0.35">
      <c r="A194" t="e">
        <f t="shared" si="4"/>
        <v>#REF!</v>
      </c>
      <c r="B194" t="e">
        <f t="shared" si="5"/>
        <v>#REF!</v>
      </c>
      <c r="C194" t="e">
        <f>IF('Casos de Prueba'!#REF!&lt;&gt;0,'Casos de Prueba'!#REF!&amp;"-"&amp;_xlfn.SINGLE('Casos de Prueba'!#REF!),"")</f>
        <v>#REF!</v>
      </c>
      <c r="D194" t="e">
        <f>IF(LEN($C194)&gt;0,"",'Casos de Prueba'!#REF!)</f>
        <v>#REF!</v>
      </c>
      <c r="E194" t="e">
        <f>IF(LEN($C194)&gt;0,"",'Casos de Prueba'!#REF!)</f>
        <v>#REF!</v>
      </c>
      <c r="F194" t="e">
        <f>IF(LEN($C194)&gt;0,"",'Casos de Prueba'!#REF!&amp;CHAR(10)&amp;'Casos de Prueba'!#REF!)</f>
        <v>#REF!</v>
      </c>
    </row>
    <row r="195" spans="1:6" x14ac:dyDescent="0.35">
      <c r="A195" t="e">
        <f t="shared" si="4"/>
        <v>#REF!</v>
      </c>
      <c r="B195" t="e">
        <f t="shared" si="5"/>
        <v>#REF!</v>
      </c>
      <c r="C195" t="e">
        <f>IF('Casos de Prueba'!#REF!&lt;&gt;0,'Casos de Prueba'!#REF!&amp;"-"&amp;_xlfn.SINGLE('Casos de Prueba'!#REF!),"")</f>
        <v>#REF!</v>
      </c>
      <c r="D195" t="e">
        <f>IF(LEN($C195)&gt;0,"",'Casos de Prueba'!#REF!)</f>
        <v>#REF!</v>
      </c>
      <c r="E195" t="e">
        <f>IF(LEN($C195)&gt;0,"",'Casos de Prueba'!#REF!)</f>
        <v>#REF!</v>
      </c>
      <c r="F195" t="e">
        <f>IF(LEN($C195)&gt;0,"",'Casos de Prueba'!#REF!&amp;CHAR(10)&amp;'Casos de Prueba'!#REF!)</f>
        <v>#REF!</v>
      </c>
    </row>
    <row r="196" spans="1:6" x14ac:dyDescent="0.35">
      <c r="A196" t="e">
        <f t="shared" si="4"/>
        <v>#REF!</v>
      </c>
      <c r="B196" t="e">
        <f t="shared" si="5"/>
        <v>#REF!</v>
      </c>
      <c r="C196" t="e">
        <f>IF('Casos de Prueba'!#REF!&lt;&gt;0,'Casos de Prueba'!#REF!&amp;"-"&amp;_xlfn.SINGLE('Casos de Prueba'!#REF!),"")</f>
        <v>#REF!</v>
      </c>
      <c r="D196" t="e">
        <f>IF(LEN($C196)&gt;0,"",'Casos de Prueba'!#REF!)</f>
        <v>#REF!</v>
      </c>
      <c r="E196" t="e">
        <f>IF(LEN($C196)&gt;0,"",'Casos de Prueba'!#REF!)</f>
        <v>#REF!</v>
      </c>
      <c r="F196" t="e">
        <f>IF(LEN($C196)&gt;0,"",'Casos de Prueba'!#REF!&amp;CHAR(10)&amp;'Casos de Prueba'!#REF!)</f>
        <v>#REF!</v>
      </c>
    </row>
    <row r="197" spans="1:6" x14ac:dyDescent="0.35">
      <c r="A197" t="e">
        <f t="shared" si="4"/>
        <v>#REF!</v>
      </c>
      <c r="B197" t="e">
        <f t="shared" si="5"/>
        <v>#REF!</v>
      </c>
      <c r="C197" t="e">
        <f>IF('Casos de Prueba'!#REF!&lt;&gt;0,'Casos de Prueba'!#REF!&amp;"-"&amp;_xlfn.SINGLE('Casos de Prueba'!#REF!),"")</f>
        <v>#REF!</v>
      </c>
      <c r="D197" t="e">
        <f>IF(LEN($C197)&gt;0,"",'Casos de Prueba'!#REF!)</f>
        <v>#REF!</v>
      </c>
      <c r="E197" t="e">
        <f>IF(LEN($C197)&gt;0,"",'Casos de Prueba'!#REF!)</f>
        <v>#REF!</v>
      </c>
      <c r="F197" t="e">
        <f>IF(LEN($C197)&gt;0,"",'Casos de Prueba'!#REF!&amp;CHAR(10)&amp;'Casos de Prueba'!#REF!)</f>
        <v>#REF!</v>
      </c>
    </row>
    <row r="198" spans="1:6" x14ac:dyDescent="0.35">
      <c r="A198" t="e">
        <f t="shared" si="4"/>
        <v>#REF!</v>
      </c>
      <c r="B198" t="e">
        <f t="shared" si="5"/>
        <v>#REF!</v>
      </c>
      <c r="C198" t="e">
        <f>IF('Casos de Prueba'!#REF!&lt;&gt;0,'Casos de Prueba'!#REF!&amp;"-"&amp;_xlfn.SINGLE('Casos de Prueba'!#REF!),"")</f>
        <v>#REF!</v>
      </c>
      <c r="D198" t="e">
        <f>IF(LEN($C198)&gt;0,"",'Casos de Prueba'!#REF!)</f>
        <v>#REF!</v>
      </c>
      <c r="E198" t="e">
        <f>IF(LEN($C198)&gt;0,"",'Casos de Prueba'!#REF!)</f>
        <v>#REF!</v>
      </c>
      <c r="F198" t="e">
        <f>IF(LEN($C198)&gt;0,"",'Casos de Prueba'!#REF!&amp;CHAR(10)&amp;'Casos de Prueba'!#REF!)</f>
        <v>#REF!</v>
      </c>
    </row>
    <row r="199" spans="1:6" x14ac:dyDescent="0.35">
      <c r="A199" t="e">
        <f t="shared" si="4"/>
        <v>#REF!</v>
      </c>
      <c r="B199" t="e">
        <f t="shared" si="5"/>
        <v>#REF!</v>
      </c>
      <c r="C199" t="e">
        <f>IF('Casos de Prueba'!#REF!&lt;&gt;0,'Casos de Prueba'!#REF!&amp;"-"&amp;_xlfn.SINGLE('Casos de Prueba'!#REF!),"")</f>
        <v>#REF!</v>
      </c>
      <c r="D199" t="e">
        <f>IF(LEN($C199)&gt;0,"",'Casos de Prueba'!#REF!)</f>
        <v>#REF!</v>
      </c>
      <c r="E199" t="e">
        <f>IF(LEN($C199)&gt;0,"",'Casos de Prueba'!#REF!)</f>
        <v>#REF!</v>
      </c>
      <c r="F199" t="e">
        <f>IF(LEN($C199)&gt;0,"",'Casos de Prueba'!#REF!&amp;CHAR(10)&amp;'Casos de Prueba'!#REF!)</f>
        <v>#REF!</v>
      </c>
    </row>
    <row r="200" spans="1:6" x14ac:dyDescent="0.35">
      <c r="A200" t="e">
        <f t="shared" si="4"/>
        <v>#REF!</v>
      </c>
      <c r="B200" t="e">
        <f t="shared" si="5"/>
        <v>#REF!</v>
      </c>
      <c r="C200" t="e">
        <f>IF('Casos de Prueba'!#REF!&lt;&gt;0,'Casos de Prueba'!#REF!&amp;"-"&amp;_xlfn.SINGLE('Casos de Prueba'!#REF!),"")</f>
        <v>#REF!</v>
      </c>
      <c r="D200" t="e">
        <f>IF(LEN($C200)&gt;0,"",'Casos de Prueba'!#REF!)</f>
        <v>#REF!</v>
      </c>
      <c r="E200" t="e">
        <f>IF(LEN($C200)&gt;0,"",'Casos de Prueba'!#REF!)</f>
        <v>#REF!</v>
      </c>
      <c r="F200" t="e">
        <f>IF(LEN($C200)&gt;0,"",'Casos de Prueba'!#REF!&amp;CHAR(10)&amp;'Casos de Prueba'!#REF!)</f>
        <v>#REF!</v>
      </c>
    </row>
    <row r="201" spans="1:6" x14ac:dyDescent="0.35">
      <c r="A201" t="e">
        <f t="shared" si="4"/>
        <v>#REF!</v>
      </c>
      <c r="B201" t="e">
        <f t="shared" si="5"/>
        <v>#REF!</v>
      </c>
      <c r="C201" t="e">
        <f>IF('Casos de Prueba'!#REF!&lt;&gt;0,'Casos de Prueba'!#REF!&amp;"-"&amp;_xlfn.SINGLE('Casos de Prueba'!#REF!),"")</f>
        <v>#REF!</v>
      </c>
      <c r="D201" t="e">
        <f>IF(LEN($C201)&gt;0,"",'Casos de Prueba'!#REF!)</f>
        <v>#REF!</v>
      </c>
      <c r="E201" t="e">
        <f>IF(LEN($C201)&gt;0,"",'Casos de Prueba'!#REF!)</f>
        <v>#REF!</v>
      </c>
      <c r="F201" t="e">
        <f>IF(LEN($C201)&gt;0,"",'Casos de Prueba'!#REF!&amp;CHAR(10)&amp;'Casos de Prueba'!#REF!)</f>
        <v>#REF!</v>
      </c>
    </row>
    <row r="202" spans="1:6" x14ac:dyDescent="0.35">
      <c r="A202" t="e">
        <f t="shared" si="4"/>
        <v>#REF!</v>
      </c>
      <c r="B202" t="e">
        <f t="shared" si="5"/>
        <v>#REF!</v>
      </c>
      <c r="C202" t="e">
        <f>IF('Casos de Prueba'!#REF!&lt;&gt;0,'Casos de Prueba'!#REF!&amp;"-"&amp;_xlfn.SINGLE('Casos de Prueba'!#REF!),"")</f>
        <v>#REF!</v>
      </c>
      <c r="D202" t="e">
        <f>IF(LEN($C202)&gt;0,"",'Casos de Prueba'!#REF!)</f>
        <v>#REF!</v>
      </c>
      <c r="E202" t="e">
        <f>IF(LEN($C202)&gt;0,"",'Casos de Prueba'!#REF!)</f>
        <v>#REF!</v>
      </c>
      <c r="F202" t="e">
        <f>IF(LEN($C202)&gt;0,"",'Casos de Prueba'!#REF!&amp;CHAR(10)&amp;'Casos de Prueba'!#REF!)</f>
        <v>#REF!</v>
      </c>
    </row>
    <row r="203" spans="1:6" x14ac:dyDescent="0.35">
      <c r="A203" t="e">
        <f t="shared" si="4"/>
        <v>#REF!</v>
      </c>
      <c r="B203" t="e">
        <f t="shared" si="5"/>
        <v>#REF!</v>
      </c>
      <c r="C203" t="e">
        <f>IF('Casos de Prueba'!#REF!&lt;&gt;0,'Casos de Prueba'!#REF!&amp;"-"&amp;_xlfn.SINGLE('Casos de Prueba'!#REF!),"")</f>
        <v>#REF!</v>
      </c>
      <c r="D203" t="e">
        <f>IF(LEN($C203)&gt;0,"",'Casos de Prueba'!#REF!)</f>
        <v>#REF!</v>
      </c>
      <c r="E203" t="e">
        <f>IF(LEN($C203)&gt;0,"",'Casos de Prueba'!#REF!)</f>
        <v>#REF!</v>
      </c>
      <c r="F203" t="e">
        <f>IF(LEN($C203)&gt;0,"",'Casos de Prueba'!#REF!&amp;CHAR(10)&amp;'Casos de Prueba'!#REF!)</f>
        <v>#REF!</v>
      </c>
    </row>
    <row r="204" spans="1:6" x14ac:dyDescent="0.35">
      <c r="A204" t="e">
        <f t="shared" si="4"/>
        <v>#REF!</v>
      </c>
      <c r="B204" t="e">
        <f t="shared" si="5"/>
        <v>#REF!</v>
      </c>
      <c r="C204" t="e">
        <f>IF('Casos de Prueba'!#REF!&lt;&gt;0,'Casos de Prueba'!#REF!&amp;"-"&amp;_xlfn.SINGLE('Casos de Prueba'!#REF!),"")</f>
        <v>#REF!</v>
      </c>
      <c r="D204" t="e">
        <f>IF(LEN($C204)&gt;0,"",'Casos de Prueba'!#REF!)</f>
        <v>#REF!</v>
      </c>
      <c r="E204" t="e">
        <f>IF(LEN($C204)&gt;0,"",'Casos de Prueba'!#REF!)</f>
        <v>#REF!</v>
      </c>
      <c r="F204" t="e">
        <f>IF(LEN($C204)&gt;0,"",'Casos de Prueba'!#REF!&amp;CHAR(10)&amp;'Casos de Prueba'!#REF!)</f>
        <v>#REF!</v>
      </c>
    </row>
    <row r="205" spans="1:6" x14ac:dyDescent="0.35">
      <c r="A205" t="e">
        <f t="shared" si="4"/>
        <v>#REF!</v>
      </c>
      <c r="B205" t="e">
        <f t="shared" si="5"/>
        <v>#REF!</v>
      </c>
      <c r="C205" t="e">
        <f>IF('Casos de Prueba'!#REF!&lt;&gt;0,'Casos de Prueba'!#REF!&amp;"-"&amp;_xlfn.SINGLE('Casos de Prueba'!#REF!),"")</f>
        <v>#REF!</v>
      </c>
      <c r="D205" t="e">
        <f>IF(LEN($C205)&gt;0,"",'Casos de Prueba'!#REF!)</f>
        <v>#REF!</v>
      </c>
      <c r="E205" t="e">
        <f>IF(LEN($C205)&gt;0,"",'Casos de Prueba'!#REF!)</f>
        <v>#REF!</v>
      </c>
      <c r="F205" t="e">
        <f>IF(LEN($C205)&gt;0,"",'Casos de Prueba'!#REF!&amp;CHAR(10)&amp;'Casos de Prueba'!#REF!)</f>
        <v>#REF!</v>
      </c>
    </row>
    <row r="206" spans="1:6" x14ac:dyDescent="0.35">
      <c r="A206">
        <f t="shared" si="4"/>
        <v>0</v>
      </c>
      <c r="B206">
        <f t="shared" si="5"/>
        <v>0</v>
      </c>
      <c r="C206" t="str">
        <f>IF('Casos de Prueba'!B186&lt;&gt;0,'Casos de Prueba'!B186&amp;"-"&amp;'Casos de Prueba'!C186:E186,"")</f>
        <v>CP27-Autenticación</v>
      </c>
      <c r="D206" t="str">
        <f>IF(LEN($C206)&gt;0,"",'Casos de Prueba'!D186)</f>
        <v/>
      </c>
      <c r="E206" t="str">
        <f>IF(LEN($C206)&gt;0,"",'Casos de Prueba'!E186)</f>
        <v/>
      </c>
      <c r="F206" t="str">
        <f>IF(LEN($C206)&gt;0,"",'Casos de Prueba'!F186&amp;CHAR(10)&amp;'Casos de Prueba'!G186)</f>
        <v/>
      </c>
    </row>
    <row r="207" spans="1:6" x14ac:dyDescent="0.35">
      <c r="A207">
        <f t="shared" si="4"/>
        <v>23</v>
      </c>
      <c r="B207">
        <f t="shared" si="5"/>
        <v>1</v>
      </c>
      <c r="C207" t="str">
        <f>IF('Casos de Prueba'!B187&lt;&gt;0,'Casos de Prueba'!B187&amp;"-"&amp;'Casos de Prueba'!C187:E187,"")</f>
        <v/>
      </c>
      <c r="D207">
        <f>IF(LEN($C207)&gt;0,"",'Casos de Prueba'!D187)</f>
        <v>1</v>
      </c>
      <c r="E207" t="str">
        <f>IF(LEN($C207)&gt;0,"",'Casos de Prueba'!E187)</f>
        <v>Usuario abre explorador</v>
      </c>
      <c r="F207" t="str">
        <f>IF(LEN($C207)&gt;0,"",'Casos de Prueba'!F187&amp;CHAR(10)&amp;'Casos de Prueba'!G187)</f>
        <v xml:space="preserve">
</v>
      </c>
    </row>
    <row r="208" spans="1:6" x14ac:dyDescent="0.35">
      <c r="A208">
        <f t="shared" si="4"/>
        <v>74</v>
      </c>
      <c r="B208">
        <f t="shared" si="5"/>
        <v>131</v>
      </c>
      <c r="C208" t="str">
        <f>IF('Casos de Prueba'!B188&lt;&gt;0,'Casos de Prueba'!B188&amp;"-"&amp;'Casos de Prueba'!C188:E188,"")</f>
        <v/>
      </c>
      <c r="D208">
        <f>IF(LEN($C208)&gt;0,"",'Casos de Prueba'!D188)</f>
        <v>2</v>
      </c>
      <c r="E208" t="str">
        <f>IF(LEN($C208)&gt;0,"",'Casos de Prueba'!E188)</f>
        <v>Usuario ingresa a la URL correspondiente a la Consulta Central Retenciones</v>
      </c>
      <c r="F208" t="str">
        <f>IF(LEN($C208)&gt;0,"",'Casos de Prueba'!F188&amp;CHAR(10)&amp;'Casos de Prueba'!G188)</f>
        <v xml:space="preserve">Se muestran los datos para ingresar:
Certificado (.cer)
Clave privada (.Key)
Contraseña de clave privada: 
Se muestra el campo RFC
</v>
      </c>
    </row>
    <row r="209" spans="1:6" x14ac:dyDescent="0.35">
      <c r="A209">
        <f t="shared" si="4"/>
        <v>82</v>
      </c>
      <c r="B209">
        <f t="shared" si="5"/>
        <v>96</v>
      </c>
      <c r="C209" t="str">
        <f>IF('Casos de Prueba'!B189&lt;&gt;0,'Casos de Prueba'!B189&amp;"-"&amp;'Casos de Prueba'!C189:E189,"")</f>
        <v/>
      </c>
      <c r="D209">
        <f>IF(LEN($C209)&gt;0,"",'Casos de Prueba'!D189)</f>
        <v>3</v>
      </c>
      <c r="E209" t="str">
        <f>IF(LEN($C209)&gt;0,"",'Casos de Prueba'!E189)</f>
        <v>Usuario da clic en buscar y selecciona el archivo correspondiente a su certificado</v>
      </c>
      <c r="F209" t="str">
        <f>IF(LEN($C209)&gt;0,"",'Casos de Prueba'!F189&amp;CHAR(10)&amp;'Casos de Prueba'!G189)</f>
        <v xml:space="preserve">Se muestra el dato en el  campo certificado y en el campo RFC el dato del RFC del contribuyente
</v>
      </c>
    </row>
    <row r="210" spans="1:6" x14ac:dyDescent="0.35">
      <c r="A210">
        <f t="shared" si="4"/>
        <v>84</v>
      </c>
      <c r="B210">
        <f t="shared" si="5"/>
        <v>45</v>
      </c>
      <c r="C210" t="str">
        <f>IF('Casos de Prueba'!B190&lt;&gt;0,'Casos de Prueba'!B190&amp;"-"&amp;'Casos de Prueba'!C190:E190,"")</f>
        <v/>
      </c>
      <c r="D210">
        <f>IF(LEN($C210)&gt;0,"",'Casos de Prueba'!D190)</f>
        <v>4</v>
      </c>
      <c r="E210" t="str">
        <f>IF(LEN($C210)&gt;0,"",'Casos de Prueba'!E190)</f>
        <v>Usuario da clic en buscar y selecciona el archivo correspondiente a su clave privada</v>
      </c>
      <c r="F210" t="str">
        <f>IF(LEN($C210)&gt;0,"",'Casos de Prueba'!F190&amp;CHAR(10)&amp;'Casos de Prueba'!G190)</f>
        <v xml:space="preserve">Se muestra el dato en el campo clave privada
</v>
      </c>
    </row>
    <row r="211" spans="1:6" x14ac:dyDescent="0.35">
      <c r="A211">
        <f t="shared" si="4"/>
        <v>29</v>
      </c>
      <c r="B211">
        <f t="shared" si="5"/>
        <v>49</v>
      </c>
      <c r="C211" t="str">
        <f>IF('Casos de Prueba'!B191&lt;&gt;0,'Casos de Prueba'!B191&amp;"-"&amp;'Casos de Prueba'!C191:E191,"")</f>
        <v/>
      </c>
      <c r="D211">
        <f>IF(LEN($C211)&gt;0,"",'Casos de Prueba'!D191)</f>
        <v>5</v>
      </c>
      <c r="E211" t="str">
        <f>IF(LEN($C211)&gt;0,"",'Casos de Prueba'!E191)</f>
        <v>Usuario ingresa su contraseña</v>
      </c>
      <c r="F211" t="str">
        <f>IF(LEN($C211)&gt;0,"",'Casos de Prueba'!F191&amp;CHAR(10)&amp;'Casos de Prueba'!G191)</f>
        <v xml:space="preserve">Se muestra oculto el dato en el campo contraseña
</v>
      </c>
    </row>
    <row r="212" spans="1:6" x14ac:dyDescent="0.35">
      <c r="A212">
        <f t="shared" ref="A212:A224" si="6">LEN(E212)</f>
        <v>17</v>
      </c>
      <c r="B212">
        <f t="shared" ref="B212:B224" si="7">LEN(F212)</f>
        <v>45</v>
      </c>
      <c r="C212" t="str">
        <f>IF('Casos de Prueba'!B192&lt;&gt;0,'Casos de Prueba'!B192&amp;"-"&amp;'Casos de Prueba'!C192:E192,"")</f>
        <v/>
      </c>
      <c r="D212">
        <f>IF(LEN($C212)&gt;0,"",'Casos de Prueba'!D192)</f>
        <v>6</v>
      </c>
      <c r="E212" t="str">
        <f>IF(LEN($C212)&gt;0,"",'Casos de Prueba'!E192)</f>
        <v>Da clic en enviar</v>
      </c>
      <c r="F212" t="str">
        <f>IF(LEN($C212)&gt;0,"",'Casos de Prueba'!F192&amp;CHAR(10)&amp;'Casos de Prueba'!G192)</f>
        <v xml:space="preserve">Se muestra la pantalla principal de consulta
</v>
      </c>
    </row>
    <row r="213" spans="1:6" x14ac:dyDescent="0.35">
      <c r="A213">
        <f t="shared" si="6"/>
        <v>0</v>
      </c>
      <c r="B213">
        <f t="shared" si="7"/>
        <v>0</v>
      </c>
      <c r="C213" t="str">
        <f>IF('Casos de Prueba'!B193&lt;&gt;0,'Casos de Prueba'!B193&amp;"-"&amp;'Casos de Prueba'!C193:E193,"")</f>
        <v>CP28-Cierre Sesión Inactividad</v>
      </c>
      <c r="D213" t="str">
        <f>IF(LEN($C213)&gt;0,"",'Casos de Prueba'!D193)</f>
        <v/>
      </c>
      <c r="E213" t="str">
        <f>IF(LEN($C213)&gt;0,"",'Casos de Prueba'!E193)</f>
        <v/>
      </c>
      <c r="F213" t="str">
        <f>IF(LEN($C213)&gt;0,"",'Casos de Prueba'!F193&amp;CHAR(10)&amp;'Casos de Prueba'!G193)</f>
        <v/>
      </c>
    </row>
    <row r="214" spans="1:6" x14ac:dyDescent="0.35">
      <c r="A214">
        <f t="shared" si="6"/>
        <v>47</v>
      </c>
      <c r="B214">
        <f t="shared" si="7"/>
        <v>217</v>
      </c>
      <c r="C214" t="str">
        <f>IF('Casos de Prueba'!B194&lt;&gt;0,'Casos de Prueba'!B194&amp;"-"&amp;'Casos de Prueba'!C194:E194,"")</f>
        <v/>
      </c>
      <c r="D214">
        <f>IF(LEN($C214)&gt;0,"",'Casos de Prueba'!D194)</f>
        <v>1</v>
      </c>
      <c r="E214" t="str">
        <f>IF(LEN($C214)&gt;0,"",'Casos de Prueba'!E194)</f>
        <v>Usuario ingresa al Consulta Central Retenciones</v>
      </c>
      <c r="F214" t="str">
        <f>IF(LEN($C214)&gt;0,"",'Casos de Prueba'!F194&amp;CHAR(10)&amp;'Casos de Prueba'!G194)</f>
        <v>El sistema despliega las siguientes opciones de búsqueda:
- Folio Fiscal
- Fecha Inicial y Final de Emisión
- Masiva UUID
El Usuario previamente se autenticó  y accedió al portal Empleados-Consulta Central Retenciones</v>
      </c>
    </row>
    <row r="215" spans="1:6" x14ac:dyDescent="0.35">
      <c r="A215">
        <f t="shared" si="6"/>
        <v>59</v>
      </c>
      <c r="B215">
        <f t="shared" si="7"/>
        <v>74</v>
      </c>
      <c r="C215" t="str">
        <f>IF('Casos de Prueba'!B195&lt;&gt;0,'Casos de Prueba'!B195&amp;"-"&amp;'Casos de Prueba'!C195:E195,"")</f>
        <v/>
      </c>
      <c r="D215">
        <f>IF(LEN($C215)&gt;0,"",'Casos de Prueba'!D195)</f>
        <v>2</v>
      </c>
      <c r="E215" t="str">
        <f>IF(LEN($C215)&gt;0,"",'Casos de Prueba'!E195)</f>
        <v>Usuario deja la sesión abierta sin realizar ninguna acción.</v>
      </c>
      <c r="F215" t="str">
        <f>IF(LEN($C215)&gt;0,"",'Casos de Prueba'!F195&amp;CHAR(10)&amp;'Casos de Prueba'!G195)</f>
        <v xml:space="preserve">Después de 10 minutos de inactividad, se cerrará la sesión en automático.
</v>
      </c>
    </row>
    <row r="216" spans="1:6" x14ac:dyDescent="0.35">
      <c r="A216">
        <f t="shared" si="6"/>
        <v>43</v>
      </c>
      <c r="B216">
        <f t="shared" si="7"/>
        <v>143</v>
      </c>
      <c r="C216" t="str">
        <f>IF('Casos de Prueba'!B196&lt;&gt;0,'Casos de Prueba'!B196&amp;"-"&amp;'Casos de Prueba'!C196:E196,"")</f>
        <v/>
      </c>
      <c r="D216">
        <f>IF(LEN($C216)&gt;0,"",'Casos de Prueba'!D196)</f>
        <v>3</v>
      </c>
      <c r="E216" t="str">
        <f>IF(LEN($C216)&gt;0,"",'Casos de Prueba'!E196)</f>
        <v>El sistema cierra la sesión por inactividad</v>
      </c>
      <c r="F216" t="str">
        <f>IF(LEN($C216)&gt;0,"",'Casos de Prueba'!F196&amp;CHAR(10)&amp;'Casos de Prueba'!G196)</f>
        <v>Al cerrarse debe redirigir la página al Módulo de autentificación.
Para realizar una nueva consulta, el usuario requiere autenticarse de nuevo.</v>
      </c>
    </row>
    <row r="217" spans="1:6" x14ac:dyDescent="0.35">
      <c r="A217" t="e">
        <f t="shared" si="6"/>
        <v>#REF!</v>
      </c>
      <c r="B217" t="e">
        <f t="shared" si="7"/>
        <v>#REF!</v>
      </c>
      <c r="C217" t="e">
        <f>IF('Casos de Prueba'!#REF!&lt;&gt;0,'Casos de Prueba'!#REF!&amp;"-"&amp;_xlfn.SINGLE('Casos de Prueba'!#REF!),"")</f>
        <v>#REF!</v>
      </c>
      <c r="D217" t="e">
        <f>IF(LEN($C217)&gt;0,"",'Casos de Prueba'!#REF!)</f>
        <v>#REF!</v>
      </c>
      <c r="E217" t="e">
        <f>IF(LEN($C217)&gt;0,"",'Casos de Prueba'!#REF!)</f>
        <v>#REF!</v>
      </c>
      <c r="F217" t="e">
        <f>IF(LEN($C217)&gt;0,"",'Casos de Prueba'!#REF!&amp;CHAR(10)&amp;'Casos de Prueba'!#REF!)</f>
        <v>#REF!</v>
      </c>
    </row>
    <row r="218" spans="1:6" x14ac:dyDescent="0.35">
      <c r="A218">
        <f t="shared" si="6"/>
        <v>0</v>
      </c>
      <c r="B218">
        <f t="shared" si="7"/>
        <v>0</v>
      </c>
      <c r="C218" t="str">
        <f>IF('Casos de Prueba'!B197&lt;&gt;0,'Casos de Prueba'!B197&amp;"-"&amp;'Casos de Prueba'!C197:E197,"")</f>
        <v>CP29-Masiva UUID / Archivo con Errores</v>
      </c>
      <c r="D218" t="str">
        <f>IF(LEN($C218)&gt;0,"",'Casos de Prueba'!D197)</f>
        <v/>
      </c>
      <c r="E218" t="str">
        <f>IF(LEN($C218)&gt;0,"",'Casos de Prueba'!E197)</f>
        <v/>
      </c>
      <c r="F218" t="str">
        <f>IF(LEN($C218)&gt;0,"",'Casos de Prueba'!F197&amp;CHAR(10)&amp;'Casos de Prueba'!G197)</f>
        <v/>
      </c>
    </row>
    <row r="219" spans="1:6" x14ac:dyDescent="0.35">
      <c r="A219">
        <f t="shared" si="6"/>
        <v>64</v>
      </c>
      <c r="B219">
        <f t="shared" si="7"/>
        <v>217</v>
      </c>
      <c r="C219" t="str">
        <f>IF('Casos de Prueba'!B198&lt;&gt;0,'Casos de Prueba'!B198&amp;"-"&amp;'Casos de Prueba'!C198:E198,"")</f>
        <v/>
      </c>
      <c r="D219">
        <f>IF(LEN($C219)&gt;0,"",'Casos de Prueba'!D198)</f>
        <v>1</v>
      </c>
      <c r="E219" t="str">
        <f>IF(LEN($C219)&gt;0,"",'Casos de Prueba'!E198)</f>
        <v>Usuario ingresa al Portal Empleados Consulta Central Retenciones</v>
      </c>
      <c r="F219" t="str">
        <f>IF(LEN($C219)&gt;0,"",'Casos de Prueba'!F198&amp;CHAR(10)&amp;'Casos de Prueba'!G198)</f>
        <v>El sistema despliega las siguientes opciones de búsqueda:
- Folio Fiscal
- Fecha Inicial y Final de Emisión
- Masiva UUID
El Usuario previamente se autenticó  y accedió al portal Empleados-Consulta Central Retenciones</v>
      </c>
    </row>
    <row r="220" spans="1:6" x14ac:dyDescent="0.35">
      <c r="A220">
        <f t="shared" si="6"/>
        <v>32</v>
      </c>
      <c r="B220">
        <f t="shared" si="7"/>
        <v>118</v>
      </c>
      <c r="C220" t="str">
        <f>IF('Casos de Prueba'!B199&lt;&gt;0,'Casos de Prueba'!B199&amp;"-"&amp;'Casos de Prueba'!C199:E199,"")</f>
        <v/>
      </c>
      <c r="D220">
        <f>IF(LEN($C220)&gt;0,"",'Casos de Prueba'!D199)</f>
        <v>2</v>
      </c>
      <c r="E220" t="str">
        <f>IF(LEN($C220)&gt;0,"",'Casos de Prueba'!E199)</f>
        <v>Selecciona la opción Masiva UUID</v>
      </c>
      <c r="F220" t="str">
        <f>IF(LEN($C220)&gt;0,"",'Casos de Prueba'!F199&amp;CHAR(10)&amp;'Casos de Prueba'!G199)</f>
        <v xml:space="preserve">El sistema despliega las siguientes opciones de búsqueda:
- Boton Seleccionar* 
- Archivos Solicitados
- Botón Enviar
</v>
      </c>
    </row>
    <row r="221" spans="1:6" x14ac:dyDescent="0.35">
      <c r="A221">
        <f t="shared" si="6"/>
        <v>61</v>
      </c>
      <c r="B221">
        <f t="shared" si="7"/>
        <v>135</v>
      </c>
      <c r="C221" t="str">
        <f>IF('Casos de Prueba'!B200&lt;&gt;0,'Casos de Prueba'!B200&amp;"-"&amp;'Casos de Prueba'!C200:E200,"")</f>
        <v/>
      </c>
      <c r="D221">
        <f>IF(LEN($C221)&gt;0,"",'Casos de Prueba'!D200)</f>
        <v>3</v>
      </c>
      <c r="E221" t="str">
        <f>IF(LEN($C221)&gt;0,"",'Casos de Prueba'!E200)</f>
        <v>Selecciona el archivo(txt) mediante el explorador de Windows.</v>
      </c>
      <c r="F221" t="str">
        <f>IF(LEN($C221)&gt;0,"",'Casos de Prueba'!F200&amp;CHAR(10)&amp;'Casos de Prueba'!G200)</f>
        <v xml:space="preserve">
El  aplicativo ejecuta la consulta y arroja el resultado conforme a los UUID definidos en el archivo.  
Archivo TXT con distintos UUID</v>
      </c>
    </row>
    <row r="222" spans="1:6" x14ac:dyDescent="0.35">
      <c r="A222">
        <f t="shared" si="6"/>
        <v>26</v>
      </c>
      <c r="B222">
        <f t="shared" si="7"/>
        <v>1015</v>
      </c>
      <c r="C222" t="str">
        <f>IF('Casos de Prueba'!B201&lt;&gt;0,'Casos de Prueba'!B201&amp;"-"&amp;'Casos de Prueba'!C201:E201,"")</f>
        <v/>
      </c>
      <c r="D222">
        <f>IF(LEN($C222)&gt;0,"",'Casos de Prueba'!D201)</f>
        <v>4</v>
      </c>
      <c r="E222" t="str">
        <f>IF(LEN($C222)&gt;0,"",'Casos de Prueba'!E201)</f>
        <v>Da clic en el botón Enviar</v>
      </c>
      <c r="F222" t="str">
        <f>IF(LEN($C222)&gt;0,"",'Casos de Prueba'!F201&amp;CHAR(10)&amp;'Casos de Prueba'!G201)</f>
        <v>Para el caso de que en la relación de los folios fiscales consultados no se localicen o no  cumplan la estructura  de UUID de CFDI de Retenciones e Información de pagos de acuerdo con el anexo 20 de la RMF, se generará un aviso de manera automática con el siguiente mensaje:
No se encontraron folios, la lista se encuentra en proceso y podrás obtener el resultado con el folio de descarga: xxxxxxxx-xxxx-xxxx-xxxx-xxxxxxxxxxx.
El resultado de la consulta generará un archivo de texto plano (.txt) con los folios fiscales (UUID) no localizados , por los siguientes motivos:
-Estructura del UUID incorrecta
-No existe el folio fiscal en los controles del SAT.
Este archivo se podrá obtener mediante la funcionalidad del botón “Archivos Solicitados”, realizando la descarga del paquete comprimido en formato ZIP, que cuenta con un identificador denominado “Folio de descarga” (Aplica la Regla de Negocio 10)
El botón Archivos Solicitados será visible únicamente cuando se haya seleccionado la opción Masiva UUID.</v>
      </c>
    </row>
    <row r="223" spans="1:6" x14ac:dyDescent="0.35">
      <c r="A223">
        <f t="shared" si="6"/>
        <v>97</v>
      </c>
      <c r="B223">
        <f t="shared" si="7"/>
        <v>311</v>
      </c>
      <c r="C223" t="str">
        <f>IF('Casos de Prueba'!B202&lt;&gt;0,'Casos de Prueba'!B202&amp;"-"&amp;'Casos de Prueba'!C202:E202,"")</f>
        <v/>
      </c>
      <c r="D223">
        <f>IF(LEN($C223)&gt;0,"",'Casos de Prueba'!D202)</f>
        <v>5</v>
      </c>
      <c r="E223" t="str">
        <f>IF(LEN($C223)&gt;0,"",'Casos de Prueba'!E202)</f>
        <v xml:space="preserve">Da clic en el boton "Archivos Solicitados" y realizar la descarga del archivo con observaciones. </v>
      </c>
      <c r="F223" t="str">
        <f>IF(LEN($C223)&gt;0,"",'Casos de Prueba'!F202&amp;CHAR(10)&amp;'Casos de Prueba'!G202)</f>
        <v xml:space="preserve">
El archivo va mostrar el detalle de los UUID que no se localizaron o que no cumplen con la estructura
Si no hay archivos txt de errores para descargar se va a mostrar la siguiente leyenda “No se encontraron archivos de errores”.
Si hay peticiones, el sistema muestra el listado de los Folios para su descarga.</v>
      </c>
    </row>
    <row r="224" spans="1:6" x14ac:dyDescent="0.35">
      <c r="A224">
        <f t="shared" si="6"/>
        <v>24</v>
      </c>
      <c r="B224">
        <f t="shared" si="7"/>
        <v>69</v>
      </c>
      <c r="D224">
        <f>IF(LEN($C224)&gt;0,"",'Casos de Prueba'!D203)</f>
        <v>6</v>
      </c>
      <c r="E224" t="str">
        <f>IF(LEN($C224)&gt;0,"",'Casos de Prueba'!E203)</f>
        <v>Da clic en Cerrar Sesión</v>
      </c>
      <c r="F224" t="str">
        <f>IF(LEN($C224)&gt;0,"",'Casos de Prueba'!F203&amp;CHAR(10)&amp;'Casos de Prueba'!G203)</f>
        <v xml:space="preserve">Cierra la aplicación y se direcciona a la pantalla de autenticación.
</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207"/>
  <sheetViews>
    <sheetView zoomScaleNormal="100" workbookViewId="0">
      <selection activeCell="C6" sqref="C6"/>
    </sheetView>
  </sheetViews>
  <sheetFormatPr baseColWidth="10" defaultColWidth="10.54296875" defaultRowHeight="14.5" x14ac:dyDescent="0.35"/>
  <sheetData>
    <row r="1" spans="2:6" x14ac:dyDescent="0.35">
      <c r="B1" t="s">
        <v>277</v>
      </c>
      <c r="C1" t="s">
        <v>278</v>
      </c>
      <c r="D1" t="s">
        <v>279</v>
      </c>
      <c r="E1" t="s">
        <v>280</v>
      </c>
      <c r="F1" t="s">
        <v>281</v>
      </c>
    </row>
    <row r="2" spans="2:6" x14ac:dyDescent="0.35">
      <c r="B2" t="s">
        <v>276</v>
      </c>
      <c r="C2" t="s">
        <v>282</v>
      </c>
    </row>
    <row r="3" spans="2:6" ht="377" x14ac:dyDescent="0.35">
      <c r="D3">
        <v>1</v>
      </c>
      <c r="E3" t="s">
        <v>105</v>
      </c>
      <c r="F3" s="28" t="s">
        <v>283</v>
      </c>
    </row>
    <row r="4" spans="2:6" ht="275.5" x14ac:dyDescent="0.35">
      <c r="D4">
        <v>2</v>
      </c>
      <c r="E4" t="s">
        <v>284</v>
      </c>
      <c r="F4" s="28" t="s">
        <v>285</v>
      </c>
    </row>
    <row r="5" spans="2:6" ht="130.5" x14ac:dyDescent="0.35">
      <c r="D5">
        <v>3</v>
      </c>
      <c r="E5" t="s">
        <v>113</v>
      </c>
      <c r="F5" s="28" t="s">
        <v>286</v>
      </c>
    </row>
    <row r="6" spans="2:6" ht="409.5" x14ac:dyDescent="0.35">
      <c r="D6">
        <v>4</v>
      </c>
      <c r="E6" t="s">
        <v>115</v>
      </c>
      <c r="F6" s="28" t="s">
        <v>287</v>
      </c>
    </row>
    <row r="7" spans="2:6" ht="130.5" x14ac:dyDescent="0.35">
      <c r="D7">
        <v>5</v>
      </c>
      <c r="E7" t="s">
        <v>117</v>
      </c>
      <c r="F7" s="28" t="s">
        <v>288</v>
      </c>
    </row>
    <row r="8" spans="2:6" x14ac:dyDescent="0.35">
      <c r="C8" t="s">
        <v>289</v>
      </c>
    </row>
    <row r="9" spans="2:6" ht="377" x14ac:dyDescent="0.35">
      <c r="D9">
        <v>1</v>
      </c>
      <c r="E9" t="s">
        <v>105</v>
      </c>
      <c r="F9" s="28" t="s">
        <v>283</v>
      </c>
    </row>
    <row r="10" spans="2:6" ht="409.5" x14ac:dyDescent="0.35">
      <c r="D10">
        <v>2</v>
      </c>
      <c r="E10" t="s">
        <v>155</v>
      </c>
      <c r="F10" s="28" t="s">
        <v>290</v>
      </c>
    </row>
    <row r="11" spans="2:6" ht="333.5" x14ac:dyDescent="0.35">
      <c r="D11">
        <v>3</v>
      </c>
      <c r="E11" s="28" t="s">
        <v>124</v>
      </c>
      <c r="F11" s="28" t="s">
        <v>291</v>
      </c>
    </row>
    <row r="12" spans="2:6" ht="409.5" x14ac:dyDescent="0.35">
      <c r="D12">
        <v>4</v>
      </c>
      <c r="E12" t="s">
        <v>115</v>
      </c>
      <c r="F12" s="28" t="s">
        <v>292</v>
      </c>
    </row>
    <row r="13" spans="2:6" ht="130.5" x14ac:dyDescent="0.35">
      <c r="D13">
        <v>5</v>
      </c>
      <c r="E13" t="s">
        <v>117</v>
      </c>
      <c r="F13" s="28" t="s">
        <v>288</v>
      </c>
    </row>
    <row r="14" spans="2:6" x14ac:dyDescent="0.35">
      <c r="C14" t="s">
        <v>293</v>
      </c>
    </row>
    <row r="15" spans="2:6" ht="377" x14ac:dyDescent="0.35">
      <c r="D15">
        <v>1</v>
      </c>
      <c r="E15" t="s">
        <v>105</v>
      </c>
      <c r="F15" s="28" t="s">
        <v>283</v>
      </c>
    </row>
    <row r="16" spans="2:6" ht="409.5" x14ac:dyDescent="0.35">
      <c r="D16">
        <v>2</v>
      </c>
      <c r="E16" t="s">
        <v>155</v>
      </c>
      <c r="F16" s="28" t="s">
        <v>294</v>
      </c>
    </row>
    <row r="17" spans="3:6" ht="319" x14ac:dyDescent="0.35">
      <c r="D17">
        <v>3</v>
      </c>
      <c r="E17" s="28" t="s">
        <v>129</v>
      </c>
      <c r="F17" s="28" t="s">
        <v>295</v>
      </c>
    </row>
    <row r="18" spans="3:6" ht="409.5" x14ac:dyDescent="0.35">
      <c r="D18">
        <v>4</v>
      </c>
      <c r="E18" t="s">
        <v>115</v>
      </c>
      <c r="F18" s="28" t="s">
        <v>292</v>
      </c>
    </row>
    <row r="19" spans="3:6" ht="130.5" x14ac:dyDescent="0.35">
      <c r="D19">
        <v>5</v>
      </c>
      <c r="E19" t="s">
        <v>117</v>
      </c>
      <c r="F19" s="28" t="s">
        <v>288</v>
      </c>
    </row>
    <row r="20" spans="3:6" x14ac:dyDescent="0.35">
      <c r="C20" t="s">
        <v>296</v>
      </c>
    </row>
    <row r="21" spans="3:6" ht="377" x14ac:dyDescent="0.35">
      <c r="D21">
        <v>1</v>
      </c>
      <c r="E21" t="s">
        <v>105</v>
      </c>
      <c r="F21" s="28" t="s">
        <v>283</v>
      </c>
    </row>
    <row r="22" spans="3:6" ht="409.5" x14ac:dyDescent="0.35">
      <c r="D22">
        <v>2</v>
      </c>
      <c r="E22" t="s">
        <v>155</v>
      </c>
      <c r="F22" s="28" t="s">
        <v>294</v>
      </c>
    </row>
    <row r="23" spans="3:6" ht="348" x14ac:dyDescent="0.35">
      <c r="D23">
        <v>3</v>
      </c>
      <c r="E23" s="28" t="s">
        <v>133</v>
      </c>
      <c r="F23" s="28" t="s">
        <v>295</v>
      </c>
    </row>
    <row r="24" spans="3:6" ht="409.5" x14ac:dyDescent="0.35">
      <c r="D24">
        <v>4</v>
      </c>
      <c r="E24" t="s">
        <v>115</v>
      </c>
      <c r="F24" s="28" t="s">
        <v>297</v>
      </c>
    </row>
    <row r="25" spans="3:6" ht="130.5" x14ac:dyDescent="0.35">
      <c r="D25">
        <v>5</v>
      </c>
      <c r="E25" t="s">
        <v>117</v>
      </c>
      <c r="F25" s="28" t="s">
        <v>288</v>
      </c>
    </row>
    <row r="26" spans="3:6" x14ac:dyDescent="0.35">
      <c r="C26" t="s">
        <v>298</v>
      </c>
    </row>
    <row r="27" spans="3:6" ht="377" x14ac:dyDescent="0.35">
      <c r="D27">
        <v>1</v>
      </c>
      <c r="E27" t="s">
        <v>105</v>
      </c>
      <c r="F27" s="28" t="s">
        <v>283</v>
      </c>
    </row>
    <row r="28" spans="3:6" ht="188.5" x14ac:dyDescent="0.35">
      <c r="D28">
        <v>2</v>
      </c>
      <c r="E28" t="s">
        <v>299</v>
      </c>
      <c r="F28" s="28" t="s">
        <v>300</v>
      </c>
    </row>
    <row r="29" spans="3:6" ht="232" x14ac:dyDescent="0.35">
      <c r="D29">
        <v>3</v>
      </c>
      <c r="E29" t="s">
        <v>138</v>
      </c>
      <c r="F29" s="28" t="s">
        <v>301</v>
      </c>
    </row>
    <row r="30" spans="3:6" ht="409.5" x14ac:dyDescent="0.35">
      <c r="D30">
        <v>4</v>
      </c>
      <c r="E30" t="s">
        <v>115</v>
      </c>
      <c r="F30" s="28" t="s">
        <v>302</v>
      </c>
    </row>
    <row r="31" spans="3:6" ht="130.5" x14ac:dyDescent="0.35">
      <c r="D31">
        <v>5</v>
      </c>
      <c r="E31" t="s">
        <v>117</v>
      </c>
      <c r="F31" s="28" t="s">
        <v>288</v>
      </c>
    </row>
    <row r="32" spans="3:6" x14ac:dyDescent="0.35">
      <c r="C32" t="s">
        <v>303</v>
      </c>
    </row>
    <row r="33" spans="3:6" ht="377" x14ac:dyDescent="0.35">
      <c r="D33">
        <v>1</v>
      </c>
      <c r="E33" t="s">
        <v>105</v>
      </c>
      <c r="F33" s="28" t="s">
        <v>283</v>
      </c>
    </row>
    <row r="34" spans="3:6" ht="159.5" x14ac:dyDescent="0.35">
      <c r="D34">
        <v>2</v>
      </c>
      <c r="E34" t="s">
        <v>284</v>
      </c>
      <c r="F34" s="28" t="s">
        <v>304</v>
      </c>
    </row>
    <row r="35" spans="3:6" ht="130.5" x14ac:dyDescent="0.35">
      <c r="D35">
        <v>3</v>
      </c>
      <c r="E35" t="s">
        <v>113</v>
      </c>
      <c r="F35" s="28" t="s">
        <v>286</v>
      </c>
    </row>
    <row r="36" spans="3:6" ht="409.5" x14ac:dyDescent="0.35">
      <c r="D36">
        <v>4</v>
      </c>
      <c r="E36" t="s">
        <v>147</v>
      </c>
      <c r="F36" s="28" t="s">
        <v>305</v>
      </c>
    </row>
    <row r="37" spans="3:6" ht="246.5" x14ac:dyDescent="0.35">
      <c r="D37">
        <v>5</v>
      </c>
      <c r="E37" t="s">
        <v>148</v>
      </c>
      <c r="F37" s="28" t="s">
        <v>306</v>
      </c>
    </row>
    <row r="38" spans="3:6" ht="409.5" x14ac:dyDescent="0.35">
      <c r="D38">
        <v>6</v>
      </c>
      <c r="E38" t="s">
        <v>150</v>
      </c>
      <c r="F38" s="28" t="s">
        <v>307</v>
      </c>
    </row>
    <row r="39" spans="3:6" ht="130.5" x14ac:dyDescent="0.35">
      <c r="D39">
        <v>7</v>
      </c>
      <c r="E39" t="s">
        <v>117</v>
      </c>
      <c r="F39" s="28" t="s">
        <v>288</v>
      </c>
    </row>
    <row r="40" spans="3:6" x14ac:dyDescent="0.35">
      <c r="C40" t="s">
        <v>308</v>
      </c>
    </row>
    <row r="41" spans="3:6" ht="377" x14ac:dyDescent="0.35">
      <c r="D41">
        <v>1</v>
      </c>
      <c r="E41" t="s">
        <v>105</v>
      </c>
      <c r="F41" s="28" t="s">
        <v>283</v>
      </c>
    </row>
    <row r="42" spans="3:6" ht="409.5" x14ac:dyDescent="0.35">
      <c r="D42">
        <v>2</v>
      </c>
      <c r="E42" t="s">
        <v>155</v>
      </c>
      <c r="F42" s="28" t="s">
        <v>294</v>
      </c>
    </row>
    <row r="43" spans="3:6" ht="348" x14ac:dyDescent="0.35">
      <c r="D43">
        <v>3</v>
      </c>
      <c r="E43" s="28" t="s">
        <v>156</v>
      </c>
      <c r="F43" s="28" t="s">
        <v>295</v>
      </c>
    </row>
    <row r="44" spans="3:6" ht="409.5" x14ac:dyDescent="0.35">
      <c r="D44">
        <v>4</v>
      </c>
      <c r="E44" t="s">
        <v>115</v>
      </c>
      <c r="F44" s="28" t="s">
        <v>309</v>
      </c>
    </row>
    <row r="45" spans="3:6" ht="246.5" x14ac:dyDescent="0.35">
      <c r="D45">
        <v>5</v>
      </c>
      <c r="E45" t="s">
        <v>148</v>
      </c>
      <c r="F45" s="28" t="s">
        <v>306</v>
      </c>
    </row>
    <row r="46" spans="3:6" ht="409.5" x14ac:dyDescent="0.35">
      <c r="D46">
        <v>6</v>
      </c>
      <c r="E46" t="s">
        <v>150</v>
      </c>
      <c r="F46" s="28" t="s">
        <v>307</v>
      </c>
    </row>
    <row r="47" spans="3:6" ht="130.5" x14ac:dyDescent="0.35">
      <c r="D47">
        <v>7</v>
      </c>
      <c r="E47" t="s">
        <v>117</v>
      </c>
      <c r="F47" s="28" t="s">
        <v>288</v>
      </c>
    </row>
    <row r="48" spans="3:6" x14ac:dyDescent="0.35">
      <c r="C48" t="s">
        <v>310</v>
      </c>
    </row>
    <row r="49" spans="3:6" ht="377" x14ac:dyDescent="0.35">
      <c r="D49">
        <v>1</v>
      </c>
      <c r="E49" t="s">
        <v>105</v>
      </c>
      <c r="F49" s="28" t="s">
        <v>283</v>
      </c>
    </row>
    <row r="50" spans="3:6" ht="409.5" x14ac:dyDescent="0.35">
      <c r="D50">
        <v>2</v>
      </c>
      <c r="E50" t="s">
        <v>155</v>
      </c>
      <c r="F50" s="28" t="s">
        <v>294</v>
      </c>
    </row>
    <row r="51" spans="3:6" ht="333.5" x14ac:dyDescent="0.35">
      <c r="D51">
        <v>3</v>
      </c>
      <c r="E51" s="28" t="s">
        <v>160</v>
      </c>
      <c r="F51" s="28" t="s">
        <v>295</v>
      </c>
    </row>
    <row r="52" spans="3:6" ht="409.5" x14ac:dyDescent="0.35">
      <c r="D52">
        <v>4</v>
      </c>
      <c r="E52" t="s">
        <v>115</v>
      </c>
      <c r="F52" s="28" t="s">
        <v>311</v>
      </c>
    </row>
    <row r="53" spans="3:6" ht="246.5" x14ac:dyDescent="0.35">
      <c r="D53">
        <v>5</v>
      </c>
      <c r="E53" t="s">
        <v>148</v>
      </c>
      <c r="F53" s="28" t="s">
        <v>306</v>
      </c>
    </row>
    <row r="54" spans="3:6" ht="409.5" x14ac:dyDescent="0.35">
      <c r="D54">
        <v>6</v>
      </c>
      <c r="E54" t="s">
        <v>150</v>
      </c>
      <c r="F54" s="28" t="s">
        <v>307</v>
      </c>
    </row>
    <row r="55" spans="3:6" ht="130.5" x14ac:dyDescent="0.35">
      <c r="D55">
        <v>7</v>
      </c>
      <c r="E55" t="s">
        <v>117</v>
      </c>
      <c r="F55" s="28" t="s">
        <v>288</v>
      </c>
    </row>
    <row r="56" spans="3:6" x14ac:dyDescent="0.35">
      <c r="C56" t="s">
        <v>312</v>
      </c>
    </row>
    <row r="57" spans="3:6" ht="409.5" x14ac:dyDescent="0.35">
      <c r="D57">
        <v>1</v>
      </c>
      <c r="E57" t="s">
        <v>105</v>
      </c>
      <c r="F57" s="28" t="s">
        <v>313</v>
      </c>
    </row>
    <row r="58" spans="3:6" ht="188.5" x14ac:dyDescent="0.35">
      <c r="D58">
        <v>2</v>
      </c>
      <c r="E58" t="s">
        <v>299</v>
      </c>
      <c r="F58" s="28" t="s">
        <v>300</v>
      </c>
    </row>
    <row r="59" spans="3:6" ht="232" x14ac:dyDescent="0.35">
      <c r="D59">
        <v>3</v>
      </c>
      <c r="E59" t="s">
        <v>138</v>
      </c>
      <c r="F59" s="28" t="s">
        <v>301</v>
      </c>
    </row>
    <row r="60" spans="3:6" ht="409.5" x14ac:dyDescent="0.35">
      <c r="D60">
        <v>4</v>
      </c>
      <c r="E60" t="s">
        <v>115</v>
      </c>
      <c r="F60" s="28" t="s">
        <v>314</v>
      </c>
    </row>
    <row r="61" spans="3:6" ht="246.5" x14ac:dyDescent="0.35">
      <c r="D61">
        <v>5</v>
      </c>
      <c r="E61" t="s">
        <v>148</v>
      </c>
      <c r="F61" s="28" t="s">
        <v>306</v>
      </c>
    </row>
    <row r="62" spans="3:6" ht="409.5" x14ac:dyDescent="0.35">
      <c r="D62">
        <v>6</v>
      </c>
      <c r="E62" t="s">
        <v>150</v>
      </c>
      <c r="F62" s="28" t="s">
        <v>307</v>
      </c>
    </row>
    <row r="63" spans="3:6" ht="130.5" x14ac:dyDescent="0.35">
      <c r="D63">
        <v>7</v>
      </c>
      <c r="E63" t="s">
        <v>117</v>
      </c>
      <c r="F63" s="28" t="s">
        <v>288</v>
      </c>
    </row>
    <row r="64" spans="3:6" x14ac:dyDescent="0.35">
      <c r="C64" t="s">
        <v>315</v>
      </c>
    </row>
    <row r="65" spans="3:6" ht="377" x14ac:dyDescent="0.35">
      <c r="D65">
        <v>1</v>
      </c>
      <c r="E65" t="s">
        <v>105</v>
      </c>
      <c r="F65" s="28" t="s">
        <v>283</v>
      </c>
    </row>
    <row r="66" spans="3:6" ht="159.5" x14ac:dyDescent="0.35">
      <c r="D66">
        <v>2</v>
      </c>
      <c r="E66" t="s">
        <v>284</v>
      </c>
      <c r="F66" s="28" t="s">
        <v>304</v>
      </c>
    </row>
    <row r="67" spans="3:6" ht="130.5" x14ac:dyDescent="0.35">
      <c r="D67">
        <v>3</v>
      </c>
      <c r="E67" t="s">
        <v>113</v>
      </c>
      <c r="F67" s="28" t="s">
        <v>286</v>
      </c>
    </row>
    <row r="68" spans="3:6" ht="409.5" x14ac:dyDescent="0.35">
      <c r="D68">
        <v>4</v>
      </c>
      <c r="E68" t="s">
        <v>147</v>
      </c>
      <c r="F68" s="28" t="s">
        <v>316</v>
      </c>
    </row>
    <row r="69" spans="3:6" ht="246.5" x14ac:dyDescent="0.35">
      <c r="D69">
        <v>5</v>
      </c>
      <c r="E69" t="s">
        <v>148</v>
      </c>
      <c r="F69" s="28" t="s">
        <v>306</v>
      </c>
    </row>
    <row r="70" spans="3:6" ht="348" x14ac:dyDescent="0.35">
      <c r="D70">
        <v>6</v>
      </c>
      <c r="E70" t="s">
        <v>317</v>
      </c>
      <c r="F70" s="28" t="s">
        <v>318</v>
      </c>
    </row>
    <row r="71" spans="3:6" ht="130.5" x14ac:dyDescent="0.35">
      <c r="D71">
        <v>7</v>
      </c>
      <c r="E71" t="s">
        <v>117</v>
      </c>
      <c r="F71" s="28" t="s">
        <v>288</v>
      </c>
    </row>
    <row r="72" spans="3:6" x14ac:dyDescent="0.35">
      <c r="C72" t="s">
        <v>319</v>
      </c>
    </row>
    <row r="73" spans="3:6" ht="377" x14ac:dyDescent="0.35">
      <c r="D73">
        <v>1</v>
      </c>
      <c r="E73" t="s">
        <v>105</v>
      </c>
      <c r="F73" s="28" t="s">
        <v>283</v>
      </c>
    </row>
    <row r="74" spans="3:6" ht="409.5" x14ac:dyDescent="0.35">
      <c r="D74">
        <v>2</v>
      </c>
      <c r="E74" t="s">
        <v>155</v>
      </c>
      <c r="F74" s="28" t="s">
        <v>294</v>
      </c>
    </row>
    <row r="75" spans="3:6" ht="348" x14ac:dyDescent="0.35">
      <c r="D75">
        <v>3</v>
      </c>
      <c r="E75" s="28" t="s">
        <v>156</v>
      </c>
      <c r="F75" s="28" t="s">
        <v>295</v>
      </c>
    </row>
    <row r="76" spans="3:6" ht="409.5" x14ac:dyDescent="0.35">
      <c r="D76">
        <v>4</v>
      </c>
      <c r="E76" t="s">
        <v>115</v>
      </c>
      <c r="F76" s="28" t="s">
        <v>320</v>
      </c>
    </row>
    <row r="77" spans="3:6" ht="246.5" x14ac:dyDescent="0.35">
      <c r="D77">
        <v>5</v>
      </c>
      <c r="E77" t="s">
        <v>148</v>
      </c>
      <c r="F77" s="28" t="s">
        <v>306</v>
      </c>
    </row>
    <row r="78" spans="3:6" ht="348" x14ac:dyDescent="0.35">
      <c r="D78">
        <v>6</v>
      </c>
      <c r="E78" t="s">
        <v>317</v>
      </c>
      <c r="F78" s="28" t="s">
        <v>318</v>
      </c>
    </row>
    <row r="79" spans="3:6" ht="130.5" x14ac:dyDescent="0.35">
      <c r="D79">
        <v>7</v>
      </c>
      <c r="E79" t="s">
        <v>117</v>
      </c>
      <c r="F79" s="28" t="s">
        <v>288</v>
      </c>
    </row>
    <row r="80" spans="3:6" x14ac:dyDescent="0.35">
      <c r="C80" t="s">
        <v>321</v>
      </c>
    </row>
    <row r="81" spans="3:6" ht="377" x14ac:dyDescent="0.35">
      <c r="D81">
        <v>1</v>
      </c>
      <c r="E81" t="s">
        <v>105</v>
      </c>
      <c r="F81" s="28" t="s">
        <v>283</v>
      </c>
    </row>
    <row r="82" spans="3:6" ht="409.5" x14ac:dyDescent="0.35">
      <c r="D82">
        <v>2</v>
      </c>
      <c r="E82" t="s">
        <v>155</v>
      </c>
      <c r="F82" s="28" t="s">
        <v>294</v>
      </c>
    </row>
    <row r="83" spans="3:6" ht="333.5" x14ac:dyDescent="0.35">
      <c r="D83">
        <v>3</v>
      </c>
      <c r="E83" s="28" t="s">
        <v>160</v>
      </c>
      <c r="F83" s="28" t="s">
        <v>295</v>
      </c>
    </row>
    <row r="84" spans="3:6" ht="409.5" x14ac:dyDescent="0.35">
      <c r="D84">
        <v>4</v>
      </c>
      <c r="E84" t="s">
        <v>115</v>
      </c>
      <c r="F84" s="28" t="s">
        <v>322</v>
      </c>
    </row>
    <row r="85" spans="3:6" ht="246.5" x14ac:dyDescent="0.35">
      <c r="D85">
        <v>5</v>
      </c>
      <c r="E85" t="s">
        <v>148</v>
      </c>
      <c r="F85" s="28" t="s">
        <v>306</v>
      </c>
    </row>
    <row r="86" spans="3:6" ht="348" x14ac:dyDescent="0.35">
      <c r="D86">
        <v>6</v>
      </c>
      <c r="E86" t="s">
        <v>317</v>
      </c>
      <c r="F86" s="28" t="s">
        <v>318</v>
      </c>
    </row>
    <row r="87" spans="3:6" ht="130.5" x14ac:dyDescent="0.35">
      <c r="D87">
        <v>7</v>
      </c>
      <c r="E87" t="s">
        <v>117</v>
      </c>
      <c r="F87" s="28" t="s">
        <v>288</v>
      </c>
    </row>
    <row r="88" spans="3:6" x14ac:dyDescent="0.35">
      <c r="C88" t="s">
        <v>323</v>
      </c>
    </row>
    <row r="89" spans="3:6" ht="377" x14ac:dyDescent="0.35">
      <c r="D89">
        <v>1</v>
      </c>
      <c r="E89" t="s">
        <v>105</v>
      </c>
      <c r="F89" s="28" t="s">
        <v>283</v>
      </c>
    </row>
    <row r="90" spans="3:6" ht="188.5" x14ac:dyDescent="0.35">
      <c r="D90">
        <v>2</v>
      </c>
      <c r="E90" t="s">
        <v>299</v>
      </c>
      <c r="F90" s="28" t="s">
        <v>300</v>
      </c>
    </row>
    <row r="91" spans="3:6" ht="232" x14ac:dyDescent="0.35">
      <c r="D91">
        <v>3</v>
      </c>
      <c r="E91" t="s">
        <v>138</v>
      </c>
      <c r="F91" s="28" t="s">
        <v>301</v>
      </c>
    </row>
    <row r="92" spans="3:6" ht="409.5" x14ac:dyDescent="0.35">
      <c r="D92">
        <v>4</v>
      </c>
      <c r="E92" t="s">
        <v>115</v>
      </c>
      <c r="F92" s="28" t="s">
        <v>324</v>
      </c>
    </row>
    <row r="93" spans="3:6" ht="246.5" x14ac:dyDescent="0.35">
      <c r="D93">
        <v>5</v>
      </c>
      <c r="E93" t="s">
        <v>148</v>
      </c>
      <c r="F93" s="28" t="s">
        <v>306</v>
      </c>
    </row>
    <row r="94" spans="3:6" ht="348" x14ac:dyDescent="0.35">
      <c r="D94">
        <v>6</v>
      </c>
      <c r="E94" t="s">
        <v>317</v>
      </c>
      <c r="F94" s="28" t="s">
        <v>318</v>
      </c>
    </row>
    <row r="95" spans="3:6" ht="130.5" x14ac:dyDescent="0.35">
      <c r="D95">
        <v>7</v>
      </c>
      <c r="E95" t="s">
        <v>117</v>
      </c>
      <c r="F95" s="28" t="s">
        <v>288</v>
      </c>
    </row>
    <row r="96" spans="3:6" x14ac:dyDescent="0.35">
      <c r="C96" t="s">
        <v>325</v>
      </c>
    </row>
    <row r="97" spans="3:6" ht="377" x14ac:dyDescent="0.35">
      <c r="D97">
        <v>1</v>
      </c>
      <c r="E97" t="s">
        <v>105</v>
      </c>
      <c r="F97" s="28" t="s">
        <v>283</v>
      </c>
    </row>
    <row r="98" spans="3:6" ht="159.5" x14ac:dyDescent="0.35">
      <c r="D98">
        <v>2</v>
      </c>
      <c r="E98" t="s">
        <v>284</v>
      </c>
      <c r="F98" s="28" t="s">
        <v>304</v>
      </c>
    </row>
    <row r="99" spans="3:6" ht="130.5" x14ac:dyDescent="0.35">
      <c r="D99">
        <v>3</v>
      </c>
      <c r="E99" t="s">
        <v>113</v>
      </c>
      <c r="F99" s="28" t="s">
        <v>286</v>
      </c>
    </row>
    <row r="100" spans="3:6" ht="409.5" x14ac:dyDescent="0.35">
      <c r="D100">
        <v>4</v>
      </c>
      <c r="E100" t="s">
        <v>147</v>
      </c>
      <c r="F100" s="28" t="s">
        <v>316</v>
      </c>
    </row>
    <row r="101" spans="3:6" ht="246.5" x14ac:dyDescent="0.35">
      <c r="D101">
        <v>5</v>
      </c>
      <c r="E101" t="s">
        <v>148</v>
      </c>
      <c r="F101" s="28" t="s">
        <v>306</v>
      </c>
    </row>
    <row r="102" spans="3:6" ht="377" x14ac:dyDescent="0.35">
      <c r="D102">
        <v>6</v>
      </c>
      <c r="E102" t="s">
        <v>326</v>
      </c>
      <c r="F102" s="28" t="s">
        <v>327</v>
      </c>
    </row>
    <row r="103" spans="3:6" ht="130.5" x14ac:dyDescent="0.35">
      <c r="D103">
        <v>7</v>
      </c>
      <c r="E103" t="s">
        <v>117</v>
      </c>
      <c r="F103" s="28" t="s">
        <v>288</v>
      </c>
    </row>
    <row r="104" spans="3:6" x14ac:dyDescent="0.35">
      <c r="C104" t="s">
        <v>328</v>
      </c>
    </row>
    <row r="105" spans="3:6" ht="377" x14ac:dyDescent="0.35">
      <c r="D105">
        <v>1</v>
      </c>
      <c r="E105" t="s">
        <v>105</v>
      </c>
      <c r="F105" s="28" t="s">
        <v>283</v>
      </c>
    </row>
    <row r="106" spans="3:6" ht="409.5" x14ac:dyDescent="0.35">
      <c r="D106">
        <v>2</v>
      </c>
      <c r="E106" t="s">
        <v>155</v>
      </c>
      <c r="F106" s="28" t="s">
        <v>294</v>
      </c>
    </row>
    <row r="107" spans="3:6" ht="348" x14ac:dyDescent="0.35">
      <c r="D107">
        <v>3</v>
      </c>
      <c r="E107" s="28" t="s">
        <v>156</v>
      </c>
      <c r="F107" s="28" t="s">
        <v>295</v>
      </c>
    </row>
    <row r="108" spans="3:6" ht="409.5" x14ac:dyDescent="0.35">
      <c r="D108">
        <v>4</v>
      </c>
      <c r="E108" t="s">
        <v>115</v>
      </c>
      <c r="F108" s="28" t="s">
        <v>329</v>
      </c>
    </row>
    <row r="109" spans="3:6" ht="246.5" x14ac:dyDescent="0.35">
      <c r="D109">
        <v>5</v>
      </c>
      <c r="E109" t="s">
        <v>148</v>
      </c>
      <c r="F109" s="28" t="s">
        <v>306</v>
      </c>
    </row>
    <row r="110" spans="3:6" ht="377" x14ac:dyDescent="0.35">
      <c r="D110">
        <v>6</v>
      </c>
      <c r="E110" t="s">
        <v>326</v>
      </c>
      <c r="F110" s="28" t="s">
        <v>327</v>
      </c>
    </row>
    <row r="111" spans="3:6" ht="130.5" x14ac:dyDescent="0.35">
      <c r="D111">
        <v>7</v>
      </c>
      <c r="E111" t="s">
        <v>117</v>
      </c>
      <c r="F111" s="28" t="s">
        <v>288</v>
      </c>
    </row>
    <row r="112" spans="3:6" x14ac:dyDescent="0.35">
      <c r="C112" t="s">
        <v>330</v>
      </c>
    </row>
    <row r="113" spans="3:6" ht="377" x14ac:dyDescent="0.35">
      <c r="D113">
        <v>1</v>
      </c>
      <c r="E113" t="s">
        <v>105</v>
      </c>
      <c r="F113" s="28" t="s">
        <v>283</v>
      </c>
    </row>
    <row r="114" spans="3:6" ht="409.5" x14ac:dyDescent="0.35">
      <c r="D114">
        <v>2</v>
      </c>
      <c r="E114" t="s">
        <v>155</v>
      </c>
      <c r="F114" s="28" t="s">
        <v>294</v>
      </c>
    </row>
    <row r="115" spans="3:6" ht="333.5" x14ac:dyDescent="0.35">
      <c r="D115">
        <v>3</v>
      </c>
      <c r="E115" s="28" t="s">
        <v>160</v>
      </c>
      <c r="F115" s="28" t="s">
        <v>295</v>
      </c>
    </row>
    <row r="116" spans="3:6" ht="409.5" x14ac:dyDescent="0.35">
      <c r="D116">
        <v>4</v>
      </c>
      <c r="E116" t="s">
        <v>115</v>
      </c>
      <c r="F116" s="28" t="s">
        <v>292</v>
      </c>
    </row>
    <row r="117" spans="3:6" ht="246.5" x14ac:dyDescent="0.35">
      <c r="D117">
        <v>5</v>
      </c>
      <c r="E117" t="s">
        <v>148</v>
      </c>
      <c r="F117" s="28" t="s">
        <v>306</v>
      </c>
    </row>
    <row r="118" spans="3:6" ht="377" x14ac:dyDescent="0.35">
      <c r="D118">
        <v>6</v>
      </c>
      <c r="E118" t="s">
        <v>326</v>
      </c>
      <c r="F118" s="28" t="s">
        <v>327</v>
      </c>
    </row>
    <row r="119" spans="3:6" ht="130.5" x14ac:dyDescent="0.35">
      <c r="D119">
        <v>7</v>
      </c>
      <c r="E119" t="s">
        <v>117</v>
      </c>
      <c r="F119" s="28" t="s">
        <v>288</v>
      </c>
    </row>
    <row r="120" spans="3:6" x14ac:dyDescent="0.35">
      <c r="C120" t="s">
        <v>331</v>
      </c>
    </row>
    <row r="121" spans="3:6" ht="377" x14ac:dyDescent="0.35">
      <c r="D121">
        <v>1</v>
      </c>
      <c r="E121" t="s">
        <v>105</v>
      </c>
      <c r="F121" s="28" t="s">
        <v>283</v>
      </c>
    </row>
    <row r="122" spans="3:6" ht="188.5" x14ac:dyDescent="0.35">
      <c r="D122">
        <v>2</v>
      </c>
      <c r="E122" t="s">
        <v>299</v>
      </c>
      <c r="F122" s="28" t="s">
        <v>300</v>
      </c>
    </row>
    <row r="123" spans="3:6" ht="232" x14ac:dyDescent="0.35">
      <c r="D123">
        <v>3</v>
      </c>
      <c r="E123" t="s">
        <v>138</v>
      </c>
      <c r="F123" s="28" t="s">
        <v>301</v>
      </c>
    </row>
    <row r="124" spans="3:6" ht="409.5" x14ac:dyDescent="0.35">
      <c r="D124">
        <v>4</v>
      </c>
      <c r="E124" t="s">
        <v>115</v>
      </c>
      <c r="F124" s="28" t="s">
        <v>314</v>
      </c>
    </row>
    <row r="125" spans="3:6" ht="246.5" x14ac:dyDescent="0.35">
      <c r="D125">
        <v>5</v>
      </c>
      <c r="E125" t="s">
        <v>148</v>
      </c>
      <c r="F125" s="28" t="s">
        <v>306</v>
      </c>
    </row>
    <row r="126" spans="3:6" ht="377" x14ac:dyDescent="0.35">
      <c r="D126">
        <v>6</v>
      </c>
      <c r="E126" t="s">
        <v>326</v>
      </c>
      <c r="F126" s="28" t="s">
        <v>327</v>
      </c>
    </row>
    <row r="127" spans="3:6" ht="130.5" x14ac:dyDescent="0.35">
      <c r="D127">
        <v>7</v>
      </c>
      <c r="E127" t="s">
        <v>117</v>
      </c>
      <c r="F127" s="28" t="s">
        <v>288</v>
      </c>
    </row>
    <row r="128" spans="3:6" x14ac:dyDescent="0.35">
      <c r="C128" t="s">
        <v>332</v>
      </c>
    </row>
    <row r="129" spans="3:6" ht="409.5" x14ac:dyDescent="0.35">
      <c r="D129">
        <v>1</v>
      </c>
      <c r="E129" t="s">
        <v>200</v>
      </c>
      <c r="F129" s="28" t="s">
        <v>333</v>
      </c>
    </row>
    <row r="130" spans="3:6" ht="409.5" x14ac:dyDescent="0.35">
      <c r="D130">
        <v>2</v>
      </c>
      <c r="E130" t="s">
        <v>334</v>
      </c>
      <c r="F130" s="28" t="s">
        <v>335</v>
      </c>
    </row>
    <row r="131" spans="3:6" ht="130.5" x14ac:dyDescent="0.35">
      <c r="D131">
        <v>3</v>
      </c>
      <c r="E131" t="s">
        <v>117</v>
      </c>
      <c r="F131" s="28" t="s">
        <v>288</v>
      </c>
    </row>
    <row r="132" spans="3:6" x14ac:dyDescent="0.35">
      <c r="C132" t="s">
        <v>336</v>
      </c>
    </row>
    <row r="133" spans="3:6" ht="409.5" x14ac:dyDescent="0.35">
      <c r="D133">
        <v>1</v>
      </c>
      <c r="E133" t="s">
        <v>200</v>
      </c>
      <c r="F133" s="28" t="s">
        <v>333</v>
      </c>
    </row>
    <row r="134" spans="3:6" ht="409.5" x14ac:dyDescent="0.35">
      <c r="D134">
        <v>2</v>
      </c>
      <c r="E134" t="s">
        <v>337</v>
      </c>
      <c r="F134" s="28" t="s">
        <v>338</v>
      </c>
    </row>
    <row r="135" spans="3:6" ht="130.5" x14ac:dyDescent="0.35">
      <c r="D135">
        <v>3</v>
      </c>
      <c r="E135" t="s">
        <v>117</v>
      </c>
      <c r="F135" s="28" t="s">
        <v>288</v>
      </c>
    </row>
    <row r="136" spans="3:6" x14ac:dyDescent="0.35">
      <c r="C136" t="s">
        <v>339</v>
      </c>
    </row>
    <row r="137" spans="3:6" ht="409.5" x14ac:dyDescent="0.35">
      <c r="D137">
        <v>1</v>
      </c>
      <c r="E137" t="s">
        <v>200</v>
      </c>
      <c r="F137" s="28" t="s">
        <v>340</v>
      </c>
    </row>
    <row r="138" spans="3:6" ht="409.5" x14ac:dyDescent="0.35">
      <c r="D138">
        <v>2</v>
      </c>
      <c r="E138" s="28" t="s">
        <v>341</v>
      </c>
      <c r="F138" s="28" t="s">
        <v>342</v>
      </c>
    </row>
    <row r="139" spans="3:6" ht="130.5" x14ac:dyDescent="0.35">
      <c r="D139">
        <v>3</v>
      </c>
      <c r="E139" t="s">
        <v>117</v>
      </c>
      <c r="F139" s="28" t="s">
        <v>288</v>
      </c>
    </row>
    <row r="140" spans="3:6" x14ac:dyDescent="0.35">
      <c r="C140" t="s">
        <v>343</v>
      </c>
    </row>
    <row r="141" spans="3:6" ht="409.5" x14ac:dyDescent="0.35">
      <c r="D141">
        <v>1</v>
      </c>
      <c r="E141" t="s">
        <v>344</v>
      </c>
      <c r="F141" s="28" t="s">
        <v>345</v>
      </c>
    </row>
    <row r="142" spans="3:6" ht="130.5" x14ac:dyDescent="0.35">
      <c r="D142">
        <v>2</v>
      </c>
      <c r="E142" t="s">
        <v>117</v>
      </c>
      <c r="F142" s="28" t="s">
        <v>288</v>
      </c>
    </row>
    <row r="143" spans="3:6" x14ac:dyDescent="0.35">
      <c r="C143" t="s">
        <v>346</v>
      </c>
    </row>
    <row r="144" spans="3:6" ht="409.5" x14ac:dyDescent="0.35">
      <c r="D144">
        <v>1</v>
      </c>
      <c r="E144" t="s">
        <v>347</v>
      </c>
      <c r="F144" s="28" t="s">
        <v>348</v>
      </c>
    </row>
    <row r="145" spans="3:6" ht="130.5" x14ac:dyDescent="0.35">
      <c r="D145">
        <v>2</v>
      </c>
      <c r="E145" t="s">
        <v>117</v>
      </c>
      <c r="F145" s="28" t="s">
        <v>288</v>
      </c>
    </row>
    <row r="146" spans="3:6" x14ac:dyDescent="0.35">
      <c r="C146" t="s">
        <v>349</v>
      </c>
    </row>
    <row r="147" spans="3:6" ht="409.5" x14ac:dyDescent="0.35">
      <c r="D147">
        <v>1</v>
      </c>
      <c r="E147" t="s">
        <v>105</v>
      </c>
      <c r="F147" s="28" t="s">
        <v>350</v>
      </c>
    </row>
    <row r="148" spans="3:6" ht="409.5" x14ac:dyDescent="0.35">
      <c r="D148">
        <v>2</v>
      </c>
      <c r="E148" t="s">
        <v>351</v>
      </c>
      <c r="F148" s="28" t="s">
        <v>352</v>
      </c>
    </row>
    <row r="149" spans="3:6" ht="87" x14ac:dyDescent="0.35">
      <c r="D149">
        <v>3</v>
      </c>
      <c r="E149" t="s">
        <v>353</v>
      </c>
      <c r="F149" s="28" t="s">
        <v>354</v>
      </c>
    </row>
    <row r="150" spans="3:6" ht="130.5" x14ac:dyDescent="0.35">
      <c r="D150">
        <v>4</v>
      </c>
      <c r="E150" t="s">
        <v>117</v>
      </c>
      <c r="F150" s="28" t="s">
        <v>288</v>
      </c>
    </row>
    <row r="151" spans="3:6" x14ac:dyDescent="0.35">
      <c r="C151" t="s">
        <v>355</v>
      </c>
    </row>
    <row r="152" spans="3:6" ht="409.5" x14ac:dyDescent="0.35">
      <c r="D152">
        <v>1</v>
      </c>
      <c r="E152" t="s">
        <v>236</v>
      </c>
      <c r="F152" s="28" t="s">
        <v>356</v>
      </c>
    </row>
    <row r="153" spans="3:6" ht="130.5" x14ac:dyDescent="0.35">
      <c r="D153">
        <v>2</v>
      </c>
      <c r="E153" t="s">
        <v>117</v>
      </c>
      <c r="F153" s="28" t="s">
        <v>288</v>
      </c>
    </row>
    <row r="154" spans="3:6" x14ac:dyDescent="0.35">
      <c r="C154" t="s">
        <v>357</v>
      </c>
    </row>
    <row r="155" spans="3:6" ht="377" x14ac:dyDescent="0.35">
      <c r="D155">
        <v>1</v>
      </c>
      <c r="E155" t="s">
        <v>105</v>
      </c>
      <c r="F155" s="28" t="s">
        <v>283</v>
      </c>
    </row>
    <row r="156" spans="3:6" ht="409.5" x14ac:dyDescent="0.35">
      <c r="D156">
        <v>2</v>
      </c>
      <c r="E156" t="s">
        <v>155</v>
      </c>
      <c r="F156" s="28" t="s">
        <v>294</v>
      </c>
    </row>
    <row r="157" spans="3:6" ht="348" x14ac:dyDescent="0.35">
      <c r="D157">
        <v>3</v>
      </c>
      <c r="E157" s="28" t="s">
        <v>242</v>
      </c>
      <c r="F157" s="28" t="s">
        <v>295</v>
      </c>
    </row>
    <row r="158" spans="3:6" ht="409.5" x14ac:dyDescent="0.35">
      <c r="D158">
        <v>4</v>
      </c>
      <c r="E158" t="s">
        <v>115</v>
      </c>
      <c r="F158" s="28" t="s">
        <v>358</v>
      </c>
    </row>
    <row r="159" spans="3:6" ht="409.5" x14ac:dyDescent="0.35">
      <c r="D159">
        <v>5</v>
      </c>
      <c r="E159" t="s">
        <v>244</v>
      </c>
      <c r="F159" s="28" t="s">
        <v>311</v>
      </c>
    </row>
    <row r="160" spans="3:6" ht="130.5" x14ac:dyDescent="0.35">
      <c r="D160">
        <v>6</v>
      </c>
      <c r="E160" t="s">
        <v>245</v>
      </c>
      <c r="F160" s="28" t="s">
        <v>288</v>
      </c>
    </row>
    <row r="161" spans="3:6" x14ac:dyDescent="0.35">
      <c r="C161" t="s">
        <v>359</v>
      </c>
    </row>
    <row r="162" spans="3:6" ht="377" x14ac:dyDescent="0.35">
      <c r="D162">
        <v>1</v>
      </c>
      <c r="E162" t="s">
        <v>105</v>
      </c>
      <c r="F162" s="28" t="s">
        <v>283</v>
      </c>
    </row>
    <row r="163" spans="3:6" ht="409.5" x14ac:dyDescent="0.35">
      <c r="D163">
        <v>2</v>
      </c>
      <c r="E163" t="s">
        <v>155</v>
      </c>
      <c r="F163" s="28" t="s">
        <v>294</v>
      </c>
    </row>
    <row r="164" spans="3:6" ht="333.5" x14ac:dyDescent="0.35">
      <c r="D164">
        <v>3</v>
      </c>
      <c r="E164" s="28" t="s">
        <v>160</v>
      </c>
      <c r="F164" s="28" t="s">
        <v>295</v>
      </c>
    </row>
    <row r="165" spans="3:6" ht="409.5" x14ac:dyDescent="0.35">
      <c r="D165">
        <v>4</v>
      </c>
      <c r="E165" t="s">
        <v>115</v>
      </c>
      <c r="F165" s="28" t="s">
        <v>358</v>
      </c>
    </row>
    <row r="166" spans="3:6" ht="409.5" x14ac:dyDescent="0.35">
      <c r="D166">
        <v>5</v>
      </c>
      <c r="E166" t="s">
        <v>244</v>
      </c>
      <c r="F166" s="28" t="s">
        <v>360</v>
      </c>
    </row>
    <row r="167" spans="3:6" ht="130.5" x14ac:dyDescent="0.35">
      <c r="D167">
        <v>6</v>
      </c>
      <c r="E167" t="s">
        <v>245</v>
      </c>
      <c r="F167" s="28" t="s">
        <v>288</v>
      </c>
    </row>
    <row r="168" spans="3:6" x14ac:dyDescent="0.35">
      <c r="C168" t="s">
        <v>361</v>
      </c>
    </row>
    <row r="169" spans="3:6" ht="377" x14ac:dyDescent="0.35">
      <c r="D169">
        <v>1</v>
      </c>
      <c r="E169" t="s">
        <v>105</v>
      </c>
      <c r="F169" s="28" t="s">
        <v>283</v>
      </c>
    </row>
    <row r="170" spans="3:6" ht="246.5" x14ac:dyDescent="0.35">
      <c r="D170">
        <v>2</v>
      </c>
      <c r="E170" t="s">
        <v>284</v>
      </c>
      <c r="F170" s="28" t="s">
        <v>362</v>
      </c>
    </row>
    <row r="171" spans="3:6" ht="130.5" x14ac:dyDescent="0.35">
      <c r="D171">
        <v>3</v>
      </c>
      <c r="E171" t="s">
        <v>113</v>
      </c>
      <c r="F171" s="28" t="s">
        <v>286</v>
      </c>
    </row>
    <row r="172" spans="3:6" ht="409.5" x14ac:dyDescent="0.35">
      <c r="D172">
        <v>4</v>
      </c>
      <c r="E172" t="s">
        <v>115</v>
      </c>
      <c r="F172" s="28" t="s">
        <v>287</v>
      </c>
    </row>
    <row r="173" spans="3:6" ht="409.5" x14ac:dyDescent="0.35">
      <c r="D173">
        <v>5</v>
      </c>
      <c r="E173" s="28" t="s">
        <v>363</v>
      </c>
      <c r="F173" s="28" t="s">
        <v>364</v>
      </c>
    </row>
    <row r="174" spans="3:6" ht="130.5" x14ac:dyDescent="0.35">
      <c r="D174">
        <v>6</v>
      </c>
      <c r="E174" t="s">
        <v>117</v>
      </c>
      <c r="F174" s="28" t="s">
        <v>288</v>
      </c>
    </row>
    <row r="175" spans="3:6" x14ac:dyDescent="0.35">
      <c r="C175" t="s">
        <v>365</v>
      </c>
    </row>
    <row r="176" spans="3:6" ht="377" x14ac:dyDescent="0.35">
      <c r="D176">
        <v>1</v>
      </c>
      <c r="E176" t="s">
        <v>105</v>
      </c>
      <c r="F176" s="28" t="s">
        <v>283</v>
      </c>
    </row>
    <row r="177" spans="3:6" ht="409.5" x14ac:dyDescent="0.35">
      <c r="D177">
        <v>2</v>
      </c>
      <c r="E177" t="s">
        <v>155</v>
      </c>
      <c r="F177" s="28" t="s">
        <v>366</v>
      </c>
    </row>
    <row r="178" spans="3:6" ht="333.5" x14ac:dyDescent="0.35">
      <c r="D178">
        <v>3</v>
      </c>
      <c r="E178" s="28" t="s">
        <v>124</v>
      </c>
      <c r="F178" s="28" t="s">
        <v>295</v>
      </c>
    </row>
    <row r="179" spans="3:6" ht="409.5" x14ac:dyDescent="0.35">
      <c r="D179">
        <v>4</v>
      </c>
      <c r="E179" t="s">
        <v>115</v>
      </c>
      <c r="F179" s="28" t="s">
        <v>360</v>
      </c>
    </row>
    <row r="180" spans="3:6" ht="409.5" x14ac:dyDescent="0.35">
      <c r="D180">
        <v>5</v>
      </c>
      <c r="E180" s="28" t="s">
        <v>363</v>
      </c>
      <c r="F180" s="28" t="s">
        <v>364</v>
      </c>
    </row>
    <row r="181" spans="3:6" ht="130.5" x14ac:dyDescent="0.35">
      <c r="D181">
        <v>6</v>
      </c>
      <c r="E181" t="s">
        <v>117</v>
      </c>
      <c r="F181" s="28" t="s">
        <v>288</v>
      </c>
    </row>
    <row r="182" spans="3:6" x14ac:dyDescent="0.35">
      <c r="C182" t="s">
        <v>367</v>
      </c>
    </row>
    <row r="183" spans="3:6" ht="377" x14ac:dyDescent="0.35">
      <c r="D183">
        <v>1</v>
      </c>
      <c r="E183" t="s">
        <v>105</v>
      </c>
      <c r="F183" s="28" t="s">
        <v>283</v>
      </c>
    </row>
    <row r="184" spans="3:6" ht="409.5" x14ac:dyDescent="0.35">
      <c r="D184">
        <v>2</v>
      </c>
      <c r="E184" t="s">
        <v>155</v>
      </c>
      <c r="F184" s="28" t="s">
        <v>294</v>
      </c>
    </row>
    <row r="185" spans="3:6" ht="319" x14ac:dyDescent="0.35">
      <c r="D185">
        <v>3</v>
      </c>
      <c r="E185" s="28" t="s">
        <v>129</v>
      </c>
      <c r="F185" s="28" t="s">
        <v>295</v>
      </c>
    </row>
    <row r="186" spans="3:6" ht="409.5" x14ac:dyDescent="0.35">
      <c r="D186">
        <v>4</v>
      </c>
      <c r="E186" t="s">
        <v>115</v>
      </c>
      <c r="F186" s="28" t="s">
        <v>368</v>
      </c>
    </row>
    <row r="187" spans="3:6" ht="409.5" x14ac:dyDescent="0.35">
      <c r="D187">
        <v>5</v>
      </c>
      <c r="E187" s="28" t="s">
        <v>363</v>
      </c>
      <c r="F187" s="28" t="s">
        <v>364</v>
      </c>
    </row>
    <row r="188" spans="3:6" ht="130.5" x14ac:dyDescent="0.35">
      <c r="D188">
        <v>6</v>
      </c>
      <c r="E188" t="s">
        <v>117</v>
      </c>
      <c r="F188" s="28" t="s">
        <v>288</v>
      </c>
    </row>
    <row r="189" spans="3:6" x14ac:dyDescent="0.35">
      <c r="C189" t="s">
        <v>369</v>
      </c>
    </row>
    <row r="190" spans="3:6" ht="29" x14ac:dyDescent="0.35">
      <c r="D190">
        <v>1</v>
      </c>
      <c r="E190" t="s">
        <v>254</v>
      </c>
      <c r="F190" s="28" t="s">
        <v>370</v>
      </c>
    </row>
    <row r="191" spans="3:6" ht="246.5" x14ac:dyDescent="0.35">
      <c r="D191">
        <v>2</v>
      </c>
      <c r="E191" t="s">
        <v>256</v>
      </c>
      <c r="F191" s="28" t="s">
        <v>371</v>
      </c>
    </row>
    <row r="192" spans="3:6" ht="159.5" x14ac:dyDescent="0.35">
      <c r="D192">
        <v>3</v>
      </c>
      <c r="E192" t="s">
        <v>258</v>
      </c>
      <c r="F192" s="28" t="s">
        <v>372</v>
      </c>
    </row>
    <row r="193" spans="3:6" ht="87" x14ac:dyDescent="0.35">
      <c r="D193">
        <v>4</v>
      </c>
      <c r="E193" t="s">
        <v>260</v>
      </c>
      <c r="F193" s="28" t="s">
        <v>373</v>
      </c>
    </row>
    <row r="194" spans="3:6" ht="87" x14ac:dyDescent="0.35">
      <c r="D194">
        <v>5</v>
      </c>
      <c r="E194" t="s">
        <v>262</v>
      </c>
      <c r="F194" s="28" t="s">
        <v>374</v>
      </c>
    </row>
    <row r="195" spans="3:6" ht="87" x14ac:dyDescent="0.35">
      <c r="D195">
        <v>6</v>
      </c>
      <c r="E195" t="s">
        <v>264</v>
      </c>
      <c r="F195" s="28" t="s">
        <v>374</v>
      </c>
    </row>
    <row r="196" spans="3:6" x14ac:dyDescent="0.35">
      <c r="C196" t="s">
        <v>375</v>
      </c>
    </row>
    <row r="197" spans="3:6" ht="377" x14ac:dyDescent="0.35">
      <c r="D197">
        <v>1</v>
      </c>
      <c r="E197" t="s">
        <v>268</v>
      </c>
      <c r="F197" s="28" t="s">
        <v>283</v>
      </c>
    </row>
    <row r="198" spans="3:6" ht="130.5" x14ac:dyDescent="0.35">
      <c r="D198">
        <v>2</v>
      </c>
      <c r="E198" t="s">
        <v>269</v>
      </c>
      <c r="F198" s="28" t="s">
        <v>376</v>
      </c>
    </row>
    <row r="199" spans="3:6" ht="130.5" x14ac:dyDescent="0.35">
      <c r="D199">
        <v>3</v>
      </c>
      <c r="E199" t="s">
        <v>270</v>
      </c>
      <c r="F199" s="28" t="s">
        <v>377</v>
      </c>
    </row>
    <row r="200" spans="3:6" ht="130.5" x14ac:dyDescent="0.35">
      <c r="D200">
        <v>4</v>
      </c>
      <c r="E200" t="s">
        <v>245</v>
      </c>
      <c r="F200" s="28" t="s">
        <v>288</v>
      </c>
    </row>
    <row r="201" spans="3:6" x14ac:dyDescent="0.35">
      <c r="C201" t="s">
        <v>378</v>
      </c>
    </row>
    <row r="202" spans="3:6" ht="377" x14ac:dyDescent="0.35">
      <c r="D202">
        <v>1</v>
      </c>
      <c r="E202" t="s">
        <v>105</v>
      </c>
      <c r="F202" s="28" t="s">
        <v>283</v>
      </c>
    </row>
    <row r="203" spans="3:6" ht="188.5" x14ac:dyDescent="0.35">
      <c r="D203">
        <v>2</v>
      </c>
      <c r="E203" t="s">
        <v>299</v>
      </c>
      <c r="F203" s="28" t="s">
        <v>300</v>
      </c>
    </row>
    <row r="204" spans="3:6" ht="232" x14ac:dyDescent="0.35">
      <c r="D204">
        <v>3</v>
      </c>
      <c r="E204" t="s">
        <v>138</v>
      </c>
      <c r="F204" s="28" t="s">
        <v>301</v>
      </c>
    </row>
    <row r="205" spans="3:6" ht="409.5" x14ac:dyDescent="0.35">
      <c r="D205">
        <v>4</v>
      </c>
      <c r="E205" t="s">
        <v>274</v>
      </c>
      <c r="F205" s="28" t="s">
        <v>379</v>
      </c>
    </row>
    <row r="206" spans="3:6" ht="159.5" x14ac:dyDescent="0.35">
      <c r="D206">
        <v>5</v>
      </c>
      <c r="E206" t="s">
        <v>275</v>
      </c>
      <c r="F206" s="28" t="s">
        <v>380</v>
      </c>
    </row>
    <row r="207" spans="3:6" ht="130.5" x14ac:dyDescent="0.35">
      <c r="D207">
        <v>6</v>
      </c>
      <c r="E207" t="s">
        <v>245</v>
      </c>
      <c r="F207" s="28" t="s">
        <v>288</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23"/>
  <sheetViews>
    <sheetView showGridLines="0" topLeftCell="A4" zoomScale="70" zoomScaleNormal="70" workbookViewId="0">
      <selection activeCell="H19" sqref="H19"/>
    </sheetView>
  </sheetViews>
  <sheetFormatPr baseColWidth="10" defaultColWidth="11.453125" defaultRowHeight="16.5" x14ac:dyDescent="0.45"/>
  <cols>
    <col min="1" max="1" width="5.453125" customWidth="1"/>
    <col min="2" max="3" width="55.90625" style="23"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33" customFormat="1" ht="15" x14ac:dyDescent="0.4">
      <c r="B2" s="71" t="s">
        <v>381</v>
      </c>
      <c r="C2" s="25"/>
    </row>
    <row r="3" spans="2:12" s="33" customFormat="1" ht="15" x14ac:dyDescent="0.4">
      <c r="B3" s="72" t="s">
        <v>382</v>
      </c>
      <c r="C3" s="25"/>
    </row>
    <row r="4" spans="2:12" s="33" customFormat="1" ht="16.5" customHeight="1" x14ac:dyDescent="0.4">
      <c r="B4" s="72" t="s">
        <v>383</v>
      </c>
      <c r="C4" s="25"/>
      <c r="K4" s="73"/>
      <c r="L4" s="74"/>
    </row>
    <row r="5" spans="2:12" s="33" customFormat="1" ht="12" customHeight="1" x14ac:dyDescent="0.4">
      <c r="B5" s="25"/>
      <c r="C5" s="25"/>
      <c r="K5" s="75"/>
      <c r="L5" s="76"/>
    </row>
    <row r="7" spans="2:12" ht="16.5" customHeight="1" x14ac:dyDescent="0.35">
      <c r="B7" s="111" t="s">
        <v>384</v>
      </c>
      <c r="C7" s="111"/>
    </row>
    <row r="8" spans="2:12" ht="14.5" x14ac:dyDescent="0.35">
      <c r="B8" s="77" t="s">
        <v>385</v>
      </c>
      <c r="C8" s="77" t="s">
        <v>385</v>
      </c>
    </row>
    <row r="9" spans="2:12" ht="14.5" x14ac:dyDescent="0.35">
      <c r="B9" s="78" t="s">
        <v>386</v>
      </c>
      <c r="C9" s="78" t="s">
        <v>387</v>
      </c>
    </row>
    <row r="10" spans="2:12" ht="29" x14ac:dyDescent="0.35">
      <c r="B10" s="78" t="s">
        <v>388</v>
      </c>
      <c r="C10" s="78" t="s">
        <v>389</v>
      </c>
    </row>
    <row r="11" spans="2:12" ht="14.5" x14ac:dyDescent="0.35">
      <c r="B11" s="78" t="s">
        <v>390</v>
      </c>
      <c r="C11" s="78" t="s">
        <v>391</v>
      </c>
    </row>
    <row r="12" spans="2:12" ht="70.5" customHeight="1" x14ac:dyDescent="0.35">
      <c r="B12" s="79"/>
      <c r="C12" s="79"/>
    </row>
    <row r="13" spans="2:12" ht="14.5" x14ac:dyDescent="0.35">
      <c r="B13" s="77" t="s">
        <v>392</v>
      </c>
      <c r="C13" s="77" t="s">
        <v>392</v>
      </c>
    </row>
    <row r="14" spans="2:12" ht="14.5" x14ac:dyDescent="0.35">
      <c r="B14" s="78" t="s">
        <v>393</v>
      </c>
      <c r="C14" s="78" t="s">
        <v>394</v>
      </c>
    </row>
    <row r="15" spans="2:12" ht="29" x14ac:dyDescent="0.35">
      <c r="B15" s="78" t="s">
        <v>395</v>
      </c>
      <c r="C15" s="78" t="s">
        <v>396</v>
      </c>
    </row>
    <row r="16" spans="2:12" ht="14.5" x14ac:dyDescent="0.35">
      <c r="B16" s="78" t="s">
        <v>390</v>
      </c>
      <c r="C16" s="78" t="s">
        <v>397</v>
      </c>
    </row>
    <row r="17" spans="2:3" ht="70.5" customHeight="1" x14ac:dyDescent="0.35">
      <c r="B17" s="80"/>
      <c r="C17" s="79"/>
    </row>
    <row r="18" spans="2:3" ht="14.5" x14ac:dyDescent="0.35">
      <c r="B18" s="77" t="s">
        <v>392</v>
      </c>
      <c r="C18" s="77" t="s">
        <v>398</v>
      </c>
    </row>
    <row r="19" spans="2:3" ht="14.5" x14ac:dyDescent="0.35">
      <c r="B19" s="78" t="s">
        <v>399</v>
      </c>
      <c r="C19" s="78" t="s">
        <v>400</v>
      </c>
    </row>
    <row r="20" spans="2:3" ht="14.25" customHeight="1" x14ac:dyDescent="0.35">
      <c r="B20" s="112" t="s">
        <v>401</v>
      </c>
      <c r="C20" s="112" t="s">
        <v>402</v>
      </c>
    </row>
    <row r="21" spans="2:3" ht="14.5" x14ac:dyDescent="0.35">
      <c r="B21" s="112"/>
      <c r="C21" s="112"/>
    </row>
    <row r="22" spans="2:3" ht="14.5" x14ac:dyDescent="0.35">
      <c r="B22" s="78" t="s">
        <v>390</v>
      </c>
      <c r="C22" s="78" t="s">
        <v>391</v>
      </c>
    </row>
    <row r="23" spans="2:3" ht="70.5" customHeight="1" x14ac:dyDescent="0.35">
      <c r="B23" s="78"/>
      <c r="C23" s="78"/>
    </row>
  </sheetData>
  <mergeCells count="3">
    <mergeCell ref="B7:C7"/>
    <mergeCell ref="B20:B21"/>
    <mergeCell ref="C20:C21"/>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K16"/>
  <sheetViews>
    <sheetView showGridLines="0" topLeftCell="A5" zoomScale="110" zoomScaleNormal="110" workbookViewId="0">
      <selection activeCell="I25" sqref="I25"/>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81" t="s">
        <v>403</v>
      </c>
    </row>
    <row r="3" spans="3:11" s="82" customFormat="1" ht="12" customHeight="1" x14ac:dyDescent="0.3"/>
    <row r="4" spans="3:11" s="82" customFormat="1" ht="13.5" customHeight="1" x14ac:dyDescent="0.3">
      <c r="H4" s="113" t="s">
        <v>404</v>
      </c>
      <c r="I4" s="113"/>
      <c r="J4" s="113"/>
      <c r="K4" s="113"/>
    </row>
    <row r="5" spans="3:11" s="82" customFormat="1" ht="13.5" x14ac:dyDescent="0.3">
      <c r="H5" s="113"/>
      <c r="I5" s="113"/>
      <c r="J5" s="113"/>
      <c r="K5" s="113"/>
    </row>
    <row r="6" spans="3:11" s="82" customFormat="1" ht="14" x14ac:dyDescent="0.3">
      <c r="H6" s="114" t="s">
        <v>405</v>
      </c>
      <c r="I6" s="114"/>
      <c r="J6" s="114"/>
      <c r="K6" s="114"/>
    </row>
    <row r="7" spans="3:11" s="82" customFormat="1" ht="99.75" customHeight="1" x14ac:dyDescent="0.3">
      <c r="C7" s="117" t="s">
        <v>406</v>
      </c>
      <c r="D7" s="117"/>
      <c r="E7" s="116" t="s">
        <v>407</v>
      </c>
      <c r="F7" s="116"/>
      <c r="G7" s="116"/>
      <c r="H7" s="116"/>
      <c r="I7" s="116"/>
      <c r="J7" s="117" t="s">
        <v>408</v>
      </c>
      <c r="K7" s="117"/>
    </row>
    <row r="8" spans="3:11" s="82" customFormat="1" ht="13.5" x14ac:dyDescent="0.3"/>
    <row r="9" spans="3:11" s="82" customFormat="1" ht="13.5" x14ac:dyDescent="0.3"/>
    <row r="10" spans="3:11" s="82" customFormat="1" ht="13.5" x14ac:dyDescent="0.3"/>
    <row r="11" spans="3:11" s="82" customFormat="1" ht="13.5" x14ac:dyDescent="0.3"/>
    <row r="12" spans="3:11" s="82" customFormat="1" ht="13.5" x14ac:dyDescent="0.3"/>
    <row r="13" spans="3:11" s="82" customFormat="1" ht="13.5" customHeight="1" x14ac:dyDescent="0.3">
      <c r="H13" s="113" t="s">
        <v>404</v>
      </c>
      <c r="I13" s="113"/>
      <c r="J13" s="113"/>
      <c r="K13" s="113"/>
    </row>
    <row r="14" spans="3:11" s="82" customFormat="1" ht="13.5" x14ac:dyDescent="0.3">
      <c r="H14" s="113"/>
      <c r="I14" s="113"/>
      <c r="J14" s="113"/>
      <c r="K14" s="113"/>
    </row>
    <row r="15" spans="3:11" s="82" customFormat="1" ht="14" x14ac:dyDescent="0.3">
      <c r="H15" s="114" t="s">
        <v>405</v>
      </c>
      <c r="I15" s="114"/>
      <c r="J15" s="114"/>
      <c r="K15" s="114"/>
    </row>
    <row r="16" spans="3:11" s="82" customFormat="1" ht="51.75" customHeight="1" x14ac:dyDescent="0.4">
      <c r="C16" s="115" t="s">
        <v>406</v>
      </c>
      <c r="D16" s="115"/>
      <c r="E16" s="116" t="s">
        <v>409</v>
      </c>
      <c r="F16" s="116"/>
      <c r="G16" s="116"/>
      <c r="H16" s="116"/>
      <c r="I16" s="116"/>
      <c r="J16" s="117" t="s">
        <v>408</v>
      </c>
      <c r="K16" s="117"/>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Instrucciones</vt:lpstr>
      <vt:lpstr>Versionamiento</vt:lpstr>
      <vt:lpstr>ListadoCP</vt:lpstr>
      <vt:lpstr>Casos de Prueba</vt:lpstr>
      <vt:lpstr>Devops</vt:lpstr>
      <vt:lpstr>Devops_Carga</vt:lpstr>
      <vt:lpstr>Firmas Conformidad</vt:lpstr>
      <vt:lpstr>Encabezado</vt:lpstr>
      <vt:lpstr>Instrucciones!Área_de_impresión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0</cp:revision>
  <cp:lastPrinted>2022-02-12T03:15:24Z</cp:lastPrinted>
  <dcterms:created xsi:type="dcterms:W3CDTF">2010-09-30T14:54:59Z</dcterms:created>
  <dcterms:modified xsi:type="dcterms:W3CDTF">2026-02-13T18:08:23Z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