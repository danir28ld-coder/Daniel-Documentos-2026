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niel Robles\Documents\RDP Devops\250107-RDP ConsultaCentral CFDI _ DevOps_CC120_CC122\"/>
    </mc:Choice>
  </mc:AlternateContent>
  <xr:revisionPtr revIDLastSave="0" documentId="13_ncr:1_{B7FB2191-2FAD-4272-8647-DD79DAF4A4C2}" xr6:coauthVersionLast="47" xr6:coauthVersionMax="47" xr10:uidLastSave="{00000000-0000-0000-0000-000000000000}"/>
  <bookViews>
    <workbookView xWindow="-110" yWindow="-110" windowWidth="19420" windowHeight="10300" tabRatio="500" firstSheet="1" activeTab="3" xr2:uid="{00000000-000D-0000-FFFF-FFFF00000000}"/>
  </bookViews>
  <sheets>
    <sheet name="Instrucciones" sheetId="1" r:id="rId1"/>
    <sheet name="Versionamiento" sheetId="2" r:id="rId2"/>
    <sheet name="ListadoCP" sheetId="3" r:id="rId3"/>
    <sheet name="Casos de Prueba" sheetId="4" r:id="rId4"/>
    <sheet name="Devops" sheetId="7" r:id="rId5"/>
    <sheet name="Devops_Carga" sheetId="9" r:id="rId6"/>
    <sheet name="Firmas Conformidad" sheetId="5" r:id="rId7"/>
    <sheet name="Encabezado" sheetId="6" r:id="rId8"/>
  </sheets>
  <definedNames>
    <definedName name="_xlnm.Print_Area" localSheetId="0">Instrucciones!$A$13:$N$30</definedName>
    <definedName name="_xlnm.Print_Area" localSheetId="1">Versionamiento!$A$12:$N$12</definedName>
    <definedName name="_xlnm.Print_Titles" localSheetId="3">'Casos de Prueba'!$1:$9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23" i="4" l="1" a="1"/>
  <c r="J23" i="4" s="1"/>
  <c r="L23" i="4" s="1"/>
  <c r="F74" i="7"/>
  <c r="F75" i="7"/>
  <c r="D73" i="7"/>
  <c r="E73" i="7" s="1"/>
  <c r="D74" i="7"/>
  <c r="E74" i="7" s="1"/>
  <c r="D75" i="7"/>
  <c r="E75" i="7" s="1"/>
  <c r="D76" i="7"/>
  <c r="E76" i="7" s="1"/>
  <c r="D77" i="7"/>
  <c r="E77" i="7" s="1"/>
  <c r="D72" i="7"/>
  <c r="E72" i="7" s="1"/>
  <c r="D78" i="7"/>
  <c r="E78" i="7" s="1"/>
  <c r="D67" i="7"/>
  <c r="E67" i="7" s="1"/>
  <c r="D68" i="7"/>
  <c r="E68" i="7" s="1"/>
  <c r="D69" i="7"/>
  <c r="D70" i="7"/>
  <c r="E70" i="7" s="1"/>
  <c r="D71" i="7"/>
  <c r="E71" i="7" s="1"/>
  <c r="G20" i="7"/>
  <c r="H20" i="7" s="1"/>
  <c r="D19" i="7"/>
  <c r="E19" i="7" s="1"/>
  <c r="F35" i="7"/>
  <c r="D55" i="7"/>
  <c r="E55" i="7" s="1"/>
  <c r="D56" i="7"/>
  <c r="E56" i="7" s="1"/>
  <c r="D57" i="7"/>
  <c r="E57" i="7" s="1"/>
  <c r="D58" i="7"/>
  <c r="E58" i="7" s="1"/>
  <c r="D59" i="7"/>
  <c r="E59" i="7" s="1"/>
  <c r="D60" i="7"/>
  <c r="E60" i="7" s="1"/>
  <c r="D61" i="7"/>
  <c r="D62" i="7"/>
  <c r="E62" i="7" s="1"/>
  <c r="D63" i="7"/>
  <c r="E63" i="7" s="1"/>
  <c r="D64" i="7"/>
  <c r="E64" i="7" s="1"/>
  <c r="D65" i="7"/>
  <c r="D66" i="7"/>
  <c r="E66" i="7" s="1"/>
  <c r="D79" i="7"/>
  <c r="E79" i="7" s="1"/>
  <c r="D80" i="7"/>
  <c r="E80" i="7" s="1"/>
  <c r="D81" i="7"/>
  <c r="E81" i="7" s="1"/>
  <c r="D82" i="7"/>
  <c r="E82" i="7" s="1"/>
  <c r="D83" i="7"/>
  <c r="D84" i="7"/>
  <c r="E84" i="7" s="1"/>
  <c r="D85" i="7"/>
  <c r="E85" i="7" s="1"/>
  <c r="D86" i="7"/>
  <c r="E86" i="7" s="1"/>
  <c r="D87" i="7"/>
  <c r="E87" i="7" s="1"/>
  <c r="D88" i="7"/>
  <c r="E88" i="7" s="1"/>
  <c r="D89" i="7"/>
  <c r="E89" i="7" s="1"/>
  <c r="D90" i="7"/>
  <c r="E90" i="7" s="1"/>
  <c r="D91" i="7"/>
  <c r="E91" i="7" s="1"/>
  <c r="D92" i="7"/>
  <c r="E92" i="7" s="1"/>
  <c r="D93" i="7"/>
  <c r="E93" i="7" s="1"/>
  <c r="D94" i="7"/>
  <c r="D95" i="7"/>
  <c r="D96" i="7"/>
  <c r="E96" i="7" s="1"/>
  <c r="D97" i="7"/>
  <c r="D98" i="7"/>
  <c r="E98" i="7" s="1"/>
  <c r="D99" i="7"/>
  <c r="E99" i="7" s="1"/>
  <c r="D100" i="7"/>
  <c r="E100" i="7" s="1"/>
  <c r="D101" i="7"/>
  <c r="E101" i="7" s="1"/>
  <c r="D102" i="7"/>
  <c r="E102" i="7" s="1"/>
  <c r="D103" i="7"/>
  <c r="E103" i="7" s="1"/>
  <c r="D104" i="7"/>
  <c r="E104" i="7" s="1"/>
  <c r="D105" i="7"/>
  <c r="E105" i="7" s="1"/>
  <c r="D106" i="7"/>
  <c r="E106" i="7" s="1"/>
  <c r="D107" i="7"/>
  <c r="D108" i="7"/>
  <c r="E108" i="7" s="1"/>
  <c r="D109" i="7"/>
  <c r="D110" i="7"/>
  <c r="E110" i="7" s="1"/>
  <c r="D111" i="7"/>
  <c r="E111" i="7" s="1"/>
  <c r="D112" i="7"/>
  <c r="E112" i="7" s="1"/>
  <c r="D113" i="7"/>
  <c r="E113" i="7" s="1"/>
  <c r="D114" i="7"/>
  <c r="E114" i="7" s="1"/>
  <c r="D115" i="7"/>
  <c r="E115" i="7" s="1"/>
  <c r="D116" i="7"/>
  <c r="E116" i="7" s="1"/>
  <c r="D117" i="7"/>
  <c r="E117" i="7" s="1"/>
  <c r="D118" i="7"/>
  <c r="E118" i="7" s="1"/>
  <c r="D119" i="7"/>
  <c r="E119" i="7" s="1"/>
  <c r="D120" i="7"/>
  <c r="E120" i="7" s="1"/>
  <c r="D121" i="7"/>
  <c r="E121" i="7" s="1"/>
  <c r="D122" i="7"/>
  <c r="E122" i="7" s="1"/>
  <c r="D123" i="7"/>
  <c r="E123" i="7" s="1"/>
  <c r="D124" i="7"/>
  <c r="E124" i="7" s="1"/>
  <c r="D125" i="7"/>
  <c r="E125" i="7" s="1"/>
  <c r="D126" i="7"/>
  <c r="E126" i="7" s="1"/>
  <c r="D127" i="7"/>
  <c r="E127" i="7" s="1"/>
  <c r="D128" i="7"/>
  <c r="E128" i="7" s="1"/>
  <c r="D129" i="7"/>
  <c r="E129" i="7" s="1"/>
  <c r="D130" i="7"/>
  <c r="E130" i="7" s="1"/>
  <c r="D131" i="7"/>
  <c r="D132" i="7"/>
  <c r="E132" i="7" s="1"/>
  <c r="D133" i="7"/>
  <c r="E133" i="7" s="1"/>
  <c r="D134" i="7"/>
  <c r="D135" i="7"/>
  <c r="E135" i="7" s="1"/>
  <c r="D136" i="7"/>
  <c r="E136" i="7" s="1"/>
  <c r="D137" i="7"/>
  <c r="E137" i="7" s="1"/>
  <c r="D138" i="7"/>
  <c r="E138" i="7" s="1"/>
  <c r="D139" i="7"/>
  <c r="E139" i="7" s="1"/>
  <c r="D140" i="7"/>
  <c r="E140" i="7" s="1"/>
  <c r="D141" i="7"/>
  <c r="E141" i="7" s="1"/>
  <c r="D142" i="7"/>
  <c r="E142" i="7" s="1"/>
  <c r="D143" i="7"/>
  <c r="E143" i="7" s="1"/>
  <c r="D144" i="7"/>
  <c r="E144" i="7" s="1"/>
  <c r="D145" i="7"/>
  <c r="E145" i="7" s="1"/>
  <c r="D146" i="7"/>
  <c r="E146" i="7" s="1"/>
  <c r="D147" i="7"/>
  <c r="E147" i="7" s="1"/>
  <c r="D148" i="7"/>
  <c r="E148" i="7" s="1"/>
  <c r="D149" i="7"/>
  <c r="E149" i="7" s="1"/>
  <c r="D150" i="7"/>
  <c r="E150" i="7" s="1"/>
  <c r="D151" i="7"/>
  <c r="E151" i="7" s="1"/>
  <c r="D152" i="7"/>
  <c r="E152" i="7" s="1"/>
  <c r="D153" i="7"/>
  <c r="D154" i="7"/>
  <c r="E154" i="7" s="1"/>
  <c r="D155" i="7"/>
  <c r="E155" i="7" s="1"/>
  <c r="D156" i="7"/>
  <c r="E156" i="7" s="1"/>
  <c r="D157" i="7"/>
  <c r="E157" i="7" s="1"/>
  <c r="D158" i="7"/>
  <c r="E158" i="7" s="1"/>
  <c r="D159" i="7"/>
  <c r="E159" i="7" s="1"/>
  <c r="D160" i="7"/>
  <c r="E160" i="7" s="1"/>
  <c r="D161" i="7"/>
  <c r="E161" i="7" s="1"/>
  <c r="D162" i="7"/>
  <c r="E162" i="7" s="1"/>
  <c r="D163" i="7"/>
  <c r="E163" i="7" s="1"/>
  <c r="D164" i="7"/>
  <c r="E164" i="7" s="1"/>
  <c r="D165" i="7"/>
  <c r="E165" i="7" s="1"/>
  <c r="D166" i="7"/>
  <c r="E166" i="7" s="1"/>
  <c r="D167" i="7"/>
  <c r="D168" i="7"/>
  <c r="E168" i="7" s="1"/>
  <c r="D169" i="7"/>
  <c r="E169" i="7" s="1"/>
  <c r="D170" i="7"/>
  <c r="E170" i="7" s="1"/>
  <c r="D171" i="7"/>
  <c r="E171" i="7" s="1"/>
  <c r="D172" i="7"/>
  <c r="E172" i="7" s="1"/>
  <c r="D173" i="7"/>
  <c r="E173" i="7" s="1"/>
  <c r="D174" i="7"/>
  <c r="E174" i="7" s="1"/>
  <c r="D175" i="7"/>
  <c r="E175" i="7" s="1"/>
  <c r="D176" i="7"/>
  <c r="E176" i="7" s="1"/>
  <c r="D177" i="7"/>
  <c r="E177" i="7" s="1"/>
  <c r="D178" i="7"/>
  <c r="D179" i="7"/>
  <c r="E179" i="7" s="1"/>
  <c r="D180" i="7"/>
  <c r="E180" i="7" s="1"/>
  <c r="D181" i="7"/>
  <c r="E181" i="7" s="1"/>
  <c r="D182" i="7"/>
  <c r="E182" i="7" s="1"/>
  <c r="D183" i="7"/>
  <c r="E183" i="7" s="1"/>
  <c r="D184" i="7"/>
  <c r="E184" i="7" s="1"/>
  <c r="D185" i="7"/>
  <c r="E185" i="7" s="1"/>
  <c r="D186" i="7"/>
  <c r="E186" i="7" s="1"/>
  <c r="D187" i="7"/>
  <c r="E187" i="7" s="1"/>
  <c r="D188" i="7"/>
  <c r="E188" i="7" s="1"/>
  <c r="D189" i="7"/>
  <c r="E189" i="7" s="1"/>
  <c r="D190" i="7"/>
  <c r="E190" i="7" s="1"/>
  <c r="D191" i="7"/>
  <c r="E191" i="7" s="1"/>
  <c r="D192" i="7"/>
  <c r="E192" i="7" s="1"/>
  <c r="D193" i="7"/>
  <c r="E193" i="7" s="1"/>
  <c r="D194" i="7"/>
  <c r="E194" i="7" s="1"/>
  <c r="D195" i="7"/>
  <c r="E195" i="7" s="1"/>
  <c r="D196" i="7"/>
  <c r="E196" i="7" s="1"/>
  <c r="D197" i="7"/>
  <c r="E197" i="7" s="1"/>
  <c r="D198" i="7"/>
  <c r="E198" i="7" s="1"/>
  <c r="D199" i="7"/>
  <c r="E199" i="7" s="1"/>
  <c r="D200" i="7"/>
  <c r="E200" i="7" s="1"/>
  <c r="D201" i="7"/>
  <c r="E201" i="7" s="1"/>
  <c r="D202" i="7"/>
  <c r="E202" i="7" s="1"/>
  <c r="D203" i="7"/>
  <c r="D204" i="7"/>
  <c r="E204" i="7" s="1"/>
  <c r="D205" i="7"/>
  <c r="E205" i="7" s="1"/>
  <c r="D206" i="7"/>
  <c r="E206" i="7" s="1"/>
  <c r="D207" i="7"/>
  <c r="E207" i="7" s="1"/>
  <c r="D208" i="7"/>
  <c r="E208" i="7" s="1"/>
  <c r="D209" i="7"/>
  <c r="E209" i="7" s="1"/>
  <c r="D210" i="7"/>
  <c r="E210" i="7" s="1"/>
  <c r="D211" i="7"/>
  <c r="E211" i="7" s="1"/>
  <c r="D212" i="7"/>
  <c r="E212" i="7" s="1"/>
  <c r="D213" i="7"/>
  <c r="E213" i="7" s="1"/>
  <c r="D214" i="7"/>
  <c r="E214" i="7" s="1"/>
  <c r="D50" i="7"/>
  <c r="E50" i="7" s="1"/>
  <c r="D51" i="7"/>
  <c r="E51" i="7" s="1"/>
  <c r="D52" i="7"/>
  <c r="E52" i="7" s="1"/>
  <c r="D53" i="7"/>
  <c r="E53" i="7" s="1"/>
  <c r="D54" i="7"/>
  <c r="D44" i="7"/>
  <c r="E44" i="7" s="1"/>
  <c r="D45" i="7"/>
  <c r="E45" i="7" s="1"/>
  <c r="D46" i="7"/>
  <c r="E46" i="7" s="1"/>
  <c r="D47" i="7"/>
  <c r="E47" i="7" s="1"/>
  <c r="D48" i="7"/>
  <c r="E48" i="7" s="1"/>
  <c r="D49" i="7"/>
  <c r="E49" i="7" s="1"/>
  <c r="D38" i="7"/>
  <c r="E38" i="7" s="1"/>
  <c r="D39" i="7"/>
  <c r="E39" i="7" s="1"/>
  <c r="D40" i="7"/>
  <c r="E40" i="7" s="1"/>
  <c r="D41" i="7"/>
  <c r="E41" i="7" s="1"/>
  <c r="D42" i="7"/>
  <c r="E42" i="7" s="1"/>
  <c r="D43" i="7"/>
  <c r="E43" i="7" s="1"/>
  <c r="D20" i="7"/>
  <c r="D21" i="7"/>
  <c r="E21" i="7" s="1"/>
  <c r="D22" i="7"/>
  <c r="E22" i="7" s="1"/>
  <c r="D23" i="7"/>
  <c r="E23" i="7" s="1"/>
  <c r="D24" i="7"/>
  <c r="E24" i="7" s="1"/>
  <c r="D25" i="7"/>
  <c r="E25" i="7" s="1"/>
  <c r="D26" i="7"/>
  <c r="E26" i="7" s="1"/>
  <c r="D27" i="7"/>
  <c r="E27" i="7" s="1"/>
  <c r="D28" i="7"/>
  <c r="E28" i="7" s="1"/>
  <c r="D29" i="7"/>
  <c r="E29" i="7" s="1"/>
  <c r="D30" i="7"/>
  <c r="E30" i="7" s="1"/>
  <c r="D31" i="7"/>
  <c r="E31" i="7" s="1"/>
  <c r="D32" i="7"/>
  <c r="E32" i="7" s="1"/>
  <c r="D33" i="7"/>
  <c r="E33" i="7" s="1"/>
  <c r="D34" i="7"/>
  <c r="E34" i="7" s="1"/>
  <c r="D35" i="7"/>
  <c r="E35" i="7" s="1"/>
  <c r="D36" i="7"/>
  <c r="E36" i="7" s="1"/>
  <c r="D37" i="7"/>
  <c r="E37" i="7" s="1"/>
  <c r="F171" i="7"/>
  <c r="J20" i="4" a="1"/>
  <c r="J20" i="4" s="1"/>
  <c r="L20" i="4" s="1"/>
  <c r="J21" i="4" a="1"/>
  <c r="J21" i="4" s="1"/>
  <c r="L21" i="4" s="1"/>
  <c r="J22" i="4" a="1"/>
  <c r="J22" i="4" s="1"/>
  <c r="L22" i="4" s="1"/>
  <c r="J24" i="4" a="1"/>
  <c r="J24" i="4" s="1"/>
  <c r="L24" i="4" s="1"/>
  <c r="J25" i="4" a="1"/>
  <c r="J25" i="4" s="1"/>
  <c r="L25" i="4" s="1"/>
  <c r="J26" i="4" a="1"/>
  <c r="J26" i="4" s="1"/>
  <c r="L26" i="4" s="1"/>
  <c r="J27" i="4" a="1"/>
  <c r="J27" i="4" s="1"/>
  <c r="L27" i="4" s="1"/>
  <c r="J28" i="4" a="1"/>
  <c r="J28" i="4" s="1"/>
  <c r="L28" i="4" s="1"/>
  <c r="J29" i="4" a="1"/>
  <c r="J29" i="4" s="1"/>
  <c r="L29" i="4" s="1"/>
  <c r="J30" i="4" a="1"/>
  <c r="J30" i="4" s="1"/>
  <c r="L30" i="4" s="1"/>
  <c r="J31" i="4" a="1"/>
  <c r="J31" i="4" s="1"/>
  <c r="L31" i="4" s="1"/>
  <c r="J32" i="4" a="1"/>
  <c r="J32" i="4" s="1"/>
  <c r="L32" i="4" s="1"/>
  <c r="J33" i="4" a="1"/>
  <c r="J33" i="4" s="1"/>
  <c r="L33" i="4" s="1"/>
  <c r="J34" i="4" a="1"/>
  <c r="J34" i="4" s="1"/>
  <c r="L34" i="4" s="1"/>
  <c r="J35" i="4" a="1"/>
  <c r="J35" i="4" s="1"/>
  <c r="L35" i="4" s="1"/>
  <c r="J36" i="4" a="1"/>
  <c r="J36" i="4" s="1"/>
  <c r="L36" i="4" s="1"/>
  <c r="J37" i="4" a="1"/>
  <c r="J37" i="4" s="1"/>
  <c r="L37" i="4" s="1"/>
  <c r="J38" i="4" a="1"/>
  <c r="J38" i="4" s="1"/>
  <c r="L38" i="4" s="1"/>
  <c r="J39" i="4" a="1"/>
  <c r="J39" i="4" s="1"/>
  <c r="L39" i="4" s="1"/>
  <c r="J40" i="4" a="1"/>
  <c r="J40" i="4" s="1"/>
  <c r="L40" i="4" s="1"/>
  <c r="J41" i="4" a="1"/>
  <c r="J41" i="4" s="1"/>
  <c r="L41" i="4" s="1"/>
  <c r="J42" i="4" a="1"/>
  <c r="J42" i="4" s="1"/>
  <c r="L42" i="4" s="1"/>
  <c r="J43" i="4" a="1"/>
  <c r="J43" i="4" s="1"/>
  <c r="L43" i="4" s="1"/>
  <c r="J44" i="4" a="1"/>
  <c r="J44" i="4" s="1"/>
  <c r="L44" i="4" s="1"/>
  <c r="J45" i="4" a="1"/>
  <c r="J45" i="4" s="1"/>
  <c r="L45" i="4" s="1"/>
  <c r="J46" i="4" a="1"/>
  <c r="J46" i="4" s="1"/>
  <c r="L46" i="4" s="1"/>
  <c r="J47" i="4" a="1"/>
  <c r="J47" i="4" s="1"/>
  <c r="L47" i="4" s="1"/>
  <c r="J48" i="4" a="1"/>
  <c r="J48" i="4" s="1"/>
  <c r="L48" i="4" s="1"/>
  <c r="J49" i="4" a="1"/>
  <c r="J49" i="4" s="1"/>
  <c r="L49" i="4" s="1"/>
  <c r="J50" i="4" a="1"/>
  <c r="J50" i="4" s="1"/>
  <c r="L50" i="4" s="1"/>
  <c r="J51" i="4" a="1"/>
  <c r="J51" i="4" s="1"/>
  <c r="L51" i="4" s="1"/>
  <c r="J52" i="4" a="1"/>
  <c r="J52" i="4" s="1"/>
  <c r="L52" i="4" s="1"/>
  <c r="J53" i="4" a="1"/>
  <c r="J53" i="4" s="1"/>
  <c r="L53" i="4" s="1"/>
  <c r="J54" i="4" a="1"/>
  <c r="J54" i="4" s="1"/>
  <c r="L54" i="4" s="1"/>
  <c r="J55" i="4" a="1"/>
  <c r="J55" i="4" s="1"/>
  <c r="L55" i="4" s="1"/>
  <c r="J56" i="4" a="1"/>
  <c r="J56" i="4" s="1"/>
  <c r="L56" i="4" s="1"/>
  <c r="J57" i="4" a="1"/>
  <c r="J57" i="4" s="1"/>
  <c r="L57" i="4" s="1"/>
  <c r="J58" i="4" a="1"/>
  <c r="J58" i="4" s="1"/>
  <c r="L58" i="4" s="1"/>
  <c r="J59" i="4" a="1"/>
  <c r="J59" i="4" s="1"/>
  <c r="L59" i="4" s="1"/>
  <c r="J60" i="4" a="1"/>
  <c r="J60" i="4" s="1"/>
  <c r="L60" i="4" s="1"/>
  <c r="J61" i="4" a="1"/>
  <c r="J61" i="4" s="1"/>
  <c r="L61" i="4" s="1"/>
  <c r="J62" i="4" a="1"/>
  <c r="J62" i="4" s="1"/>
  <c r="L62" i="4" s="1"/>
  <c r="J63" i="4" a="1"/>
  <c r="J63" i="4" s="1"/>
  <c r="L63" i="4" s="1"/>
  <c r="J64" i="4" a="1"/>
  <c r="J64" i="4" s="1"/>
  <c r="L64" i="4" s="1"/>
  <c r="J65" i="4" a="1"/>
  <c r="J65" i="4" s="1"/>
  <c r="L65" i="4" s="1"/>
  <c r="J66" i="4" a="1"/>
  <c r="J66" i="4" s="1"/>
  <c r="L66" i="4" s="1"/>
  <c r="J67" i="4" a="1"/>
  <c r="J67" i="4" s="1"/>
  <c r="L67" i="4" s="1"/>
  <c r="J68" i="4" a="1"/>
  <c r="J68" i="4" s="1"/>
  <c r="L68" i="4" s="1"/>
  <c r="J69" i="4" a="1"/>
  <c r="J69" i="4" s="1"/>
  <c r="L69" i="4" s="1"/>
  <c r="J70" i="4" a="1"/>
  <c r="J70" i="4" s="1"/>
  <c r="L70" i="4" s="1"/>
  <c r="J71" i="4" a="1"/>
  <c r="J71" i="4" s="1"/>
  <c r="L71" i="4" s="1"/>
  <c r="J72" i="4" a="1"/>
  <c r="J72" i="4" s="1"/>
  <c r="L72" i="4" s="1"/>
  <c r="J73" i="4" a="1"/>
  <c r="J73" i="4" s="1"/>
  <c r="L73" i="4" s="1"/>
  <c r="J74" i="4" a="1"/>
  <c r="J74" i="4" s="1"/>
  <c r="L74" i="4" s="1"/>
  <c r="J75" i="4" a="1"/>
  <c r="J75" i="4" s="1"/>
  <c r="L75" i="4" s="1"/>
  <c r="J76" i="4" a="1"/>
  <c r="J76" i="4" s="1"/>
  <c r="L76" i="4" s="1"/>
  <c r="J77" i="4" a="1"/>
  <c r="J77" i="4" s="1"/>
  <c r="L77" i="4" s="1"/>
  <c r="J78" i="4" a="1"/>
  <c r="J78" i="4" s="1"/>
  <c r="L78" i="4" s="1"/>
  <c r="J79" i="4" a="1"/>
  <c r="J79" i="4" s="1"/>
  <c r="L79" i="4" s="1"/>
  <c r="J80" i="4" a="1"/>
  <c r="J80" i="4" s="1"/>
  <c r="L80" i="4" s="1"/>
  <c r="J81" i="4" a="1"/>
  <c r="J81" i="4" s="1"/>
  <c r="L81" i="4" s="1"/>
  <c r="J82" i="4" a="1"/>
  <c r="J82" i="4" s="1"/>
  <c r="L82" i="4" s="1"/>
  <c r="J83" i="4" a="1"/>
  <c r="J83" i="4" s="1"/>
  <c r="L83" i="4" s="1"/>
  <c r="J84" i="4" a="1"/>
  <c r="J84" i="4" s="1"/>
  <c r="L84" i="4" s="1"/>
  <c r="J85" i="4" a="1"/>
  <c r="J85" i="4" s="1"/>
  <c r="L85" i="4" s="1"/>
  <c r="J86" i="4" a="1"/>
  <c r="J86" i="4" s="1"/>
  <c r="L86" i="4" s="1"/>
  <c r="J87" i="4" a="1"/>
  <c r="J87" i="4" s="1"/>
  <c r="L87" i="4" s="1"/>
  <c r="J88" i="4" a="1"/>
  <c r="J88" i="4" s="1"/>
  <c r="L88" i="4" s="1"/>
  <c r="J89" i="4" a="1"/>
  <c r="J89" i="4" s="1"/>
  <c r="L89" i="4" s="1"/>
  <c r="J90" i="4" a="1"/>
  <c r="J90" i="4" s="1"/>
  <c r="L90" i="4" s="1"/>
  <c r="J91" i="4" a="1"/>
  <c r="J91" i="4" s="1"/>
  <c r="L91" i="4" s="1"/>
  <c r="J92" i="4" a="1"/>
  <c r="J92" i="4" s="1"/>
  <c r="L92" i="4" s="1"/>
  <c r="J93" i="4" a="1"/>
  <c r="J93" i="4" s="1"/>
  <c r="L93" i="4" s="1"/>
  <c r="J94" i="4" a="1"/>
  <c r="J94" i="4" s="1"/>
  <c r="L94" i="4" s="1"/>
  <c r="J95" i="4" a="1"/>
  <c r="J95" i="4" s="1"/>
  <c r="L95" i="4" s="1"/>
  <c r="J96" i="4" a="1"/>
  <c r="J96" i="4" s="1"/>
  <c r="L96" i="4" s="1"/>
  <c r="J97" i="4" a="1"/>
  <c r="J97" i="4" s="1"/>
  <c r="L97" i="4" s="1"/>
  <c r="J98" i="4" a="1"/>
  <c r="J98" i="4" s="1"/>
  <c r="L98" i="4" s="1"/>
  <c r="J99" i="4" a="1"/>
  <c r="J99" i="4" s="1"/>
  <c r="L99" i="4" s="1"/>
  <c r="J100" i="4" a="1"/>
  <c r="J100" i="4" s="1"/>
  <c r="L100" i="4" s="1"/>
  <c r="J101" i="4" a="1"/>
  <c r="J101" i="4" s="1"/>
  <c r="L101" i="4" s="1"/>
  <c r="J102" i="4" a="1"/>
  <c r="J102" i="4" s="1"/>
  <c r="L102" i="4" s="1"/>
  <c r="J103" i="4" a="1"/>
  <c r="J103" i="4" s="1"/>
  <c r="L103" i="4" s="1"/>
  <c r="J104" i="4" a="1"/>
  <c r="J104" i="4" s="1"/>
  <c r="L104" i="4" s="1"/>
  <c r="J105" i="4" a="1"/>
  <c r="J105" i="4" s="1"/>
  <c r="L105" i="4" s="1"/>
  <c r="J106" i="4" a="1"/>
  <c r="J106" i="4" s="1"/>
  <c r="L106" i="4" s="1"/>
  <c r="J107" i="4" a="1"/>
  <c r="J107" i="4" s="1"/>
  <c r="L107" i="4" s="1"/>
  <c r="J108" i="4" a="1"/>
  <c r="J108" i="4" s="1"/>
  <c r="L108" i="4" s="1"/>
  <c r="J109" i="4" a="1"/>
  <c r="J109" i="4" s="1"/>
  <c r="L109" i="4" s="1"/>
  <c r="J110" i="4" a="1"/>
  <c r="J110" i="4" s="1"/>
  <c r="L110" i="4" s="1"/>
  <c r="J111" i="4" a="1"/>
  <c r="J111" i="4" s="1"/>
  <c r="L111" i="4" s="1"/>
  <c r="J112" i="4" a="1"/>
  <c r="J112" i="4" s="1"/>
  <c r="L112" i="4" s="1"/>
  <c r="J113" i="4" a="1"/>
  <c r="J113" i="4" s="1"/>
  <c r="L113" i="4" s="1"/>
  <c r="J114" i="4" a="1"/>
  <c r="J114" i="4" s="1"/>
  <c r="L114" i="4" s="1"/>
  <c r="J115" i="4" a="1"/>
  <c r="J115" i="4" s="1"/>
  <c r="L115" i="4" s="1"/>
  <c r="J116" i="4" a="1"/>
  <c r="J116" i="4" s="1"/>
  <c r="L116" i="4" s="1"/>
  <c r="J117" i="4" a="1"/>
  <c r="J117" i="4" s="1"/>
  <c r="L117" i="4" s="1"/>
  <c r="J118" i="4" a="1"/>
  <c r="J118" i="4" s="1"/>
  <c r="L118" i="4" s="1"/>
  <c r="J119" i="4" a="1"/>
  <c r="J119" i="4" s="1"/>
  <c r="L119" i="4" s="1"/>
  <c r="J120" i="4" a="1"/>
  <c r="J120" i="4" s="1"/>
  <c r="L120" i="4" s="1"/>
  <c r="J121" i="4" a="1"/>
  <c r="J121" i="4" s="1"/>
  <c r="L121" i="4" s="1"/>
  <c r="J122" i="4" a="1"/>
  <c r="J122" i="4" s="1"/>
  <c r="L122" i="4" s="1"/>
  <c r="J123" i="4" a="1"/>
  <c r="J123" i="4" s="1"/>
  <c r="L123" i="4" s="1"/>
  <c r="J124" i="4" a="1"/>
  <c r="J124" i="4" s="1"/>
  <c r="L124" i="4" s="1"/>
  <c r="J125" i="4" a="1"/>
  <c r="J125" i="4" s="1"/>
  <c r="L125" i="4" s="1"/>
  <c r="J126" i="4" a="1"/>
  <c r="J126" i="4" s="1"/>
  <c r="L126" i="4" s="1"/>
  <c r="J127" i="4" a="1"/>
  <c r="J127" i="4" s="1"/>
  <c r="L127" i="4" s="1"/>
  <c r="J128" i="4" a="1"/>
  <c r="J128" i="4" s="1"/>
  <c r="L128" i="4" s="1"/>
  <c r="J129" i="4" a="1"/>
  <c r="J129" i="4" s="1"/>
  <c r="L129" i="4" s="1"/>
  <c r="J130" i="4" a="1"/>
  <c r="J130" i="4" s="1"/>
  <c r="L130" i="4" s="1"/>
  <c r="J131" i="4" a="1"/>
  <c r="J131" i="4" s="1"/>
  <c r="L131" i="4" s="1"/>
  <c r="J132" i="4" a="1"/>
  <c r="J132" i="4" s="1"/>
  <c r="L132" i="4" s="1"/>
  <c r="J133" i="4" a="1"/>
  <c r="J133" i="4" s="1"/>
  <c r="L133" i="4" s="1"/>
  <c r="J134" i="4" a="1"/>
  <c r="J134" i="4" s="1"/>
  <c r="L134" i="4" s="1"/>
  <c r="J135" i="4" a="1"/>
  <c r="J135" i="4" s="1"/>
  <c r="L135" i="4" s="1"/>
  <c r="J136" i="4" a="1"/>
  <c r="J136" i="4" s="1"/>
  <c r="L136" i="4" s="1"/>
  <c r="J137" i="4" a="1"/>
  <c r="J137" i="4" s="1"/>
  <c r="L137" i="4" s="1"/>
  <c r="J138" i="4" a="1"/>
  <c r="J138" i="4" s="1"/>
  <c r="L138" i="4" s="1"/>
  <c r="J139" i="4" a="1"/>
  <c r="J139" i="4" s="1"/>
  <c r="L139" i="4" s="1"/>
  <c r="J140" i="4" a="1"/>
  <c r="J140" i="4" s="1"/>
  <c r="L140" i="4" s="1"/>
  <c r="J141" i="4" a="1"/>
  <c r="J141" i="4" s="1"/>
  <c r="L141" i="4" s="1"/>
  <c r="J142" i="4" a="1"/>
  <c r="J142" i="4" s="1"/>
  <c r="L142" i="4" s="1"/>
  <c r="J143" i="4" a="1"/>
  <c r="J143" i="4" s="1"/>
  <c r="L143" i="4" s="1"/>
  <c r="J144" i="4" a="1"/>
  <c r="J144" i="4" s="1"/>
  <c r="L144" i="4" s="1"/>
  <c r="J145" i="4" a="1"/>
  <c r="J145" i="4" s="1"/>
  <c r="L145" i="4" s="1"/>
  <c r="J146" i="4" a="1"/>
  <c r="J146" i="4" s="1"/>
  <c r="L146" i="4" s="1"/>
  <c r="J147" i="4" a="1"/>
  <c r="J147" i="4" s="1"/>
  <c r="L147" i="4" s="1"/>
  <c r="J148" i="4" a="1"/>
  <c r="J148" i="4" s="1"/>
  <c r="L148" i="4" s="1"/>
  <c r="J149" i="4" a="1"/>
  <c r="J149" i="4" s="1"/>
  <c r="L149" i="4" s="1"/>
  <c r="J150" i="4" a="1"/>
  <c r="J150" i="4" s="1"/>
  <c r="L150" i="4" s="1"/>
  <c r="J151" i="4" a="1"/>
  <c r="J151" i="4" s="1"/>
  <c r="L151" i="4" s="1"/>
  <c r="J152" i="4" a="1"/>
  <c r="J152" i="4" s="1"/>
  <c r="L152" i="4" s="1"/>
  <c r="J153" i="4" a="1"/>
  <c r="J153" i="4" s="1"/>
  <c r="L153" i="4" s="1"/>
  <c r="J154" i="4" a="1"/>
  <c r="J154" i="4" s="1"/>
  <c r="L154" i="4" s="1"/>
  <c r="J155" i="4" a="1"/>
  <c r="J155" i="4" s="1"/>
  <c r="L155" i="4" s="1"/>
  <c r="J156" i="4" a="1"/>
  <c r="J156" i="4" s="1"/>
  <c r="L156" i="4" s="1"/>
  <c r="J157" i="4" a="1"/>
  <c r="J157" i="4" s="1"/>
  <c r="L157" i="4" s="1"/>
  <c r="J158" i="4" a="1"/>
  <c r="J158" i="4" s="1"/>
  <c r="L158" i="4" s="1"/>
  <c r="J159" i="4" a="1"/>
  <c r="J159" i="4" s="1"/>
  <c r="L159" i="4" s="1"/>
  <c r="J160" i="4" a="1"/>
  <c r="J160" i="4" s="1"/>
  <c r="L160" i="4" s="1"/>
  <c r="J161" i="4" a="1"/>
  <c r="J161" i="4" s="1"/>
  <c r="L161" i="4" s="1"/>
  <c r="J162" i="4" a="1"/>
  <c r="J162" i="4" s="1"/>
  <c r="L162" i="4" s="1"/>
  <c r="J163" i="4" a="1"/>
  <c r="J163" i="4" s="1"/>
  <c r="L163" i="4" s="1"/>
  <c r="J164" i="4" a="1"/>
  <c r="J164" i="4" s="1"/>
  <c r="L164" i="4" s="1"/>
  <c r="J165" i="4" a="1"/>
  <c r="J165" i="4" s="1"/>
  <c r="L165" i="4" s="1"/>
  <c r="J166" i="4" a="1"/>
  <c r="J166" i="4" s="1"/>
  <c r="L166" i="4" s="1"/>
  <c r="J167" i="4" a="1"/>
  <c r="J167" i="4" s="1"/>
  <c r="L167" i="4" s="1"/>
  <c r="J168" i="4" a="1"/>
  <c r="J168" i="4" s="1"/>
  <c r="L168" i="4" s="1"/>
  <c r="J169" i="4" a="1"/>
  <c r="J169" i="4" s="1"/>
  <c r="L169" i="4" s="1"/>
  <c r="J170" i="4" a="1"/>
  <c r="J170" i="4" s="1"/>
  <c r="L170" i="4" s="1"/>
  <c r="J171" i="4" a="1"/>
  <c r="J171" i="4" s="1"/>
  <c r="L171" i="4" s="1"/>
  <c r="J172" i="4" a="1"/>
  <c r="J172" i="4" s="1"/>
  <c r="L172" i="4" s="1"/>
  <c r="J173" i="4" a="1"/>
  <c r="J173" i="4" s="1"/>
  <c r="L173" i="4" s="1"/>
  <c r="J174" i="4" a="1"/>
  <c r="J174" i="4" s="1"/>
  <c r="L174" i="4" s="1"/>
  <c r="J175" i="4" a="1"/>
  <c r="J175" i="4" s="1"/>
  <c r="L175" i="4" s="1"/>
  <c r="J176" i="4" a="1"/>
  <c r="J176" i="4" s="1"/>
  <c r="L176" i="4" s="1"/>
  <c r="J177" i="4" a="1"/>
  <c r="J177" i="4" s="1"/>
  <c r="L177" i="4" s="1"/>
  <c r="J178" i="4" a="1"/>
  <c r="J178" i="4" s="1"/>
  <c r="L178" i="4" s="1"/>
  <c r="J179" i="4" a="1"/>
  <c r="J179" i="4" s="1"/>
  <c r="L179" i="4" s="1"/>
  <c r="J180" i="4" a="1"/>
  <c r="J180" i="4" s="1"/>
  <c r="L180" i="4" s="1"/>
  <c r="J181" i="4" a="1"/>
  <c r="J181" i="4" s="1"/>
  <c r="L181" i="4" s="1"/>
  <c r="J182" i="4" a="1"/>
  <c r="J182" i="4" s="1"/>
  <c r="L182" i="4" s="1"/>
  <c r="J183" i="4" a="1"/>
  <c r="J183" i="4" s="1"/>
  <c r="L183" i="4" s="1"/>
  <c r="J184" i="4" a="1"/>
  <c r="J184" i="4" s="1"/>
  <c r="L184" i="4" s="1"/>
  <c r="J185" i="4" a="1"/>
  <c r="J185" i="4" s="1"/>
  <c r="L185" i="4" s="1"/>
  <c r="J186" i="4" a="1"/>
  <c r="J186" i="4" s="1"/>
  <c r="L186" i="4" s="1"/>
  <c r="J187" i="4" a="1"/>
  <c r="J187" i="4" s="1"/>
  <c r="L187" i="4" s="1"/>
  <c r="J188" i="4" a="1"/>
  <c r="J188" i="4" s="1"/>
  <c r="L188" i="4" s="1"/>
  <c r="J189" i="4" a="1"/>
  <c r="J189" i="4" s="1"/>
  <c r="L189" i="4" s="1"/>
  <c r="J190" i="4" a="1"/>
  <c r="J190" i="4" s="1"/>
  <c r="L190" i="4" s="1"/>
  <c r="J191" i="4" a="1"/>
  <c r="J191" i="4" s="1"/>
  <c r="L191" i="4" s="1"/>
  <c r="J192" i="4" a="1"/>
  <c r="J192" i="4" s="1"/>
  <c r="L192" i="4" s="1"/>
  <c r="J193" i="4" a="1"/>
  <c r="J193" i="4" s="1"/>
  <c r="L193" i="4" s="1"/>
  <c r="J194" i="4" a="1"/>
  <c r="J194" i="4" s="1"/>
  <c r="L194" i="4" s="1"/>
  <c r="J195" i="4" a="1"/>
  <c r="J195" i="4" s="1"/>
  <c r="L195" i="4" s="1"/>
  <c r="J196" i="4" a="1"/>
  <c r="J196" i="4" s="1"/>
  <c r="L196" i="4" s="1"/>
  <c r="J197" i="4" a="1"/>
  <c r="J197" i="4" s="1"/>
  <c r="L197" i="4" s="1"/>
  <c r="J198" i="4" a="1"/>
  <c r="J198" i="4" s="1"/>
  <c r="L198" i="4" s="1"/>
  <c r="J199" i="4" a="1"/>
  <c r="J199" i="4" s="1"/>
  <c r="L199" i="4" s="1"/>
  <c r="J200" i="4" a="1"/>
  <c r="J200" i="4" s="1"/>
  <c r="L200" i="4" s="1"/>
  <c r="J201" i="4" a="1"/>
  <c r="J201" i="4" s="1"/>
  <c r="L201" i="4" s="1"/>
  <c r="J202" i="4" a="1"/>
  <c r="J202" i="4" s="1"/>
  <c r="L202" i="4" s="1"/>
  <c r="J203" i="4" a="1"/>
  <c r="J203" i="4" s="1"/>
  <c r="L203" i="4" s="1"/>
  <c r="J204" i="4" a="1"/>
  <c r="J204" i="4" s="1"/>
  <c r="L204" i="4" s="1"/>
  <c r="J205" i="4" a="1"/>
  <c r="J205" i="4" s="1"/>
  <c r="L205" i="4" s="1"/>
  <c r="J206" i="4" a="1"/>
  <c r="J206" i="4" s="1"/>
  <c r="L206" i="4" s="1"/>
  <c r="G100" i="7"/>
  <c r="H100" i="7" s="1"/>
  <c r="E54" i="7"/>
  <c r="E65" i="7"/>
  <c r="E94" i="7"/>
  <c r="E95" i="7"/>
  <c r="E97" i="7"/>
  <c r="E109" i="7"/>
  <c r="E153" i="7"/>
  <c r="E167" i="7"/>
  <c r="E178" i="7"/>
  <c r="E203" i="7"/>
  <c r="G25" i="7"/>
  <c r="H25" i="7" s="1"/>
  <c r="F26" i="7"/>
  <c r="G26" i="7"/>
  <c r="H26" i="7" s="1"/>
  <c r="F27" i="7"/>
  <c r="G27" i="7"/>
  <c r="H27" i="7" s="1"/>
  <c r="F28" i="7"/>
  <c r="G28" i="7"/>
  <c r="H28" i="7" s="1"/>
  <c r="F29" i="7"/>
  <c r="G29" i="7"/>
  <c r="H29" i="7" s="1"/>
  <c r="F30" i="7"/>
  <c r="G30" i="7"/>
  <c r="H30" i="7" s="1"/>
  <c r="G31" i="7"/>
  <c r="H31" i="7" s="1"/>
  <c r="F32" i="7"/>
  <c r="G32" i="7"/>
  <c r="H32" i="7" s="1"/>
  <c r="F33" i="7"/>
  <c r="G33" i="7"/>
  <c r="H33" i="7" s="1"/>
  <c r="F34" i="7"/>
  <c r="G34" i="7"/>
  <c r="H34" i="7" s="1"/>
  <c r="G35" i="7"/>
  <c r="H35" i="7" s="1"/>
  <c r="F36" i="7"/>
  <c r="G36" i="7"/>
  <c r="H36" i="7" s="1"/>
  <c r="G37" i="7"/>
  <c r="H37" i="7" s="1"/>
  <c r="F38" i="7"/>
  <c r="G38" i="7"/>
  <c r="H38" i="7" s="1"/>
  <c r="F39" i="7"/>
  <c r="G39" i="7"/>
  <c r="H39" i="7" s="1"/>
  <c r="F40" i="7"/>
  <c r="G40" i="7"/>
  <c r="H40" i="7" s="1"/>
  <c r="F41" i="7"/>
  <c r="G41" i="7"/>
  <c r="H41" i="7" s="1"/>
  <c r="F42" i="7"/>
  <c r="G42" i="7"/>
  <c r="H42" i="7" s="1"/>
  <c r="G43" i="7"/>
  <c r="H43" i="7" s="1"/>
  <c r="F44" i="7"/>
  <c r="G44" i="7"/>
  <c r="H44" i="7" s="1"/>
  <c r="F45" i="7"/>
  <c r="G45" i="7"/>
  <c r="H45" i="7" s="1"/>
  <c r="G46" i="7"/>
  <c r="H46" i="7" s="1"/>
  <c r="F47" i="7"/>
  <c r="G47" i="7"/>
  <c r="H47" i="7" s="1"/>
  <c r="F48" i="7"/>
  <c r="G48" i="7"/>
  <c r="H48" i="7" s="1"/>
  <c r="F49" i="7"/>
  <c r="G49" i="7"/>
  <c r="H49" i="7" s="1"/>
  <c r="F50" i="7"/>
  <c r="G50" i="7"/>
  <c r="H50" i="7" s="1"/>
  <c r="F51" i="7"/>
  <c r="G51" i="7"/>
  <c r="H51" i="7" s="1"/>
  <c r="G52" i="7"/>
  <c r="H52" i="7" s="1"/>
  <c r="F53" i="7"/>
  <c r="G53" i="7"/>
  <c r="H53" i="7" s="1"/>
  <c r="F54" i="7"/>
  <c r="G54" i="7"/>
  <c r="H54" i="7" s="1"/>
  <c r="F55" i="7"/>
  <c r="G55" i="7"/>
  <c r="H55" i="7" s="1"/>
  <c r="F56" i="7"/>
  <c r="G56" i="7"/>
  <c r="H56" i="7" s="1"/>
  <c r="F57" i="7"/>
  <c r="G57" i="7"/>
  <c r="H57" i="7" s="1"/>
  <c r="F58" i="7"/>
  <c r="G58" i="7"/>
  <c r="H58" i="7" s="1"/>
  <c r="G59" i="7"/>
  <c r="H59" i="7" s="1"/>
  <c r="F60" i="7"/>
  <c r="G60" i="7"/>
  <c r="H60" i="7" s="1"/>
  <c r="F61" i="7"/>
  <c r="G61" i="7"/>
  <c r="H61" i="7" s="1"/>
  <c r="F62" i="7"/>
  <c r="G62" i="7"/>
  <c r="H62" i="7" s="1"/>
  <c r="F63" i="7"/>
  <c r="G63" i="7"/>
  <c r="H63" i="7" s="1"/>
  <c r="F64" i="7"/>
  <c r="G64" i="7"/>
  <c r="H64" i="7" s="1"/>
  <c r="F65" i="7"/>
  <c r="G65" i="7"/>
  <c r="H65" i="7" s="1"/>
  <c r="G66" i="7"/>
  <c r="H66" i="7" s="1"/>
  <c r="F67" i="7"/>
  <c r="G67" i="7"/>
  <c r="H67" i="7" s="1"/>
  <c r="F68" i="7"/>
  <c r="G68" i="7"/>
  <c r="H68" i="7" s="1"/>
  <c r="F69" i="7"/>
  <c r="G69" i="7"/>
  <c r="H69" i="7" s="1"/>
  <c r="F70" i="7"/>
  <c r="G70" i="7"/>
  <c r="H70" i="7" s="1"/>
  <c r="F71" i="7"/>
  <c r="G71" i="7"/>
  <c r="H71" i="7" s="1"/>
  <c r="F72" i="7"/>
  <c r="G72" i="7"/>
  <c r="H72" i="7" s="1"/>
  <c r="G73" i="7"/>
  <c r="H73" i="7" s="1"/>
  <c r="G74" i="7"/>
  <c r="H74" i="7" s="1"/>
  <c r="G75" i="7"/>
  <c r="H75" i="7" s="1"/>
  <c r="F76" i="7"/>
  <c r="G76" i="7"/>
  <c r="H76" i="7" s="1"/>
  <c r="F77" i="7"/>
  <c r="G77" i="7"/>
  <c r="H77" i="7" s="1"/>
  <c r="F78" i="7"/>
  <c r="G78" i="7"/>
  <c r="H78" i="7" s="1"/>
  <c r="F79" i="7"/>
  <c r="G79" i="7"/>
  <c r="H79" i="7" s="1"/>
  <c r="G80" i="7"/>
  <c r="H80" i="7" s="1"/>
  <c r="F81" i="7"/>
  <c r="G81" i="7"/>
  <c r="H81" i="7" s="1"/>
  <c r="F82" i="7"/>
  <c r="G82" i="7"/>
  <c r="H82" i="7" s="1"/>
  <c r="F83" i="7"/>
  <c r="G83" i="7"/>
  <c r="H83" i="7" s="1"/>
  <c r="F84" i="7"/>
  <c r="G84" i="7"/>
  <c r="H84" i="7" s="1"/>
  <c r="F85" i="7"/>
  <c r="G85" i="7"/>
  <c r="H85" i="7" s="1"/>
  <c r="F86" i="7"/>
  <c r="G86" i="7"/>
  <c r="H86" i="7" s="1"/>
  <c r="F87" i="7"/>
  <c r="G87" i="7"/>
  <c r="H87" i="7" s="1"/>
  <c r="G88" i="7"/>
  <c r="H88" i="7" s="1"/>
  <c r="F89" i="7"/>
  <c r="G89" i="7"/>
  <c r="H89" i="7" s="1"/>
  <c r="F90" i="7"/>
  <c r="G90" i="7"/>
  <c r="H90" i="7" s="1"/>
  <c r="F91" i="7"/>
  <c r="G91" i="7"/>
  <c r="H91" i="7" s="1"/>
  <c r="F92" i="7"/>
  <c r="G92" i="7"/>
  <c r="H92" i="7" s="1"/>
  <c r="F93" i="7"/>
  <c r="G93" i="7"/>
  <c r="H93" i="7" s="1"/>
  <c r="F94" i="7"/>
  <c r="G94" i="7"/>
  <c r="H94" i="7" s="1"/>
  <c r="F95" i="7"/>
  <c r="G95" i="7"/>
  <c r="H95" i="7" s="1"/>
  <c r="G96" i="7"/>
  <c r="H96" i="7" s="1"/>
  <c r="F97" i="7"/>
  <c r="G97" i="7"/>
  <c r="H97" i="7" s="1"/>
  <c r="F98" i="7"/>
  <c r="G98" i="7"/>
  <c r="H98" i="7" s="1"/>
  <c r="F99" i="7"/>
  <c r="G99" i="7"/>
  <c r="H99" i="7" s="1"/>
  <c r="F100" i="7"/>
  <c r="F101" i="7"/>
  <c r="G101" i="7"/>
  <c r="H101" i="7" s="1"/>
  <c r="F102" i="7"/>
  <c r="G102" i="7"/>
  <c r="H102" i="7" s="1"/>
  <c r="F103" i="7"/>
  <c r="G103" i="7"/>
  <c r="H103" i="7" s="1"/>
  <c r="G104" i="7"/>
  <c r="H104" i="7" s="1"/>
  <c r="F105" i="7"/>
  <c r="G105" i="7"/>
  <c r="H105" i="7" s="1"/>
  <c r="F106" i="7"/>
  <c r="G106" i="7"/>
  <c r="H106" i="7" s="1"/>
  <c r="F107" i="7"/>
  <c r="G107" i="7"/>
  <c r="H107" i="7" s="1"/>
  <c r="F108" i="7"/>
  <c r="G108" i="7"/>
  <c r="H108" i="7" s="1"/>
  <c r="F109" i="7"/>
  <c r="G109" i="7"/>
  <c r="H109" i="7" s="1"/>
  <c r="F110" i="7"/>
  <c r="G110" i="7"/>
  <c r="H110" i="7" s="1"/>
  <c r="F111" i="7"/>
  <c r="G111" i="7"/>
  <c r="H111" i="7" s="1"/>
  <c r="G112" i="7"/>
  <c r="H112" i="7" s="1"/>
  <c r="F113" i="7"/>
  <c r="G113" i="7"/>
  <c r="H113" i="7" s="1"/>
  <c r="F114" i="7"/>
  <c r="G114" i="7"/>
  <c r="H114" i="7" s="1"/>
  <c r="F115" i="7"/>
  <c r="G115" i="7"/>
  <c r="H115" i="7" s="1"/>
  <c r="F116" i="7"/>
  <c r="G116" i="7"/>
  <c r="H116" i="7" s="1"/>
  <c r="F117" i="7"/>
  <c r="G117" i="7"/>
  <c r="H117" i="7" s="1"/>
  <c r="F118" i="7"/>
  <c r="G118" i="7"/>
  <c r="H118" i="7" s="1"/>
  <c r="G119" i="7"/>
  <c r="H119" i="7" s="1"/>
  <c r="F120" i="7"/>
  <c r="G120" i="7"/>
  <c r="H120" i="7" s="1"/>
  <c r="F121" i="7"/>
  <c r="G121" i="7"/>
  <c r="H121" i="7" s="1"/>
  <c r="F122" i="7"/>
  <c r="G122" i="7"/>
  <c r="H122" i="7" s="1"/>
  <c r="F123" i="7"/>
  <c r="G123" i="7"/>
  <c r="H123" i="7" s="1"/>
  <c r="F124" i="7"/>
  <c r="G124" i="7"/>
  <c r="H124" i="7" s="1"/>
  <c r="F125" i="7"/>
  <c r="G125" i="7"/>
  <c r="H125" i="7" s="1"/>
  <c r="F126" i="7"/>
  <c r="G126" i="7"/>
  <c r="H126" i="7" s="1"/>
  <c r="G127" i="7"/>
  <c r="H127" i="7" s="1"/>
  <c r="F128" i="7"/>
  <c r="G128" i="7"/>
  <c r="H128" i="7" s="1"/>
  <c r="F129" i="7"/>
  <c r="G129" i="7"/>
  <c r="H129" i="7" s="1"/>
  <c r="F130" i="7"/>
  <c r="G130" i="7"/>
  <c r="H130" i="7" s="1"/>
  <c r="F131" i="7"/>
  <c r="G131" i="7"/>
  <c r="H131" i="7" s="1"/>
  <c r="F132" i="7"/>
  <c r="G132" i="7"/>
  <c r="H132" i="7" s="1"/>
  <c r="F133" i="7"/>
  <c r="G133" i="7"/>
  <c r="H133" i="7" s="1"/>
  <c r="F134" i="7"/>
  <c r="G134" i="7"/>
  <c r="H134" i="7" s="1"/>
  <c r="G135" i="7"/>
  <c r="H135" i="7" s="1"/>
  <c r="F136" i="7"/>
  <c r="G136" i="7"/>
  <c r="H136" i="7" s="1"/>
  <c r="F137" i="7"/>
  <c r="G137" i="7"/>
  <c r="H137" i="7" s="1"/>
  <c r="F138" i="7"/>
  <c r="G138" i="7"/>
  <c r="H138" i="7" s="1"/>
  <c r="F139" i="7"/>
  <c r="G139" i="7"/>
  <c r="H139" i="7" s="1"/>
  <c r="F140" i="7"/>
  <c r="G140" i="7"/>
  <c r="H140" i="7" s="1"/>
  <c r="F141" i="7"/>
  <c r="G141" i="7"/>
  <c r="H141" i="7" s="1"/>
  <c r="F142" i="7"/>
  <c r="G142" i="7"/>
  <c r="H142" i="7" s="1"/>
  <c r="G143" i="7"/>
  <c r="H143" i="7" s="1"/>
  <c r="F144" i="7"/>
  <c r="G144" i="7"/>
  <c r="H144" i="7" s="1"/>
  <c r="F145" i="7"/>
  <c r="G145" i="7"/>
  <c r="H145" i="7" s="1"/>
  <c r="F146" i="7"/>
  <c r="G146" i="7"/>
  <c r="H146" i="7" s="1"/>
  <c r="F147" i="7"/>
  <c r="G147" i="7"/>
  <c r="H147" i="7" s="1"/>
  <c r="F148" i="7"/>
  <c r="G148" i="7"/>
  <c r="H148" i="7" s="1"/>
  <c r="F149" i="7"/>
  <c r="G149" i="7"/>
  <c r="H149" i="7" s="1"/>
  <c r="F150" i="7"/>
  <c r="G150" i="7"/>
  <c r="H150" i="7" s="1"/>
  <c r="G151" i="7"/>
  <c r="H151" i="7" s="1"/>
  <c r="F152" i="7"/>
  <c r="G152" i="7"/>
  <c r="H152" i="7" s="1"/>
  <c r="F153" i="7"/>
  <c r="G153" i="7"/>
  <c r="H153" i="7" s="1"/>
  <c r="F154" i="7"/>
  <c r="G154" i="7"/>
  <c r="H154" i="7" s="1"/>
  <c r="G155" i="7"/>
  <c r="H155" i="7" s="1"/>
  <c r="F156" i="7"/>
  <c r="G156" i="7"/>
  <c r="H156" i="7" s="1"/>
  <c r="F157" i="7"/>
  <c r="G157" i="7"/>
  <c r="H157" i="7" s="1"/>
  <c r="F158" i="7"/>
  <c r="G158" i="7"/>
  <c r="H158" i="7" s="1"/>
  <c r="G159" i="7"/>
  <c r="H159" i="7" s="1"/>
  <c r="F160" i="7"/>
  <c r="G160" i="7"/>
  <c r="H160" i="7" s="1"/>
  <c r="F161" i="7"/>
  <c r="G161" i="7"/>
  <c r="H161" i="7" s="1"/>
  <c r="G162" i="7"/>
  <c r="H162" i="7" s="1"/>
  <c r="F163" i="7"/>
  <c r="G163" i="7"/>
  <c r="H163" i="7" s="1"/>
  <c r="F164" i="7"/>
  <c r="G164" i="7"/>
  <c r="H164" i="7" s="1"/>
  <c r="G165" i="7"/>
  <c r="H165" i="7" s="1"/>
  <c r="F166" i="7"/>
  <c r="G166" i="7"/>
  <c r="H166" i="7" s="1"/>
  <c r="F167" i="7"/>
  <c r="G167" i="7"/>
  <c r="H167" i="7" s="1"/>
  <c r="G168" i="7"/>
  <c r="H168" i="7" s="1"/>
  <c r="F169" i="7"/>
  <c r="G169" i="7"/>
  <c r="H169" i="7" s="1"/>
  <c r="F170" i="7"/>
  <c r="G170" i="7"/>
  <c r="H170" i="7" s="1"/>
  <c r="G171" i="7"/>
  <c r="H171" i="7" s="1"/>
  <c r="G172" i="7"/>
  <c r="H172" i="7" s="1"/>
  <c r="F173" i="7"/>
  <c r="G173" i="7"/>
  <c r="H173" i="7" s="1"/>
  <c r="F174" i="7"/>
  <c r="G174" i="7"/>
  <c r="H174" i="7" s="1"/>
  <c r="F175" i="7"/>
  <c r="G175" i="7"/>
  <c r="H175" i="7" s="1"/>
  <c r="F176" i="7"/>
  <c r="G176" i="7"/>
  <c r="H176" i="7" s="1"/>
  <c r="F177" i="7"/>
  <c r="G177" i="7"/>
  <c r="H177" i="7" s="1"/>
  <c r="F178" i="7"/>
  <c r="G178" i="7"/>
  <c r="H178" i="7" s="1"/>
  <c r="G179" i="7"/>
  <c r="H179" i="7" s="1"/>
  <c r="F180" i="7"/>
  <c r="G180" i="7"/>
  <c r="H180" i="7" s="1"/>
  <c r="F181" i="7"/>
  <c r="G181" i="7"/>
  <c r="H181" i="7" s="1"/>
  <c r="F182" i="7"/>
  <c r="G182" i="7"/>
  <c r="H182" i="7" s="1"/>
  <c r="F183" i="7"/>
  <c r="G183" i="7"/>
  <c r="H183" i="7" s="1"/>
  <c r="F184" i="7"/>
  <c r="G184" i="7"/>
  <c r="H184" i="7" s="1"/>
  <c r="F185" i="7"/>
  <c r="G185" i="7"/>
  <c r="H185" i="7" s="1"/>
  <c r="G186" i="7"/>
  <c r="H186" i="7" s="1"/>
  <c r="F187" i="7"/>
  <c r="G187" i="7"/>
  <c r="H187" i="7" s="1"/>
  <c r="F188" i="7"/>
  <c r="G188" i="7"/>
  <c r="H188" i="7" s="1"/>
  <c r="F189" i="7"/>
  <c r="G189" i="7"/>
  <c r="H189" i="7" s="1"/>
  <c r="F190" i="7"/>
  <c r="G190" i="7"/>
  <c r="H190" i="7" s="1"/>
  <c r="G191" i="7"/>
  <c r="H191" i="7" s="1"/>
  <c r="F192" i="7"/>
  <c r="G192" i="7"/>
  <c r="H192" i="7" s="1"/>
  <c r="F193" i="7"/>
  <c r="G193" i="7"/>
  <c r="H193" i="7" s="1"/>
  <c r="F194" i="7"/>
  <c r="G194" i="7"/>
  <c r="H194" i="7" s="1"/>
  <c r="F195" i="7"/>
  <c r="G195" i="7"/>
  <c r="H195" i="7" s="1"/>
  <c r="F196" i="7"/>
  <c r="G196" i="7"/>
  <c r="H196" i="7" s="1"/>
  <c r="F197" i="7"/>
  <c r="G197" i="7"/>
  <c r="H197" i="7" s="1"/>
  <c r="F198" i="7"/>
  <c r="G198" i="7"/>
  <c r="H198" i="7" s="1"/>
  <c r="G199" i="7"/>
  <c r="H199" i="7" s="1"/>
  <c r="F200" i="7"/>
  <c r="G200" i="7"/>
  <c r="H200" i="7" s="1"/>
  <c r="F201" i="7"/>
  <c r="G201" i="7"/>
  <c r="H201" i="7" s="1"/>
  <c r="F202" i="7"/>
  <c r="G202" i="7"/>
  <c r="H202" i="7" s="1"/>
  <c r="F203" i="7"/>
  <c r="G203" i="7"/>
  <c r="H203" i="7" s="1"/>
  <c r="F204" i="7"/>
  <c r="G204" i="7"/>
  <c r="H204" i="7" s="1"/>
  <c r="F205" i="7"/>
  <c r="G205" i="7"/>
  <c r="H205" i="7" s="1"/>
  <c r="F206" i="7"/>
  <c r="G206" i="7"/>
  <c r="H206" i="7" s="1"/>
  <c r="G207" i="7"/>
  <c r="H207" i="7" s="1"/>
  <c r="F208" i="7"/>
  <c r="G208" i="7"/>
  <c r="H208" i="7" s="1"/>
  <c r="F209" i="7"/>
  <c r="G209" i="7"/>
  <c r="H209" i="7" s="1"/>
  <c r="F210" i="7"/>
  <c r="G210" i="7"/>
  <c r="H210" i="7" s="1"/>
  <c r="F211" i="7"/>
  <c r="G211" i="7"/>
  <c r="H211" i="7" s="1"/>
  <c r="F212" i="7"/>
  <c r="G212" i="7"/>
  <c r="H212" i="7" s="1"/>
  <c r="F213" i="7"/>
  <c r="G213" i="7"/>
  <c r="H213" i="7" s="1"/>
  <c r="F214" i="7"/>
  <c r="G214" i="7"/>
  <c r="H214" i="7" s="1"/>
  <c r="E107" i="7"/>
  <c r="E131" i="7"/>
  <c r="E134" i="7"/>
  <c r="E69" i="7"/>
  <c r="E83" i="7"/>
  <c r="E61" i="7"/>
  <c r="G21" i="7"/>
  <c r="H21" i="7" s="1"/>
  <c r="G22" i="7"/>
  <c r="H22" i="7" s="1"/>
  <c r="G23" i="7"/>
  <c r="H23" i="7" s="1"/>
  <c r="G24" i="7"/>
  <c r="H24" i="7" s="1"/>
  <c r="E20" i="7"/>
  <c r="F24" i="7"/>
  <c r="F22" i="7"/>
  <c r="F23" i="7"/>
  <c r="F20" i="7"/>
  <c r="F21" i="7"/>
  <c r="H19" i="7"/>
  <c r="G19" i="7"/>
  <c r="F1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<sst xmlns="http://schemas.openxmlformats.org/spreadsheetml/2006/main" count="1583" uniqueCount="459">
  <si>
    <r>
      <rPr>
        <b/>
        <i/>
        <sz val="10"/>
        <color rgb="FF1403EF"/>
        <rFont val="Noto Sans"/>
        <family val="2"/>
        <charset val="1"/>
      </rPr>
      <t xml:space="preserve">Objetivo: </t>
    </r>
    <r>
      <rPr>
        <i/>
        <sz val="10"/>
        <color rgb="FF1403EF"/>
        <rFont val="Noto Sans"/>
        <family val="2"/>
        <charset val="1"/>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</si>
  <si>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Noto Sans"/>
        <family val="2"/>
        <charset val="1"/>
      </rPr>
      <t xml:space="preserve">Guía de Uso:
</t>
    </r>
    <r>
      <rPr>
        <i/>
        <sz val="10"/>
        <color rgb="FF0000FF"/>
        <rFont val="Noto Sans"/>
        <family val="2"/>
        <charset val="1"/>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Noto Sans"/>
        <family val="2"/>
        <charset val="1"/>
      </rPr>
      <t>reservar</t>
    </r>
    <r>
      <rPr>
        <i/>
        <sz val="10"/>
        <color rgb="FF0000FF"/>
        <rFont val="Noto Sans"/>
        <family val="2"/>
        <charset val="1"/>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</si>
  <si>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Noto Sans"/>
        <family val="2"/>
        <charset val="1"/>
      </rPr>
      <t xml:space="preserve">Nota acerca de Información Reservada
</t>
    </r>
    <r>
      <rPr>
        <i/>
        <sz val="10"/>
        <color rgb="FF0000FF"/>
        <rFont val="Noto Sans"/>
        <family val="2"/>
        <charset val="1"/>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Noto Sans"/>
        <family val="2"/>
        <charset val="1"/>
      </rPr>
      <t>XX</t>
    </r>
    <r>
      <rPr>
        <i/>
        <sz val="10"/>
        <color rgb="FF0000FF"/>
        <rFont val="Noto Sans"/>
        <family val="2"/>
        <charset val="1"/>
      </rPr>
      <t xml:space="preserve">, clasificada como Reservada con Fundamento Legal </t>
    </r>
    <r>
      <rPr>
        <b/>
        <i/>
        <sz val="10"/>
        <color rgb="FF0000FF"/>
        <rFont val="Noto Sans"/>
        <family val="2"/>
        <charset val="1"/>
      </rPr>
      <t>XX</t>
    </r>
    <r>
      <rPr>
        <i/>
        <sz val="10"/>
        <color rgb="FF0000FF"/>
        <rFont val="Noto Sans"/>
        <family val="2"/>
        <charset val="1"/>
      </rPr>
      <t xml:space="preserve">, Motivación </t>
    </r>
    <r>
      <rPr>
        <b/>
        <i/>
        <sz val="10"/>
        <color rgb="FF0000FF"/>
        <rFont val="Noto Sans"/>
        <family val="2"/>
        <charset val="1"/>
      </rPr>
      <t>XX</t>
    </r>
    <r>
      <rPr>
        <i/>
        <sz val="10"/>
        <color rgb="FF0000FF"/>
        <rFont val="Noto Sans"/>
        <family val="2"/>
        <charset val="1"/>
      </rPr>
      <t xml:space="preserve">, Fecha de clasificación </t>
    </r>
    <r>
      <rPr>
        <b/>
        <i/>
        <sz val="10"/>
        <color rgb="FF0000FF"/>
        <rFont val="Noto Sans"/>
        <family val="2"/>
        <charset val="1"/>
      </rPr>
      <t>XX</t>
    </r>
    <r>
      <rPr>
        <i/>
        <sz val="10"/>
        <color rgb="FF0000FF"/>
        <rFont val="Noto Sans"/>
        <family val="2"/>
        <charset val="1"/>
      </rPr>
      <t xml:space="preserve"> y Periodo de la reserva </t>
    </r>
    <r>
      <rPr>
        <b/>
        <i/>
        <sz val="10"/>
        <color rgb="FF0000FF"/>
        <rFont val="Noto Sans"/>
        <family val="2"/>
        <charset val="1"/>
      </rPr>
      <t>XX</t>
    </r>
    <r>
      <rPr>
        <i/>
        <sz val="10"/>
        <color rgb="FF0000FF"/>
        <rFont val="Noto Sans"/>
        <family val="2"/>
        <charset val="1"/>
      </rPr>
      <t xml:space="preserve">].
</t>
    </r>
    <r>
      <rPr>
        <b/>
        <i/>
        <sz val="10"/>
        <color rgb="FF0000FF"/>
        <rFont val="Noto Sans"/>
        <family val="2"/>
        <charset val="1"/>
      </rPr>
      <t>Ejemplo</t>
    </r>
    <r>
      <rPr>
        <i/>
        <sz val="10"/>
        <color rgb="FF0000FF"/>
        <rFont val="Noto Sans"/>
        <family val="2"/>
        <charset val="1"/>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</si>
  <si>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</si>
  <si>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</si>
  <si>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</si>
  <si>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</si>
  <si>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</si>
  <si>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</si>
  <si>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Noto Sans"/>
        <family val="2"/>
        <charset val="1"/>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Noto Sans"/>
        <family val="2"/>
        <charset val="1"/>
      </rPr>
      <t>●</t>
    </r>
    <r>
      <rPr>
        <i/>
        <sz val="10"/>
        <color rgb="FF0000FF"/>
        <rFont val="Noto Sans"/>
        <family val="2"/>
        <charset val="1"/>
      </rPr>
      <t xml:space="preserve">No se combinan celdas (exceptuando la sección de firmas)
</t>
    </r>
    <r>
      <rPr>
        <sz val="10"/>
        <color rgb="FF0000FF"/>
        <rFont val="Noto Sans"/>
        <family val="2"/>
        <charset val="1"/>
      </rPr>
      <t>●</t>
    </r>
    <r>
      <rPr>
        <i/>
        <sz val="10"/>
        <color rgb="FF0000FF"/>
        <rFont val="Noto Sans"/>
        <family val="2"/>
        <charset val="1"/>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</si>
  <si>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</si>
  <si>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</si>
  <si>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</si>
  <si>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</si>
  <si>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</si>
  <si>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</si>
  <si>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</si>
  <si>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</si>
  <si>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</si>
  <si>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</si>
  <si>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</si>
  <si>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Noto Sans"/>
        <family val="2"/>
        <charset val="1"/>
      </rPr>
      <t xml:space="preserve">En artefactos </t>
    </r>
    <r>
      <rPr>
        <b/>
        <sz val="10"/>
        <rFont val="Noto Sans"/>
        <family val="2"/>
        <charset val="1"/>
      </rPr>
      <t>tipo Excel</t>
    </r>
    <r>
      <rPr>
        <sz val="10"/>
        <rFont val="Noto Sans"/>
        <family val="2"/>
        <charset val="1"/>
      </rPr>
      <t xml:space="preserve">, la inserción del </t>
    </r>
    <r>
      <rPr>
        <b/>
        <sz val="10"/>
        <rFont val="Noto Sans"/>
        <family val="2"/>
        <charset val="1"/>
      </rPr>
      <t>Encabezado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</si>
  <si>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</si>
  <si>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Noto Sans"/>
        <family val="2"/>
        <charset val="1"/>
      </rPr>
      <t xml:space="preserve">En artefactos </t>
    </r>
    <r>
      <rPr>
        <b/>
        <sz val="10"/>
        <rFont val="Noto Sans"/>
        <family val="2"/>
        <charset val="1"/>
      </rPr>
      <t>tipo</t>
    </r>
    <r>
      <rPr>
        <sz val="10"/>
        <rFont val="Noto Sans"/>
        <family val="2"/>
        <charset val="1"/>
      </rPr>
      <t xml:space="preserve"> </t>
    </r>
    <r>
      <rPr>
        <b/>
        <sz val="10"/>
        <rFont val="Noto Sans"/>
        <family val="2"/>
        <charset val="1"/>
      </rPr>
      <t>Excel</t>
    </r>
    <r>
      <rPr>
        <sz val="10"/>
        <rFont val="Noto Sans"/>
        <family val="2"/>
        <charset val="1"/>
      </rPr>
      <t>, la inserción de la</t>
    </r>
    <r>
      <rPr>
        <b/>
        <sz val="10"/>
        <rFont val="Noto Sans"/>
        <family val="2"/>
        <charset val="1"/>
      </rPr>
      <t xml:space="preserve"> Sección</t>
    </r>
    <r>
      <rPr>
        <sz val="10"/>
        <rFont val="Noto Sans"/>
        <family val="2"/>
        <charset val="1"/>
      </rPr>
      <t xml:space="preserve"> </t>
    </r>
    <r>
      <rPr>
        <b/>
        <sz val="10"/>
        <rFont val="Noto Sans"/>
        <family val="2"/>
        <charset val="1"/>
      </rPr>
      <t>FIRMAS DE CONFORMIDAD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</si>
  <si>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</si>
  <si>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</si>
  <si>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</si>
  <si>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</si>
  <si>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</si>
  <si>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</si>
  <si>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</si>
  <si>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</si>
  <si>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</si>
  <si>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</si>
  <si>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Alma Q. Torres González</t>
  </si>
  <si>
    <t>1.1</t>
  </si>
  <si>
    <r>
      <rPr>
        <sz val="10"/>
        <color rgb="FF000000"/>
        <rFont val="Noto Sans"/>
        <family val="2"/>
        <charset val="1"/>
      </rPr>
      <t xml:space="preserve">Se complementaron los casos de prueba por revisión con el Negocio </t>
    </r>
    <r>
      <rPr>
        <sz val="10"/>
        <color rgb="FF1403EF"/>
        <rFont val="Noto Sans"/>
        <family val="2"/>
        <charset val="1"/>
      </rPr>
      <t>(Ejemplo)</t>
    </r>
  </si>
  <si>
    <t>2</t>
  </si>
  <si>
    <r>
      <rPr>
        <b/>
        <sz val="10"/>
        <color rgb="FF000000"/>
        <rFont val="Noto Sans"/>
        <family val="2"/>
        <charset val="1"/>
      </rPr>
      <t>Se reutiliza</t>
    </r>
    <r>
      <rPr>
        <sz val="10"/>
        <color rgb="FF000000"/>
        <rFont val="Noto Sans"/>
        <family val="2"/>
        <charset val="1"/>
      </rPr>
      <t xml:space="preserve"> el documento para actualizaciones. </t>
    </r>
    <r>
      <rPr>
        <sz val="10"/>
        <color rgb="FF0000FF"/>
        <rFont val="Noto Sans"/>
        <family val="2"/>
        <charset val="1"/>
      </rPr>
      <t>(Ejemplo)</t>
    </r>
  </si>
  <si>
    <t>2.1</t>
  </si>
  <si>
    <t>Versión aprobada para firma.</t>
  </si>
  <si>
    <t>0.2</t>
  </si>
  <si>
    <t>Ajustes:
CC083 Masiva UUID
CC084 Descargar acuse de cancelación</t>
  </si>
  <si>
    <t>Alma Q. Torres González
Nadia Anahí Ortega Nava</t>
  </si>
  <si>
    <t>0.3</t>
  </si>
  <si>
    <t>Ajustes:
Ajustar RDP de acuerdo a los ajustes de la Narrativa</t>
  </si>
  <si>
    <t>0.4</t>
  </si>
  <si>
    <t>Ajustes:
-Se generar CP30 conforme CC120 – Incorporar Folios relacionados
-Se generar CP31 conforme CC121 – Descargar RI Complemento Carta Porte
-Actualizar CP07, CP08, CP09 y CP10 relacionados al Acuse de cancelación</t>
  </si>
  <si>
    <t>1.0</t>
  </si>
  <si>
    <t xml:space="preserve">Versión aprobada para firma </t>
  </si>
  <si>
    <t>Roberto Monroy Vargas
Mario Alberto Huerta Velázquez</t>
  </si>
  <si>
    <t>Portal Consulta Central CFDI</t>
  </si>
  <si>
    <t xml:space="preserve">Rol </t>
  </si>
  <si>
    <t>CP01</t>
  </si>
  <si>
    <t>ConsultaCentral_CFDI_Búsqueda/FolioFiscal</t>
  </si>
  <si>
    <t>CP02</t>
  </si>
  <si>
    <t>ConsultaCentral_CFDI_Búsqueda/Fecha/RFCEmisor</t>
  </si>
  <si>
    <t>CP03</t>
  </si>
  <si>
    <t>ConsultaCentral_CFDI_Búsqueda/Fecha/RFCReceptor</t>
  </si>
  <si>
    <t>CP04</t>
  </si>
  <si>
    <t>ConsultaCentral_CFDI_Búsqueda/Fecha/RFCTercero</t>
  </si>
  <si>
    <t>CP05</t>
  </si>
  <si>
    <t>ConsultaCentral_CFDI_Búsqueda/ResultadodeConsulta/Sin Resultados</t>
  </si>
  <si>
    <t>CP06</t>
  </si>
  <si>
    <t>ConsultaCentral_CFDI_Búsqueda/Masiva UUID</t>
  </si>
  <si>
    <t>CP07</t>
  </si>
  <si>
    <t>ConsultaCentral_CFDI_Búsqueda/FolioFiscal/Acuse de Cancelación</t>
  </si>
  <si>
    <t>CP08</t>
  </si>
  <si>
    <t>ConsultaCentral_CFDI_Búsqueda/RFCEmisor/Acuse de Cancelación</t>
  </si>
  <si>
    <t>CP09</t>
  </si>
  <si>
    <t>ConsultaCentral_CFDI_Búsqueda/RFCReceptor/Acuse de Cancelación</t>
  </si>
  <si>
    <t>CP10</t>
  </si>
  <si>
    <t>ConsultaCentral_CFDI_Búsqueda/Masiva UUID/Acuse de Cancelación</t>
  </si>
  <si>
    <t>CP11</t>
  </si>
  <si>
    <t>ConsultaCentral_CFDI_Búsqueda/FolioFiscal/Descargar RI</t>
  </si>
  <si>
    <t>CP12</t>
  </si>
  <si>
    <t>ConsultaCentral_CFDI_Búsqueda/RFCEmisor/Descargar RI</t>
  </si>
  <si>
    <t>CP13</t>
  </si>
  <si>
    <t>ConsultaCentral_CFDI_Búsqueda/RFCReceptor/Descargar RI</t>
  </si>
  <si>
    <t>CP14</t>
  </si>
  <si>
    <t>ConsultaCentral_CFDI_Búsqueda/Masiva UUID/Descargar RI</t>
  </si>
  <si>
    <t>CP16</t>
  </si>
  <si>
    <t>ConsultaCentral_CFDI_Búsqueda/FolioFiscal/Descargar XML</t>
  </si>
  <si>
    <t>CP17</t>
  </si>
  <si>
    <t>ConsultaCentral_CFDI_Búsqueda/RFCEmisor/Descargar XML</t>
  </si>
  <si>
    <t>CP18</t>
  </si>
  <si>
    <t>ConsultaCentral_CFDI_Búsqueda/RFCReceptor/Descargar XML</t>
  </si>
  <si>
    <t>CP19</t>
  </si>
  <si>
    <t>ConsultaCentral_CFDI_Búsqueda/Masiva UUID/Descargar XML</t>
  </si>
  <si>
    <t>CP20</t>
  </si>
  <si>
    <t>ConsultaCentral_CFDI_Búsqueda/ResultadosdeConsulta/DescargarSeleccionadosXML</t>
  </si>
  <si>
    <t>CP21</t>
  </si>
  <si>
    <t>ConsultaCentral_CFDI_Búsqueda/ResultadodeConsulta/DescargarRI</t>
  </si>
  <si>
    <t>CP22</t>
  </si>
  <si>
    <t>ConsultaCentral_CFDI_Búsqueda/ResultadosdeConsulta/DescargaMetadata</t>
  </si>
  <si>
    <t>CP23</t>
  </si>
  <si>
    <t>ConsultaCentral_CFDI_Búsqueda/Exportar resultados a PDF</t>
  </si>
  <si>
    <t>CP24</t>
  </si>
  <si>
    <t>ConsultaCentral_CFDI_Búsqueda/Exportar resultados a CSV</t>
  </si>
  <si>
    <t>CP25</t>
  </si>
  <si>
    <t>ConsultaCentral_CFDI_/Recuperar Descargas de CFDI</t>
  </si>
  <si>
    <t>CP26</t>
  </si>
  <si>
    <t>ConsultaCentral_CFDI_Búsqueda/PPE</t>
  </si>
  <si>
    <t>CP27</t>
  </si>
  <si>
    <t>ConsultaCentral_CFDI_Autenticación</t>
  </si>
  <si>
    <t>CP28</t>
  </si>
  <si>
    <t>ConsultaCentral_CFDI_Búsqueda/CierreSesión_Inactividad</t>
  </si>
  <si>
    <t>CP29</t>
  </si>
  <si>
    <t>ConsultaCentral_CFDI_Búsqueda/Masiva UUID/Archivo con Errores</t>
  </si>
  <si>
    <t>CP30</t>
  </si>
  <si>
    <t>ConsultaCentral_CFDI_Búsqueda/Folios Relacionados</t>
  </si>
  <si>
    <t>ConsultaCentral_CFDI_Búsqueda/Representación Impresa Complemento Carta Porte</t>
  </si>
  <si>
    <t>Código del Aplicativo:</t>
  </si>
  <si>
    <t>ID de Requerimiento:</t>
  </si>
  <si>
    <t xml:space="preserve">POL 8211 </t>
  </si>
  <si>
    <t>Nombre de Requerimiento:</t>
  </si>
  <si>
    <t>FE – Servicios Gratuitos – Realizar la actualización del Complemento de CartaPorte y de Comercio Exterior, así como, a los Servicios de Consulta del Empleado</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</si>
  <si>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</si>
  <si>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</si>
  <si>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</si>
  <si>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</si>
  <si>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</si>
  <si>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</si>
  <si>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</si>
  <si>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</si>
  <si>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</si>
  <si>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</si>
  <si>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r>
      <rPr>
        <i/>
        <sz val="10"/>
        <rFont val="Noto Sans"/>
        <family val="2"/>
        <charset val="1"/>
      </rPr>
      <t xml:space="preserve">Identificador del caso de prueba que se integrará en Quality Center (QC).
</t>
    </r>
    <r>
      <rPr>
        <i/>
        <u/>
        <sz val="10"/>
        <rFont val="Noto Sans"/>
        <family val="2"/>
        <charset val="1"/>
      </rPr>
      <t xml:space="preserve">El ID del caso NO debe contener espacios en blanco. La diagonal debe ser “\”. La nomenclatura estándar es: </t>
    </r>
    <r>
      <rPr>
        <b/>
        <i/>
        <sz val="10"/>
        <rFont val="Noto Sans"/>
        <family val="2"/>
        <charset val="1"/>
      </rPr>
      <t>PPMC_Número\Componente Tecnológico o Aplicativo</t>
    </r>
    <r>
      <rPr>
        <i/>
        <sz val="10"/>
        <rFont val="Noto Sans"/>
        <family val="2"/>
        <charset val="1"/>
      </rPr>
      <t xml:space="preserve">(ya que ésta es la estructura o ruta de carpetas para almacenar y agrupar los objetos creados para contener la información de los Casos de Prueba y Escenarios de Pruebas).
</t>
    </r>
    <r>
      <rPr>
        <i/>
        <u/>
        <sz val="10"/>
        <rFont val="Noto Sans"/>
        <family val="2"/>
        <charset val="1"/>
      </rPr>
      <t>(Ejemplo:</t>
    </r>
    <r>
      <rPr>
        <i/>
        <sz val="10"/>
        <rFont val="Noto Sans"/>
        <family val="2"/>
        <charset val="1"/>
      </rPr>
      <t xml:space="preserve"> PPMC_56124\Juicios de Nulidad)</t>
    </r>
  </si>
  <si>
    <t>Nombre completo representativo del Caso asociado a la funcionalidad a probar.
Ejemplo de nombre:
"Validación de la Fecha Notificación de la Demanda"
El Nombre del Caso no debe contener caracteres especiales (\/:%’*?&lt;&gt;|”@,  , etc.) y debe tener longitud máxima de 85 caracteres.
Si son más de un caso de prueba y tienen un orden de ejecución entonces, antes del nombre, debe estar acompañado de un número consecutivo del caso de prueba, anteponiendo las siglas "CP":
CP1_Nombre del Caso
CP2_Nombre del Caso
CP3_Nombre del Caso
Etc.
(Si no se requiere un orden de ejecución, no es necesario ordenarlos de esta forma.)</t>
  </si>
  <si>
    <t>Identificador secuencial de los pasos que sigue el caso de prueba.
La información de todos los pasos de un Caso de Prueba debe ser consistente.</t>
  </si>
  <si>
    <t>Narración detallada del paso a ejecutar. Se deben evitar paréntesis y/o corchetes seguidos "{{..[[..((…))..]]..]]". No dejar en blanco, escribir N/A en caso de que no aplique.</t>
  </si>
  <si>
    <t>Narración detallada del resultado esperado, dada la ejecución del paso. Se deben evitar paréntesis y/o corchetes seguidos "{{..[[..((…))..]]..]]".  No dejar en blanco, escribir N/A en caso de que no aplique.</t>
  </si>
  <si>
    <t>Anotaciones sobre lo que deba considerarse en forma adicional para la ejecución del Caso (descripción de los prerrequisitos que deben ser cubiertos para la ejecución del caso de prueba, identificación de las entradas requeridas del caso de prueba ).  Se deben evitar paréntesis y/o corchetes seguidos "{{..[[..((…))..]]..]]". No dejar en blanco, escribir N/A en caso de que no aplique.</t>
  </si>
  <si>
    <t>Descripción del Perfil de usuario que se utilizará para la ejecución del Caso de Prueba. No dejar en blanco, escribir N/A en caso de que no aplique</t>
  </si>
  <si>
    <r>
      <rPr>
        <i/>
        <sz val="10"/>
        <rFont val="Noto Sans"/>
        <family val="2"/>
        <charset val="1"/>
      </rPr>
      <t xml:space="preserve">Para indicar los casos prueba y descripción de los elementos donde se emplearán los datos.
</t>
    </r>
    <r>
      <rPr>
        <b/>
        <i/>
        <sz val="10"/>
        <rFont val="Noto Sans"/>
        <family val="2"/>
        <charset val="1"/>
      </rPr>
      <t xml:space="preserve">
</t>
    </r>
    <r>
      <rPr>
        <i/>
        <sz val="10"/>
        <rFont val="Noto Sans"/>
        <family val="2"/>
        <charset val="1"/>
      </rPr>
      <t xml:space="preserve">Indicar el nombre del Dato  de Prueba (RFC, Periodo,…)
</t>
    </r>
    <r>
      <rPr>
        <sz val="10"/>
        <rFont val="Noto Sans"/>
        <family val="2"/>
        <charset val="1"/>
      </rPr>
      <t>Ejemplos:
Indicar el contenido del dato (AAAA790909JN6, 2010-01, …)
Indicar el contenido del dato (AAAA790909JN6, 2010-02, …)</t>
    </r>
  </si>
  <si>
    <t>POL_8214 /PortalEmpleado/ConsultaCentralCFDI</t>
  </si>
  <si>
    <t>Usuario ingresa al Portal Empleados Consulta Central</t>
  </si>
  <si>
    <t xml:space="preserve">El sistema muestra las siguientes opciones de búsqueda:
- Folio Fiscal
- Masiva UUID
- Fecha Inicial y Final de Emisión
</t>
  </si>
  <si>
    <t>El Usuario previamente se autenticó  y accedió al portal Empleados-Consulta Central</t>
  </si>
  <si>
    <t xml:space="preserve">Rol  CFDI01
Rol  CFDI02
Rol  CFDI03
Rol  CFDI04
Rol  CFDI05
</t>
  </si>
  <si>
    <t>Firma Electrónica del Usuario.
El Usuario debe tener asignado cualquiera de los roles</t>
  </si>
  <si>
    <t>Selecciona la opción Folio Fiscal</t>
  </si>
  <si>
    <t xml:space="preserve">El sistema muestra cuadro de texto para incorporar el número de Folio Fiscal que se requiere buscar.
</t>
  </si>
  <si>
    <t xml:space="preserve">Al seleccionar el botón de folio fiscal se deben deshabilitar los campos de la sección Fecha Inicial y Final de Emisión
(Aplica la Regla de Negocio 01) </t>
  </si>
  <si>
    <t xml:space="preserve">Ingresa los datos del Folio Fiscal </t>
  </si>
  <si>
    <t xml:space="preserve">El sistema muestra los datos que se van ingresando del folio fiscal
</t>
  </si>
  <si>
    <t>Da clic en el botón buscar CFDI</t>
  </si>
  <si>
    <t>Da clic en cerrar sesión</t>
  </si>
  <si>
    <t>Cierra la aplicación y se direcciona a la pantalla de autenticación.</t>
  </si>
  <si>
    <r>
      <rPr>
        <sz val="10"/>
        <rFont val="Noto Sans"/>
        <family val="2"/>
        <charset val="1"/>
      </rPr>
      <t xml:space="preserve">Firma Electrónica del Usuario.
El Usuario debe tener asignado cualquiera de los roles
</t>
    </r>
    <r>
      <rPr>
        <b/>
        <sz val="10"/>
        <rFont val="Noto Sans"/>
        <family val="2"/>
        <charset val="1"/>
      </rPr>
      <t xml:space="preserve">
Para este caso de prueba se debe agregar el valor de un RFC Emisor.</t>
    </r>
  </si>
  <si>
    <t>Selecciona la opción Fecha Inicial y Final de Emisión</t>
  </si>
  <si>
    <r>
      <rPr>
        <sz val="10"/>
        <rFont val="Noto Sans"/>
        <family val="2"/>
        <charset val="1"/>
      </rPr>
      <t xml:space="preserve">El sistema habilita los siguientes campos:
•	Fecha Inicial de Emisión (*).
•	Fecha Final de Emisión (*).
•	</t>
    </r>
    <r>
      <rPr>
        <b/>
        <sz val="10"/>
        <rFont val="Noto Sans"/>
        <family val="2"/>
        <charset val="1"/>
      </rPr>
      <t xml:space="preserve">RFC Emisor.
</t>
    </r>
    <r>
      <rPr>
        <sz val="10"/>
        <rFont val="Noto Sans"/>
        <family val="2"/>
        <charset val="1"/>
      </rPr>
      <t>•	RFC Receptor.
•	RFC a cuenta de terceros.
•	Tipo de Comprobante.
•	Estado del Comprobante.
•	Tipo de Comprobante (Complemento) (RN17).
•	Estatus Cancelación (Campo condicional).</t>
    </r>
  </si>
  <si>
    <r>
      <rPr>
        <sz val="10"/>
        <rFont val="Noto Sans"/>
        <family val="2"/>
        <charset val="1"/>
      </rPr>
      <t xml:space="preserve">Ingresa los datos:
•	Fecha Inicial de Emisión (*).
•	Fecha Final de Emisión (*).
</t>
    </r>
    <r>
      <rPr>
        <b/>
        <sz val="10"/>
        <rFont val="Noto Sans"/>
        <family val="2"/>
        <charset val="1"/>
      </rPr>
      <t xml:space="preserve">•	RFC Emisor.
</t>
    </r>
    <r>
      <rPr>
        <sz val="10"/>
        <rFont val="Noto Sans"/>
        <family val="2"/>
        <charset val="1"/>
      </rPr>
      <t xml:space="preserve">•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r>
  </si>
  <si>
    <t>El sistema muestra los datos que se van ingresando .</t>
  </si>
  <si>
    <r>
      <rPr>
        <sz val="10"/>
        <rFont val="Noto Sans"/>
        <family val="2"/>
        <charset val="1"/>
      </rPr>
      <t xml:space="preserve">Firma Electrónica del Usuario.
El Usuario debe tener asignado cualquiera de los roles
</t>
    </r>
    <r>
      <rPr>
        <b/>
        <sz val="10"/>
        <rFont val="Noto Sans"/>
        <family val="2"/>
        <charset val="1"/>
      </rPr>
      <t>Ingresa el valor de un RFC Receptor.</t>
    </r>
  </si>
  <si>
    <r>
      <rPr>
        <sz val="10"/>
        <rFont val="Noto Sans"/>
        <family val="2"/>
        <charset val="1"/>
      </rPr>
      <t xml:space="preserve">El sistema habilita los siguientes campos:
•	Fecha Inicial de Emisión (*).
•	Fecha Final de Emisión (*).
•	RFC Emisor.
</t>
    </r>
    <r>
      <rPr>
        <b/>
        <sz val="10"/>
        <rFont val="Noto Sans"/>
        <family val="2"/>
        <charset val="1"/>
      </rPr>
      <t xml:space="preserve">•	RFC Receptor.
</t>
    </r>
    <r>
      <rPr>
        <sz val="10"/>
        <rFont val="Noto Sans"/>
        <family val="2"/>
        <charset val="1"/>
      </rPr>
      <t>•	RFC a cuenta de terceros.
•	Tipo de Comprobante.
•	Estado del Comprobante.
•	Tipo de Comprobante (Complemento) (RN17).
•	Estatus Cancelación (Campo condicional).</t>
    </r>
  </si>
  <si>
    <r>
      <rPr>
        <sz val="10"/>
        <rFont val="Noto Sans"/>
        <family val="2"/>
        <charset val="1"/>
      </rPr>
      <t xml:space="preserve">Ingresa los datos:
•	Fecha Inicial de Emisión (*).
•	Fecha Final de Emisión (*).
•	RFC Emisor.
</t>
    </r>
    <r>
      <rPr>
        <b/>
        <sz val="10"/>
        <rFont val="Noto Sans"/>
        <family val="2"/>
        <charset val="1"/>
      </rPr>
      <t xml:space="preserve">•	RFC Receptor.
</t>
    </r>
    <r>
      <rPr>
        <sz val="10"/>
        <rFont val="Noto Sans"/>
        <family val="2"/>
        <charset val="1"/>
      </rPr>
      <t xml:space="preserve">•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r>
  </si>
  <si>
    <r>
      <rPr>
        <sz val="10"/>
        <rFont val="Noto Sans"/>
        <family val="2"/>
        <charset val="1"/>
      </rPr>
      <t xml:space="preserve">Firma Electrónica del Usuario.
El Usuario debe tener asignado cualquiera de los roles
</t>
    </r>
    <r>
      <rPr>
        <b/>
        <sz val="10"/>
        <rFont val="Noto Sans"/>
        <family val="2"/>
        <charset val="1"/>
      </rPr>
      <t>Ingresa el valor de un RFC a cuenta de terceros.</t>
    </r>
  </si>
  <si>
    <r>
      <rPr>
        <sz val="10"/>
        <rFont val="Noto Sans"/>
        <family val="2"/>
        <charset val="1"/>
      </rPr>
      <t xml:space="preserve">El sistema habilita los siguientes campos:
•	Fecha Inicial de Emisión (*).
•	Fecha Final de Emisión (*).
•	RFC Emisor.
•	RFC Receptor.
</t>
    </r>
    <r>
      <rPr>
        <b/>
        <sz val="10"/>
        <rFont val="Noto Sans"/>
        <family val="2"/>
        <charset val="1"/>
      </rPr>
      <t xml:space="preserve">•	RFC a cuenta de terceros.
</t>
    </r>
    <r>
      <rPr>
        <sz val="10"/>
        <rFont val="Noto Sans"/>
        <family val="2"/>
        <charset val="1"/>
      </rPr>
      <t>•	Tipo de Comprobante.
•	Estado del Comprobante.
•	Tipo de Comprobante (Complemento) (RN17).
•	Estatus Cancelación (Campo condicional).</t>
    </r>
  </si>
  <si>
    <r>
      <rPr>
        <sz val="10"/>
        <rFont val="Noto Sans"/>
        <family val="2"/>
        <charset val="1"/>
      </rPr>
      <t xml:space="preserve">Ingresa los datos:
•	Fecha Inicial de Emisión (*).
•	Fecha Final de Emisión (*).
•	RFC Emisor.
•	RFC Receptor.
</t>
    </r>
    <r>
      <rPr>
        <b/>
        <sz val="10"/>
        <rFont val="Noto Sans"/>
        <family val="2"/>
        <charset val="1"/>
      </rPr>
      <t xml:space="preserve">•	RFC a cuenta de terceros.
</t>
    </r>
    <r>
      <rPr>
        <sz val="10"/>
        <rFont val="Noto Sans"/>
        <family val="2"/>
        <charset val="1"/>
      </rPr>
      <t xml:space="preserve">•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r>
  </si>
  <si>
    <t>Sin Resultados</t>
  </si>
  <si>
    <t>Da clic en el botón buscar</t>
  </si>
  <si>
    <t>En caso de que no se encuentre información con los parámetros de búsqueda ingresados, el sistema muestra el siguiente mensaje: “No existen registros que cumplan con los criterios de búsqueda ingresados, intentar nuevamente”</t>
  </si>
  <si>
    <t xml:space="preserve">Viene de los Casos de Prueba: 
- CP01_ConsultaCentral_CFDI_Búsqueda/Folio Fiscal
- CP02_ConsultaCentral_CFDI_Búsqueda/RFCEmisor
- CP03_ConsultaCentral_CFDI_Búsqueda/RFCReceptor
- CP04_ConsultaCentral_CFDI_Búsqueda/RFCTercero
</t>
  </si>
  <si>
    <r>
      <rPr>
        <sz val="10"/>
        <rFont val="Noto Sans"/>
        <family val="2"/>
        <charset val="1"/>
      </rPr>
      <t xml:space="preserve">Firma Electrónica del Usuario.
El Usuario debe tener asignado cualquiera de los roles
</t>
    </r>
    <r>
      <rPr>
        <b/>
        <sz val="10"/>
        <rFont val="Noto Sans"/>
        <family val="2"/>
        <charset val="1"/>
      </rPr>
      <t>Archivo con UUID correctos</t>
    </r>
  </si>
  <si>
    <r>
      <rPr>
        <sz val="10"/>
        <rFont val="Noto Sans"/>
        <family val="2"/>
        <charset val="1"/>
      </rPr>
      <t xml:space="preserve">Selecciona la opción </t>
    </r>
    <r>
      <rPr>
        <b/>
        <sz val="10"/>
        <rFont val="Noto Sans"/>
        <family val="2"/>
        <charset val="1"/>
      </rPr>
      <t>Masiva UUID</t>
    </r>
  </si>
  <si>
    <t>El sistema muestra las siguientes opciones de búsqueda:
- *Seleccionar Archivo
Botón Enviar</t>
  </si>
  <si>
    <t>Selecciona el archivo(txt) mediante el explorador de Windows.</t>
  </si>
  <si>
    <t xml:space="preserve">
El  aplicativo ejecuta la consulta y arroja el resultado conforme a los UUID definidos en el archivo.  </t>
  </si>
  <si>
    <t>Archivo TXT con distintos UUID</t>
  </si>
  <si>
    <t>Da clic en el botón Enviar</t>
  </si>
  <si>
    <t>Da clic en Cerrar Sesión</t>
  </si>
  <si>
    <t>Folio Fiscal/Acuse de cancelación</t>
  </si>
  <si>
    <t xml:space="preserve">Rol  CFDI01
Rol  CFDI02
Rol  CFDI04
</t>
  </si>
  <si>
    <r>
      <rPr>
        <sz val="10"/>
        <rFont val="Noto Sans"/>
        <family val="2"/>
        <charset val="1"/>
      </rPr>
      <t xml:space="preserve">Firma Electrónica del Usuario.
El Usuario debe tener asignado cualquiera de los roles
</t>
    </r>
    <r>
      <rPr>
        <b/>
        <sz val="10"/>
        <rFont val="Noto Sans"/>
        <family val="2"/>
        <charset val="1"/>
      </rPr>
      <t>Solicitud en estado cancelado</t>
    </r>
  </si>
  <si>
    <t>El usuario selecciona un folio fiscal (UUID) de la tabla “Resultados” y ubica la columna “Estado del Comprobante” que tenga el valor “Cancelado” y da clic  en el hipervinculo para descargar el acuse de cancelación</t>
  </si>
  <si>
    <t>Esta opción solo será visible en la columna “Estado del Comprobante, cuando exista una solicitud de la cancelación asociada al CFDI.
Se podrá realizar la descarga del acuse en formato PDF, recuperando el acuse con el estatus final.</t>
  </si>
  <si>
    <t>RFC Emisor/Acuse de Cancelación</t>
  </si>
  <si>
    <t>RFC Receptor/Acuse de Cancelación</t>
  </si>
  <si>
    <t>Masiva UUID/Acuse de Cancelación</t>
  </si>
  <si>
    <t>Folio Fiscal/Descargar RI</t>
  </si>
  <si>
    <t>Selecciona un folio fiscal (UUID) de la tabla “Resultados”</t>
  </si>
  <si>
    <t>Da clic en el la opción Recuperar Representación Impresa</t>
  </si>
  <si>
    <t>El sistema muestra la representación impresa del comprobante</t>
  </si>
  <si>
    <t>La descarga se realiza uno a uno, contemplando el límite diario establecido para los archivos PDF en su RI.
(Aplica las Reglas de Negocio 07, 08 y 14)</t>
  </si>
  <si>
    <t>RFC Emisor/Descargar RI</t>
  </si>
  <si>
    <r>
      <rPr>
        <sz val="10"/>
        <rFont val="Noto Sans"/>
        <family val="2"/>
        <charset val="1"/>
      </rPr>
      <t xml:space="preserve">Firma Electrónica del Usuario.
El Usuario debe tener asignado cualquiera de los roles
</t>
    </r>
    <r>
      <rPr>
        <b/>
        <sz val="10"/>
        <rFont val="Noto Sans"/>
        <family val="2"/>
        <charset val="1"/>
      </rPr>
      <t xml:space="preserve">
Ingresa el valor de un RFC Emisor.</t>
    </r>
  </si>
  <si>
    <t>RFC Receptor/Descargar RI</t>
  </si>
  <si>
    <t>Firma Electrónica del Usuario.
El Usuario debe tener asignado cualquiera de los roles
Ingresa el valor de un RFC Receptor.</t>
  </si>
  <si>
    <t>Masiva UUID/Descargar RI</t>
  </si>
  <si>
    <t>Firma Electrónica del Usuario.
El Usuario debe tener asignado cualquiera de los roles
Ingresa el valor de un RFC a cuenta de terceros.</t>
  </si>
  <si>
    <t xml:space="preserve">Rol  CFDI01
Rol  CFDI02
Rol  CFDI03
Rol  CFDI04
</t>
  </si>
  <si>
    <t>Seleccionar el icono para el archivo XML</t>
  </si>
  <si>
    <t>El sistema abre una ventana emergente y comienza a descargar el archivo XML.</t>
  </si>
  <si>
    <t>Esta descarga se realiza uno a uno, contemplando el límite diario establecido para los archivos XML.
(Aplica las Reglas de Negocio 09 y 14)</t>
  </si>
  <si>
    <t>Descargar Seleccionados XML</t>
  </si>
  <si>
    <t>Selecciona los Folios fiscales a descargar</t>
  </si>
  <si>
    <t>El sistema muestra la selección de los CFDI</t>
  </si>
  <si>
    <t>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t>
  </si>
  <si>
    <t xml:space="preserve">Rol  CFDI01
Rol  CFDI02
Rol  CFDI04
</t>
  </si>
  <si>
    <t>Selecciona la opción: Descargar Seleccionados XML</t>
  </si>
  <si>
    <t>El sistema descarga de manera masiva los XML de los CFDI seleccionados que se obtuvieron como resultado de la búsqueda. 
Al momento de seleccionar está opción el sistema envía el mensaje: 
¡Descarga realizada con éxito!
La descarga de los CFDI se encuentra en proceso y podrás obtener el resultado con el folio de descarga: XXXXXXXX-XXXX-XXXX-XXXX-XXXXXXXXXXXX, en la opción: Recuperar descargas de CFDI.
Importante: el tiempo máximo para atender la solicitud es de 48 horas a partir de este momento.</t>
  </si>
  <si>
    <t xml:space="preserve">
Se generará de manera automática un número de folio de descarga, el cual estará compuesto por los parámetros XXXXXXXX, el cual podrá ser consultado desde la opción “Consulta Descarga”. 
ir al CP CP05/ConsultaCentral_CFDI_Consulta Descarga
(Aplica la Regla de Negocio 10) 
El archivo ZIP correspondiente a la descarga masiva, debe contener los archivos XML seleccionados. 
(Aplica las Reglas de Negocio 09, 14 y 16)</t>
  </si>
  <si>
    <t>Selecciona la opción: Descargar  RI</t>
  </si>
  <si>
    <t>El sistema descarga de manera masiva la representación impresa de los CFDI seleccionados que se obtuvieron como resultado de la búsqueda. 
Al momento de seleccionar está opción el sistema envía el mensaje: 
¡Descarga realizada con éxito!
“La descarga de las representaciones impresas se encuentra en proceso y podrás obtener el resultado con el folio de descarga: XXXXXXX-XXXX-XXXX-XXXX-XXXXXXXXXXX, en la opción: Recuperar descargas de CFDI
Importante: el tiempo máximo para atender la solicitud es de 48 horas a partir de este momento.</t>
  </si>
  <si>
    <t>Descarga Metadata</t>
  </si>
  <si>
    <t xml:space="preserve">Selecciona la opción Descargar Metadata
</t>
  </si>
  <si>
    <t>Al momento de seleccionar está opción el sistema:
Enviara el mensaje: 
La descarga de metadatos se encuentra en proceso y podrás obtener el resultado con el folio de descarga:XXXXXXX-XXXX-XXXX-XXXX-XXXXXXXXXXX, en la opción: Recuperar descargas de CFDI. Importante: el tiempo máximo para atender la solicitud es de 48 horas a partir de este momento</t>
  </si>
  <si>
    <t>Exportar resultados a PDF</t>
  </si>
  <si>
    <t>Da clic en el  botón Exportar resultados a PDF</t>
  </si>
  <si>
    <t xml:space="preserve">El aplicativo exporta toda la información de cada uno de los CFDI contenidos en la tabla a un documento pdf.
El sistema utilizar el componente que disponga el explorador de Windows para poder abrir el archivo o en su caso los archivos seleccionados en formato pdf. 
</t>
  </si>
  <si>
    <t xml:space="preserve">Viene de los Casos de Prueba: 
- CP01_ConsultaCentral_CFDI_Búsqueda/Folio Fiscal
- CP02_ConsultaCentral_CFDI_Búsqueda/RFCEmisor
- CP03_ConsultaCentral_CFDI_Búsqueda/RFCReceptor
- CP04_ConsultaCentral_CFDI_Búsqueda/RFCTercero
- CP06 ConsultaCentral_CFDI_Búsqueda/Masiva UUID
La información que se muestra en el archivo pdf, será toda la relativa a cada CFDI resultado de la consulta, en caso de que en alguna columna no se tenga información no se mostrará.
El archivo PDF debe contener los CFDI que corresponden al resultado de la consulta y que se visualizan en pantalla, como máximo 1,000 registros.
(Aplica las Reglas de Negocio 05 y 16) </t>
  </si>
  <si>
    <t>Exportar resultados a CSV</t>
  </si>
  <si>
    <t>Da clic en el  botón Exportar resultados a CSV</t>
  </si>
  <si>
    <t>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t>
  </si>
  <si>
    <t xml:space="preserve">Viene de los Casos de Prueba: 
- CP01_ConsultaCentral_CFDI_Búsqueda/Folio Fiscal
- CP02_ConsultaCentral_CFDI_Búsqueda/RFCEmisor
- CP03_ConsultaCentral_CFDI_Búsqueda/RFCReceptor
- CP04_ConsultaCentral_CFDI_Búsqueda/RFCTercero
- CP06 ConsultaCentral_CFDI_Búsqueda/Masiva UUID
El archivo CSV debe contener los CFDI que corresponden al resultado de la consulta y que se visualizan en pantalla, como máximo 1,000 registros.
(Aplica las Reglas de Negocio 05 y 16) </t>
  </si>
  <si>
    <t>Recuperar Descargas de CFDI</t>
  </si>
  <si>
    <t>Usuario ingresa al Portal Empleados Consulta Central y selecciona la opción "Recuperar descargas de CFDI".</t>
  </si>
  <si>
    <t>Viene de los Casos de Prueba: 
ResultadodeConsulta/DescargarRI
ResultadosdeConsulta/DescargaMetadata</t>
  </si>
  <si>
    <t>En la columna "Descargar", el usuario ubica el registro y da clic en el icono</t>
  </si>
  <si>
    <t>El sistema procesa la petición y comienza la descarga del archivo.</t>
  </si>
  <si>
    <t>El tiempo para generar los paquetes es de 48 horas máximo, a partir de la fecha de generación del folio de descarga.</t>
  </si>
  <si>
    <t xml:space="preserve">Firma Electrónica del Usuario.
El Usuario debe tener asignado cualquiera de los roles
</t>
  </si>
  <si>
    <t>El sistema habilita los siguientes campos:
•	Fecha Inicial de Emisión (*).
•	Fecha Final de Emisión (*).
•	RFC Emisor.
•	RFC Receptor.
•	RFC a cuenta de terceros.
•	Tipo de Comprobante.
•	Estado del Comprobante.
•	Tipo de Comprobante (Complemento) (RN17).
•	Estatus Cancelación (Campo condicional).</t>
  </si>
  <si>
    <t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</si>
  <si>
    <r>
      <rPr>
        <b/>
        <sz val="10"/>
        <rFont val="Noto Sans"/>
        <family val="2"/>
        <charset val="1"/>
      </rPr>
      <t xml:space="preserve">El sistema valida que el usuario tenga permisos para consultar  PPE.
</t>
    </r>
    <r>
      <rPr>
        <sz val="10"/>
        <rFont val="Noto Sans"/>
        <family val="2"/>
        <charset val="1"/>
      </rPr>
      <t xml:space="preserve">Si se encuentra en la lista para poder ver los PPE, el sistema muestra los resultados de acuerdo a la consulta, más  los registros RFC PPE.
Si el usuario no cuenta con permisos, muestrea los resultados de acuerdo a una consulta normal no incluyendo los registros RFC PPE </t>
    </r>
  </si>
  <si>
    <t>El usuario valida los registros en la sección "Resultados"</t>
  </si>
  <si>
    <t>Autenticación</t>
  </si>
  <si>
    <t>Usuario abre explorador</t>
  </si>
  <si>
    <t>El Usuario cuenta con Firma Electrónica vigente.
El Usuario debe tener asignado cualquiera de los roles</t>
  </si>
  <si>
    <t>Usuario ingresa a la URL correspondiente a la Consulta Central</t>
  </si>
  <si>
    <t>Se muestran los datos para ingresar:
Certificado (.cer)
Clave privada (.Key)
Contraseña de clave privada: 
Se muestra el campo RFC</t>
  </si>
  <si>
    <t>Usuario da clic en buscar y selecciona el archivo correspondiente a su certificado</t>
  </si>
  <si>
    <t>Se muestra el dato en el  campo certificado y en el campo RFC el dato del RFC del contribuyente</t>
  </si>
  <si>
    <t>Usuario da clic en buscar y selecciona el archivo correspondiente a su clave privada</t>
  </si>
  <si>
    <t>Se muestra el dato en el campo clave privada</t>
  </si>
  <si>
    <t>Usuario ingresa su contraseña</t>
  </si>
  <si>
    <t>Se muestra oculto el dato en el campo contraseña</t>
  </si>
  <si>
    <t>Da clic en enviar</t>
  </si>
  <si>
    <t>Si la autenticación es correcta, el aplicativo reenvía a la página principal.</t>
  </si>
  <si>
    <t>Cierre Sesión Inactividad</t>
  </si>
  <si>
    <t>El sistema muestra las siguientes opciones de búsqueda:
- Folio Fiscal
- Fecha Inicial y Final de Emisión
- Masiva UUID</t>
  </si>
  <si>
    <t>Usuario deja la sesión abierta sin realizar ninguna acción.</t>
  </si>
  <si>
    <t>El sistema cierra la sesión por inactividad</t>
  </si>
  <si>
    <t>Para realizar una nueva consulta, el usuario requiere autenticarse de nuevo.</t>
  </si>
  <si>
    <t>Masiva UUID / Archivo con Errores</t>
  </si>
  <si>
    <r>
      <rPr>
        <sz val="10"/>
        <rFont val="Noto Sans"/>
        <family val="2"/>
        <charset val="1"/>
      </rPr>
      <t xml:space="preserve">Firma Electrónica del Usuario.
El Usuario debe tener asignado cualquiera de los roles
</t>
    </r>
    <r>
      <rPr>
        <b/>
        <sz val="10"/>
        <rFont val="Noto Sans"/>
        <family val="2"/>
        <charset val="1"/>
      </rPr>
      <t xml:space="preserve">En el insumo de carga, agregar UUID con formato incorrecto </t>
    </r>
  </si>
  <si>
    <t>Usuario copia Folio de Error con el detalle de los UUID que no se localizaron o que no cumplen con la estructura</t>
  </si>
  <si>
    <t xml:space="preserve">Usuario da clic en el botón “Archivos solicitados” para realizar la descarga </t>
  </si>
  <si>
    <t>Es sistema comienza la descarga del archivo.</t>
  </si>
  <si>
    <t>Folios Relacionados</t>
  </si>
  <si>
    <r>
      <rPr>
        <sz val="10"/>
        <rFont val="Noto Sans"/>
        <family val="2"/>
        <charset val="1"/>
      </rPr>
      <t xml:space="preserve">Firma Electrónica del Usuario.
El Usuario debe tener asignado cualquiera de los roles
</t>
    </r>
    <r>
      <rPr>
        <b/>
        <sz val="10"/>
        <rFont val="Noto Sans"/>
        <family val="2"/>
        <charset val="1"/>
      </rPr>
      <t xml:space="preserve">
El comprobante deberá contar con Folios Relacionados</t>
    </r>
  </si>
  <si>
    <t xml:space="preserve">Selecciona un folio fiscal (UUID) de la tabla “Resultados” en la columna "Estado del Comprobante" que el valor sea "No Cancelable"  y dar clic en el hipervinculo </t>
  </si>
  <si>
    <t xml:space="preserve">El sistema comienza la descarga del Acuse de Documentos Relacionados en formato PDF.
</t>
  </si>
  <si>
    <t>Usuario ubica su repositorio de descarga y abre el acuse de documentos relacionados</t>
  </si>
  <si>
    <t xml:space="preserve">El sistema muestra el Acuse de Documentos Relacionados </t>
  </si>
  <si>
    <t>Representación Impresa Complemento Carta Porte</t>
  </si>
  <si>
    <r>
      <rPr>
        <sz val="10"/>
        <rFont val="Noto Sans"/>
        <family val="2"/>
        <charset val="1"/>
      </rPr>
      <t xml:space="preserve">Firma Electrónica del Usuario.
El Usuario debe tener asignado cualquiera de los roles
</t>
    </r>
    <r>
      <rPr>
        <b/>
        <sz val="10"/>
        <rFont val="Noto Sans"/>
        <family val="2"/>
        <charset val="1"/>
      </rPr>
      <t xml:space="preserve">
El comprobante deberá contar con el Complemento Carta Porte
</t>
    </r>
  </si>
  <si>
    <r>
      <rPr>
        <sz val="10"/>
        <rFont val="Noto Sans"/>
        <family val="2"/>
        <charset val="1"/>
      </rPr>
      <t xml:space="preserve">El sistema habilita los siguientes campos:
•	Fecha Inicial de Emisión (*).
•	Fecha Final de Emisión (*).
</t>
    </r>
    <r>
      <rPr>
        <b/>
        <sz val="10"/>
        <rFont val="Noto Sans"/>
        <family val="2"/>
        <charset val="1"/>
      </rPr>
      <t xml:space="preserve">•	RFC Emisor.
</t>
    </r>
    <r>
      <rPr>
        <sz val="10"/>
        <rFont val="Noto Sans"/>
        <family val="2"/>
        <charset val="1"/>
      </rPr>
      <t>•	RFC Receptor.
•	RFC a cuenta de terceros.
•	Tipo de Comprobante.
•	Estado del Comprobante.
•	Tipo de Comprobante (Complemento) (RN17).
•	Estatus Cancelación (Campo condicional).</t>
    </r>
  </si>
  <si>
    <t>Seleccionar el icono para Recuperar Representación Impresa  Complemento Carta Porte
Nota: Para este caso de prueba se requiere un comprobante que cuente con CCP para que el sistema muestre el icono de descarga.</t>
  </si>
  <si>
    <t>El sistema muestra la representación impresa Complemento Carta Porte</t>
  </si>
  <si>
    <t>La descarga se realiza uno a uno, contemplando el límite diario establecido para los archivos PDF en su RI CCP
(Aplica las Reglas de Negocio 07, 08 y 14)</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</si>
  <si>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</si>
  <si>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</si>
  <si>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</si>
  <si>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</si>
  <si>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</si>
  <si>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Noto Sans"/>
        <family val="2"/>
        <charset val="1"/>
      </rPr>
      <t>Nombre</t>
    </r>
    <r>
      <rPr>
        <sz val="10"/>
        <color rgb="FF000000"/>
        <rFont val="Noto Sans"/>
        <family val="2"/>
        <charset val="1"/>
      </rPr>
      <t>: Pedro López Bernal.</t>
    </r>
  </si>
  <si>
    <r>
      <rPr>
        <b/>
        <sz val="10"/>
        <color rgb="FF000000"/>
        <rFont val="Noto Sans"/>
        <family val="2"/>
        <charset val="1"/>
      </rPr>
      <t>Nombre</t>
    </r>
    <r>
      <rPr>
        <sz val="10"/>
        <color rgb="FF000000"/>
        <rFont val="Noto Sans"/>
        <family val="2"/>
        <charset val="1"/>
      </rPr>
      <t>: Diana Maribel Velazquez Barroso</t>
    </r>
  </si>
  <si>
    <r>
      <rPr>
        <b/>
        <sz val="10"/>
        <color rgb="FF000000"/>
        <rFont val="Noto Sans"/>
        <family val="2"/>
        <charset val="1"/>
      </rPr>
      <t>Puesto</t>
    </r>
    <r>
      <rPr>
        <sz val="10"/>
        <color rgb="FF000000"/>
        <rFont val="Noto Sans"/>
        <family val="2"/>
        <charset val="1"/>
      </rPr>
      <t>: Administrador de Gestión de Servicios y Trámites con Medios Electrónicos 3</t>
    </r>
  </si>
  <si>
    <r>
      <rPr>
        <b/>
        <sz val="10"/>
        <color rgb="FF000000"/>
        <rFont val="Noto Sans"/>
        <family val="2"/>
        <charset val="1"/>
      </rPr>
      <t>Puesto</t>
    </r>
    <r>
      <rPr>
        <sz val="10"/>
        <color rgb="FF000000"/>
        <rFont val="Noto Sans"/>
        <family val="2"/>
        <charset val="1"/>
      </rPr>
      <t xml:space="preserve">: Administradora de Soluciones de Negocio 3 </t>
    </r>
  </si>
  <si>
    <r>
      <rPr>
        <b/>
        <sz val="10"/>
        <color rgb="FF000000"/>
        <rFont val="Noto Sans"/>
        <family val="2"/>
        <charset val="1"/>
      </rPr>
      <t>Fecha</t>
    </r>
    <r>
      <rPr>
        <sz val="10"/>
        <color rgb="FF000000"/>
        <rFont val="Noto Sans"/>
        <family val="2"/>
        <charset val="1"/>
      </rPr>
      <t>:</t>
    </r>
  </si>
  <si>
    <t xml:space="preserve">Fecha: </t>
  </si>
  <si>
    <t>Revisó</t>
  </si>
  <si>
    <r>
      <rPr>
        <b/>
        <sz val="10"/>
        <color rgb="FF000000"/>
        <rFont val="Noto Sans"/>
        <family val="2"/>
        <charset val="1"/>
      </rPr>
      <t>Nombre</t>
    </r>
    <r>
      <rPr>
        <sz val="10"/>
        <color rgb="FF000000"/>
        <rFont val="Noto Sans"/>
        <family val="2"/>
        <charset val="1"/>
      </rPr>
      <t xml:space="preserve">: Mario Alberto Huerta Velazquez </t>
    </r>
  </si>
  <si>
    <r>
      <rPr>
        <b/>
        <sz val="10"/>
        <color rgb="FF000000"/>
        <rFont val="Noto Sans"/>
        <family val="2"/>
        <charset val="1"/>
      </rPr>
      <t xml:space="preserve">Nombre: </t>
    </r>
    <r>
      <rPr>
        <sz val="10"/>
        <color rgb="FF000000"/>
        <rFont val="Noto Sans"/>
        <family val="2"/>
        <charset val="1"/>
      </rPr>
      <t>Roberto Benjamín Monroy Vargas</t>
    </r>
  </si>
  <si>
    <r>
      <rPr>
        <b/>
        <sz val="10"/>
        <color rgb="FF000000"/>
        <rFont val="Noto Sans"/>
        <family val="2"/>
        <charset val="1"/>
      </rPr>
      <t>Puesto</t>
    </r>
    <r>
      <rPr>
        <sz val="10"/>
        <color rgb="FF000000"/>
        <rFont val="Noto Sans"/>
        <family val="2"/>
        <charset val="1"/>
      </rPr>
      <t>: Subadministrador de Gestión de Servicios y Trámites con Medios Electrónicos</t>
    </r>
  </si>
  <si>
    <r>
      <rPr>
        <b/>
        <sz val="10"/>
        <color rgb="FF000000"/>
        <rFont val="Noto Sans"/>
        <family val="2"/>
        <charset val="1"/>
      </rPr>
      <t>Puesto</t>
    </r>
    <r>
      <rPr>
        <sz val="10"/>
        <color rgb="FF000000"/>
        <rFont val="Noto Sans"/>
        <family val="2"/>
        <charset val="1"/>
      </rPr>
      <t>: Subadministrador de Soluciones de Negocio</t>
    </r>
  </si>
  <si>
    <r>
      <rPr>
        <b/>
        <sz val="10"/>
        <color rgb="FF000000"/>
        <rFont val="Noto Sans"/>
        <family val="2"/>
        <charset val="1"/>
      </rPr>
      <t>Fecha</t>
    </r>
    <r>
      <rPr>
        <sz val="10"/>
        <color rgb="FF000000"/>
        <rFont val="Noto Sans"/>
        <family val="2"/>
        <charset val="1"/>
      </rPr>
      <t xml:space="preserve">: </t>
    </r>
  </si>
  <si>
    <t>Elaboró</t>
  </si>
  <si>
    <r>
      <rPr>
        <b/>
        <sz val="10"/>
        <color rgb="FF000000"/>
        <rFont val="Noto Sans"/>
        <family val="2"/>
        <charset val="1"/>
      </rPr>
      <t>Nombre</t>
    </r>
    <r>
      <rPr>
        <sz val="10"/>
        <color rgb="FF000000"/>
        <rFont val="Noto Sans"/>
        <family val="2"/>
        <charset val="1"/>
      </rPr>
      <t>: Nadia Anahí Ortega Nava</t>
    </r>
  </si>
  <si>
    <r>
      <rPr>
        <b/>
        <sz val="10"/>
        <color rgb="FF000000"/>
        <rFont val="Noto Sans"/>
        <family val="2"/>
        <charset val="1"/>
      </rPr>
      <t xml:space="preserve">Nombre: </t>
    </r>
    <r>
      <rPr>
        <sz val="10"/>
        <color rgb="FF000000"/>
        <rFont val="Noto Sans"/>
        <family val="2"/>
        <charset val="1"/>
      </rPr>
      <t>Alma Quetzabeth Torres González</t>
    </r>
    <r>
      <rPr>
        <b/>
        <sz val="10"/>
        <color rgb="FF000000"/>
        <rFont val="Noto Sans"/>
        <family val="2"/>
        <charset val="1"/>
      </rPr>
      <t xml:space="preserve"> </t>
    </r>
  </si>
  <si>
    <r>
      <rPr>
        <b/>
        <sz val="10"/>
        <color rgb="FF000000"/>
        <rFont val="Noto Sans"/>
        <family val="2"/>
        <charset val="1"/>
      </rPr>
      <t>Puesto</t>
    </r>
    <r>
      <rPr>
        <sz val="10"/>
        <color rgb="FF000000"/>
        <rFont val="Noto Sans"/>
        <family val="2"/>
        <charset val="1"/>
      </rPr>
      <t>: Jefe de Departamento de Gestión de Servicios y Trámites con Medios Electrónicos</t>
    </r>
  </si>
  <si>
    <r>
      <rPr>
        <b/>
        <sz val="10"/>
        <color rgb="FF000000"/>
        <rFont val="Noto Sans"/>
        <family val="2"/>
        <charset val="1"/>
      </rPr>
      <t xml:space="preserve">Puesto: </t>
    </r>
    <r>
      <rPr>
        <sz val="10"/>
        <color rgb="FF000000"/>
        <rFont val="Noto Sans"/>
        <family val="2"/>
        <charset val="1"/>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</si>
  <si>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</si>
  <si>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</si>
  <si>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</si>
  <si>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</si>
  <si>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Noto Sans"/>
        <family val="2"/>
        <charset val="1"/>
      </rPr>
      <t xml:space="preserve">Requerimientos de Pruebas
</t>
    </r>
    <r>
      <rPr>
        <sz val="6"/>
        <color rgb="FF0000FF"/>
        <rFont val="Noto Sans"/>
        <family val="2"/>
        <charset val="1"/>
      </rPr>
      <t xml:space="preserve">Clave del Documento
</t>
    </r>
    <r>
      <rPr>
        <sz val="11"/>
        <color rgb="FF000000"/>
        <rFont val="Noto Sans"/>
        <family val="2"/>
        <charset val="1"/>
      </rPr>
      <t xml:space="preserve">XX_RDP_REQPRUEBAS.xlsx
</t>
    </r>
    <r>
      <rPr>
        <sz val="7"/>
        <color rgb="FF0000FF"/>
        <rFont val="Noto Sans"/>
        <family val="2"/>
        <charset val="1"/>
      </rPr>
      <t xml:space="preserve">[Nomenclatura del artefacto, punto, extensión del archivo actual]
Servicio Administración del Ciclo de Vida de Aplicaciones de TIC
</t>
    </r>
    <r>
      <rPr>
        <b/>
        <sz val="7"/>
        <color rgb="FF0000FF"/>
        <rFont val="Noto Sans"/>
        <family val="2"/>
        <charset val="1"/>
      </rPr>
      <t>Central Dueña</t>
    </r>
    <r>
      <rPr>
        <sz val="7"/>
        <color rgb="FF0000FF"/>
        <rFont val="Noto Sans"/>
        <family val="2"/>
        <charset val="1"/>
      </rPr>
      <t>:</t>
    </r>
    <r>
      <rPr>
        <b/>
        <sz val="7"/>
        <color rgb="FF0000FF"/>
        <rFont val="Noto Sans"/>
        <family val="2"/>
        <charset val="1"/>
      </rPr>
      <t xml:space="preserve"> Administración Central de Soluciones de Negocio (ACSN)
Central que Elabora: ACSN
Central Consumidora: ACDMA</t>
    </r>
  </si>
  <si>
    <t>Versión del template:
7.00</t>
  </si>
  <si>
    <r>
      <rPr>
        <b/>
        <sz val="11"/>
        <color rgb="FF000000"/>
        <rFont val="Noto Sans"/>
        <family val="2"/>
        <charset val="1"/>
      </rPr>
      <t xml:space="preserve">Requerimientos de Pruebas
</t>
    </r>
    <r>
      <rPr>
        <sz val="11"/>
        <color rgb="FF000000"/>
        <rFont val="Noto Sans"/>
        <family val="2"/>
        <charset val="1"/>
      </rPr>
      <t>RDP_ConsultaCentral_CFDI.xlsx</t>
    </r>
  </si>
  <si>
    <t>0.5</t>
  </si>
  <si>
    <t xml:space="preserve">CC120 – (punto 5)
Agregar columnas en acuse de cancelación:
-Motivo de Cancelación
-Número de serie de la e.firma o CSD
-Fecha de solicitud de la cancelación
Actualizar CP07, CP08, CP09 y CP10 </t>
  </si>
  <si>
    <t xml:space="preserve">  CFDI01 CFDI02 CFDI03 CFDI04 CFDI05</t>
  </si>
  <si>
    <t xml:space="preserve">  CFDI01 CFDI02 CFDI04</t>
  </si>
  <si>
    <t xml:space="preserve">  CFDI01   CFDI02   CFDI03   CFDI04</t>
  </si>
  <si>
    <t>Test Case</t>
  </si>
  <si>
    <t>Busqueda/Folio Fiscal</t>
  </si>
  <si>
    <t>Busqueda/RFC Emisor</t>
  </si>
  <si>
    <t>Busqueda/RFC Receptor</t>
  </si>
  <si>
    <t>Busqueda/RFC Tercero</t>
  </si>
  <si>
    <t>Busqueda/Masiva UUID</t>
  </si>
  <si>
    <t>Descargar Seleccionar RI</t>
  </si>
  <si>
    <t>Consulta/PPE</t>
  </si>
  <si>
    <t>Work Item type</t>
  </si>
  <si>
    <t>Title</t>
  </si>
  <si>
    <t>Step Action</t>
  </si>
  <si>
    <t>Step expected</t>
  </si>
  <si>
    <t>CP01-Busqueda/Folio Fiscal</t>
  </si>
  <si>
    <t/>
  </si>
  <si>
    <t>El sistema muestra las siguientes opciones de búsqueda:
- Folio Fiscal
- Masiva UUID
- Fecha Inicial y Final de Emisión
El Usuario previamente se autenticó  y accedió al portal Empleados-Consulta Central</t>
  </si>
  <si>
    <t xml:space="preserve">El sistema muestra cuadro de texto para incorporar el número de Folio Fiscal que se requiere buscar.
Al seleccionar el botón de folio fiscal se deben deshabilitar los campos de la sección Fecha Inicial y Final de Emisión
(Aplica la Regla de Negocio 01) </t>
  </si>
  <si>
    <t xml:space="preserve">El sistema muestra los datos que se van ingresando del folio fiscal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</si>
  <si>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</si>
  <si>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 xml:space="preserve">Cierra la aplicación y se direcciona a la pantalla de autenticación.
</t>
  </si>
  <si>
    <t>CP02-Busqueda/RFC Emisor</t>
  </si>
  <si>
    <t xml:space="preserve">
</t>
  </si>
  <si>
    <t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t>
  </si>
  <si>
    <t xml:space="preserve">El sistema muestra los datos que se van ingresando .
</t>
  </si>
  <si>
    <t>CP03-Busqueda/RFC Receptor</t>
  </si>
  <si>
    <t>CP04-Busqueda/RFC Tercero</t>
  </si>
  <si>
    <t>CP05-Sin Resultados</t>
  </si>
  <si>
    <t xml:space="preserve">En caso de que no se encuentre información con los parámetros de búsqueda ingresados, el sistema muestra el siguiente mensaje: “No existen registros que cumplan con los criterios de búsqueda ingresados, intentar nuevamente”
Viene de los Casos de Prueba: 
- CP01_ConsultaCentral_CFDI_Búsqueda/Folio Fiscal
- CP02_ConsultaCentral_CFDI_Búsqueda/RFCEmisor
- CP03_ConsultaCentral_CFDI_Búsqueda/RFCReceptor
- CP04_ConsultaCentral_CFDI_Búsqueda/RFCTercero
</t>
  </si>
  <si>
    <t>CP06-Busqueda/Masiva UUID</t>
  </si>
  <si>
    <t>Selecciona la opción Masiva UUID</t>
  </si>
  <si>
    <t>El sistema muestra las siguientes opciones de búsqueda:
- *Seleccionar Archivo
Botón Enviar
En caso de no seleccionar un archivo 
El sistema muetra el siguiente mensaje: "Debe seleccionar un archivo .txt que contenga información para continuar."</t>
  </si>
  <si>
    <t xml:space="preserve">
El  aplicativo ejecuta la consulta y arroja el resultado conforme a los UUID definidos en el archivo.  
Archivo TXT con distintos UUID</t>
  </si>
  <si>
    <t>CP07-Folio Fiscal/Acuse de cancelación</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</si>
  <si>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</si>
  <si>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El sistema abre una ventana emergente y comienza con la descarga del acuse de cancelación en formato PDF.
-	Datos del Acuse de Cancelación de CFDI
•	Folio Fiscal
•	RFC Receptor
•	RFC Emisor
•	Estado CFDI
•	Estado de Cancelación
•	Motivo de Cancelación
•	Número de serie de la e.firma o CSD
•	Fecha de solicitud de la cancelación
•	Mensaje de Error
•	Fecha
•	Sello digital SAT
Esta opción solo será visible en la columna “Estado del Comprobante, cuando exista una solicitud de la cancelación asociada al CFDI.
Se podrá realizar la descarga del acuse en formato PDF, recuperando el acuse con el estatus final.</t>
  </si>
  <si>
    <t>CP08-RFC Emisor/Acuse de Cancelación</t>
  </si>
  <si>
    <t>CP09-RFC Receptor/Acuse de Cancelación</t>
  </si>
  <si>
    <t>CP10-Masiva UUID/Acuse de Cancelación</t>
  </si>
  <si>
    <t>CP11-Folio Fiscal/Descargar RI</t>
  </si>
  <si>
    <t xml:space="preserve">En la columna de acciones se desplegaran los botones 
•	Descargar XML
•	Recuperar Representación Impresa  
•	Recuperar RI Complemento Carta Porte (Condicional)
</t>
  </si>
  <si>
    <t>El sistema muestra la representación impresa del comprobante
La descarga se realiza uno a uno, contemplando el límite diario establecido para los archivos PDF en su RI.
(Aplica las Reglas de Negocio 07, 08 y 14)</t>
  </si>
  <si>
    <t>CP12-RFC Emisor/Descargar RI</t>
  </si>
  <si>
    <t>CP13-RFC Receptor/Descargar RI</t>
  </si>
  <si>
    <t>CP14-Masiva UUID/Descargar RI</t>
  </si>
  <si>
    <t>CP15-Folio Fiscal/MsjError_RI</t>
  </si>
  <si>
    <t xml:space="preserve">
Selecciona Recuperar Representación Impresa (RI).
Nota: Para este caso de prueba se deberá utilizar un xml mal formado para que aparezca el mensaje.</t>
  </si>
  <si>
    <t>El sistema al detectar un XML mal formado y que no puede generar la representación impresa va a mostrar el siguiente  mensaje.
El Folio Fiscal (XXXXXX) que se desea consultar sólo se puede visualizar el XML y no la Representación Impresa
Al momento de descargar la RI si el sistema detecta que esta mal formado y no puede generar el PDF de manera correcta.  Cuando se descargue la Representación Impresa el aplicativo va a mostrar un mensaje indicando que se encuentra mal formado.</t>
  </si>
  <si>
    <t>CP16-Folio Fiscal/Descargar XML</t>
  </si>
  <si>
    <t>El sistema abre una ventana emergente y comienza a descargar el archivo XML.
Esta descarga se realiza uno a uno, contemplando el límite diario establecido para los archivos XML.
(Aplica las Reglas de Negocio 09 y 14)</t>
  </si>
  <si>
    <t>CP17-RFCEmisor/Descargar XML</t>
  </si>
  <si>
    <t>CP18-RFC Receptor/Descargar XML</t>
  </si>
  <si>
    <t>CP19-Masiva UUID/Descargar XML</t>
  </si>
  <si>
    <t>CP20-Descargar Seleccionados XML</t>
  </si>
  <si>
    <t>El sistema muestra la selección de los CFDI
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t>
  </si>
  <si>
    <t>El sistema descarga de manera masiva los XML de los CFDI seleccionados que se obtuvieron como resultado de la búsqueda. 
Al momento de seleccionar está opción el sistema envía el mensaje: 
¡Descarga realizada con éxito!
La descarga de los CFDI se encuentra en proceso y podrás obtener el resultado con el folio de descarga: XXXXXXXX-XXXX-XXXX-XXXX-XXXXXXXXXXXX,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“Consulta Descarga”. 
ir al CP CP05/ConsultaCentral_CFDI_Consulta Descarga
(Aplica la Regla de Negocio 10) 
El archivo ZIP correspondiente a la descarga masiva, debe contener los archivos XML seleccionados. 
(Aplica las Reglas de Negocio 09, 14 y 16)</t>
  </si>
  <si>
    <t>CP21-Descargar Seleccionar RI</t>
  </si>
  <si>
    <t>CP22-Descarga Metadata</t>
  </si>
  <si>
    <t>CP23-Exportar resultados a PDF</t>
  </si>
  <si>
    <t xml:space="preserve">El aplicativo exporta toda la información de cada uno de los CFDI contenidos en la tabla a un documento pdf.
El sistema utilizar el componente que disponga el explorador de Windows para poder abrir el archivo o en su caso los archivos seleccionados en formato pdf. 
Viene de los Casos de Prueba: 
- CP01_ConsultaCentral_CFDI_Búsqueda/Folio Fiscal
- CP02_ConsultaCentral_CFDI_Búsqueda/RFCEmisor
- CP03_ConsultaCentral_CFDI_Búsqueda/RFCReceptor
- CP04_ConsultaCentral_CFDI_Búsqueda/RFCTercero
- CP06 ConsultaCentral_CFDI_Búsqueda/Masiva UUID
La información que se muestra en el archivo pdf, será toda la relativa a cada CFDI resultado de la consulta, en caso de que en alguna columna no se tenga información no se mostrará.
El archivo PDF debe contener los CFDI que corresponden al resultado de la consulta y que se visualizan en pantalla, como máximo 1,000 registros.
(Aplica las Reglas de Negocio 05 y 16) </t>
  </si>
  <si>
    <t>CP24-Exportar resultados a CSV</t>
  </si>
  <si>
    <t xml:space="preserve">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 CP01_ConsultaCentral_CFDI_Búsqueda/Folio Fiscal
- CP02_ConsultaCentral_CFDI_Búsqueda/RFCEmisor
- CP03_ConsultaCentral_CFDI_Búsqueda/RFCReceptor
- CP04_ConsultaCentral_CFDI_Búsqueda/RFCTercero
- CP06 ConsultaCentral_CFDI_Búsqueda/Masiva UUID
El archivo CSV debe contener los CFDI que corresponden al resultado de la consulta y que se visualizan en pantalla, como máximo 1,000 registros.
(Aplica las Reglas de Negocio 05 y 16) </t>
  </si>
  <si>
    <t>CP25-Recuperar Descargas de CFDI</t>
  </si>
  <si>
    <t>El sistema muestra en una pantalla adicional en relación a las peticiones solicitadas, exponiendo la nota: “En esta consulta se podrán recuperar solicitudes de descargas de CFDI y metadata de los últimos 3 días”.
La tabla de resultados de peticiones esta compuesta por las sigueintes columnas:
-Descargar
-# Paquete
-Folio de Descarga
-Tipo
-# de Documentos
-Fecha de la solicitud
Viene de los Casos de Prueba: 
ResultadodeConsulta/DescargarRI
ResultadosdeConsulta/DescargaMetadata</t>
  </si>
  <si>
    <t>El sistema procesa la petición y comienza la descarga del archivo.
El tiempo para generar los paquetes es de 48 horas máximo, a partir de la fecha de generación del folio de descarga.</t>
  </si>
  <si>
    <t>CP26-Consulta/PPE</t>
  </si>
  <si>
    <t xml:space="preserve">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</si>
  <si>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El Usuario previamente se autenticó  y accedió al portal Empleados-Consulta Central</t>
  </si>
  <si>
    <t>CP27-Autenticación</t>
  </si>
  <si>
    <t xml:space="preserve">Se muestran los datos para ingresar:
Certificado (.cer)
Clave privada (.Key)
Contraseña de clave privada: 
Se muestra el campo RFC
</t>
  </si>
  <si>
    <t xml:space="preserve">Se muestra el dato en el  campo certificado y en el campo RFC el dato del RFC del contribuyente
</t>
  </si>
  <si>
    <t xml:space="preserve">Se muestra el dato en el campo clave privada
</t>
  </si>
  <si>
    <t xml:space="preserve">Se muestra oculto el dato en el campo contraseña
</t>
  </si>
  <si>
    <t xml:space="preserve">Si la autenticación es correcta, el aplicativo reenvía a la página principal.
</t>
  </si>
  <si>
    <t>CP28-Cierre Sesión Inactividad</t>
  </si>
  <si>
    <t>El sistema muestra las siguientes opciones de búsqueda:
- Folio Fiscal
- Fecha Inicial y Final de Emisión
- Masiva UUID
El Usuario previamente se autenticó  y accedió al portal Empleados-Consulta Central</t>
  </si>
  <si>
    <t xml:space="preserve">Después de 15 minutos de inactividad, se cerrará la sesión en automático.
</t>
  </si>
  <si>
    <t xml:space="preserve">
Para realizar una nueva consulta, el usuario requiere autenticarse de nuevo.</t>
  </si>
  <si>
    <t>CP29-Masiva UUID / Archivo con Errores</t>
  </si>
  <si>
    <t xml:space="preserve">Para el caso de que en la relación de los folios fiscales consultados no se localicen o no cumplan la estructura de UUID de CFDI.
El sistema genera un mensaje
"No se encontraron folios, la lista se encuentra en proceso y podrás obtener el resultado con el folio de descarga: xxxxxxxx-xxxx-xxxx-xxxx-xxxxxxxxxxx"
</t>
  </si>
  <si>
    <t xml:space="preserve">Es sistema comienza la descarga del archivo.
</t>
  </si>
  <si>
    <t>CP30-Folios Relacionados</t>
  </si>
  <si>
    <t xml:space="preserve">El sistema comienza la descarga del Acuse de Documentos Relacionados en formato PDF.
</t>
  </si>
  <si>
    <t>El sistema muestra el Acuse de Documentos Relacionados 
El Acuse Documentos Relacionados, deberá contar con las siguientes características:
-	Logo de la Hacienda
-	Nombre de la Institución: ‘Servicio de Administración Tributaria’ y el nombre del documento “
-	Nombre del documento: “Consulta de Documentos Relacionados”
•	UUID Consultado
Facturas que relacionan al UUID Consultado
Columnas:
•	# 
•	UUID
•	Emisor
•	Receptor</t>
  </si>
  <si>
    <t>CP31-Representación Impresa Complemento Carta Porte</t>
  </si>
  <si>
    <t>El sistema muestra la representación impresa Complemento Carta Porte
La descarga se realiza uno a uno, contemplando el límite diario establecido para los archivos PDF en su RI CCP
(Aplica las Reglas de Negocio 07, 08 y 14)</t>
  </si>
  <si>
    <t xml:space="preserve">•	La consulta masiva esta limitada a 1,000 registros de UUID.
•	El servicio solo permite la consulta a través de archivos de texto plano (.txt)
•	Si el sistema no encuentra folios válidos ver el caso de prueba CP29
</t>
  </si>
  <si>
    <t xml:space="preserve">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t>
  </si>
  <si>
    <t>Se generará de manera automática un número de folio de descarga, el cual estará compuesto por los parámetros XXXXXXXX, el cual podrá ser consultado desde la opción “Recuperar descargas de CFDI”.
ir al CP CP05/ConsultaCentral_CFDI_Consulta Descarga
(Aplica la Regla de Negocio 10) 
El archivo de texto plano debe de contener los datos de la metadata para los CFDI que corresponden al resultado de la consulta y que se visualizan en pantalla, como máximo 1,000 registros.
(Aplica las Reglas de Negocio 05 y 16)
Se descarga un archivo txt donde se muestra el detalle de los comprobantes separados por el carácter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</si>
  <si>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</si>
  <si>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</si>
  <si>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	Si el sistema no encuentra folios válidos ver el caso de prueba CP29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</si>
  <si>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</si>
  <si>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</si>
  <si>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El sistema descarga de manera masiva la representación impresa de los CFDI seleccionados que se obtuvieron como resultado de la búsqueda. 
Al momento de seleccionar está opción el sistema envía el mensaje: 
¡Descarga realizada con éxito!
“La descarga de las representaciones impresas se encuentra en proceso y podrás obtener el resultado con el folio de descarga: 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t>
  </si>
  <si>
    <t>En caso de no encontrar información ir al Caso de Prueba "Sin Resultados"
El sistema muestra:
A.	Casilla Acciones 
1)	Seleccionar.
2)	Descargar.
3)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C.	RFC a cuenta de Terceros.
D.	Botones: 
1)	Descargar Seleccionados XML.
2)	Descargas RI.
3)	Descargar Metadata.
4)	Exportar Resultados a PDF.
5)	Exportar Resultados a CSV.
E.	Paginador.
Viene de los Casos de Prueba: 
- CP01_/Folio Fiscal
- CP02_/RFCEmisor
- CP03_/RFCReceptor
- CP04_/RFCTercero
- CP06 /Masiva UUID</t>
  </si>
  <si>
    <t>Al momento de seleccionar está opción el sistema:
Enviara el mensaje: 
La descarga de metadatos se encuentra en proceso y podrás obtener el resultado con el folio de descarga:XXXXXXX-XXXX-XXXX-XXXX-XXXXXXXXXXX,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El archivo de texto plano debe de contener los datos de la metadata para los CFDI que corresponden al resultado de la consulta y que se visualizan en pantalla, como máximo 1,000 registros.
(Aplica las Reglas de Negocio 05 y 16)
Se descarga un archivo txt donde se muestra el detalle de los comprobantes separados por el carácter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</si>
  <si>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</si>
  <si>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</si>
  <si>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En caso de no seleccionar un archivo 
El sistema muestra el siguiente mensaje: "Debe seleccionar un archivo .txt que contenga información para continuar."</t>
  </si>
  <si>
    <r>
      <t xml:space="preserve">El sistema habilita los siguientes campos:
•	Fecha Inicial de Emisión (*).
•	Fecha Final de Emisión (*).
•	</t>
    </r>
    <r>
      <rPr>
        <b/>
        <sz val="10"/>
        <rFont val="Noto Sans"/>
        <family val="2"/>
        <charset val="1"/>
      </rPr>
      <t xml:space="preserve">RFC Emisor.
</t>
    </r>
    <r>
      <rPr>
        <sz val="10"/>
        <rFont val="Noto Sans"/>
        <family val="2"/>
        <charset val="1"/>
      </rPr>
      <t>•	RFC Receptor.
•	RFC a cuenta terceros.
•	Tipo de Comprobante.
•	Estado del Comprobante.
•	Tipo de Comprobante (Complemento) (RN17).
•	Estatus Cancelación (Campo condicional).</t>
    </r>
  </si>
  <si>
    <t>En una consulta por Folio fiscal o cuando se realice la c onsulta por periodo de fecha y el resultado sea uno: (Aplica la Regla de Negocio 15) 
* Descargar metadata
*Exportar Resultados a PDF
*Exportar Resultados a CSV</t>
  </si>
  <si>
    <t>•	En una consulta por Folio fiscal o cuando se realice la c onsulta por periodo de fecha y el resultado sea uno: (Aplica la Regla de Negocio 15) 
* Descargar metadata
*Exportar Resultados a PDF
*Exportar Resultados a CSV</t>
  </si>
  <si>
    <t xml:space="preserve">•	La consulta masiva esta limitada a 1,000 registros de UUID.
•	El servicio solo permite la consulta a través de archivos de texto plano (.txt)
</t>
  </si>
  <si>
    <t xml:space="preserve">En la columna de acciones se desplegaran los botones 
•	Descargar
•	Recuperar Representación Impresa  
•	Recuperar RI Complemento Carta Porte (Condicional)
</t>
  </si>
  <si>
    <t>Folio Fiscal/Descargar</t>
  </si>
  <si>
    <t>RFCEmisor/Descargar</t>
  </si>
  <si>
    <t>RFC Receptor/Descargar</t>
  </si>
  <si>
    <t>Masiva UUID/Descargar</t>
  </si>
  <si>
    <r>
      <t xml:space="preserve">Si la petición es correcta, el sistema muestra:
A.	Casilla Acciones 
</t>
    </r>
    <r>
      <rPr>
        <sz val="10"/>
        <color rgb="FFFF0000"/>
        <rFont val="Noto Sans"/>
        <family val="2"/>
      </rPr>
      <t xml:space="preserve">1)	Seleccionar.
2)	Descargar
3)	Recuperar Representacion Impresa.
4)	Recuperar Representacion Impresa Carta Porte. 
</t>
    </r>
    <r>
      <rPr>
        <sz val="10"/>
        <rFont val="Noto Sans"/>
        <family val="2"/>
        <charset val="1"/>
      </rPr>
      <t xml:space="preserv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t>
    </r>
  </si>
  <si>
    <r>
      <t xml:space="preserve">Si la petición es correcta, el sistema muestra:
A.	Casilla Acciones 
</t>
    </r>
    <r>
      <rPr>
        <sz val="10"/>
        <color rgb="FFFF0000"/>
        <rFont val="Noto Sans"/>
        <family val="2"/>
      </rPr>
      <t xml:space="preserve">1)	Seleccionar.
2)	Descargar
3)	Recuperar Representacion Impresa.
4)	Recuperar Representacion Impresa Carta Porte. 
</t>
    </r>
    <r>
      <rPr>
        <sz val="10"/>
        <rFont val="Noto Sans"/>
        <family val="2"/>
        <charset val="1"/>
      </rPr>
      <t xml:space="preserv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t>
    </r>
    <r>
      <rPr>
        <sz val="10"/>
        <color rgb="FFFF0000"/>
        <rFont val="Noto Sans"/>
        <family val="2"/>
      </rPr>
      <t>1)	Descargar Seleccionados XML.
2)	Descargas RI.
3)	Descargar Metadata.
4)	Exportar Resultados a PDF.
5)	Exportar Resultados a CSV.
D.	Paginador.</t>
    </r>
  </si>
  <si>
    <r>
      <t xml:space="preserve">Viene de los Casos de Prueba: 
- CP01_/Folio Fiscal
- CP02_/RFCEmisor
- CP03_/RFCReceptor
- CP04_/RFCTercero
- CP06 /Masiva UUID
</t>
    </r>
    <r>
      <rPr>
        <sz val="10"/>
        <color rgb="FFFF0000"/>
        <rFont val="Noto Sans"/>
        <family val="2"/>
      </rPr>
      <t>En una consulta por Folio fiscal o cuando se realice la c onsulta por periodo de fecha y el resultado sea uno: (Aplica la Regla de Negocio 15) 
* Descargar metadata
*Exportar Resultados a PDF
*Exportar Resultados a CSV</t>
    </r>
  </si>
  <si>
    <r>
      <t xml:space="preserve">El Usuario previamente se autenticó  y accedió al portal Empleados-Consulta Central
</t>
    </r>
    <r>
      <rPr>
        <sz val="10"/>
        <color rgb="FFFF0000"/>
        <rFont val="Noto Sans"/>
        <family val="2"/>
      </rPr>
      <t>En una consulta por Folio fiscal o cuando se realice la c onsulta por periodo de fecha y el resultado sea uno: (Aplica la Regla de Negocio 15) 
* Descargar metadata
*Exportar Resultados a PDF
*Exportar Resultados a CSV</t>
    </r>
  </si>
  <si>
    <r>
      <t xml:space="preserve">
•	</t>
    </r>
    <r>
      <rPr>
        <sz val="10"/>
        <color rgb="FFFF0000"/>
        <rFont val="Noto Sans"/>
        <family val="2"/>
      </rPr>
      <t>En una consulta por Folio fiscal o cuando se realice la c onsulta por periodo de fecha y el resultado sea uno: (Aplica la Regla de Negocio 15) 
* Descargar metadata
*Exportar Resultados a PDF
*Exportar Resultados a CSV</t>
    </r>
  </si>
  <si>
    <r>
      <t xml:space="preserve">El aplicativo debe realizar la búsqueda de todas las versiones del CFDI (3.2, 3.3 y 4.0), de acuerdo a los criterios de búsqueda seleccionados previamente.
En caso de no encontrar información ir al Caso de Prueba "Sin Resultados"
</t>
    </r>
    <r>
      <rPr>
        <sz val="10"/>
        <color rgb="FFFF0000"/>
        <rFont val="Noto Sans"/>
        <family val="2"/>
      </rPr>
      <t>En una consulta por Folio fiscal o cuando se realice la c onsulta por periodo de fecha y el resultado sea uno: (Aplica la Regla de Negocio 15) 
*Descargar metadata
*Exportar Resultados a PDF
*Exportar Resultados a CSV</t>
    </r>
  </si>
  <si>
    <r>
      <t xml:space="preserve">El aplicativo debe realizar la búsqueda de todas las versiones del CFDI (3.2, 3.3 y 4.0), de acuerdo a los criterios de búsqueda seleccionados previamente.
En caso de no encontrar información ir al Caso de Prueba "Sin Resultados"
</t>
    </r>
    <r>
      <rPr>
        <sz val="10"/>
        <color rgb="FFFF0000"/>
        <rFont val="Noto Sans"/>
        <family val="2"/>
      </rPr>
      <t>En una consulta por Folio fiscal o cuando se realice la c onsulta por periodo de fecha y el resultado sea uno: (Aplica la Regla de Negocio 15) 
* Descargar metadata
*Exportar Resultados a PDF
*Exportar Resultados a CSV</t>
    </r>
  </si>
  <si>
    <r>
      <t xml:space="preserve">Después de </t>
    </r>
    <r>
      <rPr>
        <sz val="10"/>
        <color rgb="FFFF0000"/>
        <rFont val="Noto Sans"/>
        <family val="2"/>
      </rPr>
      <t>10</t>
    </r>
    <r>
      <rPr>
        <sz val="10"/>
        <rFont val="Noto Sans"/>
        <family val="2"/>
        <charset val="1"/>
      </rPr>
      <t xml:space="preserve"> minutos de inactividad, se cerrará la sesión en automático.</t>
    </r>
  </si>
  <si>
    <t>CP15</t>
  </si>
  <si>
    <r>
      <t>Para el caso de que en la relación de los folios fiscales consultados no se localicen o no cumplan la estructura de UUID de CFDI.
El sistema genera un mensaje
"</t>
    </r>
    <r>
      <rPr>
        <sz val="10"/>
        <color rgb="FFFF0000"/>
        <rFont val="Noto Sans"/>
        <family val="2"/>
      </rPr>
      <t xml:space="preserve">No se encontraron folios válidos en el archivo. Podrás descargar el listado de errores con el folio de descarga: </t>
    </r>
    <r>
      <rPr>
        <sz val="10"/>
        <rFont val="Noto Sans"/>
        <family val="2"/>
        <charset val="1"/>
      </rPr>
      <t>xxxxxxxx-xxxx-xxxx-xxxx-xxxxxxxxxxx"</t>
    </r>
  </si>
  <si>
    <r>
      <t xml:space="preserve">Si la petición es correcta, el sistema muestra:
</t>
    </r>
    <r>
      <rPr>
        <sz val="10"/>
        <color rgb="FFFF0000"/>
        <rFont val="Noto Sans"/>
      </rPr>
      <t xml:space="preserve">A.	Casilla Acciones 
1)	Seleccionar.
2)	Descargar.
3)	Recuperar Representación Impresa.
4)	Recuperar Representacion Impresa Carta Porte.
</t>
    </r>
    <r>
      <rPr>
        <sz val="10"/>
        <rFont val="Noto Sans"/>
        <family val="2"/>
        <charset val="1"/>
      </rPr>
      <t xml:space="preserv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t>
    </r>
    <r>
      <rPr>
        <sz val="10"/>
        <color rgb="FFFF0000"/>
        <rFont val="Noto Sans"/>
      </rPr>
      <t xml:space="preserve">C.	Botones: 
1)	Descargar Metadata.
2)	Exportar Resultados a PDF.
3)	Exportar Resultados a CSV.
</t>
    </r>
  </si>
  <si>
    <t>En una consulta por Folio fiscal o cuando se realice la c onsulta por periodo de fecha y el resultado sea uno: (Aplica la Regla de Negocio 15) 
*Descargar metadata
*Exportar Resultados a PDF
*Exportar Resultados a CSV</t>
  </si>
  <si>
    <t xml:space="preserve">•	La consulta masiva esta limitada a 1,000 registros de UUID.
•	El servicio solo permite la consulta a través de archivos de texto plano (.txt)
•	Si el sistema no encuentra folios válidos ver el caso de prueba CP28
</t>
  </si>
  <si>
    <r>
      <t xml:space="preserve">El aplicativo debe realizar la búsqueda de todas las versiones del CFDI (3.2, 3.3 y 4.0), de acuerdo a los criterios de búsqueda seleccionados previamente.
En caso de no encontrar información ir al Caso de Prueba "Sin Resultados"
</t>
    </r>
    <r>
      <rPr>
        <sz val="10"/>
        <color rgb="FFFF0000"/>
        <rFont val="Noto Sans"/>
      </rPr>
      <t>En una consulta por Folio fiscal o cuando se realice la c onsulta por periodo de fecha y el resultado sea uno: (Aplica la Regla de Negocio 15) 
*Descargar metadata
*Exportar Resultados a PDF
*Exportar Resultados a CSV</t>
    </r>
  </si>
  <si>
    <t>El sistema abre una ventana emergente y comienza con la descarga del acuse de cancelación en formato PDF.
-	Datos del Acuse de Cancelación de CFDI
•	Folio Fiscal
•	RFC Receptor
•	RFC Emisor
•	Estado CFDI
•	Estado Cancelación
•	Motivo Cancelación
•	Número de serie de la e.firma o CSD (RN21)
•	Fecha de Solicitud de Cancelación (RN19) 
•	Mensaje de Error
•	Fecha
•	Sello digital SAT</t>
  </si>
  <si>
    <r>
      <t xml:space="preserve">En la columna de acciones se desplegaran los botones 
</t>
    </r>
    <r>
      <rPr>
        <sz val="10"/>
        <color rgb="FFFF0000"/>
        <rFont val="Noto Sans"/>
        <family val="2"/>
      </rPr>
      <t xml:space="preserve">•	Descargar
•	Recuperar Representación Impresa  
•	Recuperar RI Complemento Carta Porte (Condicional)
</t>
    </r>
  </si>
  <si>
    <r>
      <t xml:space="preserve">El sistema muestra en una pantalla adicional en relación a las peticiones solicitadas, exponiendo la nota: “En esta consulta se podrán recuperar solicitudes de descargas de CFDI y metadata de los últimos 3 días”.
La tabla de resultados de peticiones esta compuesta por las </t>
    </r>
    <r>
      <rPr>
        <sz val="10"/>
        <color theme="1"/>
        <rFont val="Noto Sans"/>
        <family val="2"/>
      </rPr>
      <t>siguientes</t>
    </r>
    <r>
      <rPr>
        <sz val="10"/>
        <rFont val="Noto Sans"/>
        <family val="2"/>
        <charset val="1"/>
      </rPr>
      <t xml:space="preserve"> columnas:
-Descargar
-# de Paquete
-Folio de Descarga
-Tipo
-# de Documentos
-Fecha de la solicitud
</t>
    </r>
  </si>
  <si>
    <r>
      <t>Selecciona un folio fiscal (UUID) de la tabla “Resultados” en la columna "</t>
    </r>
    <r>
      <rPr>
        <sz val="10"/>
        <color rgb="FFFF0000"/>
        <rFont val="Noto Sans"/>
        <family val="2"/>
      </rPr>
      <t>Estatus de Cancelación</t>
    </r>
    <r>
      <rPr>
        <sz val="10"/>
        <rFont val="Noto Sans"/>
        <family val="2"/>
        <charset val="1"/>
      </rPr>
      <t xml:space="preserve">" que el valor sea "No Cancelable"  y dar clic en el hipervinculo </t>
    </r>
  </si>
  <si>
    <t>El Acuse Documentos Relacionados, deberá contar con las siguientes características:
-	Logo de la Hacienda
-	Nombre de la Institución: ‘Servicio de Administración Tributaria’
-	Nombre del documento: “Consulta de Documentos Relacionados”
•	UUID Consultado
Facturas que relacionan al UUID Consultado
Columnas:
•	# 
•	UUID
•	Emisor
•	Receptor</t>
  </si>
  <si>
    <r>
      <t xml:space="preserve">Si la petición es correcta, el sistema muestra:
A.	Casilla Acciones 
</t>
    </r>
    <r>
      <rPr>
        <sz val="10"/>
        <color rgb="FFFF0000"/>
        <rFont val="Noto Sans"/>
        <family val="2"/>
      </rPr>
      <t xml:space="preserve">1)	Seleccionar.
2)	Descargar
3)	Recuperar Representacion Impresa.
4)	Recuperar Representacion Impresa Carta Porte. 
</t>
    </r>
    <r>
      <rPr>
        <sz val="10"/>
        <rFont val="Noto Sans"/>
        <family val="2"/>
        <charset val="1"/>
      </rPr>
      <t xml:space="preserv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t>
    </r>
    <r>
      <rPr>
        <sz val="10"/>
        <color rgb="FFFF0000"/>
        <rFont val="Noto Sans"/>
        <family val="2"/>
      </rPr>
      <t xml:space="preserve">1)	Descargar Seleccionados XML.
2)	Descargas RI.
3)	Descargar Metadata.
4)	Exportar Resultados a PDF.
5)	Exportar Resultados a CSV.
</t>
    </r>
    <r>
      <rPr>
        <sz val="10"/>
        <rFont val="Noto Sans"/>
        <family val="2"/>
        <charset val="1"/>
      </rPr>
      <t>D.	Paginador.</t>
    </r>
  </si>
  <si>
    <r>
      <t xml:space="preserve">El sistema realiza la petición y si contiene folios correctos los muestra en la sección de resultados:
A.	Casilla Acciones 
</t>
    </r>
    <r>
      <rPr>
        <sz val="10"/>
        <color rgb="FFFF0000"/>
        <rFont val="Noto Sans"/>
        <family val="2"/>
      </rPr>
      <t xml:space="preserve">1)	Seleccionar.
2)	Descargar
3)	Recuperar Representacion Impresa.
4)	Recuperar Representacion Impresa Carta Porte
</t>
    </r>
    <r>
      <rPr>
        <sz val="10"/>
        <rFont val="Noto Sans"/>
        <family val="2"/>
        <charset val="1"/>
      </rPr>
      <t xml:space="preserv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t>
    </r>
    <r>
      <rPr>
        <sz val="10"/>
        <color rgb="FFFF0000"/>
        <rFont val="Noto Sans"/>
        <family val="2"/>
      </rPr>
      <t xml:space="preserve">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t>
    </r>
  </si>
  <si>
    <t>CP31</t>
  </si>
  <si>
    <r>
      <t xml:space="preserve">Firma Electrónica del Usuario.
El Usuario debe tener asignado cualquiera de los roles
</t>
    </r>
    <r>
      <rPr>
        <b/>
        <sz val="10"/>
        <rFont val="Noto Sans"/>
        <family val="2"/>
        <charset val="1"/>
      </rPr>
      <t xml:space="preserve">
El comprobante deberá contar con RFC a cuenta de terceros
</t>
    </r>
  </si>
  <si>
    <r>
      <t xml:space="preserve">El sistema habilita los siguientes campos:
•	Fecha Inicial de Emisión (*).
•	Fecha Final de Emisión (*).
</t>
    </r>
    <r>
      <rPr>
        <b/>
        <sz val="10"/>
        <rFont val="Noto Sans"/>
        <family val="2"/>
        <charset val="1"/>
      </rPr>
      <t xml:space="preserve">•	</t>
    </r>
    <r>
      <rPr>
        <sz val="10"/>
        <rFont val="Noto Sans"/>
        <family val="2"/>
      </rPr>
      <t>RFC Emisor.</t>
    </r>
    <r>
      <rPr>
        <b/>
        <sz val="10"/>
        <rFont val="Noto Sans"/>
        <family val="2"/>
        <charset val="1"/>
      </rPr>
      <t xml:space="preserve">
</t>
    </r>
    <r>
      <rPr>
        <sz val="10"/>
        <rFont val="Noto Sans"/>
        <family val="2"/>
        <charset val="1"/>
      </rPr>
      <t>•	RFC Receptor.
•	RFC a cuenta de terceros.
•	Tipo de Comprobante.
•	Estado del Comprobante.
•	Tipo de Comprobante (Complemento) (RN17).
•	Estatus Cancelación (Campo condicional).</t>
    </r>
  </si>
  <si>
    <r>
      <t xml:space="preserve">Ingresa los datos:
•	Fecha Inicial de Emisión (*).
•	Fecha Final de Emisión (*).
•	RFC Emisor.
•	RFC Receptor.
•	</t>
    </r>
    <r>
      <rPr>
        <b/>
        <sz val="10"/>
        <rFont val="Noto Sans"/>
        <family val="2"/>
      </rPr>
      <t>RFC a cuenta de terceros.</t>
    </r>
    <r>
      <rPr>
        <sz val="10"/>
        <rFont val="Noto Sans"/>
        <family val="2"/>
        <charset val="1"/>
      </rPr>
      <t xml:space="preserve">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r>
  </si>
  <si>
    <t>Al cerrarse debe redirigir la página al Módulo de autentificación.</t>
  </si>
  <si>
    <t>Selecciona un registro y da clic en el boton "RFC a cuenta de terceros " de la columna "RFC a cuenta de terceros"</t>
  </si>
  <si>
    <t>El boton solo se mostrara si el comprobante cuenta con un folio con un RFC cuenta de terceros</t>
  </si>
  <si>
    <t>Lineamientos Gráficos/Encabezado</t>
  </si>
  <si>
    <t>/Lineamientos Gráficos/Encabezado</t>
  </si>
  <si>
    <t xml:space="preserve">
</t>
  </si>
  <si>
    <t>Usuario da clic en buscar y  en el explorador de documentos selecciona el archivo correspondiente a su certificado</t>
  </si>
  <si>
    <t>Se muestra el dato en el  campo certificado y en el campo RFC el dato del RFC del Contribuyente</t>
  </si>
  <si>
    <t>Usuario da clic en buscar y en el explorador de documentos selecciona el archivo correspondiente a su clave privada</t>
  </si>
  <si>
    <t xml:space="preserve">En caso de que el Contribuyente no cuente con los permisos, el aplicativo mostrará el mensaje: “El Usuario no cuenta con los privilegios de acceso” y no va a permitir su acceso. </t>
  </si>
  <si>
    <t>El usuario  valida que se muestren los lineamientos gráficos encabezado</t>
  </si>
  <si>
    <t xml:space="preserve">
Logosimbolo horizontal "Gobierno de México"
Está compuesto por las palabras "Gobierno de
México" en tipografía institucional, junto al Escudo
Nacional.
En la versión horizontal, el Escudo Nacional debe
situarse a la izquierda de la frase "Gobierno
de México"
</t>
  </si>
  <si>
    <t>Lineamientos Gráficos/Pie de página</t>
  </si>
  <si>
    <t>/Lineamientos Gráficos/Pie de página</t>
  </si>
  <si>
    <t>El usuario  valida que se muestren los lineamientos gŕaficos pie de página</t>
  </si>
  <si>
    <t>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"Comunícate, estamos para ayudarte"</t>
  </si>
  <si>
    <t>Encabezado con lo siguiente:
(Fondo color guinda)
El imagotipo de "Gobierno de México" - Alineado en parte superior izquierda
Link "Trámites" - Alineado a la derecha
Link "Gobierno"
Botón lupa "Buscador"
(Fondo color guinda obscuro)
"Portal Empleados" - Alineado a la izquierda
Logos del SHCP y SAT – Alineados a la izquierda
 "Consulta Central" - Alineado al centro
Nombre del Usuario – A la derecha
Botón Cerrar Sesión – Alineado a la derecha</t>
  </si>
  <si>
    <t xml:space="preserve">Usuario ingresa a la URL correspondiente a la Consulta Central CFDI.
-Selecciona la opción por e.firma
</t>
  </si>
  <si>
    <t>Si la autenticación es correcta, el aplicativo abre la página principal de la Consulta Central CFDI.</t>
  </si>
  <si>
    <t xml:space="preserve">Usuario ingresa a la URL correspondiente de Consulta Central CFDI.
-Selecciona la opción por e.firma
</t>
  </si>
  <si>
    <t>Si la autenticación es correcta, el aplicativo abre la página principal del Portal de Consulta Central CFDI.</t>
  </si>
  <si>
    <t>•	En una consulta por Folio fiscal o cuando se realice la c onsulta por periodo de fecha y el resultado sea uno: (Aplica la Regla de Negocio 15) 
*Descargar metadata
*Exportar Resultados a PDF
*Exportar Resultados a CSV
Para los registros de CFDI que contenga el atributo de ‘RFC a cuenta de terceros’ se debe habilitar el botón de detalle de RFC a cuenta de terceros, en la última columna de resultados en pantalla.</t>
  </si>
  <si>
    <t>Se despliega ventana adicional con las siguientes caracteristicas:
•	RFC a cuenta de terceros: Título de la ventana (se debe visualizar centrado).
•	UUID Consultado: Título que indica el folio fiscal del comprobante 
•	RFC Tercero: Título que muestra la clave del registro federal de contribuyente de persona física o moral para la cual fue habilitado como tercero.
•	Nombre Tercero: Título que muestra el nombre o razón social quien fue habilitado como tercero.
•	Botón Cerrar:  Cierra la pantalla modal y muestra el resultado de la consulta</t>
  </si>
  <si>
    <t>RFC a Cuenta de Terceros</t>
  </si>
  <si>
    <t>CP32</t>
  </si>
  <si>
    <t>CP33</t>
  </si>
  <si>
    <r>
      <t xml:space="preserve">El sistema habilita los siguientes campos:
•	Fecha Inicial de Emisión (*).
•	Fecha Final de Emisión (*).
•	</t>
    </r>
    <r>
      <rPr>
        <b/>
        <sz val="10"/>
        <rFont val="Noto Sans"/>
        <family val="2"/>
        <charset val="1"/>
      </rPr>
      <t xml:space="preserve">RFC Emisor.
</t>
    </r>
    <r>
      <rPr>
        <sz val="10"/>
        <rFont val="Noto Sans"/>
        <family val="2"/>
        <charset val="1"/>
      </rPr>
      <t xml:space="preserve">•	RFC Receptor.
•	RFC a cuenta terceros.
•	Tipo de Comprobante.
•	Estado del Comprobante.
•	</t>
    </r>
    <r>
      <rPr>
        <b/>
        <sz val="10"/>
        <rFont val="Noto Sans"/>
        <family val="2"/>
      </rPr>
      <t>Tipo de Comprobante (Complemento) (RN17)</t>
    </r>
    <r>
      <rPr>
        <sz val="10"/>
        <rFont val="Noto Sans"/>
        <family val="2"/>
        <charset val="1"/>
      </rPr>
      <t>.
•	Estatus Cancelación (Campo condicional).</t>
    </r>
  </si>
  <si>
    <r>
      <t xml:space="preserve">Ingresa los datos:
•	Fecha Inicial de Emisión (*).
•	Fecha Final de Emisión (*).
</t>
    </r>
    <r>
      <rPr>
        <b/>
        <sz val="10"/>
        <rFont val="Noto Sans"/>
        <family val="2"/>
        <charset val="1"/>
      </rPr>
      <t xml:space="preserve">•	RFC Emisor.
</t>
    </r>
    <r>
      <rPr>
        <sz val="10"/>
        <rFont val="Noto Sans"/>
        <family val="2"/>
        <charset val="1"/>
      </rPr>
      <t xml:space="preserve">•	RFC Receptor.
•	RFC a cuenta de terceros.
•	Tipo de Comprobante.
•	Estado del Comprobante.
</t>
    </r>
    <r>
      <rPr>
        <b/>
        <sz val="10"/>
        <rFont val="Noto Sans"/>
        <family val="2"/>
      </rPr>
      <t>•	Tipo de Comprobante (Complemento) (RN17).</t>
    </r>
    <r>
      <rPr>
        <sz val="10"/>
        <rFont val="Noto Sans"/>
        <family val="2"/>
        <charset val="1"/>
      </rPr>
      <t xml:space="preserve">
•	Estatus Cancelación (Campo condicional).
Campo obligarorio (*)
Nota: Para realizar la búsqueda se debe proporcionar al menos un RFC como parámetro de búsqueda(RFC Emisor, RFC Receptor o RFC a cuenta terceros
</t>
    </r>
  </si>
  <si>
    <r>
      <t xml:space="preserve">Firma Electrónica del Usuario.
El Usuario debe tener asignado cualquiera de los roles
</t>
    </r>
    <r>
      <rPr>
        <b/>
        <sz val="10"/>
        <rFont val="Noto Sans"/>
        <family val="2"/>
        <charset val="1"/>
      </rPr>
      <t xml:space="preserve">
Para este caso de prueba se debe agregar el valor de un RFC Emisor </t>
    </r>
    <r>
      <rPr>
        <b/>
        <sz val="10"/>
        <color rgb="FFFF0000"/>
        <rFont val="Noto Sans"/>
        <family val="2"/>
      </rPr>
      <t>y un Tipo de Comprobante (Complemento)</t>
    </r>
  </si>
  <si>
    <t>CP34</t>
  </si>
  <si>
    <t>Busqueda/Tipo de Comprobante (Complemento)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</si>
</sst>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3"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Noto Sans"/>
      <family val="2"/>
      <charset val="1"/>
    </font>
    <font>
      <sz val="10"/>
      <color rgb="FF0070C0"/>
      <name val="Noto Sans"/>
      <family val="2"/>
      <charset val="1"/>
    </font>
    <font>
      <b/>
      <i/>
      <sz val="10"/>
      <color rgb="FF1403EF"/>
      <name val="Noto Sans"/>
      <family val="2"/>
      <charset val="1"/>
    </font>
    <font>
      <i/>
      <sz val="10"/>
      <color rgb="FF1403EF"/>
      <name val="Noto Sans"/>
      <family val="2"/>
      <charset val="1"/>
    </font>
    <font>
      <sz val="10"/>
      <color rgb="FF1403EF"/>
      <name val="Noto Sans"/>
      <family val="2"/>
      <charset val="1"/>
    </font>
    <font>
      <b/>
      <i/>
      <sz val="10"/>
      <color rgb="FF0000FF"/>
      <name val="Noto Sans"/>
      <family val="2"/>
      <charset val="1"/>
    </font>
    <font>
      <i/>
      <sz val="10"/>
      <color rgb="FF0000FF"/>
      <name val="Noto Sans"/>
      <family val="2"/>
      <charset val="1"/>
    </font>
    <font>
      <b/>
      <sz val="10"/>
      <name val="Noto Sans"/>
      <family val="2"/>
      <charset val="1"/>
    </font>
    <font>
      <b/>
      <sz val="10"/>
      <color rgb="FF002060"/>
      <name val="Noto Sans"/>
      <family val="2"/>
      <charset val="1"/>
    </font>
    <font>
      <sz val="10"/>
      <color rgb="FF0000FF"/>
      <name val="Noto Sans"/>
      <family val="2"/>
      <charset val="1"/>
    </font>
    <font>
      <b/>
      <sz val="10"/>
      <color rgb="FF000000"/>
      <name val="Noto Sans"/>
      <family val="2"/>
      <charset val="1"/>
    </font>
    <font>
      <sz val="10"/>
      <color rgb="FF000000"/>
      <name val="Noto Sans"/>
      <family val="2"/>
      <charset val="1"/>
    </font>
    <font>
      <sz val="11"/>
      <color rgb="FF000000"/>
      <name val="Noto Sans"/>
      <family val="2"/>
      <charset val="1"/>
    </font>
    <font>
      <sz val="11"/>
      <name val="Noto Sans"/>
      <family val="2"/>
      <charset val="1"/>
    </font>
    <font>
      <i/>
      <sz val="10"/>
      <name val="Noto Sans"/>
      <family val="2"/>
      <charset val="1"/>
    </font>
    <font>
      <i/>
      <u/>
      <sz val="10"/>
      <name val="Noto Sans"/>
      <family val="2"/>
      <charset val="1"/>
    </font>
    <font>
      <b/>
      <i/>
      <sz val="10"/>
      <name val="Noto Sans"/>
      <family val="2"/>
      <charset val="1"/>
    </font>
    <font>
      <b/>
      <sz val="11"/>
      <name val="Noto Sans"/>
      <family val="2"/>
      <charset val="1"/>
    </font>
    <font>
      <b/>
      <i/>
      <sz val="10"/>
      <color rgb="FF000000"/>
      <name val="Noto Sans"/>
      <family val="2"/>
      <charset val="1"/>
    </font>
    <font>
      <sz val="9"/>
      <color rgb="FF000000"/>
      <name val="Noto Sans"/>
      <family val="2"/>
      <charset val="1"/>
    </font>
    <font>
      <b/>
      <i/>
      <sz val="9"/>
      <color rgb="FF1403EF"/>
      <name val="Noto Sans"/>
      <family val="2"/>
      <charset val="1"/>
    </font>
    <font>
      <b/>
      <sz val="8"/>
      <color rgb="FF000000"/>
      <name val="Noto Sans"/>
      <family val="2"/>
      <charset val="1"/>
    </font>
    <font>
      <b/>
      <sz val="9"/>
      <color rgb="FF376B48"/>
      <name val="Noto Sans"/>
      <family val="2"/>
      <charset val="1"/>
    </font>
    <font>
      <b/>
      <sz val="11"/>
      <color rgb="FF000000"/>
      <name val="Noto Sans"/>
      <family val="2"/>
      <charset val="1"/>
    </font>
    <font>
      <sz val="6"/>
      <color rgb="FF0000FF"/>
      <name val="Noto Sans"/>
      <family val="2"/>
      <charset val="1"/>
    </font>
    <font>
      <sz val="7"/>
      <color rgb="FF0000FF"/>
      <name val="Noto Sans"/>
      <family val="2"/>
      <charset val="1"/>
    </font>
    <font>
      <b/>
      <sz val="7"/>
      <color rgb="FF0000FF"/>
      <name val="Noto Sans"/>
      <family val="2"/>
      <charset val="1"/>
    </font>
    <font>
      <sz val="11"/>
      <color rgb="FF000000"/>
      <name val="Calibri"/>
      <family val="2"/>
      <charset val="1"/>
    </font>
    <font>
      <sz val="10"/>
      <name val="Noto Sans"/>
      <family val="2"/>
    </font>
    <font>
      <sz val="10"/>
      <color rgb="FFFF0000"/>
      <name val="Noto Sans"/>
      <family val="2"/>
    </font>
    <font>
      <sz val="10"/>
      <color rgb="FFFF0000"/>
      <name val="Noto Sans"/>
    </font>
    <font>
      <sz val="8"/>
      <name val="Calibri"/>
      <family val="2"/>
      <charset val="1"/>
    </font>
    <font>
      <sz val="10"/>
      <color theme="1"/>
      <name val="Noto Sans"/>
      <family val="2"/>
    </font>
    <font>
      <b/>
      <sz val="10"/>
      <name val="Noto Sans"/>
      <family val="2"/>
    </font>
    <font>
      <sz val="11"/>
      <name val="Calibri"/>
      <family val="2"/>
      <charset val="1"/>
    </font>
    <font>
      <sz val="10"/>
      <name val="Montserrat"/>
    </font>
    <font>
      <b/>
      <sz val="10"/>
      <name val="Montserrat"/>
    </font>
    <font>
      <b/>
      <sz val="10"/>
      <color rgb="FFFF0000"/>
      <name val="Noto Sans"/>
      <family val="2"/>
    </font>
  </fonts>
  <fills count="11">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C6D9F1"/>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rgb="FFF2F2F2"/>
        <bgColor rgb="FFFFFFFF"/>
      </patternFill>
    </fill>
    <fill>
      <patternFill patternType="solid">
        <fgColor theme="3" tint="0.89999084444715716"/>
        <bgColor indexed="64"/>
      </patternFill>
    </fill>
    <fill>
      <patternFill patternType="solid">
        <fgColor theme="2" tint="-9.9978637043366805E-2"/>
        <bgColor indexed="64"/>
      </patternFill>
    </fill>
  </fills>
  <borders count="23">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
      <left/>
      <right/>
      <top style="thin">
        <color auto="1"/>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2">
    <xf numFmtId="0" fontId="0" fillId="0" borderId="0"/>
    <xf numFmtId="0" fontId="1" fillId="0" borderId="0"/>
    <xf numFmtId="164" fontId="32"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32" fillId="0" borderId="0"/>
    <xf numFmtId="9" fontId="32" fillId="0" borderId="0" applyBorder="0" applyProtection="0"/>
    <xf numFmtId="9" fontId="32" fillId="0" borderId="0" applyBorder="0" applyProtection="0"/>
  </cellStyleXfs>
  <cellXfs count="122">
    <xf numFmtId="0" fontId="0" fillId="0" borderId="0" xfId="0"/>
    <xf numFmtId="0" fontId="5" fillId="0" borderId="0" xfId="7" applyFont="1" applyAlignment="1">
      <alignment wrapText="1"/>
    </xf>
    <xf numFmtId="0" fontId="6" fillId="0" borderId="0" xfId="7" applyFont="1" applyAlignment="1">
      <alignment horizontal="center" vertical="center" wrapText="1"/>
    </xf>
    <xf numFmtId="0" fontId="5" fillId="0" borderId="0" xfId="7" applyFont="1" applyAlignment="1">
      <alignment horizontal="center" vertical="center" wrapText="1"/>
    </xf>
    <xf numFmtId="0" fontId="5" fillId="0" borderId="4" xfId="7" applyFont="1" applyBorder="1" applyAlignment="1">
      <alignment wrapText="1"/>
    </xf>
    <xf numFmtId="0" fontId="9" fillId="0" borderId="0" xfId="5" applyFont="1" applyAlignment="1">
      <alignment horizontal="left" wrapText="1"/>
    </xf>
    <xf numFmtId="0" fontId="11" fillId="0" borderId="0" xfId="7" applyFont="1" applyAlignment="1">
      <alignment horizontal="left" vertical="center" wrapText="1"/>
    </xf>
    <xf numFmtId="0" fontId="12" fillId="0" borderId="0" xfId="7" applyFont="1" applyAlignment="1">
      <alignment wrapText="1"/>
    </xf>
    <xf numFmtId="0" fontId="5" fillId="0" borderId="0" xfId="7" applyFont="1" applyAlignment="1">
      <alignment vertical="center" wrapText="1"/>
    </xf>
    <xf numFmtId="0" fontId="13" fillId="0" borderId="0" xfId="7" applyFont="1" applyAlignment="1">
      <alignment horizontal="center" vertical="center" wrapText="1"/>
    </xf>
    <xf numFmtId="0" fontId="14" fillId="0" borderId="0" xfId="0" applyFont="1" applyAlignment="1">
      <alignment vertical="center" wrapText="1"/>
    </xf>
    <xf numFmtId="0" fontId="15" fillId="4"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0" fontId="5"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49" fontId="15" fillId="0" borderId="14" xfId="0" applyNumberFormat="1" applyFont="1" applyBorder="1" applyAlignment="1">
      <alignment horizontal="center" vertical="center"/>
    </xf>
    <xf numFmtId="0" fontId="15" fillId="0" borderId="14" xfId="0" applyFont="1" applyBorder="1" applyAlignment="1">
      <alignment horizontal="left" vertical="center" wrapText="1"/>
    </xf>
    <xf numFmtId="0" fontId="17" fillId="0" borderId="0" xfId="0" applyFont="1"/>
    <xf numFmtId="0" fontId="15" fillId="0" borderId="0" xfId="0" applyFont="1"/>
    <xf numFmtId="0" fontId="16" fillId="0" borderId="0" xfId="0" applyFont="1"/>
    <xf numFmtId="0" fontId="5" fillId="0" borderId="0" xfId="0" applyFont="1" applyAlignment="1">
      <alignment wrapText="1"/>
    </xf>
    <xf numFmtId="0" fontId="18" fillId="0" borderId="0" xfId="0" applyFont="1" applyAlignment="1">
      <alignment wrapText="1"/>
    </xf>
    <xf numFmtId="0" fontId="5" fillId="0" borderId="0" xfId="0" applyFont="1" applyAlignment="1">
      <alignment vertical="center" wrapText="1"/>
    </xf>
    <xf numFmtId="0" fontId="5" fillId="0" borderId="14"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7" borderId="18" xfId="0" applyFont="1" applyFill="1" applyBorder="1" applyAlignment="1">
      <alignment horizontal="center" vertical="center" wrapText="1"/>
    </xf>
    <xf numFmtId="0" fontId="19" fillId="0" borderId="19" xfId="0" applyFont="1" applyBorder="1" applyAlignment="1">
      <alignment vertical="top" wrapText="1"/>
    </xf>
    <xf numFmtId="0" fontId="19" fillId="0" borderId="14" xfId="0" applyFont="1" applyBorder="1" applyAlignment="1">
      <alignment vertical="top" wrapText="1"/>
    </xf>
    <xf numFmtId="0" fontId="5" fillId="4" borderId="14" xfId="0" applyFont="1" applyFill="1" applyBorder="1" applyAlignment="1">
      <alignment horizontal="left" vertical="center" wrapText="1"/>
    </xf>
    <xf numFmtId="0" fontId="12" fillId="4" borderId="14" xfId="0" applyFont="1" applyFill="1" applyBorder="1" applyAlignment="1">
      <alignment vertical="center" wrapText="1"/>
    </xf>
    <xf numFmtId="0" fontId="5" fillId="4" borderId="14" xfId="0" applyFont="1" applyFill="1" applyBorder="1" applyAlignment="1">
      <alignment horizontal="center" vertical="center" wrapText="1"/>
    </xf>
    <xf numFmtId="0" fontId="5" fillId="4" borderId="14" xfId="0" applyFont="1" applyFill="1" applyBorder="1" applyAlignment="1">
      <alignment horizontal="justify" vertical="center" wrapText="1"/>
    </xf>
    <xf numFmtId="0" fontId="5" fillId="4" borderId="14" xfId="0" applyFont="1" applyFill="1" applyBorder="1" applyAlignment="1">
      <alignment vertical="center"/>
    </xf>
    <xf numFmtId="0" fontId="5" fillId="0" borderId="14" xfId="0" applyFont="1" applyBorder="1" applyAlignment="1">
      <alignment horizontal="center" vertical="center" wrapText="1"/>
    </xf>
    <xf numFmtId="0" fontId="5" fillId="0" borderId="14" xfId="0" applyFont="1" applyBorder="1" applyAlignment="1">
      <alignment horizontal="justify" vertical="center" wrapText="1"/>
    </xf>
    <xf numFmtId="0" fontId="5" fillId="4" borderId="14" xfId="0" applyFont="1" applyFill="1" applyBorder="1" applyAlignment="1">
      <alignment vertical="center" wrapText="1"/>
    </xf>
    <xf numFmtId="0" fontId="12" fillId="4" borderId="14"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12" fillId="4" borderId="14" xfId="0" applyFont="1" applyFill="1" applyBorder="1" applyAlignment="1">
      <alignment horizontal="justify" vertical="center" wrapText="1"/>
    </xf>
    <xf numFmtId="0" fontId="5" fillId="4" borderId="2" xfId="0" applyFont="1" applyFill="1" applyBorder="1" applyAlignment="1">
      <alignment horizontal="justify" vertical="center"/>
    </xf>
    <xf numFmtId="0" fontId="5" fillId="0" borderId="14" xfId="0" applyFont="1" applyBorder="1" applyAlignment="1">
      <alignment wrapText="1"/>
    </xf>
    <xf numFmtId="0" fontId="18" fillId="0" borderId="14" xfId="0" applyFont="1" applyBorder="1" applyAlignment="1">
      <alignment wrapText="1"/>
    </xf>
    <xf numFmtId="0" fontId="12" fillId="0" borderId="14" xfId="0" applyFont="1" applyBorder="1" applyAlignment="1">
      <alignment horizontal="justify" vertical="center" wrapText="1"/>
    </xf>
    <xf numFmtId="0" fontId="12" fillId="4" borderId="14" xfId="0" applyFont="1" applyFill="1" applyBorder="1" applyAlignment="1">
      <alignment horizontal="justify" vertical="center"/>
    </xf>
    <xf numFmtId="0" fontId="22" fillId="4" borderId="14" xfId="0" applyFont="1" applyFill="1" applyBorder="1" applyAlignment="1">
      <alignment wrapText="1"/>
    </xf>
    <xf numFmtId="0" fontId="12" fillId="4" borderId="14" xfId="0" applyFont="1" applyFill="1" applyBorder="1" applyAlignment="1">
      <alignment wrapText="1"/>
    </xf>
    <xf numFmtId="0" fontId="5" fillId="8" borderId="14" xfId="0" applyFont="1" applyFill="1" applyBorder="1" applyAlignment="1">
      <alignment horizontal="left" vertical="center" wrapText="1"/>
    </xf>
    <xf numFmtId="0" fontId="5" fillId="8" borderId="14" xfId="0" applyFont="1" applyFill="1" applyBorder="1" applyAlignment="1">
      <alignment horizontal="center" vertical="center" wrapText="1"/>
    </xf>
    <xf numFmtId="0" fontId="5" fillId="8" borderId="14" xfId="0" applyFont="1" applyFill="1" applyBorder="1" applyAlignment="1">
      <alignment horizontal="justify" vertical="center" wrapText="1"/>
    </xf>
    <xf numFmtId="0" fontId="11" fillId="0" borderId="0" xfId="9" applyFont="1"/>
    <xf numFmtId="0" fontId="8" fillId="0" borderId="0" xfId="9" applyFont="1" applyAlignment="1">
      <alignment vertical="center"/>
    </xf>
    <xf numFmtId="0" fontId="23"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4" borderId="20" xfId="0" applyFont="1" applyFill="1" applyBorder="1" applyAlignment="1">
      <alignment horizontal="center"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15" fillId="4" borderId="21"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5" fillId="0" borderId="0" xfId="0" applyFont="1" applyAlignment="1">
      <alignment vertical="center"/>
    </xf>
    <xf numFmtId="0" fontId="5" fillId="0" borderId="0" xfId="5" applyFont="1"/>
    <xf numFmtId="15" fontId="17" fillId="0" borderId="0" xfId="0" applyNumberFormat="1" applyFont="1"/>
    <xf numFmtId="0" fontId="5" fillId="9" borderId="14" xfId="0" applyFont="1" applyFill="1" applyBorder="1" applyAlignment="1">
      <alignment horizontal="justify" vertical="center" wrapText="1"/>
    </xf>
    <xf numFmtId="49" fontId="16" fillId="9" borderId="14" xfId="0" applyNumberFormat="1" applyFont="1" applyFill="1" applyBorder="1" applyAlignment="1">
      <alignment horizontal="center" vertical="center"/>
    </xf>
    <xf numFmtId="0" fontId="16" fillId="9" borderId="14" xfId="0" applyFont="1" applyFill="1" applyBorder="1" applyAlignment="1">
      <alignment horizontal="left" vertical="center" wrapText="1"/>
    </xf>
    <xf numFmtId="0" fontId="5" fillId="9" borderId="14" xfId="0" applyFont="1" applyFill="1" applyBorder="1" applyAlignment="1">
      <alignment horizontal="left" vertical="center" wrapText="1"/>
    </xf>
    <xf numFmtId="165" fontId="5" fillId="9" borderId="14" xfId="0" applyNumberFormat="1" applyFont="1" applyFill="1" applyBorder="1" applyAlignment="1">
      <alignment horizontal="center" vertical="center"/>
    </xf>
    <xf numFmtId="0" fontId="16" fillId="0" borderId="2" xfId="0" applyFont="1" applyBorder="1"/>
    <xf numFmtId="0" fontId="16" fillId="0" borderId="2" xfId="0" applyFont="1" applyBorder="1" applyAlignment="1">
      <alignment wrapText="1"/>
    </xf>
    <xf numFmtId="0" fontId="16" fillId="9" borderId="2" xfId="0" applyFont="1" applyFill="1" applyBorder="1"/>
    <xf numFmtId="0" fontId="16" fillId="9" borderId="2" xfId="0" applyFont="1" applyFill="1" applyBorder="1" applyAlignment="1">
      <alignment wrapText="1"/>
    </xf>
    <xf numFmtId="0" fontId="32" fillId="0" borderId="0" xfId="0" applyFont="1"/>
    <xf numFmtId="0" fontId="18" fillId="0" borderId="0" xfId="0" applyFont="1" applyAlignment="1">
      <alignment horizontal="center" vertical="center" wrapText="1"/>
    </xf>
    <xf numFmtId="0" fontId="5" fillId="0" borderId="0" xfId="0" applyFont="1" applyAlignment="1">
      <alignment horizontal="center" vertical="center"/>
    </xf>
    <xf numFmtId="0" fontId="33" fillId="4" borderId="14" xfId="0" applyFont="1" applyFill="1" applyBorder="1" applyAlignment="1">
      <alignment vertical="center" wrapText="1"/>
    </xf>
    <xf numFmtId="0" fontId="12" fillId="0" borderId="14" xfId="0" applyFont="1" applyBorder="1" applyAlignment="1">
      <alignment vertical="center" wrapText="1"/>
    </xf>
    <xf numFmtId="0" fontId="12" fillId="0" borderId="14" xfId="0" applyFont="1" applyBorder="1" applyAlignment="1">
      <alignment horizontal="left" vertical="center" wrapText="1"/>
    </xf>
    <xf numFmtId="0" fontId="12" fillId="0" borderId="14" xfId="0" applyFont="1" applyBorder="1" applyAlignment="1">
      <alignment horizontal="left" vertical="top" wrapText="1"/>
    </xf>
    <xf numFmtId="0" fontId="12" fillId="0" borderId="14" xfId="0" applyFont="1" applyBorder="1" applyAlignment="1">
      <alignment horizontal="center" vertical="center" wrapText="1"/>
    </xf>
    <xf numFmtId="0" fontId="12" fillId="10" borderId="14" xfId="0" applyFont="1" applyFill="1" applyBorder="1" applyAlignment="1">
      <alignment vertical="center" wrapText="1"/>
    </xf>
    <xf numFmtId="0" fontId="5" fillId="10" borderId="14" xfId="0" applyFont="1" applyFill="1" applyBorder="1" applyAlignment="1">
      <alignment horizontal="left" vertical="center" wrapText="1"/>
    </xf>
    <xf numFmtId="0" fontId="34" fillId="0" borderId="14" xfId="0" applyFont="1" applyBorder="1" applyAlignment="1">
      <alignment horizontal="justify" vertical="center" wrapText="1"/>
    </xf>
    <xf numFmtId="0" fontId="34" fillId="0" borderId="14" xfId="0" applyFont="1" applyBorder="1" applyAlignment="1">
      <alignment horizontal="left" vertical="center" wrapText="1"/>
    </xf>
    <xf numFmtId="0" fontId="12" fillId="5" borderId="14" xfId="6" applyFont="1" applyFill="1" applyBorder="1" applyAlignment="1">
      <alignment horizontal="center" vertical="center"/>
    </xf>
    <xf numFmtId="0" fontId="5" fillId="0" borderId="14" xfId="0" applyFont="1" applyBorder="1" applyAlignment="1">
      <alignment vertical="center" wrapText="1"/>
    </xf>
    <xf numFmtId="0" fontId="12" fillId="6" borderId="17" xfId="0" applyFont="1" applyFill="1" applyBorder="1" applyAlignment="1">
      <alignment horizontal="left" vertical="center" wrapText="1"/>
    </xf>
    <xf numFmtId="0" fontId="12" fillId="0" borderId="0" xfId="0" applyFont="1" applyAlignment="1">
      <alignment horizontal="center" wrapText="1"/>
    </xf>
    <xf numFmtId="0" fontId="5" fillId="0" borderId="16" xfId="0" applyFont="1" applyBorder="1" applyAlignment="1">
      <alignment horizontal="center" vertical="center" wrapText="1"/>
    </xf>
    <xf numFmtId="0" fontId="7" fillId="0" borderId="3" xfId="5" applyFont="1" applyBorder="1" applyAlignment="1">
      <alignment horizontal="left" vertical="center" wrapText="1"/>
    </xf>
    <xf numFmtId="0" fontId="10" fillId="0" borderId="5" xfId="7" applyFont="1" applyBorder="1" applyAlignment="1">
      <alignment horizontal="left" vertical="center" wrapText="1"/>
    </xf>
    <xf numFmtId="0" fontId="10" fillId="0" borderId="5" xfId="7" applyFont="1" applyBorder="1" applyAlignment="1">
      <alignment horizontal="justify" vertical="center" wrapText="1"/>
    </xf>
    <xf numFmtId="0" fontId="12" fillId="2" borderId="6" xfId="7" applyFont="1" applyFill="1" applyBorder="1" applyAlignment="1">
      <alignment horizontal="center" vertical="center" wrapText="1"/>
    </xf>
    <xf numFmtId="0" fontId="12" fillId="2" borderId="7" xfId="7" applyFont="1" applyFill="1" applyBorder="1" applyAlignment="1">
      <alignment horizontal="center" vertical="center" wrapText="1"/>
    </xf>
    <xf numFmtId="0" fontId="13" fillId="3" borderId="6" xfId="7" applyFont="1" applyFill="1" applyBorder="1" applyAlignment="1">
      <alignment horizontal="center" vertical="center" wrapText="1"/>
    </xf>
    <xf numFmtId="0" fontId="5" fillId="0" borderId="8" xfId="7" applyFont="1" applyBorder="1" applyAlignment="1">
      <alignment horizontal="justify" vertical="center" wrapText="1"/>
    </xf>
    <xf numFmtId="0" fontId="5" fillId="0" borderId="9" xfId="7" applyFont="1" applyBorder="1" applyAlignment="1">
      <alignment horizontal="justify" vertical="center" wrapText="1"/>
    </xf>
    <xf numFmtId="0" fontId="12" fillId="3" borderId="10" xfId="7" applyFont="1" applyFill="1" applyBorder="1" applyAlignment="1">
      <alignment horizontal="center" vertical="center" wrapText="1"/>
    </xf>
    <xf numFmtId="0" fontId="11" fillId="0" borderId="11" xfId="7" applyFont="1" applyBorder="1" applyAlignment="1">
      <alignment horizontal="left" vertical="center" wrapText="1"/>
    </xf>
    <xf numFmtId="0" fontId="13" fillId="3" borderId="12" xfId="7" applyFont="1" applyFill="1" applyBorder="1" applyAlignment="1">
      <alignment horizontal="center" vertical="center" wrapText="1"/>
    </xf>
    <xf numFmtId="0" fontId="12" fillId="2" borderId="13" xfId="7" applyFont="1" applyFill="1" applyBorder="1" applyAlignment="1">
      <alignment horizontal="center" vertical="center" wrapText="1"/>
    </xf>
    <xf numFmtId="0" fontId="12" fillId="3" borderId="14" xfId="7" applyFont="1" applyFill="1" applyBorder="1" applyAlignment="1">
      <alignment horizontal="center" vertical="center" wrapText="1"/>
    </xf>
    <xf numFmtId="0" fontId="5" fillId="0" borderId="15" xfId="7" applyFont="1" applyBorder="1" applyAlignment="1">
      <alignment horizontal="justify" vertical="center" wrapText="1"/>
    </xf>
    <xf numFmtId="0" fontId="5" fillId="0" borderId="7" xfId="7" applyFont="1" applyBorder="1" applyAlignment="1">
      <alignment horizontal="justify" vertical="center" wrapText="1"/>
    </xf>
    <xf numFmtId="0" fontId="12" fillId="4" borderId="5" xfId="7" applyFont="1" applyFill="1" applyBorder="1" applyAlignment="1">
      <alignment horizontal="center" vertical="center" wrapText="1"/>
    </xf>
    <xf numFmtId="0" fontId="14" fillId="0" borderId="0" xfId="0" applyFont="1" applyAlignment="1">
      <alignment horizontal="justify" vertical="center" wrapText="1"/>
    </xf>
    <xf numFmtId="0" fontId="16" fillId="0" borderId="5" xfId="0" applyFont="1" applyBorder="1" applyAlignment="1">
      <alignment horizontal="justify" vertical="center" wrapText="1"/>
    </xf>
    <xf numFmtId="0" fontId="15" fillId="7" borderId="5" xfId="0" applyFont="1" applyFill="1" applyBorder="1" applyAlignment="1">
      <alignment horizontal="center" vertical="center" wrapText="1"/>
    </xf>
    <xf numFmtId="0" fontId="24" fillId="0" borderId="5" xfId="0" applyFont="1" applyBorder="1" applyAlignment="1">
      <alignment vertical="center" wrapText="1"/>
    </xf>
    <xf numFmtId="0" fontId="26" fillId="0" borderId="0" xfId="5" applyFont="1" applyAlignment="1">
      <alignment horizontal="right" vertical="center" wrapText="1"/>
    </xf>
    <xf numFmtId="0" fontId="27" fillId="0" borderId="0" xfId="5" applyFont="1" applyAlignment="1">
      <alignment horizontal="right" vertical="top"/>
    </xf>
    <xf numFmtId="0" fontId="24" fillId="0" borderId="14" xfId="5" applyFont="1" applyBorder="1" applyAlignment="1">
      <alignment horizontal="center" vertical="center" wrapText="1"/>
    </xf>
    <xf numFmtId="0" fontId="28" fillId="0" borderId="14" xfId="5" applyFont="1" applyBorder="1" applyAlignment="1">
      <alignment horizontal="center" vertical="center" wrapText="1"/>
    </xf>
    <xf numFmtId="0" fontId="24" fillId="0" borderId="14" xfId="5" applyFont="1" applyBorder="1" applyAlignment="1">
      <alignment horizontal="center" wrapText="1"/>
    </xf>
    <xf numFmtId="0" fontId="39" fillId="0" borderId="0" xfId="0" applyFont="1" applyAlignment="1">
      <alignment wrapText="1"/>
    </xf>
    <xf numFmtId="0" fontId="40" fillId="0" borderId="14" xfId="0" applyFont="1" applyBorder="1" applyAlignment="1">
      <alignment horizontal="center" vertical="center" wrapText="1"/>
    </xf>
    <xf numFmtId="0" fontId="41" fillId="0" borderId="14" xfId="0" applyFont="1" applyBorder="1" applyAlignment="1">
      <alignment vertical="center" wrapText="1"/>
    </xf>
  </cellXfs>
  <cellStyles count="12">
    <cellStyle name=" 1" xfId="1" xr:uid="{00000000-0005-0000-0000-000006000000}"/>
    <cellStyle name="Comma 2" xfId="2" xr:uid="{00000000-0005-0000-0000-000007000000}"/>
    <cellStyle name="Header1" xfId="3" xr:uid="{00000000-0005-0000-0000-000008000000}"/>
    <cellStyle name="Header2" xfId="4" xr:uid="{00000000-0005-0000-0000-000009000000}"/>
    <cellStyle name="Normal" xfId="0" builtinId="0"/>
    <cellStyle name="Normal 2" xfId="5" xr:uid="{00000000-0005-0000-0000-00000A000000}"/>
    <cellStyle name="Normal 2 2" xfId="6" xr:uid="{00000000-0005-0000-0000-00000B000000}"/>
    <cellStyle name="Normal 3" xfId="7" xr:uid="{00000000-0005-0000-0000-00000C000000}"/>
    <cellStyle name="Normal 3 2" xfId="8" xr:uid="{00000000-0005-0000-0000-00000D000000}"/>
    <cellStyle name="Normal 4 2" xfId="9" xr:uid="{00000000-0005-0000-0000-00000E000000}"/>
    <cellStyle name="Percent 2" xfId="10" xr:uid="{00000000-0005-0000-0000-00000F000000}"/>
    <cellStyle name="Porcentual 2" xfId="11" xr:uid="{00000000-0005-0000-0000-000010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2F2F2"/>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10</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560160</xdr:colOff>
      <xdr:row>7</xdr:row>
      <xdr:rowOff>85320</xdr:rowOff>
    </xdr:to>
    <xdr:pic>
      <xdr:nvPicPr>
        <xdr:cNvPr id="2" name="Imagen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0"/>
          <a:ext cx="10923480" cy="1552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57240</xdr:rowOff>
    </xdr:from>
    <xdr:to>
      <xdr:col>3</xdr:col>
      <xdr:colOff>1591920</xdr:colOff>
      <xdr:row>6</xdr:row>
      <xdr:rowOff>145080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57240"/>
          <a:ext cx="10661760" cy="1516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68040</xdr:colOff>
      <xdr:row>0</xdr:row>
      <xdr:rowOff>95400</xdr:rowOff>
    </xdr:from>
    <xdr:to>
      <xdr:col>4</xdr:col>
      <xdr:colOff>1879135</xdr:colOff>
      <xdr:row>7</xdr:row>
      <xdr:rowOff>18360</xdr:rowOff>
    </xdr:to>
    <xdr:pic>
      <xdr:nvPicPr>
        <xdr:cNvPr id="3" name="Imagen 7">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68040" y="95400"/>
          <a:ext cx="10569600" cy="1589760"/>
        </a:xfrm>
        <a:prstGeom prst="rect">
          <a:avLst/>
        </a:prstGeom>
        <a:ln w="0">
          <a:noFill/>
        </a:ln>
      </xdr:spPr>
    </xdr:pic>
    <xdr:clientData/>
  </xdr:twoCellAnchor>
  <xdr:twoCellAnchor editAs="oneCell">
    <xdr:from>
      <xdr:col>1</xdr:col>
      <xdr:colOff>136568</xdr:colOff>
      <xdr:row>237</xdr:row>
      <xdr:rowOff>200181</xdr:rowOff>
    </xdr:from>
    <xdr:to>
      <xdr:col>5</xdr:col>
      <xdr:colOff>1344236</xdr:colOff>
      <xdr:row>265</xdr:row>
      <xdr:rowOff>58603</xdr:rowOff>
    </xdr:to>
    <xdr:pic>
      <xdr:nvPicPr>
        <xdr:cNvPr id="4" name="Imagen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2180113" y="349738817"/>
          <a:ext cx="9139396" cy="5677331"/>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4</xdr:row>
      <xdr:rowOff>185040</xdr:rowOff>
    </xdr:to>
    <xdr:pic>
      <xdr:nvPicPr>
        <xdr:cNvPr id="5" name="Imagen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554400" y="695160"/>
          <a:ext cx="5757840" cy="61380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10080</xdr:rowOff>
    </xdr:to>
    <xdr:pic>
      <xdr:nvPicPr>
        <xdr:cNvPr id="6" name="Imagen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554400" y="3648240"/>
          <a:ext cx="5757840" cy="63864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AMJ47"/>
  <sheetViews>
    <sheetView showGridLines="0" topLeftCell="A4" zoomScaleNormal="100" workbookViewId="0">
      <selection activeCell="A4" sqref="A4"/>
    </sheetView>
  </sheetViews>
  <sheetFormatPr baseColWidth="10" defaultColWidth="10.26953125" defaultRowHeight="15" x14ac:dyDescent="0.4"/>
  <cols>
    <col min="1" max="1" width="5.81640625" style="1" customWidth="1"/>
    <col min="2" max="2" width="10.26953125" style="1"/>
    <col min="3" max="3" width="15.453125" style="1" customWidth="1"/>
    <col min="4" max="1024" width="10.26953125" style="1"/>
  </cols>
  <sheetData>
    <row r="13" spans="2:15" ht="12" customHeight="1" x14ac:dyDescent="0.4">
      <c r="B13" s="2"/>
      <c r="C13" s="2"/>
      <c r="D13" s="2"/>
      <c r="E13" s="3"/>
      <c r="F13" s="3"/>
      <c r="G13" s="3"/>
      <c r="H13" s="3"/>
      <c r="I13" s="3"/>
      <c r="J13" s="3"/>
      <c r="K13" s="3"/>
      <c r="L13" s="3"/>
      <c r="M13" s="3"/>
      <c r="N13" s="3"/>
    </row>
    <row r="14" spans="2:15" ht="12" customHeight="1" x14ac:dyDescent="0.4">
      <c r="B14" s="2"/>
      <c r="C14" s="2"/>
      <c r="D14" s="2"/>
      <c r="E14" s="3"/>
      <c r="F14" s="3"/>
      <c r="G14" s="3"/>
      <c r="H14" s="3"/>
      <c r="I14" s="3"/>
      <c r="J14" s="3"/>
      <c r="K14" s="3"/>
      <c r="L14" s="3"/>
      <c r="M14" s="3"/>
      <c r="N14" s="3"/>
    </row>
    <row r="15" spans="2:15" ht="47.25" customHeight="1" x14ac:dyDescent="0.4">
      <c r="B15" s="94" t="s">
        <v>0</v>
      </c>
      <c r="C15" s="94"/>
      <c r="D15" s="94"/>
      <c r="E15" s="94"/>
      <c r="F15" s="94"/>
      <c r="G15" s="94"/>
      <c r="H15" s="94"/>
      <c r="I15" s="94"/>
      <c r="J15" s="94"/>
      <c r="K15" s="94"/>
      <c r="L15" s="94"/>
      <c r="M15" s="94"/>
      <c r="N15" s="94"/>
      <c r="O15" s="4"/>
    </row>
    <row r="16" spans="2:15" ht="18.75" customHeight="1" x14ac:dyDescent="0.4">
      <c r="B16" s="5"/>
      <c r="C16" s="5"/>
      <c r="D16" s="5"/>
      <c r="E16" s="5"/>
      <c r="F16" s="5"/>
      <c r="G16" s="5"/>
      <c r="H16" s="5"/>
      <c r="I16" s="5"/>
      <c r="J16" s="5"/>
      <c r="K16" s="5"/>
      <c r="L16" s="5"/>
      <c r="M16" s="5"/>
      <c r="N16" s="5"/>
    </row>
    <row r="17" spans="2:15" ht="299.25" customHeight="1" x14ac:dyDescent="0.4">
      <c r="B17" s="95" t="s">
        <v>1</v>
      </c>
      <c r="C17" s="95"/>
      <c r="D17" s="95"/>
      <c r="E17" s="95"/>
      <c r="F17" s="95"/>
      <c r="G17" s="95"/>
      <c r="H17" s="95"/>
      <c r="I17" s="95"/>
      <c r="J17" s="95"/>
      <c r="K17" s="95"/>
      <c r="L17" s="95"/>
      <c r="M17" s="95"/>
      <c r="N17" s="95"/>
    </row>
    <row r="18" spans="2:15" ht="225.75" customHeight="1" x14ac:dyDescent="0.4">
      <c r="B18" s="96" t="s">
        <v>2</v>
      </c>
      <c r="C18" s="96"/>
      <c r="D18" s="96"/>
      <c r="E18" s="96"/>
      <c r="F18" s="96"/>
      <c r="G18" s="96"/>
      <c r="H18" s="96"/>
      <c r="I18" s="96"/>
      <c r="J18" s="96"/>
      <c r="K18" s="96"/>
      <c r="L18" s="96"/>
      <c r="M18" s="96"/>
      <c r="N18" s="96"/>
    </row>
    <row r="19" spans="2:15" ht="17.25" customHeight="1" x14ac:dyDescent="0.4">
      <c r="B19" s="6"/>
      <c r="C19" s="6"/>
      <c r="D19" s="6"/>
      <c r="E19" s="6"/>
      <c r="F19" s="6"/>
      <c r="G19" s="6"/>
      <c r="H19" s="6"/>
      <c r="I19" s="6"/>
      <c r="J19" s="6"/>
      <c r="K19" s="6"/>
      <c r="L19" s="6"/>
      <c r="M19" s="6"/>
      <c r="N19" s="6"/>
    </row>
    <row r="20" spans="2:15" ht="18" customHeight="1" x14ac:dyDescent="0.4">
      <c r="B20" s="97" t="s">
        <v>3</v>
      </c>
      <c r="C20" s="97"/>
      <c r="D20" s="98" t="s">
        <v>4</v>
      </c>
      <c r="E20" s="98"/>
      <c r="F20" s="98"/>
      <c r="G20" s="98"/>
      <c r="H20" s="98"/>
      <c r="I20" s="98"/>
      <c r="J20" s="98"/>
      <c r="K20" s="98"/>
      <c r="L20" s="98"/>
      <c r="M20" s="98"/>
      <c r="N20" s="98"/>
      <c r="O20" s="7"/>
    </row>
    <row r="21" spans="2:15" ht="28.5" customHeight="1" x14ac:dyDescent="0.4">
      <c r="B21" s="99" t="s">
        <v>5</v>
      </c>
      <c r="C21" s="99"/>
      <c r="D21" s="100" t="s">
        <v>6</v>
      </c>
      <c r="E21" s="100"/>
      <c r="F21" s="100"/>
      <c r="G21" s="100"/>
      <c r="H21" s="100"/>
      <c r="I21" s="100"/>
      <c r="J21" s="100"/>
      <c r="K21" s="100"/>
      <c r="L21" s="100"/>
      <c r="M21" s="100"/>
      <c r="N21" s="100"/>
      <c r="O21" s="8"/>
    </row>
    <row r="22" spans="2:15" ht="78" customHeight="1" x14ac:dyDescent="0.4">
      <c r="B22" s="99"/>
      <c r="C22" s="99"/>
      <c r="D22" s="101" t="s">
        <v>7</v>
      </c>
      <c r="E22" s="101"/>
      <c r="F22" s="101"/>
      <c r="G22" s="101"/>
      <c r="H22" s="101"/>
      <c r="I22" s="101"/>
      <c r="J22" s="101"/>
      <c r="K22" s="101"/>
      <c r="L22" s="101"/>
      <c r="M22" s="101"/>
      <c r="N22" s="101"/>
      <c r="O22" s="8"/>
    </row>
    <row r="23" spans="2:15" ht="12.75" customHeight="1" x14ac:dyDescent="0.4">
      <c r="B23" s="99"/>
      <c r="C23" s="99"/>
      <c r="D23" s="102" t="s">
        <v>8</v>
      </c>
      <c r="E23" s="102"/>
      <c r="F23" s="102"/>
      <c r="G23" s="102"/>
      <c r="H23" s="102"/>
      <c r="I23" s="102"/>
      <c r="J23" s="102"/>
      <c r="K23" s="102"/>
      <c r="L23" s="102"/>
      <c r="M23" s="102"/>
      <c r="N23" s="102"/>
    </row>
    <row r="24" spans="2:15" ht="176.25" customHeight="1" x14ac:dyDescent="0.4">
      <c r="B24" s="99"/>
      <c r="C24" s="99"/>
      <c r="D24" s="103" t="s">
        <v>9</v>
      </c>
      <c r="E24" s="103"/>
      <c r="F24" s="103"/>
      <c r="G24" s="103"/>
      <c r="H24" s="103"/>
      <c r="I24" s="103"/>
      <c r="J24" s="103"/>
      <c r="K24" s="103"/>
      <c r="L24" s="103"/>
      <c r="M24" s="103"/>
      <c r="N24" s="103"/>
      <c r="O24" s="8"/>
    </row>
    <row r="25" spans="2:15" ht="12.75" customHeight="1" x14ac:dyDescent="0.4">
      <c r="B25" s="9"/>
      <c r="C25" s="9"/>
      <c r="D25" s="6"/>
      <c r="E25" s="6"/>
      <c r="F25" s="6"/>
      <c r="G25" s="6"/>
      <c r="H25" s="6"/>
      <c r="I25" s="6"/>
      <c r="J25" s="6"/>
      <c r="K25" s="6"/>
      <c r="L25" s="6"/>
      <c r="M25" s="6"/>
      <c r="N25" s="6"/>
      <c r="O25" s="8"/>
    </row>
    <row r="26" spans="2:15" ht="18" customHeight="1" x14ac:dyDescent="0.4">
      <c r="B26" s="97" t="s">
        <v>3</v>
      </c>
      <c r="C26" s="97"/>
      <c r="D26" s="98" t="s">
        <v>4</v>
      </c>
      <c r="E26" s="98"/>
      <c r="F26" s="98"/>
      <c r="G26" s="98"/>
      <c r="H26" s="98"/>
      <c r="I26" s="98"/>
      <c r="J26" s="98"/>
      <c r="K26" s="98"/>
      <c r="L26" s="98"/>
      <c r="M26" s="98"/>
      <c r="N26" s="98"/>
      <c r="O26" s="7"/>
    </row>
    <row r="27" spans="2:15" ht="63.75" customHeight="1" x14ac:dyDescent="0.4">
      <c r="B27" s="104" t="s">
        <v>10</v>
      </c>
      <c r="C27" s="104"/>
      <c r="D27" s="101" t="s">
        <v>11</v>
      </c>
      <c r="E27" s="101"/>
      <c r="F27" s="101"/>
      <c r="G27" s="101"/>
      <c r="H27" s="101"/>
      <c r="I27" s="101"/>
      <c r="J27" s="101"/>
      <c r="K27" s="101"/>
      <c r="L27" s="101"/>
      <c r="M27" s="101"/>
      <c r="N27" s="101"/>
      <c r="O27" s="8"/>
    </row>
    <row r="28" spans="2:15" ht="12.75" customHeight="1" x14ac:dyDescent="0.4">
      <c r="B28" s="104"/>
      <c r="C28" s="104"/>
      <c r="D28" s="102" t="s">
        <v>8</v>
      </c>
      <c r="E28" s="102"/>
      <c r="F28" s="102"/>
      <c r="G28" s="102"/>
      <c r="H28" s="102"/>
      <c r="I28" s="102"/>
      <c r="J28" s="102"/>
      <c r="K28" s="102"/>
      <c r="L28" s="102"/>
      <c r="M28" s="102"/>
      <c r="N28" s="102"/>
    </row>
    <row r="29" spans="2:15" ht="101.25" customHeight="1" x14ac:dyDescent="0.4">
      <c r="B29" s="104"/>
      <c r="C29" s="104"/>
      <c r="D29" s="103" t="s">
        <v>12</v>
      </c>
      <c r="E29" s="103"/>
      <c r="F29" s="103"/>
      <c r="G29" s="103"/>
      <c r="H29" s="103"/>
      <c r="I29" s="103"/>
      <c r="J29" s="103"/>
      <c r="K29" s="103"/>
      <c r="L29" s="103"/>
      <c r="M29" s="103"/>
      <c r="N29" s="103"/>
      <c r="O29" s="8"/>
    </row>
    <row r="30" spans="2:15" ht="15" customHeight="1" x14ac:dyDescent="0.4">
      <c r="B30" s="9"/>
      <c r="C30" s="9"/>
      <c r="D30" s="6"/>
      <c r="E30" s="6"/>
      <c r="F30" s="6"/>
      <c r="G30" s="6"/>
      <c r="H30" s="6"/>
      <c r="I30" s="6"/>
      <c r="J30" s="6"/>
      <c r="K30" s="6"/>
      <c r="L30" s="6"/>
      <c r="M30" s="6"/>
      <c r="N30" s="6"/>
      <c r="O30" s="8"/>
    </row>
    <row r="31" spans="2:15" ht="18" customHeight="1" x14ac:dyDescent="0.4">
      <c r="B31" s="105" t="s">
        <v>3</v>
      </c>
      <c r="C31" s="105"/>
      <c r="D31" s="98" t="s">
        <v>4</v>
      </c>
      <c r="E31" s="98"/>
      <c r="F31" s="98"/>
      <c r="G31" s="98"/>
      <c r="H31" s="98"/>
      <c r="I31" s="98"/>
      <c r="J31" s="98"/>
      <c r="K31" s="98"/>
      <c r="L31" s="98"/>
      <c r="M31" s="98"/>
      <c r="N31" s="98"/>
      <c r="O31" s="7"/>
    </row>
    <row r="32" spans="2:15" ht="44.25" customHeight="1" x14ac:dyDescent="0.4">
      <c r="B32" s="99" t="s">
        <v>13</v>
      </c>
      <c r="C32" s="99"/>
      <c r="D32" s="100" t="s">
        <v>14</v>
      </c>
      <c r="E32" s="100"/>
      <c r="F32" s="100"/>
      <c r="G32" s="100"/>
      <c r="H32" s="100"/>
      <c r="I32" s="100"/>
      <c r="J32" s="100"/>
      <c r="K32" s="100"/>
      <c r="L32" s="100"/>
      <c r="M32" s="100"/>
      <c r="N32" s="100"/>
      <c r="O32" s="8"/>
    </row>
    <row r="33" spans="2:15" ht="42" customHeight="1" x14ac:dyDescent="0.4">
      <c r="B33" s="99"/>
      <c r="C33" s="99"/>
      <c r="D33" s="101" t="s">
        <v>15</v>
      </c>
      <c r="E33" s="101"/>
      <c r="F33" s="101"/>
      <c r="G33" s="101"/>
      <c r="H33" s="101"/>
      <c r="I33" s="101"/>
      <c r="J33" s="101"/>
      <c r="K33" s="101"/>
      <c r="L33" s="101"/>
      <c r="M33" s="101"/>
      <c r="N33" s="101"/>
      <c r="O33" s="8"/>
    </row>
    <row r="34" spans="2:15" ht="12.75" customHeight="1" x14ac:dyDescent="0.4">
      <c r="B34" s="99"/>
      <c r="C34" s="99"/>
      <c r="D34" s="106" t="s">
        <v>8</v>
      </c>
      <c r="E34" s="106"/>
      <c r="F34" s="106"/>
      <c r="G34" s="106"/>
      <c r="H34" s="106"/>
      <c r="I34" s="106"/>
      <c r="J34" s="106"/>
      <c r="K34" s="106"/>
      <c r="L34" s="106"/>
      <c r="M34" s="106"/>
      <c r="N34" s="106"/>
    </row>
    <row r="35" spans="2:15" ht="115.5" customHeight="1" x14ac:dyDescent="0.4">
      <c r="B35" s="99"/>
      <c r="C35" s="99"/>
      <c r="D35" s="103" t="s">
        <v>16</v>
      </c>
      <c r="E35" s="103"/>
      <c r="F35" s="103"/>
      <c r="G35" s="103"/>
      <c r="H35" s="103"/>
      <c r="I35" s="103"/>
      <c r="J35" s="103"/>
      <c r="K35" s="103"/>
      <c r="L35" s="103"/>
      <c r="M35" s="103"/>
      <c r="N35" s="103"/>
      <c r="O35" s="8"/>
    </row>
    <row r="37" spans="2:15" ht="18" customHeight="1" x14ac:dyDescent="0.4">
      <c r="B37" s="97" t="s">
        <v>3</v>
      </c>
      <c r="C37" s="97"/>
      <c r="D37" s="98" t="s">
        <v>4</v>
      </c>
      <c r="E37" s="98"/>
      <c r="F37" s="98"/>
      <c r="G37" s="98"/>
      <c r="H37" s="98"/>
      <c r="I37" s="98"/>
      <c r="J37" s="98"/>
      <c r="K37" s="98"/>
      <c r="L37" s="98"/>
      <c r="M37" s="98"/>
      <c r="N37" s="98"/>
      <c r="O37" s="7"/>
    </row>
    <row r="38" spans="2:15" ht="24.75" customHeight="1" x14ac:dyDescent="0.4">
      <c r="B38" s="99" t="s">
        <v>17</v>
      </c>
      <c r="C38" s="99"/>
      <c r="D38" s="107" t="s">
        <v>18</v>
      </c>
      <c r="E38" s="107"/>
      <c r="F38" s="107"/>
      <c r="G38" s="107"/>
      <c r="H38" s="107"/>
      <c r="I38" s="107"/>
      <c r="J38" s="107"/>
      <c r="K38" s="107"/>
      <c r="L38" s="107"/>
      <c r="M38" s="107"/>
      <c r="N38" s="107"/>
      <c r="O38" s="8"/>
    </row>
    <row r="39" spans="2:15" ht="41.25" customHeight="1" x14ac:dyDescent="0.4">
      <c r="B39" s="99"/>
      <c r="C39" s="99"/>
      <c r="D39" s="107"/>
      <c r="E39" s="107"/>
      <c r="F39" s="107"/>
      <c r="G39" s="107"/>
      <c r="H39" s="107"/>
      <c r="I39" s="107"/>
      <c r="J39" s="107"/>
      <c r="K39" s="107"/>
      <c r="L39" s="107"/>
      <c r="M39" s="107"/>
      <c r="N39" s="107"/>
      <c r="O39" s="8"/>
    </row>
    <row r="40" spans="2:15" ht="12.75" customHeight="1" x14ac:dyDescent="0.4">
      <c r="B40" s="99"/>
      <c r="C40" s="99"/>
      <c r="D40" s="106" t="s">
        <v>8</v>
      </c>
      <c r="E40" s="106"/>
      <c r="F40" s="106"/>
      <c r="G40" s="106"/>
      <c r="H40" s="106"/>
      <c r="I40" s="106"/>
      <c r="J40" s="106"/>
      <c r="K40" s="106"/>
      <c r="L40" s="106"/>
      <c r="M40" s="106"/>
      <c r="N40" s="106"/>
    </row>
    <row r="41" spans="2:15" ht="78" customHeight="1" x14ac:dyDescent="0.4">
      <c r="B41" s="99"/>
      <c r="C41" s="99"/>
      <c r="D41" s="103" t="s">
        <v>19</v>
      </c>
      <c r="E41" s="103"/>
      <c r="F41" s="103"/>
      <c r="G41" s="103"/>
      <c r="H41" s="103"/>
      <c r="I41" s="103"/>
      <c r="J41" s="103"/>
      <c r="K41" s="103"/>
      <c r="L41" s="103"/>
      <c r="M41" s="103"/>
      <c r="N41" s="103"/>
      <c r="O41" s="8"/>
    </row>
    <row r="43" spans="2:15" ht="16.5" customHeight="1" x14ac:dyDescent="0.4">
      <c r="B43" s="105" t="s">
        <v>3</v>
      </c>
      <c r="C43" s="105"/>
      <c r="D43" s="98" t="s">
        <v>4</v>
      </c>
      <c r="E43" s="98"/>
      <c r="F43" s="98"/>
      <c r="G43" s="98"/>
      <c r="H43" s="98"/>
      <c r="I43" s="98"/>
      <c r="J43" s="98"/>
      <c r="K43" s="98"/>
      <c r="L43" s="98"/>
      <c r="M43" s="98"/>
      <c r="N43" s="98"/>
    </row>
    <row r="44" spans="2:15" ht="120.75" customHeight="1" x14ac:dyDescent="0.4">
      <c r="B44" s="99" t="s">
        <v>20</v>
      </c>
      <c r="C44" s="99"/>
      <c r="D44" s="108" t="s">
        <v>21</v>
      </c>
      <c r="E44" s="108"/>
      <c r="F44" s="108"/>
      <c r="G44" s="108"/>
      <c r="H44" s="108"/>
      <c r="I44" s="108"/>
      <c r="J44" s="108"/>
      <c r="K44" s="108"/>
      <c r="L44" s="108"/>
      <c r="M44" s="108"/>
      <c r="N44" s="108"/>
    </row>
    <row r="45" spans="2:15" x14ac:dyDescent="0.4">
      <c r="B45" s="6"/>
      <c r="C45" s="6"/>
      <c r="D45" s="6"/>
      <c r="E45" s="6"/>
      <c r="F45" s="6"/>
      <c r="G45" s="6"/>
      <c r="H45" s="6"/>
      <c r="I45" s="6"/>
      <c r="J45" s="6"/>
      <c r="K45" s="6"/>
      <c r="L45" s="6"/>
      <c r="M45" s="6"/>
      <c r="N45" s="6"/>
    </row>
    <row r="46" spans="2:15" ht="16.5" customHeight="1" x14ac:dyDescent="0.4">
      <c r="B46" s="105" t="s">
        <v>3</v>
      </c>
      <c r="C46" s="105"/>
      <c r="D46" s="98" t="s">
        <v>4</v>
      </c>
      <c r="E46" s="98"/>
      <c r="F46" s="98"/>
      <c r="G46" s="98"/>
      <c r="H46" s="98"/>
      <c r="I46" s="98"/>
      <c r="J46" s="98"/>
      <c r="K46" s="98"/>
      <c r="L46" s="98"/>
      <c r="M46" s="98"/>
      <c r="N46" s="98"/>
    </row>
    <row r="47" spans="2:15" ht="155.25" customHeight="1" x14ac:dyDescent="0.4">
      <c r="B47" s="99" t="s">
        <v>22</v>
      </c>
      <c r="C47" s="99"/>
      <c r="D47" s="108" t="s">
        <v>23</v>
      </c>
      <c r="E47" s="108"/>
      <c r="F47" s="108"/>
      <c r="G47" s="108"/>
      <c r="H47" s="108"/>
      <c r="I47" s="108"/>
      <c r="J47" s="108"/>
      <c r="K47" s="108"/>
      <c r="L47" s="108"/>
      <c r="M47" s="108"/>
      <c r="N47" s="108"/>
    </row>
  </sheetData>
  <mergeCells count="37">
    <mergeCell ref="B47:C47"/>
    <mergeCell ref="D47:N47"/>
    <mergeCell ref="B43:C43"/>
    <mergeCell ref="D43:N43"/>
    <mergeCell ref="B44:C44"/>
    <mergeCell ref="D44:N44"/>
    <mergeCell ref="B46:C46"/>
    <mergeCell ref="D46:N46"/>
    <mergeCell ref="B37:C37"/>
    <mergeCell ref="D37:N37"/>
    <mergeCell ref="B38:C41"/>
    <mergeCell ref="D38:N39"/>
    <mergeCell ref="D40:N40"/>
    <mergeCell ref="D41:N41"/>
    <mergeCell ref="B31:C31"/>
    <mergeCell ref="D31:N31"/>
    <mergeCell ref="B32:C35"/>
    <mergeCell ref="D32:N32"/>
    <mergeCell ref="D33:N33"/>
    <mergeCell ref="D34:N34"/>
    <mergeCell ref="D35:N35"/>
    <mergeCell ref="B26:C26"/>
    <mergeCell ref="D26:N26"/>
    <mergeCell ref="B27:C29"/>
    <mergeCell ref="D27:N27"/>
    <mergeCell ref="D28:N28"/>
    <mergeCell ref="D29:N29"/>
    <mergeCell ref="B21:C24"/>
    <mergeCell ref="D21:N21"/>
    <mergeCell ref="D22:N22"/>
    <mergeCell ref="D23:N23"/>
    <mergeCell ref="D24:N24"/>
    <mergeCell ref="B15:N15"/>
    <mergeCell ref="B17:N17"/>
    <mergeCell ref="B18:N18"/>
    <mergeCell ref="B20:C20"/>
    <mergeCell ref="D20:N20"/>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7"/>
  <sheetViews>
    <sheetView showGridLines="0" topLeftCell="A25" zoomScaleNormal="100" workbookViewId="0">
      <selection activeCell="D26" sqref="D26"/>
    </sheetView>
  </sheetViews>
  <sheetFormatPr baseColWidth="10" defaultColWidth="10.26953125" defaultRowHeight="15" x14ac:dyDescent="0.4"/>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1024" width="10.26953125" style="1"/>
  </cols>
  <sheetData>
    <row r="12" spans="2:14" ht="23.25" customHeight="1" x14ac:dyDescent="0.4">
      <c r="B12" s="109" t="s">
        <v>24</v>
      </c>
      <c r="C12" s="109"/>
      <c r="D12" s="109"/>
      <c r="E12" s="109"/>
      <c r="F12" s="109"/>
      <c r="G12" s="109"/>
    </row>
    <row r="13" spans="2:14" ht="33.75" customHeight="1" x14ac:dyDescent="0.4">
      <c r="B13" s="110" t="s">
        <v>25</v>
      </c>
      <c r="C13" s="110"/>
      <c r="D13" s="110"/>
      <c r="E13" s="110"/>
      <c r="F13" s="110"/>
      <c r="G13" s="110"/>
      <c r="H13" s="10"/>
      <c r="I13" s="10"/>
      <c r="J13" s="10"/>
      <c r="K13" s="10"/>
      <c r="L13" s="10"/>
      <c r="M13" s="10"/>
      <c r="N13" s="10"/>
    </row>
    <row r="14" spans="2:14" ht="45.75" customHeight="1" x14ac:dyDescent="0.4">
      <c r="B14" s="110" t="s">
        <v>26</v>
      </c>
      <c r="C14" s="110"/>
      <c r="D14" s="110"/>
      <c r="E14" s="110"/>
      <c r="F14" s="110"/>
      <c r="G14" s="110"/>
      <c r="H14" s="10"/>
      <c r="I14" s="10"/>
      <c r="J14" s="10"/>
      <c r="K14" s="10"/>
      <c r="L14" s="10"/>
      <c r="M14" s="10"/>
      <c r="N14" s="10"/>
    </row>
    <row r="15" spans="2:14" ht="25.5" customHeight="1" x14ac:dyDescent="0.4">
      <c r="B15" s="110" t="s">
        <v>27</v>
      </c>
      <c r="C15" s="110"/>
      <c r="D15" s="110"/>
      <c r="E15" s="110"/>
      <c r="F15" s="110"/>
      <c r="G15" s="110"/>
      <c r="H15" s="10"/>
      <c r="I15" s="10"/>
      <c r="J15" s="10"/>
      <c r="K15" s="10"/>
      <c r="L15" s="10"/>
      <c r="M15" s="10"/>
      <c r="N15" s="10"/>
    </row>
    <row r="18" spans="3:6" ht="19.5" customHeight="1" x14ac:dyDescent="0.4">
      <c r="C18" s="11" t="s">
        <v>28</v>
      </c>
      <c r="D18" s="11" t="s">
        <v>29</v>
      </c>
      <c r="E18" s="11" t="s">
        <v>30</v>
      </c>
      <c r="F18" s="11" t="s">
        <v>31</v>
      </c>
    </row>
    <row r="19" spans="3:6" ht="36" customHeight="1" x14ac:dyDescent="0.4">
      <c r="C19" s="12" t="s">
        <v>32</v>
      </c>
      <c r="D19" s="13" t="s">
        <v>33</v>
      </c>
      <c r="E19" s="14" t="s">
        <v>34</v>
      </c>
      <c r="F19" s="15">
        <v>45652</v>
      </c>
    </row>
    <row r="20" spans="3:6" ht="28.5" hidden="1" customHeight="1" x14ac:dyDescent="0.4">
      <c r="C20" s="12" t="s">
        <v>35</v>
      </c>
      <c r="D20" s="13" t="s">
        <v>36</v>
      </c>
      <c r="E20" s="14"/>
      <c r="F20" s="15"/>
    </row>
    <row r="21" spans="3:6" ht="41.25" hidden="1" customHeight="1" x14ac:dyDescent="0.4">
      <c r="C21" s="16" t="s">
        <v>37</v>
      </c>
      <c r="D21" s="17" t="s">
        <v>38</v>
      </c>
      <c r="E21" s="14"/>
      <c r="F21" s="15"/>
    </row>
    <row r="22" spans="3:6" ht="18" hidden="1" customHeight="1" x14ac:dyDescent="0.4">
      <c r="C22" s="12" t="s">
        <v>39</v>
      </c>
      <c r="D22" s="13" t="s">
        <v>40</v>
      </c>
      <c r="E22" s="14"/>
      <c r="F22" s="15"/>
    </row>
    <row r="23" spans="3:6" ht="43.5" x14ac:dyDescent="0.4">
      <c r="C23" s="12" t="s">
        <v>41</v>
      </c>
      <c r="D23" s="13" t="s">
        <v>42</v>
      </c>
      <c r="E23" s="14" t="s">
        <v>43</v>
      </c>
      <c r="F23" s="15">
        <v>45652</v>
      </c>
    </row>
    <row r="24" spans="3:6" ht="29" x14ac:dyDescent="0.4">
      <c r="C24" s="12" t="s">
        <v>44</v>
      </c>
      <c r="D24" s="13" t="s">
        <v>45</v>
      </c>
      <c r="E24" s="14" t="s">
        <v>34</v>
      </c>
      <c r="F24" s="15">
        <v>45820</v>
      </c>
    </row>
    <row r="25" spans="3:6" ht="101.5" x14ac:dyDescent="0.4">
      <c r="C25" s="12" t="s">
        <v>46</v>
      </c>
      <c r="D25" s="13" t="s">
        <v>47</v>
      </c>
      <c r="E25" s="14" t="s">
        <v>34</v>
      </c>
      <c r="F25" s="15">
        <v>45821</v>
      </c>
    </row>
    <row r="26" spans="3:6" ht="87" x14ac:dyDescent="0.4">
      <c r="C26" s="69" t="s">
        <v>291</v>
      </c>
      <c r="D26" s="70" t="s">
        <v>292</v>
      </c>
      <c r="E26" s="71" t="s">
        <v>34</v>
      </c>
      <c r="F26" s="72">
        <v>45854</v>
      </c>
    </row>
    <row r="27" spans="3:6" ht="29" x14ac:dyDescent="0.4">
      <c r="C27" s="12" t="s">
        <v>48</v>
      </c>
      <c r="D27" s="13" t="s">
        <v>49</v>
      </c>
      <c r="E27" s="14" t="s">
        <v>50</v>
      </c>
      <c r="F27" s="15"/>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AMK58"/>
  <sheetViews>
    <sheetView topLeftCell="A29" zoomScale="90" zoomScaleNormal="90" zoomScaleSheetLayoutView="80" workbookViewId="0">
      <selection activeCell="B47" sqref="B47"/>
    </sheetView>
  </sheetViews>
  <sheetFormatPr baseColWidth="10" defaultColWidth="10.90625" defaultRowHeight="16.5" x14ac:dyDescent="0.45"/>
  <cols>
    <col min="2" max="2" width="7" style="18" customWidth="1"/>
    <col min="3" max="3" width="95" style="18" customWidth="1"/>
    <col min="4" max="4" width="70.6328125" style="18" customWidth="1"/>
    <col min="5" max="1025" width="10.90625" style="18"/>
  </cols>
  <sheetData>
    <row r="10" spans="2:8" x14ac:dyDescent="0.45">
      <c r="C10" s="19" t="s">
        <v>51</v>
      </c>
      <c r="D10" s="20"/>
      <c r="E10" s="20"/>
      <c r="F10" s="20"/>
      <c r="G10" s="20"/>
      <c r="H10" s="20"/>
    </row>
    <row r="11" spans="2:8" x14ac:dyDescent="0.45">
      <c r="C11" s="19" t="s">
        <v>5</v>
      </c>
      <c r="D11" s="19" t="s">
        <v>52</v>
      </c>
      <c r="E11" s="20"/>
      <c r="F11" s="20"/>
      <c r="G11" s="20"/>
      <c r="H11" s="20"/>
    </row>
    <row r="12" spans="2:8" x14ac:dyDescent="0.45">
      <c r="C12" s="21"/>
    </row>
    <row r="13" spans="2:8" x14ac:dyDescent="0.45">
      <c r="B13" s="73" t="s">
        <v>53</v>
      </c>
      <c r="C13" s="73" t="s">
        <v>54</v>
      </c>
      <c r="D13" s="74" t="s">
        <v>293</v>
      </c>
    </row>
    <row r="14" spans="2:8" x14ac:dyDescent="0.45">
      <c r="B14" s="73" t="s">
        <v>55</v>
      </c>
      <c r="C14" s="73" t="s">
        <v>56</v>
      </c>
      <c r="D14" s="74" t="s">
        <v>293</v>
      </c>
    </row>
    <row r="15" spans="2:8" x14ac:dyDescent="0.45">
      <c r="B15" s="73" t="s">
        <v>57</v>
      </c>
      <c r="C15" s="73" t="s">
        <v>58</v>
      </c>
      <c r="D15" s="74" t="s">
        <v>293</v>
      </c>
    </row>
    <row r="16" spans="2:8" x14ac:dyDescent="0.45">
      <c r="B16" s="73" t="s">
        <v>59</v>
      </c>
      <c r="C16" s="73" t="s">
        <v>60</v>
      </c>
      <c r="D16" s="74" t="s">
        <v>293</v>
      </c>
    </row>
    <row r="17" spans="2:4" x14ac:dyDescent="0.45">
      <c r="B17" s="73" t="s">
        <v>61</v>
      </c>
      <c r="C17" s="73" t="s">
        <v>62</v>
      </c>
      <c r="D17" s="74" t="s">
        <v>293</v>
      </c>
    </row>
    <row r="18" spans="2:4" x14ac:dyDescent="0.45">
      <c r="B18" s="73" t="s">
        <v>63</v>
      </c>
      <c r="C18" s="73" t="s">
        <v>64</v>
      </c>
      <c r="D18" s="74" t="s">
        <v>293</v>
      </c>
    </row>
    <row r="19" spans="2:4" x14ac:dyDescent="0.45">
      <c r="B19" s="75" t="s">
        <v>65</v>
      </c>
      <c r="C19" s="75" t="s">
        <v>66</v>
      </c>
      <c r="D19" s="76" t="s">
        <v>294</v>
      </c>
    </row>
    <row r="20" spans="2:4" x14ac:dyDescent="0.45">
      <c r="B20" s="75" t="s">
        <v>67</v>
      </c>
      <c r="C20" s="75" t="s">
        <v>68</v>
      </c>
      <c r="D20" s="76" t="s">
        <v>294</v>
      </c>
    </row>
    <row r="21" spans="2:4" x14ac:dyDescent="0.45">
      <c r="B21" s="75" t="s">
        <v>69</v>
      </c>
      <c r="C21" s="75" t="s">
        <v>70</v>
      </c>
      <c r="D21" s="76" t="s">
        <v>294</v>
      </c>
    </row>
    <row r="22" spans="2:4" x14ac:dyDescent="0.45">
      <c r="B22" s="75" t="s">
        <v>71</v>
      </c>
      <c r="C22" s="75" t="s">
        <v>72</v>
      </c>
      <c r="D22" s="76" t="s">
        <v>294</v>
      </c>
    </row>
    <row r="23" spans="2:4" x14ac:dyDescent="0.45">
      <c r="B23" s="73" t="s">
        <v>73</v>
      </c>
      <c r="C23" s="73" t="s">
        <v>74</v>
      </c>
      <c r="D23" s="74" t="s">
        <v>294</v>
      </c>
    </row>
    <row r="24" spans="2:4" x14ac:dyDescent="0.45">
      <c r="B24" s="73" t="s">
        <v>75</v>
      </c>
      <c r="C24" s="73" t="s">
        <v>76</v>
      </c>
      <c r="D24" s="74" t="s">
        <v>294</v>
      </c>
    </row>
    <row r="25" spans="2:4" x14ac:dyDescent="0.45">
      <c r="B25" s="73" t="s">
        <v>77</v>
      </c>
      <c r="C25" s="73" t="s">
        <v>78</v>
      </c>
      <c r="D25" s="74" t="s">
        <v>294</v>
      </c>
    </row>
    <row r="26" spans="2:4" x14ac:dyDescent="0.45">
      <c r="B26" s="73" t="s">
        <v>79</v>
      </c>
      <c r="C26" s="73" t="s">
        <v>80</v>
      </c>
      <c r="D26" s="74" t="s">
        <v>294</v>
      </c>
    </row>
    <row r="27" spans="2:4" x14ac:dyDescent="0.45">
      <c r="B27" s="73" t="s">
        <v>411</v>
      </c>
      <c r="C27" s="73" t="s">
        <v>82</v>
      </c>
      <c r="D27" s="74" t="s">
        <v>294</v>
      </c>
    </row>
    <row r="28" spans="2:4" x14ac:dyDescent="0.45">
      <c r="B28" s="73" t="s">
        <v>81</v>
      </c>
      <c r="C28" s="73" t="s">
        <v>84</v>
      </c>
      <c r="D28" s="74" t="s">
        <v>294</v>
      </c>
    </row>
    <row r="29" spans="2:4" x14ac:dyDescent="0.45">
      <c r="B29" s="73" t="s">
        <v>83</v>
      </c>
      <c r="C29" s="73" t="s">
        <v>86</v>
      </c>
      <c r="D29" s="74" t="s">
        <v>294</v>
      </c>
    </row>
    <row r="30" spans="2:4" x14ac:dyDescent="0.45">
      <c r="B30" s="73" t="s">
        <v>85</v>
      </c>
      <c r="C30" s="73" t="s">
        <v>88</v>
      </c>
      <c r="D30" s="74" t="s">
        <v>294</v>
      </c>
    </row>
    <row r="31" spans="2:4" x14ac:dyDescent="0.45">
      <c r="B31" s="73" t="s">
        <v>87</v>
      </c>
      <c r="C31" s="73" t="s">
        <v>90</v>
      </c>
      <c r="D31" s="74" t="s">
        <v>294</v>
      </c>
    </row>
    <row r="32" spans="2:4" x14ac:dyDescent="0.45">
      <c r="B32" s="73" t="s">
        <v>89</v>
      </c>
      <c r="C32" s="73" t="s">
        <v>92</v>
      </c>
      <c r="D32" s="74" t="s">
        <v>294</v>
      </c>
    </row>
    <row r="33" spans="2:4" x14ac:dyDescent="0.45">
      <c r="B33" s="73" t="s">
        <v>91</v>
      </c>
      <c r="C33" s="73" t="s">
        <v>94</v>
      </c>
      <c r="D33" s="74" t="s">
        <v>294</v>
      </c>
    </row>
    <row r="34" spans="2:4" x14ac:dyDescent="0.45">
      <c r="B34" s="73" t="s">
        <v>93</v>
      </c>
      <c r="C34" s="73" t="s">
        <v>96</v>
      </c>
      <c r="D34" s="74" t="s">
        <v>293</v>
      </c>
    </row>
    <row r="35" spans="2:4" x14ac:dyDescent="0.45">
      <c r="B35" s="73" t="s">
        <v>95</v>
      </c>
      <c r="C35" s="73" t="s">
        <v>98</v>
      </c>
      <c r="D35" s="74" t="s">
        <v>293</v>
      </c>
    </row>
    <row r="36" spans="2:4" x14ac:dyDescent="0.45">
      <c r="B36" s="73" t="s">
        <v>97</v>
      </c>
      <c r="C36" s="73" t="s">
        <v>100</v>
      </c>
      <c r="D36" s="74" t="s">
        <v>294</v>
      </c>
    </row>
    <row r="37" spans="2:4" x14ac:dyDescent="0.45">
      <c r="B37" s="73" t="s">
        <v>99</v>
      </c>
      <c r="C37" s="73" t="s">
        <v>102</v>
      </c>
      <c r="D37" s="74" t="s">
        <v>295</v>
      </c>
    </row>
    <row r="38" spans="2:4" x14ac:dyDescent="0.45">
      <c r="B38" s="73" t="s">
        <v>101</v>
      </c>
      <c r="C38" s="73" t="s">
        <v>104</v>
      </c>
      <c r="D38" s="74" t="s">
        <v>293</v>
      </c>
    </row>
    <row r="39" spans="2:4" x14ac:dyDescent="0.45">
      <c r="B39" s="73" t="s">
        <v>103</v>
      </c>
      <c r="C39" s="73" t="s">
        <v>106</v>
      </c>
      <c r="D39" s="74" t="s">
        <v>293</v>
      </c>
    </row>
    <row r="40" spans="2:4" x14ac:dyDescent="0.45">
      <c r="B40" s="73" t="s">
        <v>105</v>
      </c>
      <c r="C40" s="73" t="s">
        <v>108</v>
      </c>
      <c r="D40" s="74" t="s">
        <v>293</v>
      </c>
    </row>
    <row r="41" spans="2:4" x14ac:dyDescent="0.45">
      <c r="B41" s="73" t="s">
        <v>107</v>
      </c>
      <c r="C41" s="73" t="s">
        <v>110</v>
      </c>
      <c r="D41" s="74" t="s">
        <v>293</v>
      </c>
    </row>
    <row r="42" spans="2:4" x14ac:dyDescent="0.45">
      <c r="B42" s="73" t="s">
        <v>109</v>
      </c>
      <c r="C42" s="73" t="s">
        <v>111</v>
      </c>
      <c r="D42" s="74" t="s">
        <v>293</v>
      </c>
    </row>
    <row r="43" spans="2:4" x14ac:dyDescent="0.45">
      <c r="B43" s="73" t="s">
        <v>424</v>
      </c>
      <c r="C43" s="73" t="s">
        <v>451</v>
      </c>
      <c r="D43" s="74" t="s">
        <v>293</v>
      </c>
    </row>
    <row r="44" spans="2:4" x14ac:dyDescent="0.45">
      <c r="B44" s="73" t="s">
        <v>452</v>
      </c>
      <c r="C44" s="73" t="s">
        <v>431</v>
      </c>
      <c r="D44" s="74" t="s">
        <v>293</v>
      </c>
    </row>
    <row r="45" spans="2:4" x14ac:dyDescent="0.45">
      <c r="B45" s="73" t="s">
        <v>453</v>
      </c>
      <c r="C45" s="73" t="s">
        <v>440</v>
      </c>
      <c r="D45" s="74" t="s">
        <v>293</v>
      </c>
    </row>
    <row r="46" spans="2:4" x14ac:dyDescent="0.45">
      <c r="B46" s="73" t="s">
        <v>457</v>
      </c>
      <c r="C46" s="73" t="s">
        <v>458</v>
      </c>
      <c r="D46" s="74" t="s">
        <v>293</v>
      </c>
    </row>
    <row r="47" spans="2:4" x14ac:dyDescent="0.45">
      <c r="C47" s="21"/>
    </row>
    <row r="48" spans="2:4" x14ac:dyDescent="0.45">
      <c r="C48" s="21"/>
    </row>
    <row r="49" spans="3:3" x14ac:dyDescent="0.45">
      <c r="C49" s="21"/>
    </row>
    <row r="50" spans="3:3" x14ac:dyDescent="0.45">
      <c r="C50" s="21"/>
    </row>
    <row r="51" spans="3:3" x14ac:dyDescent="0.45">
      <c r="C51" s="21"/>
    </row>
    <row r="52" spans="3:3" x14ac:dyDescent="0.45">
      <c r="C52" s="21"/>
    </row>
    <row r="53" spans="3:3" x14ac:dyDescent="0.45">
      <c r="C53" s="21"/>
    </row>
    <row r="54" spans="3:3" x14ac:dyDescent="0.45">
      <c r="C54" s="21"/>
    </row>
    <row r="55" spans="3:3" x14ac:dyDescent="0.45">
      <c r="C55" s="21"/>
    </row>
    <row r="56" spans="3:3" x14ac:dyDescent="0.45">
      <c r="C56" s="21"/>
    </row>
    <row r="57" spans="3:3" x14ac:dyDescent="0.45">
      <c r="C57" s="21"/>
    </row>
    <row r="58" spans="3:3" x14ac:dyDescent="0.45">
      <c r="C58" s="21"/>
    </row>
  </sheetData>
  <pageMargins left="0.7" right="0.7" top="0.75" bottom="0.75" header="0.511811023622047" footer="0.511811023622047"/>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E392"/>
  <sheetViews>
    <sheetView showGridLines="0" tabSelected="1" zoomScale="55" zoomScaleNormal="55" zoomScalePageLayoutView="50" workbookViewId="0">
      <selection activeCell="C230" sqref="C230"/>
    </sheetView>
  </sheetViews>
  <sheetFormatPr baseColWidth="10" defaultColWidth="10.26953125" defaultRowHeight="16.5" x14ac:dyDescent="0.45"/>
  <cols>
    <col min="1" max="1" width="29.26953125" style="22" customWidth="1"/>
    <col min="2" max="2" width="6" style="22" customWidth="1"/>
    <col min="3" max="3" width="50.08984375" style="22" customWidth="1"/>
    <col min="4" max="4" width="13.1796875" style="22" customWidth="1"/>
    <col min="5" max="5" width="44.26953125" style="22" customWidth="1"/>
    <col min="6" max="6" width="56.81640625" style="22" customWidth="1"/>
    <col min="7" max="7" width="51" style="22" customWidth="1"/>
    <col min="8" max="8" width="26.26953125" style="22" customWidth="1"/>
    <col min="9" max="9" width="29.54296875" style="22" customWidth="1"/>
    <col min="10" max="1019" width="10.26953125" style="22"/>
  </cols>
  <sheetData>
    <row r="1" spans="1:11" x14ac:dyDescent="0.45">
      <c r="J1" s="78"/>
      <c r="K1" s="78"/>
    </row>
    <row r="2" spans="1:11" x14ac:dyDescent="0.45">
      <c r="J2" s="78"/>
      <c r="K2" s="78"/>
    </row>
    <row r="3" spans="1:11" x14ac:dyDescent="0.45">
      <c r="J3" s="78"/>
      <c r="K3" s="78"/>
    </row>
    <row r="4" spans="1:11" x14ac:dyDescent="0.45">
      <c r="J4" s="78"/>
      <c r="K4" s="78"/>
    </row>
    <row r="5" spans="1:11" x14ac:dyDescent="0.45">
      <c r="J5" s="78"/>
      <c r="K5" s="78"/>
    </row>
    <row r="6" spans="1:11" x14ac:dyDescent="0.45">
      <c r="J6" s="78"/>
      <c r="K6" s="78"/>
    </row>
    <row r="7" spans="1:11" x14ac:dyDescent="0.45">
      <c r="J7" s="78"/>
      <c r="K7" s="78"/>
    </row>
    <row r="8" spans="1:11" x14ac:dyDescent="0.45">
      <c r="J8" s="78"/>
      <c r="K8" s="78"/>
    </row>
    <row r="9" spans="1:11" x14ac:dyDescent="0.45">
      <c r="J9" s="78"/>
      <c r="K9" s="78"/>
    </row>
    <row r="10" spans="1:11" s="21" customFormat="1" ht="25.5" customHeight="1" x14ac:dyDescent="0.4">
      <c r="D10" s="92" t="s">
        <v>5</v>
      </c>
      <c r="E10" s="92"/>
      <c r="J10" s="25"/>
      <c r="K10" s="25"/>
    </row>
    <row r="11" spans="1:11" s="21" customFormat="1" ht="25.5" customHeight="1" x14ac:dyDescent="0.4">
      <c r="J11" s="25"/>
      <c r="K11" s="25"/>
    </row>
    <row r="12" spans="1:11" s="21" customFormat="1" ht="24" customHeight="1" x14ac:dyDescent="0.4">
      <c r="A12" s="89" t="s">
        <v>112</v>
      </c>
      <c r="B12" s="89"/>
      <c r="C12" s="93"/>
      <c r="D12" s="93"/>
      <c r="E12" s="23"/>
      <c r="F12" s="23"/>
      <c r="G12" s="23"/>
      <c r="J12" s="25"/>
      <c r="K12" s="25"/>
    </row>
    <row r="13" spans="1:11" s="21" customFormat="1" ht="23.25" customHeight="1" x14ac:dyDescent="0.4">
      <c r="A13" s="89" t="s">
        <v>113</v>
      </c>
      <c r="B13" s="89"/>
      <c r="C13" s="90" t="s">
        <v>114</v>
      </c>
      <c r="D13" s="90"/>
      <c r="E13" s="23"/>
      <c r="F13" s="23"/>
      <c r="G13" s="23"/>
      <c r="J13" s="25"/>
      <c r="K13" s="25"/>
    </row>
    <row r="14" spans="1:11" s="21" customFormat="1" ht="28.5" customHeight="1" x14ac:dyDescent="0.4">
      <c r="A14" s="89" t="s">
        <v>115</v>
      </c>
      <c r="B14" s="89"/>
      <c r="C14" s="90" t="s">
        <v>116</v>
      </c>
      <c r="D14" s="90"/>
      <c r="E14" s="23"/>
      <c r="F14" s="23"/>
      <c r="G14" s="23"/>
      <c r="H14" s="25"/>
      <c r="J14" s="25"/>
      <c r="K14" s="25"/>
    </row>
    <row r="15" spans="1:11" s="21" customFormat="1" ht="30" customHeight="1" x14ac:dyDescent="0.4">
      <c r="A15" s="91" t="s">
        <v>117</v>
      </c>
      <c r="B15" s="91"/>
      <c r="C15" s="91"/>
      <c r="D15" s="26"/>
      <c r="E15" s="26"/>
      <c r="F15" s="26"/>
      <c r="G15" s="26"/>
      <c r="J15" s="25"/>
      <c r="K15" s="25"/>
    </row>
    <row r="16" spans="1:11" s="27" customFormat="1" ht="13.5" customHeight="1" x14ac:dyDescent="0.4">
      <c r="J16" s="79"/>
      <c r="K16" s="79"/>
    </row>
    <row r="17" spans="1:12" s="21" customFormat="1" ht="59.25" customHeight="1" x14ac:dyDescent="0.4">
      <c r="A17" s="28" t="s">
        <v>118</v>
      </c>
      <c r="B17" s="28" t="s">
        <v>119</v>
      </c>
      <c r="C17" s="29" t="s">
        <v>120</v>
      </c>
      <c r="D17" s="29" t="s">
        <v>121</v>
      </c>
      <c r="E17" s="29" t="s">
        <v>122</v>
      </c>
      <c r="F17" s="29" t="s">
        <v>123</v>
      </c>
      <c r="G17" s="29" t="s">
        <v>124</v>
      </c>
      <c r="H17" s="30" t="s">
        <v>125</v>
      </c>
      <c r="I17" s="28" t="s">
        <v>126</v>
      </c>
      <c r="J17" s="25"/>
      <c r="K17" s="25"/>
    </row>
    <row r="18" spans="1:12" s="21" customFormat="1" ht="300" hidden="1" customHeight="1" x14ac:dyDescent="0.4">
      <c r="A18" s="31" t="s">
        <v>127</v>
      </c>
      <c r="B18" s="31"/>
      <c r="C18" s="31" t="s">
        <v>128</v>
      </c>
      <c r="D18" s="31" t="s">
        <v>129</v>
      </c>
      <c r="E18" s="31" t="s">
        <v>130</v>
      </c>
      <c r="F18" s="31" t="s">
        <v>131</v>
      </c>
      <c r="G18" s="31" t="s">
        <v>132</v>
      </c>
      <c r="H18" s="32" t="s">
        <v>133</v>
      </c>
      <c r="I18" s="32" t="s">
        <v>134</v>
      </c>
      <c r="J18" s="25"/>
      <c r="K18" s="25"/>
    </row>
    <row r="19" spans="1:12" s="23" customFormat="1" ht="16.5" customHeight="1" x14ac:dyDescent="0.35">
      <c r="A19" s="33"/>
      <c r="B19" s="33" t="s">
        <v>53</v>
      </c>
      <c r="C19" s="80" t="s">
        <v>297</v>
      </c>
      <c r="D19" s="35"/>
      <c r="E19" s="36"/>
      <c r="F19" s="36"/>
      <c r="G19" s="36"/>
      <c r="H19" s="35"/>
      <c r="I19" s="37"/>
      <c r="J19" s="25"/>
      <c r="K19" s="25"/>
    </row>
    <row r="20" spans="1:12" s="23" customFormat="1" ht="116.25" customHeight="1" x14ac:dyDescent="0.35">
      <c r="A20" s="14" t="s">
        <v>135</v>
      </c>
      <c r="B20" s="14"/>
      <c r="C20" s="24"/>
      <c r="D20" s="38">
        <v>1</v>
      </c>
      <c r="E20" s="39" t="s">
        <v>136</v>
      </c>
      <c r="F20" s="39" t="s">
        <v>137</v>
      </c>
      <c r="G20" s="39" t="s">
        <v>138</v>
      </c>
      <c r="H20" s="38" t="s">
        <v>139</v>
      </c>
      <c r="I20" s="24" t="s">
        <v>140</v>
      </c>
      <c r="J20" s="25" cm="1">
        <f t="array" ref="J20:K20">LEN(F20:G20)</f>
        <v>120</v>
      </c>
      <c r="K20" s="25">
        <v>83</v>
      </c>
      <c r="L20" s="23">
        <f>+J20+K20</f>
        <v>203</v>
      </c>
    </row>
    <row r="21" spans="1:12" s="23" customFormat="1" ht="93.75" customHeight="1" x14ac:dyDescent="0.35">
      <c r="A21" s="14" t="s">
        <v>135</v>
      </c>
      <c r="B21" s="14"/>
      <c r="C21" s="24"/>
      <c r="D21" s="38">
        <v>2</v>
      </c>
      <c r="E21" s="39" t="s">
        <v>141</v>
      </c>
      <c r="F21" s="39" t="s">
        <v>142</v>
      </c>
      <c r="G21" s="39" t="s">
        <v>143</v>
      </c>
      <c r="H21" s="38"/>
      <c r="I21" s="24"/>
      <c r="J21" s="25" cm="1">
        <f t="array" ref="J21:K21">LEN(F21:G21)</f>
        <v>101</v>
      </c>
      <c r="K21" s="25">
        <v>152</v>
      </c>
      <c r="L21" s="23">
        <f t="shared" ref="L21:L84" si="0">+J21+K21</f>
        <v>253</v>
      </c>
    </row>
    <row r="22" spans="1:12" s="21" customFormat="1" ht="43.5" x14ac:dyDescent="0.4">
      <c r="A22" s="14" t="s">
        <v>135</v>
      </c>
      <c r="B22" s="14"/>
      <c r="C22" s="24"/>
      <c r="D22" s="38">
        <v>3</v>
      </c>
      <c r="E22" s="39" t="s">
        <v>144</v>
      </c>
      <c r="F22" s="39" t="s">
        <v>145</v>
      </c>
      <c r="G22" s="39"/>
      <c r="H22" s="38"/>
      <c r="I22" s="24"/>
      <c r="J22" s="25" cm="1">
        <f t="array" ref="J22:K22">LEN(F22:G22)</f>
        <v>68</v>
      </c>
      <c r="K22" s="25">
        <v>0</v>
      </c>
      <c r="L22" s="23">
        <f t="shared" si="0"/>
        <v>68</v>
      </c>
    </row>
    <row r="23" spans="1:12" s="21" customFormat="1" ht="409.5" x14ac:dyDescent="0.4">
      <c r="A23" s="14" t="s">
        <v>135</v>
      </c>
      <c r="B23" s="14"/>
      <c r="C23" s="24"/>
      <c r="D23" s="38">
        <v>4</v>
      </c>
      <c r="E23" s="39" t="s">
        <v>146</v>
      </c>
      <c r="F23" s="39" t="s">
        <v>413</v>
      </c>
      <c r="G23" s="39" t="s">
        <v>416</v>
      </c>
      <c r="H23" s="38"/>
      <c r="I23" s="24"/>
      <c r="J23" s="25" cm="1">
        <f t="array" ref="J23:K23">LEN(F23:G23)</f>
        <v>748</v>
      </c>
      <c r="K23" s="25">
        <v>452</v>
      </c>
      <c r="L23" s="23">
        <f t="shared" si="0"/>
        <v>1200</v>
      </c>
    </row>
    <row r="24" spans="1:12" s="21" customFormat="1" ht="43.5" x14ac:dyDescent="0.4">
      <c r="A24" s="14" t="s">
        <v>135</v>
      </c>
      <c r="B24" s="14"/>
      <c r="C24" s="24"/>
      <c r="D24" s="38">
        <v>5</v>
      </c>
      <c r="E24" s="39" t="s">
        <v>147</v>
      </c>
      <c r="F24" s="39" t="s">
        <v>148</v>
      </c>
      <c r="G24" s="39"/>
      <c r="H24" s="38"/>
      <c r="I24" s="24"/>
      <c r="J24" s="25" cm="1">
        <f t="array" ref="J24:K24">LEN(F24:G24)</f>
        <v>68</v>
      </c>
      <c r="K24" s="25">
        <v>0</v>
      </c>
      <c r="L24" s="23">
        <f t="shared" si="0"/>
        <v>68</v>
      </c>
    </row>
    <row r="25" spans="1:12" s="21" customFormat="1" ht="14.5" x14ac:dyDescent="0.4">
      <c r="A25" s="33"/>
      <c r="B25" s="86" t="s">
        <v>55</v>
      </c>
      <c r="C25" s="85" t="s">
        <v>298</v>
      </c>
      <c r="D25" s="35"/>
      <c r="E25" s="36"/>
      <c r="F25" s="36"/>
      <c r="G25" s="36"/>
      <c r="H25" s="35"/>
      <c r="I25" s="40"/>
      <c r="J25" s="25" cm="1">
        <f t="array" ref="J25:K25">LEN(F25:G25)</f>
        <v>0</v>
      </c>
      <c r="K25" s="25">
        <v>0</v>
      </c>
      <c r="L25" s="23">
        <f t="shared" si="0"/>
        <v>0</v>
      </c>
    </row>
    <row r="26" spans="1:12" s="21" customFormat="1" ht="123" customHeight="1" x14ac:dyDescent="0.4">
      <c r="A26" s="14" t="s">
        <v>135</v>
      </c>
      <c r="B26" s="14"/>
      <c r="C26" s="24"/>
      <c r="D26" s="38">
        <v>1</v>
      </c>
      <c r="E26" s="39" t="s">
        <v>136</v>
      </c>
      <c r="F26" s="39" t="s">
        <v>137</v>
      </c>
      <c r="G26" s="39" t="s">
        <v>138</v>
      </c>
      <c r="H26" s="38" t="s">
        <v>139</v>
      </c>
      <c r="I26" s="24" t="s">
        <v>149</v>
      </c>
      <c r="J26" s="25" cm="1">
        <f t="array" ref="J26:K26">LEN(F26:G26)</f>
        <v>120</v>
      </c>
      <c r="K26" s="25">
        <v>83</v>
      </c>
      <c r="L26" s="23">
        <f t="shared" si="0"/>
        <v>203</v>
      </c>
    </row>
    <row r="27" spans="1:12" s="21" customFormat="1" ht="165" customHeight="1" x14ac:dyDescent="0.4">
      <c r="A27" s="14" t="s">
        <v>135</v>
      </c>
      <c r="B27" s="14"/>
      <c r="C27" s="24"/>
      <c r="D27" s="38">
        <v>2</v>
      </c>
      <c r="E27" s="39" t="s">
        <v>150</v>
      </c>
      <c r="F27" s="39" t="s">
        <v>394</v>
      </c>
      <c r="G27" s="39"/>
      <c r="H27" s="38"/>
      <c r="I27" s="24"/>
      <c r="J27" s="25" cm="1">
        <f t="array" ref="J27:K27">LEN(F27:G27)</f>
        <v>295</v>
      </c>
      <c r="K27" s="25">
        <v>0</v>
      </c>
      <c r="L27" s="23">
        <f t="shared" si="0"/>
        <v>295</v>
      </c>
    </row>
    <row r="28" spans="1:12" s="21" customFormat="1" ht="261" x14ac:dyDescent="0.4">
      <c r="A28" s="14" t="s">
        <v>135</v>
      </c>
      <c r="B28" s="14"/>
      <c r="C28" s="24"/>
      <c r="D28" s="38">
        <v>3</v>
      </c>
      <c r="E28" s="39" t="s">
        <v>152</v>
      </c>
      <c r="F28" s="39" t="s">
        <v>153</v>
      </c>
      <c r="G28" s="39"/>
      <c r="H28" s="38"/>
      <c r="I28" s="24"/>
      <c r="J28" s="25" cm="1">
        <f t="array" ref="J28:K28">LEN(F28:G28)</f>
        <v>52</v>
      </c>
      <c r="K28" s="25">
        <v>0</v>
      </c>
      <c r="L28" s="23">
        <f t="shared" si="0"/>
        <v>52</v>
      </c>
    </row>
    <row r="29" spans="1:12" s="21" customFormat="1" ht="409.5" x14ac:dyDescent="0.4">
      <c r="A29" s="14" t="s">
        <v>135</v>
      </c>
      <c r="B29" s="14"/>
      <c r="C29" s="24"/>
      <c r="D29" s="38">
        <v>4</v>
      </c>
      <c r="E29" s="39" t="s">
        <v>146</v>
      </c>
      <c r="F29" s="39" t="s">
        <v>404</v>
      </c>
      <c r="G29" s="87" t="s">
        <v>414</v>
      </c>
      <c r="H29" s="38"/>
      <c r="I29" s="24"/>
      <c r="J29" s="25" cm="1">
        <f t="array" ref="J29:K29">LEN(F29:G29)</f>
        <v>810</v>
      </c>
      <c r="K29" s="25">
        <v>220</v>
      </c>
      <c r="L29" s="23">
        <f t="shared" si="0"/>
        <v>1030</v>
      </c>
    </row>
    <row r="30" spans="1:12" s="21" customFormat="1" ht="43.5" x14ac:dyDescent="0.4">
      <c r="A30" s="14" t="s">
        <v>135</v>
      </c>
      <c r="B30" s="14"/>
      <c r="C30" s="24"/>
      <c r="D30" s="38">
        <v>5</v>
      </c>
      <c r="E30" s="39" t="s">
        <v>147</v>
      </c>
      <c r="F30" s="39" t="s">
        <v>148</v>
      </c>
      <c r="G30" s="39"/>
      <c r="H30" s="38"/>
      <c r="I30" s="24"/>
      <c r="J30" s="25" cm="1">
        <f t="array" ref="J30:K30">LEN(F30:G30)</f>
        <v>68</v>
      </c>
      <c r="K30" s="25">
        <v>0</v>
      </c>
      <c r="L30" s="23">
        <f t="shared" si="0"/>
        <v>68</v>
      </c>
    </row>
    <row r="31" spans="1:12" s="21" customFormat="1" ht="14.5" x14ac:dyDescent="0.4">
      <c r="A31" s="33"/>
      <c r="B31" s="86" t="s">
        <v>57</v>
      </c>
      <c r="C31" s="85" t="s">
        <v>299</v>
      </c>
      <c r="D31" s="35"/>
      <c r="E31" s="36"/>
      <c r="F31" s="36"/>
      <c r="G31" s="36"/>
      <c r="H31" s="35"/>
      <c r="I31" s="40"/>
      <c r="J31" s="25" cm="1">
        <f t="array" ref="J31:K31">LEN(F31:G31)</f>
        <v>0</v>
      </c>
      <c r="K31" s="25">
        <v>0</v>
      </c>
      <c r="L31" s="23">
        <f t="shared" si="0"/>
        <v>0</v>
      </c>
    </row>
    <row r="32" spans="1:12" s="21" customFormat="1" ht="105" customHeight="1" x14ac:dyDescent="0.4">
      <c r="A32" s="14" t="s">
        <v>135</v>
      </c>
      <c r="B32" s="14"/>
      <c r="C32" s="24"/>
      <c r="D32" s="38">
        <v>1</v>
      </c>
      <c r="E32" s="39" t="s">
        <v>136</v>
      </c>
      <c r="F32" s="39" t="s">
        <v>137</v>
      </c>
      <c r="G32" s="39" t="s">
        <v>138</v>
      </c>
      <c r="H32" s="38" t="s">
        <v>139</v>
      </c>
      <c r="I32" s="24" t="s">
        <v>154</v>
      </c>
      <c r="J32" s="25" cm="1">
        <f t="array" ref="J32:K32">LEN(F32:G32)</f>
        <v>120</v>
      </c>
      <c r="K32" s="25">
        <v>83</v>
      </c>
      <c r="L32" s="23">
        <f t="shared" si="0"/>
        <v>203</v>
      </c>
    </row>
    <row r="33" spans="1:12" s="21" customFormat="1" ht="165" customHeight="1" x14ac:dyDescent="0.4">
      <c r="A33" s="14" t="s">
        <v>135</v>
      </c>
      <c r="B33" s="14"/>
      <c r="C33" s="24"/>
      <c r="D33" s="38">
        <v>2</v>
      </c>
      <c r="E33" s="39" t="s">
        <v>150</v>
      </c>
      <c r="F33" s="39" t="s">
        <v>155</v>
      </c>
      <c r="G33" s="39"/>
      <c r="H33" s="38"/>
      <c r="I33" s="24"/>
      <c r="J33" s="25" cm="1">
        <f t="array" ref="J33:K33">LEN(F33:G33)</f>
        <v>298</v>
      </c>
      <c r="K33" s="25">
        <v>0</v>
      </c>
      <c r="L33" s="23">
        <f t="shared" si="0"/>
        <v>298</v>
      </c>
    </row>
    <row r="34" spans="1:12" s="21" customFormat="1" ht="261" x14ac:dyDescent="0.4">
      <c r="A34" s="14" t="s">
        <v>135</v>
      </c>
      <c r="B34" s="14"/>
      <c r="C34" s="24"/>
      <c r="D34" s="38">
        <v>3</v>
      </c>
      <c r="E34" s="39" t="s">
        <v>156</v>
      </c>
      <c r="F34" s="39" t="s">
        <v>153</v>
      </c>
      <c r="G34" s="39"/>
      <c r="H34" s="38"/>
      <c r="I34" s="24"/>
      <c r="J34" s="25" cm="1">
        <f t="array" ref="J34:K34">LEN(F34:G34)</f>
        <v>52</v>
      </c>
      <c r="K34" s="25">
        <v>0</v>
      </c>
      <c r="L34" s="23">
        <f t="shared" si="0"/>
        <v>52</v>
      </c>
    </row>
    <row r="35" spans="1:12" s="21" customFormat="1" ht="409.5" x14ac:dyDescent="0.4">
      <c r="A35" s="14" t="s">
        <v>135</v>
      </c>
      <c r="B35" s="14"/>
      <c r="C35" s="24"/>
      <c r="D35" s="38">
        <v>4</v>
      </c>
      <c r="E35" s="39" t="s">
        <v>146</v>
      </c>
      <c r="F35" s="39" t="s">
        <v>404</v>
      </c>
      <c r="G35" s="87" t="s">
        <v>414</v>
      </c>
      <c r="H35" s="38"/>
      <c r="I35" s="24"/>
      <c r="J35" s="25" cm="1">
        <f t="array" ref="J35:K35">LEN(F35:G35)</f>
        <v>810</v>
      </c>
      <c r="K35" s="25">
        <v>220</v>
      </c>
      <c r="L35" s="23">
        <f t="shared" si="0"/>
        <v>1030</v>
      </c>
    </row>
    <row r="36" spans="1:12" s="21" customFormat="1" ht="43.5" x14ac:dyDescent="0.4">
      <c r="A36" s="14" t="s">
        <v>135</v>
      </c>
      <c r="B36" s="14"/>
      <c r="C36" s="24"/>
      <c r="D36" s="38">
        <v>5</v>
      </c>
      <c r="E36" s="39" t="s">
        <v>147</v>
      </c>
      <c r="F36" s="39" t="s">
        <v>148</v>
      </c>
      <c r="G36" s="39"/>
      <c r="H36" s="38"/>
      <c r="I36" s="24"/>
      <c r="J36" s="25" cm="1">
        <f t="array" ref="J36:K36">LEN(F36:G36)</f>
        <v>68</v>
      </c>
      <c r="K36" s="25">
        <v>0</v>
      </c>
      <c r="L36" s="23">
        <f t="shared" si="0"/>
        <v>68</v>
      </c>
    </row>
    <row r="37" spans="1:12" s="21" customFormat="1" ht="14.5" x14ac:dyDescent="0.4">
      <c r="A37" s="41"/>
      <c r="B37" s="86" t="s">
        <v>59</v>
      </c>
      <c r="C37" s="85" t="s">
        <v>300</v>
      </c>
      <c r="D37" s="42"/>
      <c r="E37" s="43"/>
      <c r="F37" s="43"/>
      <c r="G37" s="43"/>
      <c r="H37" s="42"/>
      <c r="I37" s="34"/>
      <c r="J37" s="25" cm="1">
        <f t="array" ref="J37:K37">LEN(F37:G37)</f>
        <v>0</v>
      </c>
      <c r="K37" s="25">
        <v>0</v>
      </c>
      <c r="L37" s="23">
        <f t="shared" si="0"/>
        <v>0</v>
      </c>
    </row>
    <row r="38" spans="1:12" s="21" customFormat="1" ht="105" customHeight="1" x14ac:dyDescent="0.4">
      <c r="A38" s="14" t="s">
        <v>135</v>
      </c>
      <c r="B38" s="14"/>
      <c r="C38" s="24"/>
      <c r="D38" s="38">
        <v>1</v>
      </c>
      <c r="E38" s="39" t="s">
        <v>136</v>
      </c>
      <c r="F38" s="39" t="s">
        <v>137</v>
      </c>
      <c r="G38" s="39" t="s">
        <v>138</v>
      </c>
      <c r="H38" s="38" t="s">
        <v>139</v>
      </c>
      <c r="I38" s="24" t="s">
        <v>157</v>
      </c>
      <c r="J38" s="25" cm="1">
        <f t="array" ref="J38:K38">LEN(F38:G38)</f>
        <v>120</v>
      </c>
      <c r="K38" s="25">
        <v>83</v>
      </c>
      <c r="L38" s="23">
        <f t="shared" si="0"/>
        <v>203</v>
      </c>
    </row>
    <row r="39" spans="1:12" s="21" customFormat="1" ht="165" customHeight="1" x14ac:dyDescent="0.4">
      <c r="A39" s="14" t="s">
        <v>135</v>
      </c>
      <c r="B39" s="14"/>
      <c r="C39" s="24"/>
      <c r="D39" s="38">
        <v>2</v>
      </c>
      <c r="E39" s="39" t="s">
        <v>150</v>
      </c>
      <c r="F39" s="39" t="s">
        <v>158</v>
      </c>
      <c r="G39" s="39"/>
      <c r="H39" s="38"/>
      <c r="I39" s="24"/>
      <c r="J39" s="25" cm="1">
        <f t="array" ref="J39:K39">LEN(F39:G39)</f>
        <v>298</v>
      </c>
      <c r="K39" s="25">
        <v>0</v>
      </c>
      <c r="L39" s="23">
        <f t="shared" si="0"/>
        <v>298</v>
      </c>
    </row>
    <row r="40" spans="1:12" s="21" customFormat="1" ht="261" x14ac:dyDescent="0.4">
      <c r="A40" s="14" t="s">
        <v>135</v>
      </c>
      <c r="B40" s="14"/>
      <c r="C40" s="24"/>
      <c r="D40" s="38">
        <v>3</v>
      </c>
      <c r="E40" s="39" t="s">
        <v>159</v>
      </c>
      <c r="F40" s="39" t="s">
        <v>153</v>
      </c>
      <c r="G40" s="39"/>
      <c r="H40" s="38"/>
      <c r="I40" s="24"/>
      <c r="J40" s="25" cm="1">
        <f t="array" ref="J40:K40">LEN(F40:G40)</f>
        <v>52</v>
      </c>
      <c r="K40" s="25">
        <v>0</v>
      </c>
      <c r="L40" s="23">
        <f t="shared" si="0"/>
        <v>52</v>
      </c>
    </row>
    <row r="41" spans="1:12" s="21" customFormat="1" ht="409.5" x14ac:dyDescent="0.4">
      <c r="A41" s="14" t="s">
        <v>135</v>
      </c>
      <c r="B41" s="14"/>
      <c r="C41" s="24"/>
      <c r="D41" s="38">
        <v>4</v>
      </c>
      <c r="E41" s="39" t="s">
        <v>146</v>
      </c>
      <c r="F41" s="39" t="s">
        <v>404</v>
      </c>
      <c r="G41" s="87" t="s">
        <v>414</v>
      </c>
      <c r="H41" s="38"/>
      <c r="I41" s="24"/>
      <c r="J41" s="25" cm="1">
        <f t="array" ref="J41:K41">LEN(F41:G41)</f>
        <v>810</v>
      </c>
      <c r="K41" s="25">
        <v>220</v>
      </c>
      <c r="L41" s="23">
        <f t="shared" si="0"/>
        <v>1030</v>
      </c>
    </row>
    <row r="42" spans="1:12" s="21" customFormat="1" ht="43.5" x14ac:dyDescent="0.4">
      <c r="A42" s="14" t="s">
        <v>135</v>
      </c>
      <c r="B42" s="14"/>
      <c r="C42" s="24"/>
      <c r="D42" s="38">
        <v>5</v>
      </c>
      <c r="E42" s="39" t="s">
        <v>147</v>
      </c>
      <c r="F42" s="39" t="s">
        <v>148</v>
      </c>
      <c r="G42" s="39"/>
      <c r="H42" s="38"/>
      <c r="I42" s="24"/>
      <c r="J42" s="25" cm="1">
        <f t="array" ref="J42:K42">LEN(F42:G42)</f>
        <v>68</v>
      </c>
      <c r="K42" s="25">
        <v>0</v>
      </c>
      <c r="L42" s="23">
        <f t="shared" si="0"/>
        <v>68</v>
      </c>
    </row>
    <row r="43" spans="1:12" s="21" customFormat="1" ht="14.5" x14ac:dyDescent="0.4">
      <c r="A43" s="33"/>
      <c r="B43" s="86" t="s">
        <v>61</v>
      </c>
      <c r="C43" s="85" t="s">
        <v>160</v>
      </c>
      <c r="D43" s="35"/>
      <c r="E43" s="36"/>
      <c r="F43" s="44"/>
      <c r="G43" s="36"/>
      <c r="H43" s="35"/>
      <c r="I43" s="40"/>
      <c r="J43" s="25" cm="1">
        <f t="array" ref="J43:K43">LEN(F43:G43)</f>
        <v>0</v>
      </c>
      <c r="K43" s="25">
        <v>0</v>
      </c>
      <c r="L43" s="23">
        <f t="shared" si="0"/>
        <v>0</v>
      </c>
    </row>
    <row r="44" spans="1:12" s="21" customFormat="1" ht="87" x14ac:dyDescent="0.4">
      <c r="A44" s="14" t="s">
        <v>135</v>
      </c>
      <c r="B44" s="14"/>
      <c r="C44" s="24"/>
      <c r="D44" s="38">
        <v>1</v>
      </c>
      <c r="E44" s="39" t="s">
        <v>161</v>
      </c>
      <c r="F44" s="39" t="s">
        <v>162</v>
      </c>
      <c r="G44" s="39" t="s">
        <v>163</v>
      </c>
      <c r="H44" s="38" t="s">
        <v>139</v>
      </c>
      <c r="I44" s="45"/>
      <c r="J44" s="25" cm="1">
        <f t="array" ref="J44:K44">LEN(F44:G44)</f>
        <v>223</v>
      </c>
      <c r="K44" s="25">
        <v>225</v>
      </c>
      <c r="L44" s="23">
        <f t="shared" si="0"/>
        <v>448</v>
      </c>
    </row>
    <row r="45" spans="1:12" s="21" customFormat="1" ht="43.5" x14ac:dyDescent="0.45">
      <c r="A45" s="14" t="s">
        <v>135</v>
      </c>
      <c r="B45" s="14"/>
      <c r="C45" s="24"/>
      <c r="D45" s="38">
        <v>2</v>
      </c>
      <c r="E45" s="39" t="s">
        <v>147</v>
      </c>
      <c r="F45" s="39" t="s">
        <v>148</v>
      </c>
      <c r="G45" s="46"/>
      <c r="H45" s="46"/>
      <c r="I45" s="45"/>
      <c r="J45" s="25" cm="1">
        <f t="array" ref="J45:K45">LEN(F45:G45)</f>
        <v>68</v>
      </c>
      <c r="K45" s="25">
        <v>0</v>
      </c>
      <c r="L45" s="23">
        <f t="shared" si="0"/>
        <v>68</v>
      </c>
    </row>
    <row r="46" spans="1:12" s="21" customFormat="1" ht="14.5" x14ac:dyDescent="0.4">
      <c r="A46" s="41"/>
      <c r="B46" s="86" t="s">
        <v>63</v>
      </c>
      <c r="C46" s="85" t="s">
        <v>301</v>
      </c>
      <c r="D46" s="42"/>
      <c r="E46" s="43"/>
      <c r="F46" s="43"/>
      <c r="G46" s="43"/>
      <c r="H46" s="42"/>
      <c r="I46" s="34"/>
      <c r="J46" s="25" cm="1">
        <f t="array" ref="J46:K46">LEN(F46:G46)</f>
        <v>0</v>
      </c>
      <c r="K46" s="25">
        <v>0</v>
      </c>
      <c r="L46" s="23">
        <f t="shared" si="0"/>
        <v>0</v>
      </c>
    </row>
    <row r="47" spans="1:12" s="21" customFormat="1" ht="87" x14ac:dyDescent="0.4">
      <c r="A47" s="14" t="s">
        <v>135</v>
      </c>
      <c r="B47" s="14"/>
      <c r="C47" s="24"/>
      <c r="D47" s="38">
        <v>1</v>
      </c>
      <c r="E47" s="39" t="s">
        <v>136</v>
      </c>
      <c r="F47" s="39" t="s">
        <v>137</v>
      </c>
      <c r="G47" s="39" t="s">
        <v>138</v>
      </c>
      <c r="H47" s="38" t="s">
        <v>139</v>
      </c>
      <c r="I47" s="24" t="s">
        <v>164</v>
      </c>
      <c r="J47" s="25" cm="1">
        <f t="array" ref="J47:K47">LEN(F47:G47)</f>
        <v>120</v>
      </c>
      <c r="K47" s="25">
        <v>83</v>
      </c>
      <c r="L47" s="23">
        <f t="shared" si="0"/>
        <v>203</v>
      </c>
    </row>
    <row r="48" spans="1:12" s="21" customFormat="1" ht="75" customHeight="1" x14ac:dyDescent="0.4">
      <c r="A48" s="14" t="s">
        <v>135</v>
      </c>
      <c r="B48" s="14"/>
      <c r="C48" s="24"/>
      <c r="D48" s="38">
        <v>2</v>
      </c>
      <c r="E48" s="39" t="s">
        <v>165</v>
      </c>
      <c r="F48" s="39" t="s">
        <v>166</v>
      </c>
      <c r="G48" s="39" t="s">
        <v>393</v>
      </c>
      <c r="H48" s="38"/>
      <c r="I48" s="24"/>
      <c r="J48" s="25" cm="1">
        <f t="array" ref="J48:K48">LEN(F48:G48)</f>
        <v>91</v>
      </c>
      <c r="K48" s="25">
        <v>154</v>
      </c>
      <c r="L48" s="23">
        <f t="shared" si="0"/>
        <v>245</v>
      </c>
    </row>
    <row r="49" spans="1:12" s="21" customFormat="1" ht="43.5" x14ac:dyDescent="0.4">
      <c r="A49" s="14" t="s">
        <v>135</v>
      </c>
      <c r="B49" s="14"/>
      <c r="C49" s="24"/>
      <c r="D49" s="38">
        <v>3</v>
      </c>
      <c r="E49" s="39" t="s">
        <v>167</v>
      </c>
      <c r="F49" s="39" t="s">
        <v>168</v>
      </c>
      <c r="G49" s="39" t="s">
        <v>169</v>
      </c>
      <c r="H49" s="38"/>
      <c r="I49" s="24"/>
      <c r="J49" s="25" cm="1">
        <f t="array" ref="J49:K49">LEN(F49:G49)</f>
        <v>104</v>
      </c>
      <c r="K49" s="25">
        <v>30</v>
      </c>
      <c r="L49" s="23">
        <f t="shared" si="0"/>
        <v>134</v>
      </c>
    </row>
    <row r="50" spans="1:12" s="21" customFormat="1" ht="409.5" x14ac:dyDescent="0.4">
      <c r="A50" s="14" t="s">
        <v>135</v>
      </c>
      <c r="B50" s="14"/>
      <c r="C50" s="24"/>
      <c r="D50" s="38">
        <v>4</v>
      </c>
      <c r="E50" s="39" t="s">
        <v>170</v>
      </c>
      <c r="F50" s="39" t="s">
        <v>423</v>
      </c>
      <c r="G50" s="39" t="s">
        <v>415</v>
      </c>
      <c r="H50" s="38"/>
      <c r="I50" s="24"/>
      <c r="J50" s="25" cm="1">
        <f t="array" ref="J50:K50">LEN(F50:G50)</f>
        <v>1046</v>
      </c>
      <c r="K50" s="25">
        <v>218</v>
      </c>
      <c r="L50" s="23">
        <f t="shared" si="0"/>
        <v>1264</v>
      </c>
    </row>
    <row r="51" spans="1:12" s="21" customFormat="1" ht="43.5" x14ac:dyDescent="0.4">
      <c r="A51" s="14" t="s">
        <v>135</v>
      </c>
      <c r="B51" s="14"/>
      <c r="C51" s="24"/>
      <c r="D51" s="38">
        <v>5</v>
      </c>
      <c r="E51" s="39" t="s">
        <v>171</v>
      </c>
      <c r="F51" s="39" t="s">
        <v>148</v>
      </c>
      <c r="G51" s="39"/>
      <c r="H51" s="38"/>
      <c r="I51" s="24"/>
      <c r="J51" s="25" cm="1">
        <f t="array" ref="J51:K51">LEN(F51:G51)</f>
        <v>68</v>
      </c>
      <c r="K51" s="25">
        <v>0</v>
      </c>
      <c r="L51" s="23">
        <f t="shared" si="0"/>
        <v>68</v>
      </c>
    </row>
    <row r="52" spans="1:12" s="21" customFormat="1" ht="14.5" x14ac:dyDescent="0.4">
      <c r="A52" s="41"/>
      <c r="B52" s="86" t="s">
        <v>65</v>
      </c>
      <c r="C52" s="85" t="s">
        <v>172</v>
      </c>
      <c r="D52" s="42"/>
      <c r="E52" s="43"/>
      <c r="F52" s="43"/>
      <c r="G52" s="43"/>
      <c r="H52" s="42"/>
      <c r="I52" s="34"/>
      <c r="J52" s="25" cm="1">
        <f t="array" ref="J52:K52">LEN(F52:G52)</f>
        <v>0</v>
      </c>
      <c r="K52" s="25">
        <v>0</v>
      </c>
      <c r="L52" s="23">
        <f t="shared" si="0"/>
        <v>0</v>
      </c>
    </row>
    <row r="53" spans="1:12" s="21" customFormat="1" ht="72.5" x14ac:dyDescent="0.4">
      <c r="A53" s="14" t="s">
        <v>135</v>
      </c>
      <c r="B53" s="14"/>
      <c r="C53" s="24"/>
      <c r="D53" s="38">
        <v>1</v>
      </c>
      <c r="E53" s="39" t="s">
        <v>136</v>
      </c>
      <c r="F53" s="39" t="s">
        <v>137</v>
      </c>
      <c r="G53" s="39" t="s">
        <v>138</v>
      </c>
      <c r="H53" s="38" t="s">
        <v>173</v>
      </c>
      <c r="I53" s="24" t="s">
        <v>174</v>
      </c>
      <c r="J53" s="25" cm="1">
        <f t="array" ref="J53:K53">LEN(F53:G53)</f>
        <v>120</v>
      </c>
      <c r="K53" s="25">
        <v>83</v>
      </c>
      <c r="L53" s="23">
        <f t="shared" si="0"/>
        <v>203</v>
      </c>
    </row>
    <row r="54" spans="1:12" s="21" customFormat="1" ht="58" x14ac:dyDescent="0.4">
      <c r="A54" s="14" t="s">
        <v>135</v>
      </c>
      <c r="B54" s="14"/>
      <c r="C54" s="24"/>
      <c r="D54" s="38">
        <v>2</v>
      </c>
      <c r="E54" s="39" t="s">
        <v>141</v>
      </c>
      <c r="F54" s="39" t="s">
        <v>142</v>
      </c>
      <c r="G54" s="39" t="s">
        <v>143</v>
      </c>
      <c r="H54" s="38"/>
      <c r="I54" s="24"/>
      <c r="J54" s="25" cm="1">
        <f t="array" ref="J54:K54">LEN(F54:G54)</f>
        <v>101</v>
      </c>
      <c r="K54" s="25">
        <v>152</v>
      </c>
      <c r="L54" s="23">
        <f t="shared" si="0"/>
        <v>253</v>
      </c>
    </row>
    <row r="55" spans="1:12" s="21" customFormat="1" ht="43.5" x14ac:dyDescent="0.4">
      <c r="A55" s="14" t="s">
        <v>135</v>
      </c>
      <c r="B55" s="14"/>
      <c r="C55" s="24"/>
      <c r="D55" s="38">
        <v>3</v>
      </c>
      <c r="E55" s="39" t="s">
        <v>144</v>
      </c>
      <c r="F55" s="39" t="s">
        <v>145</v>
      </c>
      <c r="G55" s="39"/>
      <c r="H55" s="38"/>
      <c r="I55" s="24"/>
      <c r="J55" s="25" cm="1">
        <f t="array" ref="J55:K55">LEN(F55:G55)</f>
        <v>68</v>
      </c>
      <c r="K55" s="25">
        <v>0</v>
      </c>
      <c r="L55" s="23">
        <f t="shared" si="0"/>
        <v>68</v>
      </c>
    </row>
    <row r="56" spans="1:12" s="21" customFormat="1" ht="409.5" x14ac:dyDescent="0.4">
      <c r="A56" s="14" t="s">
        <v>135</v>
      </c>
      <c r="B56" s="14"/>
      <c r="C56" s="24"/>
      <c r="D56" s="38">
        <v>4</v>
      </c>
      <c r="E56" s="39" t="s">
        <v>146</v>
      </c>
      <c r="F56" s="39" t="s">
        <v>413</v>
      </c>
      <c r="G56" s="39" t="s">
        <v>408</v>
      </c>
      <c r="H56" s="38"/>
      <c r="I56" s="24"/>
      <c r="J56" s="25" cm="1">
        <f t="array" ref="J56:K56">LEN(F56:G56)</f>
        <v>748</v>
      </c>
      <c r="K56" s="25">
        <v>452</v>
      </c>
      <c r="L56" s="23">
        <f t="shared" si="0"/>
        <v>1200</v>
      </c>
    </row>
    <row r="57" spans="1:12" s="21" customFormat="1" ht="246" customHeight="1" x14ac:dyDescent="0.4">
      <c r="A57" s="14" t="s">
        <v>135</v>
      </c>
      <c r="B57" s="14"/>
      <c r="C57" s="24"/>
      <c r="D57" s="38">
        <v>5</v>
      </c>
      <c r="E57" s="39" t="s">
        <v>175</v>
      </c>
      <c r="F57" s="68" t="s">
        <v>417</v>
      </c>
      <c r="G57" s="39" t="s">
        <v>176</v>
      </c>
      <c r="H57" s="38"/>
      <c r="I57" s="24"/>
      <c r="J57" s="25" cm="1">
        <f t="array" ref="J57:K57">LEN(F57:G57)</f>
        <v>381</v>
      </c>
      <c r="K57" s="25">
        <v>231</v>
      </c>
      <c r="L57" s="23">
        <f t="shared" si="0"/>
        <v>612</v>
      </c>
    </row>
    <row r="58" spans="1:12" s="21" customFormat="1" ht="43.5" x14ac:dyDescent="0.4">
      <c r="A58" s="14" t="s">
        <v>135</v>
      </c>
      <c r="B58" s="14"/>
      <c r="C58" s="24"/>
      <c r="D58" s="38">
        <v>6</v>
      </c>
      <c r="E58" s="39" t="s">
        <v>147</v>
      </c>
      <c r="F58" s="39" t="s">
        <v>148</v>
      </c>
      <c r="G58" s="39"/>
      <c r="H58" s="38"/>
      <c r="I58" s="24"/>
      <c r="J58" s="25" cm="1">
        <f t="array" ref="J58:K58">LEN(F58:G58)</f>
        <v>68</v>
      </c>
      <c r="K58" s="25">
        <v>0</v>
      </c>
      <c r="L58" s="23">
        <f t="shared" si="0"/>
        <v>68</v>
      </c>
    </row>
    <row r="59" spans="1:12" s="21" customFormat="1" ht="14.5" x14ac:dyDescent="0.4">
      <c r="A59" s="41"/>
      <c r="B59" s="14" t="s">
        <v>67</v>
      </c>
      <c r="C59" s="81" t="s">
        <v>177</v>
      </c>
      <c r="D59" s="42"/>
      <c r="E59" s="43"/>
      <c r="F59" s="43"/>
      <c r="G59" s="43"/>
      <c r="H59" s="42"/>
      <c r="I59" s="34"/>
      <c r="J59" s="25" cm="1">
        <f t="array" ref="J59:K59">LEN(F59:G59)</f>
        <v>0</v>
      </c>
      <c r="K59" s="25">
        <v>0</v>
      </c>
      <c r="L59" s="23">
        <f t="shared" si="0"/>
        <v>0</v>
      </c>
    </row>
    <row r="60" spans="1:12" s="21" customFormat="1" ht="72.5" x14ac:dyDescent="0.4">
      <c r="A60" s="14" t="s">
        <v>135</v>
      </c>
      <c r="B60" s="14"/>
      <c r="C60" s="24"/>
      <c r="D60" s="38">
        <v>1</v>
      </c>
      <c r="E60" s="39" t="s">
        <v>136</v>
      </c>
      <c r="F60" s="39" t="s">
        <v>137</v>
      </c>
      <c r="G60" s="39" t="s">
        <v>138</v>
      </c>
      <c r="H60" s="38" t="s">
        <v>173</v>
      </c>
      <c r="I60" s="24" t="s">
        <v>174</v>
      </c>
      <c r="J60" s="25" cm="1">
        <f t="array" ref="J60:K60">LEN(F60:G60)</f>
        <v>120</v>
      </c>
      <c r="K60" s="25">
        <v>83</v>
      </c>
      <c r="L60" s="23">
        <f t="shared" si="0"/>
        <v>203</v>
      </c>
    </row>
    <row r="61" spans="1:12" s="21" customFormat="1" ht="145" x14ac:dyDescent="0.4">
      <c r="A61" s="14" t="s">
        <v>135</v>
      </c>
      <c r="B61" s="14"/>
      <c r="C61" s="24"/>
      <c r="D61" s="38">
        <v>2</v>
      </c>
      <c r="E61" s="39" t="s">
        <v>150</v>
      </c>
      <c r="F61" s="39" t="s">
        <v>151</v>
      </c>
      <c r="G61" s="39"/>
      <c r="H61" s="38"/>
      <c r="I61" s="24"/>
      <c r="J61" s="25" cm="1">
        <f t="array" ref="J61:K61">LEN(F61:G61)</f>
        <v>298</v>
      </c>
      <c r="K61" s="25">
        <v>0</v>
      </c>
      <c r="L61" s="23">
        <f t="shared" si="0"/>
        <v>298</v>
      </c>
    </row>
    <row r="62" spans="1:12" s="21" customFormat="1" ht="261" x14ac:dyDescent="0.4">
      <c r="A62" s="14" t="s">
        <v>135</v>
      </c>
      <c r="B62" s="14"/>
      <c r="C62" s="24"/>
      <c r="D62" s="38">
        <v>3</v>
      </c>
      <c r="E62" s="39" t="s">
        <v>152</v>
      </c>
      <c r="F62" s="39" t="s">
        <v>153</v>
      </c>
      <c r="G62" s="39"/>
      <c r="H62" s="38"/>
      <c r="I62" s="24"/>
      <c r="J62" s="25" cm="1">
        <f t="array" ref="J62:K62">LEN(F62:G62)</f>
        <v>52</v>
      </c>
      <c r="K62" s="25">
        <v>0</v>
      </c>
      <c r="L62" s="23">
        <f t="shared" si="0"/>
        <v>52</v>
      </c>
    </row>
    <row r="63" spans="1:12" s="21" customFormat="1" ht="409.5" x14ac:dyDescent="0.4">
      <c r="A63" s="14" t="s">
        <v>135</v>
      </c>
      <c r="B63" s="14"/>
      <c r="C63" s="24"/>
      <c r="D63" s="38">
        <v>4</v>
      </c>
      <c r="E63" s="39" t="s">
        <v>146</v>
      </c>
      <c r="F63" s="39" t="s">
        <v>403</v>
      </c>
      <c r="G63" s="87" t="s">
        <v>395</v>
      </c>
      <c r="H63" s="38"/>
      <c r="I63" s="24"/>
      <c r="J63" s="25" cm="1">
        <f t="array" ref="J63:K63">LEN(F63:G63)</f>
        <v>810</v>
      </c>
      <c r="K63" s="25">
        <v>221</v>
      </c>
      <c r="L63" s="23">
        <f t="shared" si="0"/>
        <v>1031</v>
      </c>
    </row>
    <row r="64" spans="1:12" s="21" customFormat="1" ht="256" customHeight="1" x14ac:dyDescent="0.4">
      <c r="A64" s="14" t="s">
        <v>135</v>
      </c>
      <c r="B64" s="14"/>
      <c r="C64" s="24"/>
      <c r="D64" s="38">
        <v>5</v>
      </c>
      <c r="E64" s="39" t="s">
        <v>175</v>
      </c>
      <c r="F64" s="68" t="s">
        <v>417</v>
      </c>
      <c r="G64" s="39" t="s">
        <v>176</v>
      </c>
      <c r="H64" s="38"/>
      <c r="I64" s="24"/>
      <c r="J64" s="25" cm="1">
        <f t="array" ref="J64:K64">LEN(F64:G64)</f>
        <v>381</v>
      </c>
      <c r="K64" s="25">
        <v>231</v>
      </c>
      <c r="L64" s="23">
        <f t="shared" si="0"/>
        <v>612</v>
      </c>
    </row>
    <row r="65" spans="1:12" s="21" customFormat="1" ht="43.5" x14ac:dyDescent="0.4">
      <c r="A65" s="14" t="s">
        <v>135</v>
      </c>
      <c r="B65" s="14"/>
      <c r="C65" s="24"/>
      <c r="D65" s="38">
        <v>6</v>
      </c>
      <c r="E65" s="39" t="s">
        <v>147</v>
      </c>
      <c r="F65" s="39" t="s">
        <v>148</v>
      </c>
      <c r="G65" s="39"/>
      <c r="H65" s="38"/>
      <c r="I65" s="24"/>
      <c r="J65" s="25" cm="1">
        <f t="array" ref="J65:K65">LEN(F65:G65)</f>
        <v>68</v>
      </c>
      <c r="K65" s="25">
        <v>0</v>
      </c>
      <c r="L65" s="23">
        <f t="shared" si="0"/>
        <v>68</v>
      </c>
    </row>
    <row r="66" spans="1:12" s="21" customFormat="1" ht="14.5" x14ac:dyDescent="0.4">
      <c r="A66" s="41"/>
      <c r="B66" s="14" t="s">
        <v>69</v>
      </c>
      <c r="C66" s="82" t="s">
        <v>178</v>
      </c>
      <c r="D66" s="42"/>
      <c r="E66" s="43"/>
      <c r="F66" s="43"/>
      <c r="G66" s="43"/>
      <c r="H66" s="42"/>
      <c r="I66" s="34"/>
      <c r="J66" s="25" cm="1">
        <f t="array" ref="J66:K66">LEN(F66:G66)</f>
        <v>0</v>
      </c>
      <c r="K66" s="25">
        <v>0</v>
      </c>
      <c r="L66" s="23">
        <f t="shared" si="0"/>
        <v>0</v>
      </c>
    </row>
    <row r="67" spans="1:12" s="21" customFormat="1" ht="72.5" x14ac:dyDescent="0.4">
      <c r="A67" s="14" t="s">
        <v>135</v>
      </c>
      <c r="B67" s="14"/>
      <c r="C67" s="24"/>
      <c r="D67" s="38">
        <v>1</v>
      </c>
      <c r="E67" s="39" t="s">
        <v>136</v>
      </c>
      <c r="F67" s="39" t="s">
        <v>137</v>
      </c>
      <c r="G67" s="39" t="s">
        <v>138</v>
      </c>
      <c r="H67" s="38" t="s">
        <v>173</v>
      </c>
      <c r="I67" s="24" t="s">
        <v>174</v>
      </c>
      <c r="J67" s="25" cm="1">
        <f t="array" ref="J67:K67">LEN(F67:G67)</f>
        <v>120</v>
      </c>
      <c r="K67" s="25">
        <v>83</v>
      </c>
      <c r="L67" s="23">
        <f t="shared" si="0"/>
        <v>203</v>
      </c>
    </row>
    <row r="68" spans="1:12" s="21" customFormat="1" ht="145" x14ac:dyDescent="0.4">
      <c r="A68" s="14" t="s">
        <v>135</v>
      </c>
      <c r="B68" s="14"/>
      <c r="C68" s="24"/>
      <c r="D68" s="38">
        <v>2</v>
      </c>
      <c r="E68" s="39" t="s">
        <v>150</v>
      </c>
      <c r="F68" s="39" t="s">
        <v>155</v>
      </c>
      <c r="G68" s="39"/>
      <c r="H68" s="38"/>
      <c r="I68" s="24"/>
      <c r="J68" s="25" cm="1">
        <f t="array" ref="J68:K68">LEN(F68:G68)</f>
        <v>298</v>
      </c>
      <c r="K68" s="25">
        <v>0</v>
      </c>
      <c r="L68" s="23">
        <f t="shared" si="0"/>
        <v>298</v>
      </c>
    </row>
    <row r="69" spans="1:12" s="21" customFormat="1" ht="261" x14ac:dyDescent="0.4">
      <c r="A69" s="14" t="s">
        <v>135</v>
      </c>
      <c r="B69" s="14"/>
      <c r="C69" s="24"/>
      <c r="D69" s="38">
        <v>3</v>
      </c>
      <c r="E69" s="39" t="s">
        <v>156</v>
      </c>
      <c r="F69" s="39" t="s">
        <v>153</v>
      </c>
      <c r="G69" s="39"/>
      <c r="H69" s="38"/>
      <c r="I69" s="24"/>
      <c r="J69" s="25" cm="1">
        <f t="array" ref="J69:K69">LEN(F69:G69)</f>
        <v>52</v>
      </c>
      <c r="K69" s="25">
        <v>0</v>
      </c>
      <c r="L69" s="23">
        <f t="shared" si="0"/>
        <v>52</v>
      </c>
    </row>
    <row r="70" spans="1:12" s="21" customFormat="1" ht="409.5" x14ac:dyDescent="0.4">
      <c r="A70" s="14" t="s">
        <v>135</v>
      </c>
      <c r="B70" s="14"/>
      <c r="C70" s="24"/>
      <c r="D70" s="38">
        <v>4</v>
      </c>
      <c r="E70" s="39" t="s">
        <v>146</v>
      </c>
      <c r="F70" s="39" t="s">
        <v>403</v>
      </c>
      <c r="G70" s="87" t="s">
        <v>395</v>
      </c>
      <c r="H70" s="38"/>
      <c r="I70" s="24"/>
      <c r="J70" s="25" cm="1">
        <f t="array" ref="J70:K70">LEN(F70:G70)</f>
        <v>810</v>
      </c>
      <c r="K70" s="25">
        <v>221</v>
      </c>
      <c r="L70" s="23">
        <f t="shared" si="0"/>
        <v>1031</v>
      </c>
    </row>
    <row r="71" spans="1:12" s="21" customFormat="1" ht="264" customHeight="1" x14ac:dyDescent="0.4">
      <c r="A71" s="14" t="s">
        <v>135</v>
      </c>
      <c r="B71" s="14"/>
      <c r="C71" s="24"/>
      <c r="D71" s="38">
        <v>5</v>
      </c>
      <c r="E71" s="39" t="s">
        <v>175</v>
      </c>
      <c r="F71" s="68" t="s">
        <v>417</v>
      </c>
      <c r="G71" s="39" t="s">
        <v>176</v>
      </c>
      <c r="H71" s="38"/>
      <c r="I71" s="24"/>
      <c r="J71" s="25" cm="1">
        <f t="array" ref="J71:K71">LEN(F71:G71)</f>
        <v>381</v>
      </c>
      <c r="K71" s="25">
        <v>231</v>
      </c>
      <c r="L71" s="23">
        <f t="shared" si="0"/>
        <v>612</v>
      </c>
    </row>
    <row r="72" spans="1:12" s="21" customFormat="1" ht="43.5" x14ac:dyDescent="0.4">
      <c r="A72" s="14" t="s">
        <v>135</v>
      </c>
      <c r="B72" s="14"/>
      <c r="C72" s="24"/>
      <c r="D72" s="38">
        <v>6</v>
      </c>
      <c r="E72" s="39" t="s">
        <v>147</v>
      </c>
      <c r="F72" s="39" t="s">
        <v>148</v>
      </c>
      <c r="G72" s="39"/>
      <c r="H72" s="38"/>
      <c r="I72" s="24"/>
      <c r="J72" s="25" cm="1">
        <f t="array" ref="J72:K72">LEN(F72:G72)</f>
        <v>68</v>
      </c>
      <c r="K72" s="25">
        <v>0</v>
      </c>
      <c r="L72" s="23">
        <f t="shared" si="0"/>
        <v>68</v>
      </c>
    </row>
    <row r="73" spans="1:12" s="21" customFormat="1" ht="14.5" x14ac:dyDescent="0.4">
      <c r="A73" s="41"/>
      <c r="B73" s="14" t="s">
        <v>71</v>
      </c>
      <c r="C73" s="81" t="s">
        <v>179</v>
      </c>
      <c r="D73" s="42"/>
      <c r="E73" s="43"/>
      <c r="F73" s="43"/>
      <c r="G73" s="43"/>
      <c r="H73" s="42"/>
      <c r="I73" s="34"/>
      <c r="J73" s="25" cm="1">
        <f t="array" ref="J73:K73">LEN(F73:G73)</f>
        <v>0</v>
      </c>
      <c r="K73" s="25">
        <v>0</v>
      </c>
      <c r="L73" s="23">
        <f t="shared" si="0"/>
        <v>0</v>
      </c>
    </row>
    <row r="74" spans="1:12" s="21" customFormat="1" ht="87" x14ac:dyDescent="0.4">
      <c r="A74" s="14" t="s">
        <v>135</v>
      </c>
      <c r="B74" s="14"/>
      <c r="C74" s="24"/>
      <c r="D74" s="38">
        <v>1</v>
      </c>
      <c r="E74" s="39" t="s">
        <v>136</v>
      </c>
      <c r="F74" s="39" t="s">
        <v>137</v>
      </c>
      <c r="G74" s="39" t="s">
        <v>138</v>
      </c>
      <c r="H74" s="38" t="s">
        <v>139</v>
      </c>
      <c r="I74" s="24" t="s">
        <v>174</v>
      </c>
      <c r="J74" s="25" cm="1">
        <f t="array" ref="J74:K74">LEN(F74:G74)</f>
        <v>120</v>
      </c>
      <c r="K74" s="25">
        <v>83</v>
      </c>
      <c r="L74" s="23">
        <f t="shared" si="0"/>
        <v>203</v>
      </c>
    </row>
    <row r="75" spans="1:12" s="21" customFormat="1" ht="58" x14ac:dyDescent="0.4">
      <c r="A75" s="14" t="s">
        <v>135</v>
      </c>
      <c r="B75" s="14"/>
      <c r="C75" s="24"/>
      <c r="D75" s="38">
        <v>2</v>
      </c>
      <c r="E75" s="39" t="s">
        <v>165</v>
      </c>
      <c r="F75" s="39" t="s">
        <v>166</v>
      </c>
      <c r="G75" s="39" t="s">
        <v>393</v>
      </c>
      <c r="H75" s="38"/>
      <c r="I75" s="24"/>
      <c r="J75" s="25" cm="1">
        <f t="array" ref="J75:K75">LEN(F75:G75)</f>
        <v>91</v>
      </c>
      <c r="K75" s="25">
        <v>154</v>
      </c>
      <c r="L75" s="23">
        <f t="shared" si="0"/>
        <v>245</v>
      </c>
    </row>
    <row r="76" spans="1:12" s="21" customFormat="1" ht="43.5" x14ac:dyDescent="0.4">
      <c r="A76" s="14" t="s">
        <v>135</v>
      </c>
      <c r="B76" s="14"/>
      <c r="C76" s="24"/>
      <c r="D76" s="38">
        <v>3</v>
      </c>
      <c r="E76" s="39" t="s">
        <v>167</v>
      </c>
      <c r="F76" s="39" t="s">
        <v>168</v>
      </c>
      <c r="G76" s="39" t="s">
        <v>169</v>
      </c>
      <c r="H76" s="38"/>
      <c r="I76" s="24"/>
      <c r="J76" s="25" cm="1">
        <f t="array" ref="J76:K76">LEN(F76:G76)</f>
        <v>104</v>
      </c>
      <c r="K76" s="25">
        <v>30</v>
      </c>
      <c r="L76" s="23">
        <f t="shared" si="0"/>
        <v>134</v>
      </c>
    </row>
    <row r="77" spans="1:12" s="21" customFormat="1" ht="409.5" x14ac:dyDescent="0.4">
      <c r="A77" s="14" t="s">
        <v>135</v>
      </c>
      <c r="B77" s="14"/>
      <c r="C77" s="24"/>
      <c r="D77" s="38">
        <v>4</v>
      </c>
      <c r="E77" s="39" t="s">
        <v>170</v>
      </c>
      <c r="F77" s="39" t="s">
        <v>423</v>
      </c>
      <c r="G77" s="39" t="s">
        <v>380</v>
      </c>
      <c r="H77" s="38"/>
      <c r="I77" s="24"/>
      <c r="J77" s="25" cm="1">
        <f t="array" ref="J77:K77">LEN(F77:G77)</f>
        <v>1046</v>
      </c>
      <c r="K77" s="25">
        <v>219</v>
      </c>
      <c r="L77" s="23">
        <f t="shared" si="0"/>
        <v>1265</v>
      </c>
    </row>
    <row r="78" spans="1:12" s="21" customFormat="1" ht="283" customHeight="1" x14ac:dyDescent="0.4">
      <c r="A78" s="14" t="s">
        <v>135</v>
      </c>
      <c r="B78" s="14"/>
      <c r="C78" s="24"/>
      <c r="D78" s="38">
        <v>5</v>
      </c>
      <c r="E78" s="39" t="s">
        <v>175</v>
      </c>
      <c r="F78" s="68" t="s">
        <v>417</v>
      </c>
      <c r="G78" s="39" t="s">
        <v>176</v>
      </c>
      <c r="H78" s="38"/>
      <c r="I78" s="24"/>
      <c r="J78" s="25" cm="1">
        <f t="array" ref="J78:K78">LEN(F78:G78)</f>
        <v>381</v>
      </c>
      <c r="K78" s="25">
        <v>231</v>
      </c>
      <c r="L78" s="23">
        <f t="shared" si="0"/>
        <v>612</v>
      </c>
    </row>
    <row r="79" spans="1:12" s="21" customFormat="1" ht="43.5" x14ac:dyDescent="0.4">
      <c r="A79" s="14" t="s">
        <v>135</v>
      </c>
      <c r="B79" s="14"/>
      <c r="C79" s="24"/>
      <c r="D79" s="38">
        <v>6</v>
      </c>
      <c r="E79" s="39" t="s">
        <v>147</v>
      </c>
      <c r="F79" s="39" t="s">
        <v>148</v>
      </c>
      <c r="G79" s="39"/>
      <c r="H79" s="38"/>
      <c r="I79" s="24"/>
      <c r="J79" s="25" cm="1">
        <f t="array" ref="J79:K79">LEN(F79:G79)</f>
        <v>68</v>
      </c>
      <c r="K79" s="25">
        <v>0</v>
      </c>
      <c r="L79" s="23">
        <f t="shared" si="0"/>
        <v>68</v>
      </c>
    </row>
    <row r="80" spans="1:12" s="21" customFormat="1" ht="14.5" x14ac:dyDescent="0.4">
      <c r="A80" s="41"/>
      <c r="B80" s="14" t="s">
        <v>73</v>
      </c>
      <c r="C80" s="81" t="s">
        <v>180</v>
      </c>
      <c r="D80" s="42"/>
      <c r="E80" s="43"/>
      <c r="F80" s="43"/>
      <c r="G80" s="43"/>
      <c r="H80" s="42"/>
      <c r="I80" s="34"/>
      <c r="J80" s="25" cm="1">
        <f t="array" ref="J80:K80">LEN(F80:G80)</f>
        <v>0</v>
      </c>
      <c r="K80" s="25">
        <v>0</v>
      </c>
      <c r="L80" s="23">
        <f t="shared" si="0"/>
        <v>0</v>
      </c>
    </row>
    <row r="81" spans="1:12" s="21" customFormat="1" ht="72.5" x14ac:dyDescent="0.4">
      <c r="A81" s="14" t="s">
        <v>135</v>
      </c>
      <c r="B81" s="14"/>
      <c r="C81" s="24"/>
      <c r="D81" s="38">
        <v>1</v>
      </c>
      <c r="E81" s="39" t="s">
        <v>136</v>
      </c>
      <c r="F81" s="39" t="s">
        <v>137</v>
      </c>
      <c r="G81" s="39" t="s">
        <v>138</v>
      </c>
      <c r="H81" s="38" t="s">
        <v>173</v>
      </c>
      <c r="I81" s="24" t="s">
        <v>140</v>
      </c>
      <c r="J81" s="25" cm="1">
        <f t="array" ref="J81:K81">LEN(F81:G81)</f>
        <v>120</v>
      </c>
      <c r="K81" s="25">
        <v>83</v>
      </c>
      <c r="L81" s="23">
        <f t="shared" si="0"/>
        <v>203</v>
      </c>
    </row>
    <row r="82" spans="1:12" s="21" customFormat="1" ht="58" x14ac:dyDescent="0.4">
      <c r="A82" s="14" t="s">
        <v>135</v>
      </c>
      <c r="B82" s="14"/>
      <c r="C82" s="24"/>
      <c r="D82" s="38">
        <v>2</v>
      </c>
      <c r="E82" s="39" t="s">
        <v>141</v>
      </c>
      <c r="F82" s="39" t="s">
        <v>142</v>
      </c>
      <c r="G82" s="39" t="s">
        <v>143</v>
      </c>
      <c r="H82" s="38"/>
      <c r="I82" s="24"/>
      <c r="J82" s="25" cm="1">
        <f t="array" ref="J82:K82">LEN(F82:G82)</f>
        <v>101</v>
      </c>
      <c r="K82" s="25">
        <v>152</v>
      </c>
      <c r="L82" s="23">
        <f t="shared" si="0"/>
        <v>253</v>
      </c>
    </row>
    <row r="83" spans="1:12" s="21" customFormat="1" ht="43.5" x14ac:dyDescent="0.4">
      <c r="A83" s="14" t="s">
        <v>135</v>
      </c>
      <c r="B83" s="14"/>
      <c r="C83" s="24"/>
      <c r="D83" s="38">
        <v>3</v>
      </c>
      <c r="E83" s="39" t="s">
        <v>144</v>
      </c>
      <c r="F83" s="39" t="s">
        <v>145</v>
      </c>
      <c r="G83" s="39"/>
      <c r="H83" s="38"/>
      <c r="I83" s="24"/>
      <c r="J83" s="25" cm="1">
        <f t="array" ref="J83:K83">LEN(F83:G83)</f>
        <v>68</v>
      </c>
      <c r="K83" s="25">
        <v>0</v>
      </c>
      <c r="L83" s="23">
        <f t="shared" si="0"/>
        <v>68</v>
      </c>
    </row>
    <row r="84" spans="1:12" s="21" customFormat="1" ht="409.5" x14ac:dyDescent="0.4">
      <c r="A84" s="14" t="s">
        <v>135</v>
      </c>
      <c r="B84" s="14"/>
      <c r="C84" s="24"/>
      <c r="D84" s="38">
        <v>4</v>
      </c>
      <c r="E84" s="39" t="s">
        <v>146</v>
      </c>
      <c r="F84" s="39" t="s">
        <v>413</v>
      </c>
      <c r="G84" s="39" t="s">
        <v>409</v>
      </c>
      <c r="H84" s="38"/>
      <c r="I84" s="24"/>
      <c r="J84" s="25" cm="1">
        <f t="array" ref="J84:K84">LEN(F84:G84)</f>
        <v>748</v>
      </c>
      <c r="K84" s="25">
        <v>453</v>
      </c>
      <c r="L84" s="23">
        <f t="shared" si="0"/>
        <v>1201</v>
      </c>
    </row>
    <row r="85" spans="1:12" s="21" customFormat="1" ht="118.5" customHeight="1" x14ac:dyDescent="0.4">
      <c r="A85" s="14" t="s">
        <v>135</v>
      </c>
      <c r="B85" s="14"/>
      <c r="C85" s="24"/>
      <c r="D85" s="38">
        <v>5</v>
      </c>
      <c r="E85" s="39" t="s">
        <v>181</v>
      </c>
      <c r="F85" s="39" t="s">
        <v>418</v>
      </c>
      <c r="G85" s="39"/>
      <c r="H85" s="38"/>
      <c r="I85" s="24"/>
      <c r="J85" s="25" cm="1">
        <f t="array" ref="J85:K85">LEN(F85:G85)</f>
        <v>156</v>
      </c>
      <c r="K85" s="25">
        <v>0</v>
      </c>
      <c r="L85" s="23">
        <f t="shared" ref="L85:L141" si="1">+J85+K85</f>
        <v>156</v>
      </c>
    </row>
    <row r="86" spans="1:12" s="21" customFormat="1" ht="141.75" customHeight="1" x14ac:dyDescent="0.4">
      <c r="A86" s="14" t="s">
        <v>135</v>
      </c>
      <c r="B86" s="14"/>
      <c r="C86" s="24"/>
      <c r="D86" s="38">
        <v>6</v>
      </c>
      <c r="E86" s="39" t="s">
        <v>182</v>
      </c>
      <c r="F86" s="39" t="s">
        <v>183</v>
      </c>
      <c r="G86" s="39" t="s">
        <v>184</v>
      </c>
      <c r="H86" s="38"/>
      <c r="I86" s="24"/>
      <c r="J86" s="25" cm="1">
        <f t="array" ref="J86:K86">LEN(F86:G86)</f>
        <v>60</v>
      </c>
      <c r="K86" s="25">
        <v>150</v>
      </c>
      <c r="L86" s="23">
        <f t="shared" si="1"/>
        <v>210</v>
      </c>
    </row>
    <row r="87" spans="1:12" s="21" customFormat="1" ht="43.5" x14ac:dyDescent="0.4">
      <c r="A87" s="14" t="s">
        <v>135</v>
      </c>
      <c r="B87" s="14"/>
      <c r="C87" s="24"/>
      <c r="D87" s="38">
        <v>7</v>
      </c>
      <c r="E87" s="39" t="s">
        <v>147</v>
      </c>
      <c r="F87" s="39" t="s">
        <v>148</v>
      </c>
      <c r="G87" s="39"/>
      <c r="H87" s="38"/>
      <c r="I87" s="24"/>
      <c r="J87" s="25" cm="1">
        <f t="array" ref="J87:K87">LEN(F87:G87)</f>
        <v>68</v>
      </c>
      <c r="K87" s="25">
        <v>0</v>
      </c>
      <c r="L87" s="23">
        <f t="shared" si="1"/>
        <v>68</v>
      </c>
    </row>
    <row r="88" spans="1:12" s="21" customFormat="1" ht="14.5" x14ac:dyDescent="0.4">
      <c r="A88" s="41"/>
      <c r="B88" s="14" t="s">
        <v>75</v>
      </c>
      <c r="C88" s="81" t="s">
        <v>185</v>
      </c>
      <c r="D88" s="42"/>
      <c r="E88" s="43"/>
      <c r="F88" s="43"/>
      <c r="G88" s="43"/>
      <c r="H88" s="42"/>
      <c r="I88" s="34"/>
      <c r="J88" s="25" cm="1">
        <f t="array" ref="J88:K88">LEN(F88:G88)</f>
        <v>0</v>
      </c>
      <c r="K88" s="25">
        <v>0</v>
      </c>
      <c r="L88" s="23">
        <f t="shared" si="1"/>
        <v>0</v>
      </c>
    </row>
    <row r="89" spans="1:12" s="21" customFormat="1" ht="87" x14ac:dyDescent="0.4">
      <c r="A89" s="14" t="s">
        <v>135</v>
      </c>
      <c r="B89" s="14"/>
      <c r="C89" s="24"/>
      <c r="D89" s="38">
        <v>1</v>
      </c>
      <c r="E89" s="39" t="s">
        <v>136</v>
      </c>
      <c r="F89" s="39" t="s">
        <v>137</v>
      </c>
      <c r="G89" s="39" t="s">
        <v>138</v>
      </c>
      <c r="H89" s="38" t="s">
        <v>173</v>
      </c>
      <c r="I89" s="24" t="s">
        <v>186</v>
      </c>
      <c r="J89" s="25" cm="1">
        <f t="array" ref="J89:K89">LEN(F89:G89)</f>
        <v>120</v>
      </c>
      <c r="K89" s="25">
        <v>83</v>
      </c>
      <c r="L89" s="23">
        <f t="shared" si="1"/>
        <v>203</v>
      </c>
    </row>
    <row r="90" spans="1:12" s="21" customFormat="1" ht="145" x14ac:dyDescent="0.4">
      <c r="A90" s="14" t="s">
        <v>135</v>
      </c>
      <c r="B90" s="14"/>
      <c r="C90" s="24"/>
      <c r="D90" s="38">
        <v>2</v>
      </c>
      <c r="E90" s="39" t="s">
        <v>150</v>
      </c>
      <c r="F90" s="39" t="s">
        <v>151</v>
      </c>
      <c r="G90" s="39"/>
      <c r="H90" s="38"/>
      <c r="I90" s="24"/>
      <c r="J90" s="25" cm="1">
        <f t="array" ref="J90:K90">LEN(F90:G90)</f>
        <v>298</v>
      </c>
      <c r="K90" s="25">
        <v>0</v>
      </c>
      <c r="L90" s="23">
        <f t="shared" si="1"/>
        <v>298</v>
      </c>
    </row>
    <row r="91" spans="1:12" s="21" customFormat="1" ht="261" x14ac:dyDescent="0.4">
      <c r="A91" s="14" t="s">
        <v>135</v>
      </c>
      <c r="B91" s="14"/>
      <c r="C91" s="24"/>
      <c r="D91" s="38">
        <v>3</v>
      </c>
      <c r="E91" s="39" t="s">
        <v>152</v>
      </c>
      <c r="F91" s="39" t="s">
        <v>153</v>
      </c>
      <c r="G91" s="39"/>
      <c r="H91" s="38"/>
      <c r="I91" s="24"/>
      <c r="J91" s="25" cm="1">
        <f t="array" ref="J91:K91">LEN(F91:G91)</f>
        <v>52</v>
      </c>
      <c r="K91" s="25">
        <v>0</v>
      </c>
      <c r="L91" s="23">
        <f t="shared" si="1"/>
        <v>52</v>
      </c>
    </row>
    <row r="92" spans="1:12" s="21" customFormat="1" ht="409.5" x14ac:dyDescent="0.4">
      <c r="A92" s="14" t="s">
        <v>135</v>
      </c>
      <c r="B92" s="14"/>
      <c r="C92" s="24"/>
      <c r="D92" s="38">
        <v>4</v>
      </c>
      <c r="E92" s="39" t="s">
        <v>146</v>
      </c>
      <c r="F92" s="39" t="s">
        <v>403</v>
      </c>
      <c r="G92" s="87" t="s">
        <v>414</v>
      </c>
      <c r="H92" s="38"/>
      <c r="I92" s="24"/>
      <c r="J92" s="25" cm="1">
        <f t="array" ref="J92:K92">LEN(F92:G92)</f>
        <v>810</v>
      </c>
      <c r="K92" s="25">
        <v>220</v>
      </c>
      <c r="L92" s="23">
        <f t="shared" si="1"/>
        <v>1030</v>
      </c>
    </row>
    <row r="93" spans="1:12" s="21" customFormat="1" ht="129" customHeight="1" x14ac:dyDescent="0.4">
      <c r="A93" s="14" t="s">
        <v>135</v>
      </c>
      <c r="B93" s="14"/>
      <c r="C93" s="24"/>
      <c r="D93" s="38">
        <v>5</v>
      </c>
      <c r="E93" s="39" t="s">
        <v>181</v>
      </c>
      <c r="F93" s="39" t="s">
        <v>398</v>
      </c>
      <c r="G93" s="39"/>
      <c r="H93" s="38"/>
      <c r="I93" s="24"/>
      <c r="J93" s="25" cm="1">
        <f t="array" ref="J93:K93">LEN(F93:G93)</f>
        <v>156</v>
      </c>
      <c r="K93" s="25">
        <v>0</v>
      </c>
      <c r="L93" s="23">
        <f t="shared" si="1"/>
        <v>156</v>
      </c>
    </row>
    <row r="94" spans="1:12" s="21" customFormat="1" ht="130.5" customHeight="1" x14ac:dyDescent="0.4">
      <c r="A94" s="14" t="s">
        <v>135</v>
      </c>
      <c r="B94" s="14"/>
      <c r="C94" s="24"/>
      <c r="D94" s="38">
        <v>6</v>
      </c>
      <c r="E94" s="39" t="s">
        <v>182</v>
      </c>
      <c r="F94" s="39" t="s">
        <v>183</v>
      </c>
      <c r="G94" s="39" t="s">
        <v>184</v>
      </c>
      <c r="H94" s="38"/>
      <c r="I94" s="24"/>
      <c r="J94" s="25" cm="1">
        <f t="array" ref="J94:K94">LEN(F94:G94)</f>
        <v>60</v>
      </c>
      <c r="K94" s="25">
        <v>150</v>
      </c>
      <c r="L94" s="23">
        <f t="shared" si="1"/>
        <v>210</v>
      </c>
    </row>
    <row r="95" spans="1:12" s="21" customFormat="1" ht="43.5" x14ac:dyDescent="0.4">
      <c r="A95" s="14" t="s">
        <v>135</v>
      </c>
      <c r="B95" s="14"/>
      <c r="C95" s="24"/>
      <c r="D95" s="38">
        <v>7</v>
      </c>
      <c r="E95" s="39" t="s">
        <v>147</v>
      </c>
      <c r="F95" s="39" t="s">
        <v>148</v>
      </c>
      <c r="G95" s="39"/>
      <c r="H95" s="38"/>
      <c r="I95" s="24"/>
      <c r="J95" s="25" cm="1">
        <f t="array" ref="J95:K95">LEN(F95:G95)</f>
        <v>68</v>
      </c>
      <c r="K95" s="25">
        <v>0</v>
      </c>
      <c r="L95" s="23">
        <f t="shared" si="1"/>
        <v>68</v>
      </c>
    </row>
    <row r="96" spans="1:12" s="21" customFormat="1" ht="14.5" x14ac:dyDescent="0.4">
      <c r="A96" s="41"/>
      <c r="B96" s="14" t="s">
        <v>77</v>
      </c>
      <c r="C96" s="82" t="s">
        <v>187</v>
      </c>
      <c r="D96" s="42"/>
      <c r="E96" s="43"/>
      <c r="F96" s="43"/>
      <c r="G96" s="43"/>
      <c r="H96" s="42"/>
      <c r="I96" s="34"/>
      <c r="J96" s="25" cm="1">
        <f t="array" ref="J96:K96">LEN(F96:G96)</f>
        <v>0</v>
      </c>
      <c r="K96" s="25">
        <v>0</v>
      </c>
      <c r="L96" s="23">
        <f t="shared" si="1"/>
        <v>0</v>
      </c>
    </row>
    <row r="97" spans="1:12" s="21" customFormat="1" ht="87" x14ac:dyDescent="0.4">
      <c r="A97" s="14" t="s">
        <v>135</v>
      </c>
      <c r="B97" s="14"/>
      <c r="C97" s="24"/>
      <c r="D97" s="38">
        <v>1</v>
      </c>
      <c r="E97" s="39" t="s">
        <v>136</v>
      </c>
      <c r="F97" s="39" t="s">
        <v>137</v>
      </c>
      <c r="G97" s="39" t="s">
        <v>138</v>
      </c>
      <c r="H97" s="38" t="s">
        <v>173</v>
      </c>
      <c r="I97" s="24" t="s">
        <v>188</v>
      </c>
      <c r="J97" s="25" cm="1">
        <f t="array" ref="J97:K97">LEN(F97:G97)</f>
        <v>120</v>
      </c>
      <c r="K97" s="25">
        <v>83</v>
      </c>
      <c r="L97" s="23">
        <f t="shared" si="1"/>
        <v>203</v>
      </c>
    </row>
    <row r="98" spans="1:12" s="21" customFormat="1" ht="145" x14ac:dyDescent="0.4">
      <c r="A98" s="14" t="s">
        <v>135</v>
      </c>
      <c r="B98" s="14"/>
      <c r="C98" s="24"/>
      <c r="D98" s="38">
        <v>2</v>
      </c>
      <c r="E98" s="39" t="s">
        <v>150</v>
      </c>
      <c r="F98" s="39" t="s">
        <v>155</v>
      </c>
      <c r="G98" s="39"/>
      <c r="H98" s="38"/>
      <c r="I98" s="24"/>
      <c r="J98" s="25" cm="1">
        <f t="array" ref="J98:K98">LEN(F98:G98)</f>
        <v>298</v>
      </c>
      <c r="K98" s="25">
        <v>0</v>
      </c>
      <c r="L98" s="23">
        <f t="shared" si="1"/>
        <v>298</v>
      </c>
    </row>
    <row r="99" spans="1:12" s="21" customFormat="1" ht="261" x14ac:dyDescent="0.4">
      <c r="A99" s="14" t="s">
        <v>135</v>
      </c>
      <c r="B99" s="14"/>
      <c r="C99" s="24"/>
      <c r="D99" s="38">
        <v>3</v>
      </c>
      <c r="E99" s="39" t="s">
        <v>156</v>
      </c>
      <c r="F99" s="39" t="s">
        <v>153</v>
      </c>
      <c r="G99" s="39"/>
      <c r="H99" s="38"/>
      <c r="I99" s="24"/>
      <c r="J99" s="25" cm="1">
        <f t="array" ref="J99:K99">LEN(F99:G99)</f>
        <v>52</v>
      </c>
      <c r="K99" s="25">
        <v>0</v>
      </c>
      <c r="L99" s="23">
        <f t="shared" si="1"/>
        <v>52</v>
      </c>
    </row>
    <row r="100" spans="1:12" s="21" customFormat="1" ht="409.5" x14ac:dyDescent="0.4">
      <c r="A100" s="14" t="s">
        <v>135</v>
      </c>
      <c r="B100" s="14"/>
      <c r="C100" s="24"/>
      <c r="D100" s="38">
        <v>4</v>
      </c>
      <c r="E100" s="39" t="s">
        <v>146</v>
      </c>
      <c r="F100" s="39" t="s">
        <v>403</v>
      </c>
      <c r="G100" s="87" t="s">
        <v>395</v>
      </c>
      <c r="H100" s="38"/>
      <c r="I100" s="24"/>
      <c r="J100" s="25" cm="1">
        <f t="array" ref="J100:K100">LEN(F100:G100)</f>
        <v>810</v>
      </c>
      <c r="K100" s="25">
        <v>221</v>
      </c>
      <c r="L100" s="23">
        <f t="shared" si="1"/>
        <v>1031</v>
      </c>
    </row>
    <row r="101" spans="1:12" s="21" customFormat="1" ht="116.25" customHeight="1" x14ac:dyDescent="0.4">
      <c r="A101" s="14" t="s">
        <v>135</v>
      </c>
      <c r="B101" s="14"/>
      <c r="C101" s="24"/>
      <c r="D101" s="38">
        <v>5</v>
      </c>
      <c r="E101" s="39" t="s">
        <v>181</v>
      </c>
      <c r="F101" s="39" t="s">
        <v>398</v>
      </c>
      <c r="G101" s="39"/>
      <c r="H101" s="38"/>
      <c r="I101" s="24"/>
      <c r="J101" s="25" cm="1">
        <f t="array" ref="J101:K101">LEN(F101:G101)</f>
        <v>156</v>
      </c>
      <c r="K101" s="25">
        <v>0</v>
      </c>
      <c r="L101" s="23">
        <f t="shared" si="1"/>
        <v>156</v>
      </c>
    </row>
    <row r="102" spans="1:12" s="21" customFormat="1" ht="141" customHeight="1" x14ac:dyDescent="0.4">
      <c r="A102" s="14" t="s">
        <v>135</v>
      </c>
      <c r="B102" s="14"/>
      <c r="C102" s="24"/>
      <c r="D102" s="38">
        <v>6</v>
      </c>
      <c r="E102" s="39" t="s">
        <v>182</v>
      </c>
      <c r="F102" s="39" t="s">
        <v>183</v>
      </c>
      <c r="G102" s="39" t="s">
        <v>184</v>
      </c>
      <c r="H102" s="38"/>
      <c r="I102" s="24"/>
      <c r="J102" s="25" cm="1">
        <f t="array" ref="J102:K102">LEN(F102:G102)</f>
        <v>60</v>
      </c>
      <c r="K102" s="25">
        <v>150</v>
      </c>
      <c r="L102" s="23">
        <f t="shared" si="1"/>
        <v>210</v>
      </c>
    </row>
    <row r="103" spans="1:12" s="21" customFormat="1" ht="43.5" x14ac:dyDescent="0.4">
      <c r="A103" s="14" t="s">
        <v>135</v>
      </c>
      <c r="B103" s="14"/>
      <c r="C103" s="24"/>
      <c r="D103" s="38">
        <v>7</v>
      </c>
      <c r="E103" s="39" t="s">
        <v>147</v>
      </c>
      <c r="F103" s="39" t="s">
        <v>148</v>
      </c>
      <c r="G103" s="39"/>
      <c r="H103" s="38"/>
      <c r="I103" s="24"/>
      <c r="J103" s="25" cm="1">
        <f t="array" ref="J103:K103">LEN(F103:G103)</f>
        <v>68</v>
      </c>
      <c r="K103" s="25">
        <v>0</v>
      </c>
      <c r="L103" s="23">
        <f t="shared" si="1"/>
        <v>68</v>
      </c>
    </row>
    <row r="104" spans="1:12" s="21" customFormat="1" ht="14.5" x14ac:dyDescent="0.4">
      <c r="A104" s="41"/>
      <c r="B104" s="14" t="s">
        <v>79</v>
      </c>
      <c r="C104" s="81" t="s">
        <v>189</v>
      </c>
      <c r="D104" s="42"/>
      <c r="E104" s="43"/>
      <c r="F104" s="43"/>
      <c r="G104" s="43"/>
      <c r="H104" s="42"/>
      <c r="I104" s="34"/>
      <c r="J104" s="25" cm="1">
        <f t="array" ref="J104:K104">LEN(F104:G104)</f>
        <v>0</v>
      </c>
      <c r="K104" s="25">
        <v>0</v>
      </c>
      <c r="L104" s="23">
        <f t="shared" si="1"/>
        <v>0</v>
      </c>
    </row>
    <row r="105" spans="1:12" s="21" customFormat="1" ht="87" x14ac:dyDescent="0.4">
      <c r="A105" s="14" t="s">
        <v>135</v>
      </c>
      <c r="B105" s="14"/>
      <c r="C105" s="24"/>
      <c r="D105" s="38">
        <v>1</v>
      </c>
      <c r="E105" s="39" t="s">
        <v>136</v>
      </c>
      <c r="F105" s="39" t="s">
        <v>137</v>
      </c>
      <c r="G105" s="39" t="s">
        <v>138</v>
      </c>
      <c r="H105" s="38" t="s">
        <v>139</v>
      </c>
      <c r="I105" s="24" t="s">
        <v>190</v>
      </c>
      <c r="J105" s="25" cm="1">
        <f t="array" ref="J105:K105">LEN(F105:G105)</f>
        <v>120</v>
      </c>
      <c r="K105" s="25">
        <v>83</v>
      </c>
      <c r="L105" s="23">
        <f t="shared" si="1"/>
        <v>203</v>
      </c>
    </row>
    <row r="106" spans="1:12" s="21" customFormat="1" ht="58" x14ac:dyDescent="0.4">
      <c r="A106" s="14" t="s">
        <v>135</v>
      </c>
      <c r="B106" s="14"/>
      <c r="C106" s="24"/>
      <c r="D106" s="38">
        <v>2</v>
      </c>
      <c r="E106" s="39" t="s">
        <v>165</v>
      </c>
      <c r="F106" s="39" t="s">
        <v>166</v>
      </c>
      <c r="G106" s="39" t="s">
        <v>393</v>
      </c>
      <c r="H106" s="38"/>
      <c r="I106" s="24"/>
      <c r="J106" s="25" cm="1">
        <f t="array" ref="J106:K106">LEN(F106:G106)</f>
        <v>91</v>
      </c>
      <c r="K106" s="25">
        <v>154</v>
      </c>
      <c r="L106" s="23">
        <f t="shared" si="1"/>
        <v>245</v>
      </c>
    </row>
    <row r="107" spans="1:12" s="21" customFormat="1" ht="43.5" x14ac:dyDescent="0.4">
      <c r="A107" s="14" t="s">
        <v>135</v>
      </c>
      <c r="B107" s="14"/>
      <c r="C107" s="24"/>
      <c r="D107" s="38">
        <v>3</v>
      </c>
      <c r="E107" s="39" t="s">
        <v>167</v>
      </c>
      <c r="F107" s="39" t="s">
        <v>168</v>
      </c>
      <c r="G107" s="39" t="s">
        <v>169</v>
      </c>
      <c r="H107" s="38"/>
      <c r="I107" s="24"/>
      <c r="J107" s="25" cm="1">
        <f t="array" ref="J107:K107">LEN(F107:G107)</f>
        <v>104</v>
      </c>
      <c r="K107" s="25">
        <v>30</v>
      </c>
      <c r="L107" s="23">
        <f t="shared" si="1"/>
        <v>134</v>
      </c>
    </row>
    <row r="108" spans="1:12" s="21" customFormat="1" ht="409.5" x14ac:dyDescent="0.4">
      <c r="A108" s="14" t="s">
        <v>135</v>
      </c>
      <c r="B108" s="14"/>
      <c r="C108" s="24"/>
      <c r="D108" s="38">
        <v>4</v>
      </c>
      <c r="E108" s="39" t="s">
        <v>170</v>
      </c>
      <c r="F108" s="39" t="s">
        <v>423</v>
      </c>
      <c r="G108" s="39" t="s">
        <v>380</v>
      </c>
      <c r="H108" s="38"/>
      <c r="I108" s="24"/>
      <c r="J108" s="25" cm="1">
        <f t="array" ref="J108:K108">LEN(F108:G108)</f>
        <v>1046</v>
      </c>
      <c r="K108" s="25">
        <v>219</v>
      </c>
      <c r="L108" s="23">
        <f t="shared" si="1"/>
        <v>1265</v>
      </c>
    </row>
    <row r="109" spans="1:12" s="21" customFormat="1" ht="116.25" customHeight="1" x14ac:dyDescent="0.4">
      <c r="A109" s="14" t="s">
        <v>135</v>
      </c>
      <c r="B109" s="14"/>
      <c r="C109" s="24"/>
      <c r="D109" s="38">
        <v>5</v>
      </c>
      <c r="E109" s="39" t="s">
        <v>181</v>
      </c>
      <c r="F109" s="39" t="s">
        <v>398</v>
      </c>
      <c r="G109" s="39"/>
      <c r="H109" s="38"/>
      <c r="I109" s="24"/>
      <c r="J109" s="25" cm="1">
        <f t="array" ref="J109:K109">LEN(F109:G109)</f>
        <v>156</v>
      </c>
      <c r="K109" s="25">
        <v>0</v>
      </c>
      <c r="L109" s="23">
        <f t="shared" si="1"/>
        <v>156</v>
      </c>
    </row>
    <row r="110" spans="1:12" s="21" customFormat="1" ht="141" customHeight="1" x14ac:dyDescent="0.4">
      <c r="A110" s="14" t="s">
        <v>135</v>
      </c>
      <c r="B110" s="14"/>
      <c r="C110" s="24"/>
      <c r="D110" s="38">
        <v>6</v>
      </c>
      <c r="E110" s="39" t="s">
        <v>182</v>
      </c>
      <c r="F110" s="39" t="s">
        <v>183</v>
      </c>
      <c r="G110" s="39" t="s">
        <v>184</v>
      </c>
      <c r="H110" s="38"/>
      <c r="I110" s="24"/>
      <c r="J110" s="25" cm="1">
        <f t="array" ref="J110:K110">LEN(F110:G110)</f>
        <v>60</v>
      </c>
      <c r="K110" s="25">
        <v>150</v>
      </c>
      <c r="L110" s="23">
        <f t="shared" si="1"/>
        <v>210</v>
      </c>
    </row>
    <row r="111" spans="1:12" s="21" customFormat="1" ht="43.5" x14ac:dyDescent="0.4">
      <c r="A111" s="14" t="s">
        <v>135</v>
      </c>
      <c r="B111" s="14"/>
      <c r="C111" s="24"/>
      <c r="D111" s="38">
        <v>7</v>
      </c>
      <c r="E111" s="39" t="s">
        <v>171</v>
      </c>
      <c r="F111" s="39" t="s">
        <v>148</v>
      </c>
      <c r="G111" s="39"/>
      <c r="H111" s="38"/>
      <c r="I111" s="24"/>
      <c r="J111" s="25" cm="1">
        <f t="array" ref="J111:K111">LEN(F111:G111)</f>
        <v>68</v>
      </c>
      <c r="K111" s="25">
        <v>0</v>
      </c>
      <c r="L111" s="23">
        <f t="shared" si="1"/>
        <v>68</v>
      </c>
    </row>
    <row r="112" spans="1:12" s="21" customFormat="1" ht="14.5" x14ac:dyDescent="0.4">
      <c r="A112" s="41"/>
      <c r="B112" s="14" t="s">
        <v>411</v>
      </c>
      <c r="C112" s="83" t="s">
        <v>399</v>
      </c>
      <c r="D112" s="42"/>
      <c r="E112" s="43"/>
      <c r="F112" s="43"/>
      <c r="G112" s="43"/>
      <c r="H112" s="42"/>
      <c r="I112" s="34"/>
      <c r="J112" s="25" cm="1">
        <f t="array" ref="J112:K112">LEN(F112:G112)</f>
        <v>0</v>
      </c>
      <c r="K112" s="25">
        <v>0</v>
      </c>
      <c r="L112" s="23">
        <f t="shared" si="1"/>
        <v>0</v>
      </c>
    </row>
    <row r="113" spans="1:12" s="21" customFormat="1" ht="72.5" x14ac:dyDescent="0.4">
      <c r="A113" s="14" t="s">
        <v>135</v>
      </c>
      <c r="B113" s="14"/>
      <c r="C113" s="84"/>
      <c r="D113" s="38">
        <v>1</v>
      </c>
      <c r="E113" s="39" t="s">
        <v>136</v>
      </c>
      <c r="F113" s="39" t="s">
        <v>137</v>
      </c>
      <c r="G113" s="39" t="s">
        <v>138</v>
      </c>
      <c r="H113" s="38" t="s">
        <v>173</v>
      </c>
      <c r="I113" s="24" t="s">
        <v>140</v>
      </c>
      <c r="J113" s="25" cm="1">
        <f t="array" ref="J113:K113">LEN(F113:G113)</f>
        <v>120</v>
      </c>
      <c r="K113" s="25">
        <v>83</v>
      </c>
      <c r="L113" s="23">
        <f t="shared" si="1"/>
        <v>203</v>
      </c>
    </row>
    <row r="114" spans="1:12" s="21" customFormat="1" ht="58" x14ac:dyDescent="0.4">
      <c r="A114" s="14" t="s">
        <v>135</v>
      </c>
      <c r="B114" s="14"/>
      <c r="C114" s="24"/>
      <c r="D114" s="38">
        <v>2</v>
      </c>
      <c r="E114" s="39" t="s">
        <v>141</v>
      </c>
      <c r="F114" s="39" t="s">
        <v>142</v>
      </c>
      <c r="G114" s="39" t="s">
        <v>143</v>
      </c>
      <c r="H114" s="38"/>
      <c r="I114" s="24"/>
      <c r="J114" s="25" cm="1">
        <f t="array" ref="J114:K114">LEN(F114:G114)</f>
        <v>101</v>
      </c>
      <c r="K114" s="25">
        <v>152</v>
      </c>
      <c r="L114" s="23">
        <f t="shared" si="1"/>
        <v>253</v>
      </c>
    </row>
    <row r="115" spans="1:12" s="21" customFormat="1" ht="43.5" x14ac:dyDescent="0.4">
      <c r="A115" s="14" t="s">
        <v>135</v>
      </c>
      <c r="B115" s="14"/>
      <c r="C115" s="24"/>
      <c r="D115" s="38">
        <v>3</v>
      </c>
      <c r="E115" s="39" t="s">
        <v>144</v>
      </c>
      <c r="F115" s="39" t="s">
        <v>145</v>
      </c>
      <c r="G115" s="39"/>
      <c r="H115" s="38"/>
      <c r="I115" s="24"/>
      <c r="J115" s="25" cm="1">
        <f t="array" ref="J115:K115">LEN(F115:G115)</f>
        <v>68</v>
      </c>
      <c r="K115" s="25">
        <v>0</v>
      </c>
      <c r="L115" s="23">
        <f t="shared" si="1"/>
        <v>68</v>
      </c>
    </row>
    <row r="116" spans="1:12" s="21" customFormat="1" ht="409.5" x14ac:dyDescent="0.4">
      <c r="A116" s="14" t="s">
        <v>135</v>
      </c>
      <c r="B116" s="14"/>
      <c r="C116" s="24"/>
      <c r="D116" s="38">
        <v>4</v>
      </c>
      <c r="E116" s="39" t="s">
        <v>146</v>
      </c>
      <c r="F116" s="39" t="s">
        <v>413</v>
      </c>
      <c r="G116" s="39" t="s">
        <v>409</v>
      </c>
      <c r="H116" s="38"/>
      <c r="I116" s="24"/>
      <c r="J116" s="25" cm="1">
        <f t="array" ref="J116:K116">LEN(F116:G116)</f>
        <v>748</v>
      </c>
      <c r="K116" s="25">
        <v>453</v>
      </c>
      <c r="L116" s="23">
        <f t="shared" si="1"/>
        <v>1201</v>
      </c>
    </row>
    <row r="117" spans="1:12" s="21" customFormat="1" ht="120.75" customHeight="1" x14ac:dyDescent="0.4">
      <c r="A117" s="14" t="s">
        <v>135</v>
      </c>
      <c r="B117" s="14"/>
      <c r="C117" s="24"/>
      <c r="D117" s="38">
        <v>5</v>
      </c>
      <c r="E117" s="39" t="s">
        <v>181</v>
      </c>
      <c r="F117" s="39" t="s">
        <v>398</v>
      </c>
      <c r="G117" s="39"/>
      <c r="H117" s="38"/>
      <c r="I117" s="24"/>
      <c r="J117" s="25" cm="1">
        <f t="array" ref="J117:K117">LEN(F117:G117)</f>
        <v>156</v>
      </c>
      <c r="K117" s="25">
        <v>0</v>
      </c>
      <c r="L117" s="23">
        <f t="shared" si="1"/>
        <v>156</v>
      </c>
    </row>
    <row r="118" spans="1:12" s="21" customFormat="1" ht="133.5" customHeight="1" x14ac:dyDescent="0.4">
      <c r="A118" s="14" t="s">
        <v>135</v>
      </c>
      <c r="B118" s="14"/>
      <c r="C118" s="24"/>
      <c r="D118" s="38">
        <v>6</v>
      </c>
      <c r="E118" s="39" t="s">
        <v>192</v>
      </c>
      <c r="F118" s="39" t="s">
        <v>193</v>
      </c>
      <c r="G118" s="39" t="s">
        <v>194</v>
      </c>
      <c r="H118" s="38"/>
      <c r="I118" s="24"/>
      <c r="J118" s="25" cm="1">
        <f t="array" ref="J118:K118">LEN(F118:G118)</f>
        <v>76</v>
      </c>
      <c r="K118" s="25">
        <v>139</v>
      </c>
      <c r="L118" s="23">
        <f t="shared" si="1"/>
        <v>215</v>
      </c>
    </row>
    <row r="119" spans="1:12" s="21" customFormat="1" ht="43.5" x14ac:dyDescent="0.4">
      <c r="A119" s="14" t="s">
        <v>135</v>
      </c>
      <c r="B119" s="14"/>
      <c r="C119" s="24"/>
      <c r="D119" s="38">
        <v>7</v>
      </c>
      <c r="E119" s="39" t="s">
        <v>147</v>
      </c>
      <c r="F119" s="39" t="s">
        <v>148</v>
      </c>
      <c r="G119" s="39"/>
      <c r="H119" s="38"/>
      <c r="I119" s="24"/>
      <c r="J119" s="25" cm="1">
        <f t="array" ref="J119:K119">LEN(F119:G119)</f>
        <v>68</v>
      </c>
      <c r="K119" s="25">
        <v>0</v>
      </c>
      <c r="L119" s="23">
        <f t="shared" si="1"/>
        <v>68</v>
      </c>
    </row>
    <row r="120" spans="1:12" s="21" customFormat="1" ht="14.5" x14ac:dyDescent="0.4">
      <c r="A120" s="41"/>
      <c r="B120" s="14" t="s">
        <v>81</v>
      </c>
      <c r="C120" s="81" t="s">
        <v>400</v>
      </c>
      <c r="D120" s="42"/>
      <c r="E120" s="43"/>
      <c r="F120" s="43"/>
      <c r="G120" s="43"/>
      <c r="H120" s="42"/>
      <c r="I120" s="34"/>
      <c r="J120" s="25" cm="1">
        <f t="array" ref="J120:K120">LEN(F120:G120)</f>
        <v>0</v>
      </c>
      <c r="K120" s="25">
        <v>0</v>
      </c>
      <c r="L120" s="23">
        <f t="shared" si="1"/>
        <v>0</v>
      </c>
    </row>
    <row r="121" spans="1:12" s="21" customFormat="1" ht="87" x14ac:dyDescent="0.4">
      <c r="A121" s="14" t="s">
        <v>135</v>
      </c>
      <c r="B121" s="14"/>
      <c r="C121" s="24"/>
      <c r="D121" s="38">
        <v>1</v>
      </c>
      <c r="E121" s="39" t="s">
        <v>136</v>
      </c>
      <c r="F121" s="39" t="s">
        <v>137</v>
      </c>
      <c r="G121" s="39" t="s">
        <v>138</v>
      </c>
      <c r="H121" s="38" t="s">
        <v>173</v>
      </c>
      <c r="I121" s="24" t="s">
        <v>186</v>
      </c>
      <c r="J121" s="25" cm="1">
        <f t="array" ref="J121:K121">LEN(F121:G121)</f>
        <v>120</v>
      </c>
      <c r="K121" s="25">
        <v>83</v>
      </c>
      <c r="L121" s="23">
        <f t="shared" si="1"/>
        <v>203</v>
      </c>
    </row>
    <row r="122" spans="1:12" s="21" customFormat="1" ht="145" x14ac:dyDescent="0.4">
      <c r="A122" s="14" t="s">
        <v>135</v>
      </c>
      <c r="B122" s="14"/>
      <c r="C122" s="24"/>
      <c r="D122" s="38">
        <v>2</v>
      </c>
      <c r="E122" s="39" t="s">
        <v>150</v>
      </c>
      <c r="F122" s="39" t="s">
        <v>151</v>
      </c>
      <c r="G122" s="39"/>
      <c r="H122" s="38"/>
      <c r="I122" s="24"/>
      <c r="J122" s="25" cm="1">
        <f t="array" ref="J122:K122">LEN(F122:G122)</f>
        <v>298</v>
      </c>
      <c r="K122" s="25">
        <v>0</v>
      </c>
      <c r="L122" s="23">
        <f t="shared" si="1"/>
        <v>298</v>
      </c>
    </row>
    <row r="123" spans="1:12" s="21" customFormat="1" ht="261" x14ac:dyDescent="0.4">
      <c r="A123" s="14" t="s">
        <v>135</v>
      </c>
      <c r="B123" s="14"/>
      <c r="C123" s="24"/>
      <c r="D123" s="38">
        <v>3</v>
      </c>
      <c r="E123" s="39" t="s">
        <v>152</v>
      </c>
      <c r="F123" s="39" t="s">
        <v>153</v>
      </c>
      <c r="G123" s="39"/>
      <c r="H123" s="38"/>
      <c r="I123" s="24"/>
      <c r="J123" s="25" cm="1">
        <f t="array" ref="J123:K123">LEN(F123:G123)</f>
        <v>52</v>
      </c>
      <c r="K123" s="25">
        <v>0</v>
      </c>
      <c r="L123" s="23">
        <f t="shared" si="1"/>
        <v>52</v>
      </c>
    </row>
    <row r="124" spans="1:12" s="21" customFormat="1" ht="409.5" x14ac:dyDescent="0.4">
      <c r="A124" s="14" t="s">
        <v>135</v>
      </c>
      <c r="B124" s="14"/>
      <c r="C124" s="24"/>
      <c r="D124" s="38">
        <v>4</v>
      </c>
      <c r="E124" s="39" t="s">
        <v>146</v>
      </c>
      <c r="F124" s="39" t="s">
        <v>403</v>
      </c>
      <c r="G124" s="87" t="s">
        <v>395</v>
      </c>
      <c r="H124" s="38"/>
      <c r="I124" s="24"/>
      <c r="J124" s="25" cm="1">
        <f t="array" ref="J124:K124">LEN(F124:G124)</f>
        <v>810</v>
      </c>
      <c r="K124" s="25">
        <v>221</v>
      </c>
      <c r="L124" s="23">
        <f t="shared" si="1"/>
        <v>1031</v>
      </c>
    </row>
    <row r="125" spans="1:12" s="21" customFormat="1" ht="132.75" customHeight="1" x14ac:dyDescent="0.4">
      <c r="A125" s="14" t="s">
        <v>135</v>
      </c>
      <c r="B125" s="14"/>
      <c r="C125" s="24"/>
      <c r="D125" s="38">
        <v>5</v>
      </c>
      <c r="E125" s="39" t="s">
        <v>181</v>
      </c>
      <c r="F125" s="39" t="s">
        <v>398</v>
      </c>
      <c r="G125" s="39"/>
      <c r="H125" s="38"/>
      <c r="I125" s="24"/>
      <c r="J125" s="25" cm="1">
        <f t="array" ref="J125:K125">LEN(F125:G125)</f>
        <v>156</v>
      </c>
      <c r="K125" s="25">
        <v>0</v>
      </c>
      <c r="L125" s="23">
        <f t="shared" si="1"/>
        <v>156</v>
      </c>
    </row>
    <row r="126" spans="1:12" s="21" customFormat="1" ht="126" customHeight="1" x14ac:dyDescent="0.4">
      <c r="A126" s="14" t="s">
        <v>135</v>
      </c>
      <c r="B126" s="14"/>
      <c r="C126" s="24"/>
      <c r="D126" s="38">
        <v>6</v>
      </c>
      <c r="E126" s="39" t="s">
        <v>192</v>
      </c>
      <c r="F126" s="39" t="s">
        <v>193</v>
      </c>
      <c r="G126" s="39" t="s">
        <v>194</v>
      </c>
      <c r="H126" s="38"/>
      <c r="I126" s="24"/>
      <c r="J126" s="25" cm="1">
        <f t="array" ref="J126:K126">LEN(F126:G126)</f>
        <v>76</v>
      </c>
      <c r="K126" s="25">
        <v>139</v>
      </c>
      <c r="L126" s="23">
        <f t="shared" si="1"/>
        <v>215</v>
      </c>
    </row>
    <row r="127" spans="1:12" s="21" customFormat="1" ht="43.5" x14ac:dyDescent="0.4">
      <c r="A127" s="14" t="s">
        <v>135</v>
      </c>
      <c r="B127" s="14"/>
      <c r="C127" s="24"/>
      <c r="D127" s="38">
        <v>7</v>
      </c>
      <c r="E127" s="39" t="s">
        <v>147</v>
      </c>
      <c r="F127" s="39" t="s">
        <v>148</v>
      </c>
      <c r="G127" s="39"/>
      <c r="H127" s="38"/>
      <c r="I127" s="24"/>
      <c r="J127" s="25" cm="1">
        <f t="array" ref="J127:K127">LEN(F127:G127)</f>
        <v>68</v>
      </c>
      <c r="K127" s="25">
        <v>0</v>
      </c>
      <c r="L127" s="23">
        <f t="shared" si="1"/>
        <v>68</v>
      </c>
    </row>
    <row r="128" spans="1:12" s="21" customFormat="1" ht="14.5" x14ac:dyDescent="0.4">
      <c r="A128" s="41"/>
      <c r="B128" s="14" t="s">
        <v>83</v>
      </c>
      <c r="C128" s="47" t="s">
        <v>401</v>
      </c>
      <c r="D128" s="42"/>
      <c r="E128" s="43"/>
      <c r="F128" s="43"/>
      <c r="G128" s="43"/>
      <c r="H128" s="42"/>
      <c r="I128" s="34"/>
      <c r="J128" s="25" cm="1">
        <f t="array" ref="J128:K128">LEN(F128:G128)</f>
        <v>0</v>
      </c>
      <c r="K128" s="25">
        <v>0</v>
      </c>
      <c r="L128" s="23">
        <f t="shared" si="1"/>
        <v>0</v>
      </c>
    </row>
    <row r="129" spans="1:12" s="21" customFormat="1" ht="87" x14ac:dyDescent="0.4">
      <c r="A129" s="14" t="s">
        <v>135</v>
      </c>
      <c r="B129" s="14"/>
      <c r="C129" s="24"/>
      <c r="D129" s="38">
        <v>1</v>
      </c>
      <c r="E129" s="39" t="s">
        <v>136</v>
      </c>
      <c r="F129" s="39" t="s">
        <v>137</v>
      </c>
      <c r="G129" s="39" t="s">
        <v>138</v>
      </c>
      <c r="H129" s="38" t="s">
        <v>173</v>
      </c>
      <c r="I129" s="24" t="s">
        <v>188</v>
      </c>
      <c r="J129" s="25" cm="1">
        <f t="array" ref="J129:K129">LEN(F129:G129)</f>
        <v>120</v>
      </c>
      <c r="K129" s="25">
        <v>83</v>
      </c>
      <c r="L129" s="23">
        <f t="shared" si="1"/>
        <v>203</v>
      </c>
    </row>
    <row r="130" spans="1:12" s="21" customFormat="1" ht="145" x14ac:dyDescent="0.4">
      <c r="A130" s="14" t="s">
        <v>135</v>
      </c>
      <c r="B130" s="14"/>
      <c r="C130" s="24"/>
      <c r="D130" s="38">
        <v>2</v>
      </c>
      <c r="E130" s="39" t="s">
        <v>150</v>
      </c>
      <c r="F130" s="39" t="s">
        <v>155</v>
      </c>
      <c r="G130" s="39"/>
      <c r="H130" s="38"/>
      <c r="I130" s="24"/>
      <c r="J130" s="25" cm="1">
        <f t="array" ref="J130:K130">LEN(F130:G130)</f>
        <v>298</v>
      </c>
      <c r="K130" s="25">
        <v>0</v>
      </c>
      <c r="L130" s="23">
        <f t="shared" si="1"/>
        <v>298</v>
      </c>
    </row>
    <row r="131" spans="1:12" s="21" customFormat="1" ht="261" x14ac:dyDescent="0.4">
      <c r="A131" s="14" t="s">
        <v>135</v>
      </c>
      <c r="B131" s="14"/>
      <c r="C131" s="24"/>
      <c r="D131" s="38">
        <v>3</v>
      </c>
      <c r="E131" s="39" t="s">
        <v>156</v>
      </c>
      <c r="F131" s="39" t="s">
        <v>153</v>
      </c>
      <c r="G131" s="39"/>
      <c r="H131" s="38"/>
      <c r="I131" s="24"/>
      <c r="J131" s="25" cm="1">
        <f t="array" ref="J131:K131">LEN(F131:G131)</f>
        <v>52</v>
      </c>
      <c r="K131" s="25">
        <v>0</v>
      </c>
      <c r="L131" s="23">
        <f t="shared" si="1"/>
        <v>52</v>
      </c>
    </row>
    <row r="132" spans="1:12" s="21" customFormat="1" ht="409.5" x14ac:dyDescent="0.4">
      <c r="A132" s="14" t="s">
        <v>135</v>
      </c>
      <c r="B132" s="14"/>
      <c r="C132" s="24"/>
      <c r="D132" s="38">
        <v>4</v>
      </c>
      <c r="E132" s="39" t="s">
        <v>146</v>
      </c>
      <c r="F132" s="39" t="s">
        <v>403</v>
      </c>
      <c r="G132" s="87" t="s">
        <v>395</v>
      </c>
      <c r="H132" s="38"/>
      <c r="I132" s="24"/>
      <c r="J132" s="25" cm="1">
        <f t="array" ref="J132:K132">LEN(F132:G132)</f>
        <v>810</v>
      </c>
      <c r="K132" s="25">
        <v>221</v>
      </c>
      <c r="L132" s="23">
        <f t="shared" si="1"/>
        <v>1031</v>
      </c>
    </row>
    <row r="133" spans="1:12" s="21" customFormat="1" ht="132.75" customHeight="1" x14ac:dyDescent="0.4">
      <c r="A133" s="14" t="s">
        <v>135</v>
      </c>
      <c r="B133" s="14"/>
      <c r="C133" s="24"/>
      <c r="D133" s="38">
        <v>5</v>
      </c>
      <c r="E133" s="39" t="s">
        <v>181</v>
      </c>
      <c r="F133" s="39" t="s">
        <v>398</v>
      </c>
      <c r="G133" s="39"/>
      <c r="H133" s="38"/>
      <c r="I133" s="24"/>
      <c r="J133" s="25" cm="1">
        <f t="array" ref="J133:K133">LEN(F133:G133)</f>
        <v>156</v>
      </c>
      <c r="K133" s="25">
        <v>0</v>
      </c>
      <c r="L133" s="23">
        <f t="shared" si="1"/>
        <v>156</v>
      </c>
    </row>
    <row r="134" spans="1:12" s="21" customFormat="1" ht="126" customHeight="1" x14ac:dyDescent="0.4">
      <c r="A134" s="14" t="s">
        <v>135</v>
      </c>
      <c r="B134" s="14"/>
      <c r="C134" s="24"/>
      <c r="D134" s="38">
        <v>6</v>
      </c>
      <c r="E134" s="39" t="s">
        <v>192</v>
      </c>
      <c r="F134" s="39" t="s">
        <v>193</v>
      </c>
      <c r="G134" s="39" t="s">
        <v>194</v>
      </c>
      <c r="H134" s="38"/>
      <c r="I134" s="24"/>
      <c r="J134" s="25" cm="1">
        <f t="array" ref="J134:K134">LEN(F134:G134)</f>
        <v>76</v>
      </c>
      <c r="K134" s="25">
        <v>139</v>
      </c>
      <c r="L134" s="23">
        <f t="shared" si="1"/>
        <v>215</v>
      </c>
    </row>
    <row r="135" spans="1:12" s="21" customFormat="1" ht="43.5" x14ac:dyDescent="0.4">
      <c r="A135" s="14" t="s">
        <v>135</v>
      </c>
      <c r="B135" s="14"/>
      <c r="C135" s="24"/>
      <c r="D135" s="38">
        <v>7</v>
      </c>
      <c r="E135" s="39" t="s">
        <v>147</v>
      </c>
      <c r="F135" s="39" t="s">
        <v>148</v>
      </c>
      <c r="G135" s="39"/>
      <c r="H135" s="38"/>
      <c r="I135" s="24"/>
      <c r="J135" s="25" cm="1">
        <f t="array" ref="J135:K135">LEN(F135:G135)</f>
        <v>68</v>
      </c>
      <c r="K135" s="25">
        <v>0</v>
      </c>
      <c r="L135" s="23">
        <f t="shared" si="1"/>
        <v>68</v>
      </c>
    </row>
    <row r="136" spans="1:12" s="21" customFormat="1" ht="14.5" x14ac:dyDescent="0.4">
      <c r="A136" s="41"/>
      <c r="B136" s="14" t="s">
        <v>85</v>
      </c>
      <c r="C136" s="81" t="s">
        <v>402</v>
      </c>
      <c r="D136" s="42"/>
      <c r="E136" s="43"/>
      <c r="F136" s="43"/>
      <c r="G136" s="43"/>
      <c r="H136" s="42"/>
      <c r="I136" s="34"/>
      <c r="J136" s="25" cm="1">
        <f t="array" ref="J136:K136">LEN(F136:G136)</f>
        <v>0</v>
      </c>
      <c r="K136" s="25">
        <v>0</v>
      </c>
      <c r="L136" s="23">
        <f t="shared" si="1"/>
        <v>0</v>
      </c>
    </row>
    <row r="137" spans="1:12" s="21" customFormat="1" ht="87" x14ac:dyDescent="0.4">
      <c r="A137" s="14" t="s">
        <v>135</v>
      </c>
      <c r="B137" s="14"/>
      <c r="C137" s="24"/>
      <c r="D137" s="38">
        <v>1</v>
      </c>
      <c r="E137" s="39" t="s">
        <v>136</v>
      </c>
      <c r="F137" s="39" t="s">
        <v>137</v>
      </c>
      <c r="G137" s="39" t="s">
        <v>138</v>
      </c>
      <c r="H137" s="38" t="s">
        <v>139</v>
      </c>
      <c r="I137" s="24" t="s">
        <v>190</v>
      </c>
      <c r="J137" s="25" cm="1">
        <f t="array" ref="J137:K137">LEN(F137:G137)</f>
        <v>120</v>
      </c>
      <c r="K137" s="25">
        <v>83</v>
      </c>
      <c r="L137" s="23">
        <f t="shared" si="1"/>
        <v>203</v>
      </c>
    </row>
    <row r="138" spans="1:12" s="21" customFormat="1" ht="58" x14ac:dyDescent="0.4">
      <c r="A138" s="14" t="s">
        <v>135</v>
      </c>
      <c r="B138" s="14"/>
      <c r="C138" s="24"/>
      <c r="D138" s="38">
        <v>2</v>
      </c>
      <c r="E138" s="39" t="s">
        <v>165</v>
      </c>
      <c r="F138" s="39" t="s">
        <v>166</v>
      </c>
      <c r="G138" s="39" t="s">
        <v>393</v>
      </c>
      <c r="H138" s="38"/>
      <c r="I138" s="24"/>
      <c r="J138" s="25" cm="1">
        <f t="array" ref="J138:K138">LEN(F138:G138)</f>
        <v>91</v>
      </c>
      <c r="K138" s="25">
        <v>154</v>
      </c>
      <c r="L138" s="23">
        <f t="shared" si="1"/>
        <v>245</v>
      </c>
    </row>
    <row r="139" spans="1:12" s="21" customFormat="1" ht="43.5" x14ac:dyDescent="0.4">
      <c r="A139" s="14" t="s">
        <v>135</v>
      </c>
      <c r="B139" s="14"/>
      <c r="C139" s="24"/>
      <c r="D139" s="38">
        <v>3</v>
      </c>
      <c r="E139" s="39" t="s">
        <v>167</v>
      </c>
      <c r="F139" s="39" t="s">
        <v>168</v>
      </c>
      <c r="G139" s="39" t="s">
        <v>169</v>
      </c>
      <c r="H139" s="38"/>
      <c r="I139" s="24"/>
      <c r="J139" s="25" cm="1">
        <f t="array" ref="J139:K139">LEN(F139:G139)</f>
        <v>104</v>
      </c>
      <c r="K139" s="25">
        <v>30</v>
      </c>
      <c r="L139" s="23">
        <f t="shared" si="1"/>
        <v>134</v>
      </c>
    </row>
    <row r="140" spans="1:12" s="21" customFormat="1" ht="409.5" x14ac:dyDescent="0.4">
      <c r="A140" s="14" t="s">
        <v>135</v>
      </c>
      <c r="B140" s="14"/>
      <c r="C140" s="24"/>
      <c r="D140" s="38">
        <v>4</v>
      </c>
      <c r="E140" s="39" t="s">
        <v>170</v>
      </c>
      <c r="F140" s="39" t="s">
        <v>423</v>
      </c>
      <c r="G140" s="39" t="s">
        <v>380</v>
      </c>
      <c r="H140" s="38"/>
      <c r="I140" s="24"/>
      <c r="J140" s="25" cm="1">
        <f t="array" ref="J140:K140">LEN(F140:G140)</f>
        <v>1046</v>
      </c>
      <c r="K140" s="25">
        <v>219</v>
      </c>
      <c r="L140" s="23">
        <f t="shared" si="1"/>
        <v>1265</v>
      </c>
    </row>
    <row r="141" spans="1:12" s="21" customFormat="1" ht="72.5" x14ac:dyDescent="0.4">
      <c r="A141" s="14" t="s">
        <v>135</v>
      </c>
      <c r="B141" s="14"/>
      <c r="C141" s="24"/>
      <c r="D141" s="38">
        <v>5</v>
      </c>
      <c r="E141" s="39" t="s">
        <v>181</v>
      </c>
      <c r="F141" s="39" t="s">
        <v>398</v>
      </c>
      <c r="G141" s="39"/>
      <c r="H141" s="38"/>
      <c r="I141" s="24"/>
      <c r="J141" s="25" cm="1">
        <f t="array" ref="J141:K141">LEN(F141:G141)</f>
        <v>156</v>
      </c>
      <c r="K141" s="25">
        <v>0</v>
      </c>
      <c r="L141" s="23">
        <f t="shared" si="1"/>
        <v>156</v>
      </c>
    </row>
    <row r="142" spans="1:12" s="21" customFormat="1" ht="43.5" x14ac:dyDescent="0.4">
      <c r="A142" s="14" t="s">
        <v>135</v>
      </c>
      <c r="B142" s="14"/>
      <c r="C142" s="24"/>
      <c r="D142" s="38">
        <v>6</v>
      </c>
      <c r="E142" s="39" t="s">
        <v>192</v>
      </c>
      <c r="F142" s="39" t="s">
        <v>193</v>
      </c>
      <c r="G142" s="39" t="s">
        <v>194</v>
      </c>
      <c r="H142" s="38"/>
      <c r="I142" s="24"/>
      <c r="J142" s="25" cm="1">
        <f t="array" ref="J142:K142">LEN(F142:G142)</f>
        <v>76</v>
      </c>
      <c r="K142" s="25">
        <v>139</v>
      </c>
      <c r="L142" s="23">
        <f t="shared" ref="L142:L204" si="2">+J142+K142</f>
        <v>215</v>
      </c>
    </row>
    <row r="143" spans="1:12" s="21" customFormat="1" ht="43.5" x14ac:dyDescent="0.4">
      <c r="A143" s="14" t="s">
        <v>135</v>
      </c>
      <c r="B143" s="14"/>
      <c r="C143" s="24"/>
      <c r="D143" s="38">
        <v>7</v>
      </c>
      <c r="E143" s="39" t="s">
        <v>147</v>
      </c>
      <c r="F143" s="39" t="s">
        <v>148</v>
      </c>
      <c r="G143" s="39"/>
      <c r="H143" s="38"/>
      <c r="I143" s="24"/>
      <c r="J143" s="25" cm="1">
        <f t="array" ref="J143:K143">LEN(F143:G143)</f>
        <v>68</v>
      </c>
      <c r="K143" s="25">
        <v>0</v>
      </c>
      <c r="L143" s="23">
        <f t="shared" si="2"/>
        <v>68</v>
      </c>
    </row>
    <row r="144" spans="1:12" s="21" customFormat="1" ht="14.5" x14ac:dyDescent="0.4">
      <c r="A144" s="41"/>
      <c r="B144" s="14" t="s">
        <v>87</v>
      </c>
      <c r="C144" s="81" t="s">
        <v>195</v>
      </c>
      <c r="D144" s="42"/>
      <c r="E144" s="43"/>
      <c r="F144" s="43"/>
      <c r="G144" s="43"/>
      <c r="H144" s="42"/>
      <c r="I144" s="34"/>
      <c r="J144" s="25" cm="1">
        <f t="array" ref="J144:K144">LEN(F144:G144)</f>
        <v>0</v>
      </c>
      <c r="K144" s="25">
        <v>0</v>
      </c>
      <c r="L144" s="23">
        <f t="shared" si="2"/>
        <v>0</v>
      </c>
    </row>
    <row r="145" spans="1:12" s="21" customFormat="1" ht="145" x14ac:dyDescent="0.4">
      <c r="A145" s="14" t="s">
        <v>135</v>
      </c>
      <c r="B145" s="14"/>
      <c r="C145" s="24"/>
      <c r="D145" s="38">
        <v>1</v>
      </c>
      <c r="E145" s="39" t="s">
        <v>196</v>
      </c>
      <c r="F145" s="39" t="s">
        <v>197</v>
      </c>
      <c r="G145" s="39" t="s">
        <v>198</v>
      </c>
      <c r="H145" s="38" t="s">
        <v>199</v>
      </c>
      <c r="I145" s="24" t="s">
        <v>140</v>
      </c>
      <c r="J145" s="25" cm="1">
        <f t="array" ref="J145:K145">LEN(F145:G145)</f>
        <v>43</v>
      </c>
      <c r="K145" s="25">
        <v>376</v>
      </c>
      <c r="L145" s="23">
        <f t="shared" si="2"/>
        <v>419</v>
      </c>
    </row>
    <row r="146" spans="1:12" s="21" customFormat="1" ht="174" x14ac:dyDescent="0.4">
      <c r="A146" s="14" t="s">
        <v>135</v>
      </c>
      <c r="B146" s="14"/>
      <c r="C146" s="24"/>
      <c r="D146" s="38">
        <v>2</v>
      </c>
      <c r="E146" s="39" t="s">
        <v>200</v>
      </c>
      <c r="F146" s="39" t="s">
        <v>201</v>
      </c>
      <c r="G146" s="39" t="s">
        <v>202</v>
      </c>
      <c r="H146" s="38"/>
      <c r="I146" s="24"/>
      <c r="J146" s="25" cm="1">
        <f t="array" ref="J146:K146">LEN(F146:G146)</f>
        <v>500</v>
      </c>
      <c r="K146" s="25">
        <v>416</v>
      </c>
      <c r="L146" s="23">
        <f>+J146+K146</f>
        <v>916</v>
      </c>
    </row>
    <row r="147" spans="1:12" s="21" customFormat="1" ht="43.5" x14ac:dyDescent="0.4">
      <c r="A147" s="14" t="s">
        <v>135</v>
      </c>
      <c r="B147" s="14"/>
      <c r="C147" s="24"/>
      <c r="D147" s="38">
        <v>3</v>
      </c>
      <c r="E147" s="39" t="s">
        <v>147</v>
      </c>
      <c r="F147" s="39" t="s">
        <v>148</v>
      </c>
      <c r="G147" s="39"/>
      <c r="I147" s="24"/>
      <c r="J147" s="25" cm="1">
        <f t="array" ref="J147:K147">LEN(F147:G147)</f>
        <v>68</v>
      </c>
      <c r="K147" s="25">
        <v>0</v>
      </c>
      <c r="L147" s="23">
        <f t="shared" si="2"/>
        <v>68</v>
      </c>
    </row>
    <row r="148" spans="1:12" s="21" customFormat="1" ht="14.5" x14ac:dyDescent="0.4">
      <c r="A148" s="41"/>
      <c r="B148" s="14" t="s">
        <v>89</v>
      </c>
      <c r="C148" s="81" t="s">
        <v>302</v>
      </c>
      <c r="D148" s="42"/>
      <c r="E148" s="43"/>
      <c r="F148" s="43"/>
      <c r="G148" s="43"/>
      <c r="H148" s="42"/>
      <c r="I148" s="34"/>
      <c r="J148" s="25" cm="1">
        <f t="array" ref="J148:K148">LEN(F148:G148)</f>
        <v>0</v>
      </c>
      <c r="K148" s="25">
        <v>0</v>
      </c>
      <c r="L148" s="23">
        <f t="shared" si="2"/>
        <v>0</v>
      </c>
    </row>
    <row r="149" spans="1:12" s="21" customFormat="1" ht="145" x14ac:dyDescent="0.4">
      <c r="A149" s="14" t="s">
        <v>135</v>
      </c>
      <c r="B149" s="14"/>
      <c r="C149" s="24"/>
      <c r="D149" s="38">
        <v>1</v>
      </c>
      <c r="E149" s="39" t="s">
        <v>196</v>
      </c>
      <c r="F149" s="39" t="s">
        <v>197</v>
      </c>
      <c r="G149" s="39" t="s">
        <v>198</v>
      </c>
      <c r="H149" s="38" t="s">
        <v>199</v>
      </c>
      <c r="I149" s="24"/>
      <c r="J149" s="25" cm="1">
        <f t="array" ref="J149:K149">LEN(F149:G149)</f>
        <v>43</v>
      </c>
      <c r="K149" s="25">
        <v>376</v>
      </c>
      <c r="L149" s="23">
        <f t="shared" si="2"/>
        <v>419</v>
      </c>
    </row>
    <row r="150" spans="1:12" s="21" customFormat="1" ht="174" x14ac:dyDescent="0.4">
      <c r="A150" s="14" t="s">
        <v>135</v>
      </c>
      <c r="B150" s="14"/>
      <c r="C150" s="24"/>
      <c r="D150" s="38">
        <v>2</v>
      </c>
      <c r="E150" s="39" t="s">
        <v>203</v>
      </c>
      <c r="F150" s="39" t="s">
        <v>204</v>
      </c>
      <c r="G150" s="39" t="s">
        <v>381</v>
      </c>
      <c r="H150" s="38"/>
      <c r="I150" s="24"/>
      <c r="J150" s="25" cm="1">
        <f t="array" ref="J150:K150">LEN(F150:G150)</f>
        <v>537</v>
      </c>
      <c r="K150" s="25">
        <v>285</v>
      </c>
      <c r="L150" s="23">
        <f t="shared" si="2"/>
        <v>822</v>
      </c>
    </row>
    <row r="151" spans="1:12" s="21" customFormat="1" ht="43.5" x14ac:dyDescent="0.4">
      <c r="A151" s="14" t="s">
        <v>135</v>
      </c>
      <c r="B151" s="14"/>
      <c r="C151" s="24"/>
      <c r="D151" s="38">
        <v>3</v>
      </c>
      <c r="E151" s="39" t="s">
        <v>147</v>
      </c>
      <c r="F151" s="39" t="s">
        <v>148</v>
      </c>
      <c r="G151" s="39"/>
      <c r="H151" s="38"/>
      <c r="I151" s="24"/>
      <c r="J151" s="25" cm="1">
        <f t="array" ref="J151:K151">LEN(F151:G151)</f>
        <v>68</v>
      </c>
      <c r="K151" s="25">
        <v>0</v>
      </c>
      <c r="L151" s="23">
        <f t="shared" si="2"/>
        <v>68</v>
      </c>
    </row>
    <row r="152" spans="1:12" s="21" customFormat="1" x14ac:dyDescent="0.45">
      <c r="A152" s="41"/>
      <c r="B152" s="14" t="s">
        <v>91</v>
      </c>
      <c r="C152" s="81" t="s">
        <v>205</v>
      </c>
      <c r="D152" s="42"/>
      <c r="E152" s="43"/>
      <c r="F152" s="48"/>
      <c r="G152" s="49"/>
      <c r="H152" s="49"/>
      <c r="I152" s="50"/>
      <c r="J152" s="25" cm="1">
        <f t="array" ref="J152:K152">LEN(F152:G152)</f>
        <v>0</v>
      </c>
      <c r="K152" s="25">
        <v>0</v>
      </c>
      <c r="L152" s="23">
        <f t="shared" si="2"/>
        <v>0</v>
      </c>
    </row>
    <row r="153" spans="1:12" s="21" customFormat="1" ht="409.5" x14ac:dyDescent="0.4">
      <c r="A153" s="14" t="s">
        <v>135</v>
      </c>
      <c r="B153" s="14"/>
      <c r="C153" s="24"/>
      <c r="D153" s="38">
        <v>1</v>
      </c>
      <c r="E153" s="39" t="s">
        <v>146</v>
      </c>
      <c r="F153" s="39" t="s">
        <v>403</v>
      </c>
      <c r="G153" s="39" t="s">
        <v>405</v>
      </c>
      <c r="H153" s="38" t="s">
        <v>199</v>
      </c>
      <c r="I153" s="24" t="s">
        <v>140</v>
      </c>
      <c r="J153" s="25" cm="1">
        <f t="array" ref="J153:K153">LEN(F153:G153)</f>
        <v>810</v>
      </c>
      <c r="K153" s="25">
        <v>351</v>
      </c>
      <c r="L153" s="23">
        <f t="shared" si="2"/>
        <v>1161</v>
      </c>
    </row>
    <row r="154" spans="1:12" s="21" customFormat="1" ht="217.5" x14ac:dyDescent="0.4">
      <c r="A154" s="14" t="s">
        <v>135</v>
      </c>
      <c r="B154" s="14"/>
      <c r="C154" s="24"/>
      <c r="D154" s="38">
        <v>2</v>
      </c>
      <c r="E154" s="39" t="s">
        <v>206</v>
      </c>
      <c r="F154" s="39" t="s">
        <v>207</v>
      </c>
      <c r="G154" s="39" t="s">
        <v>382</v>
      </c>
      <c r="H154" s="38"/>
      <c r="I154" s="24"/>
      <c r="J154" s="25" cm="1">
        <f t="array" ref="J154:K154">LEN(F154:G154)</f>
        <v>348</v>
      </c>
      <c r="K154" s="25">
        <v>616</v>
      </c>
      <c r="L154" s="23">
        <f t="shared" si="2"/>
        <v>964</v>
      </c>
    </row>
    <row r="155" spans="1:12" s="21" customFormat="1" ht="14.5" x14ac:dyDescent="0.4">
      <c r="A155" s="33"/>
      <c r="B155" s="14" t="s">
        <v>93</v>
      </c>
      <c r="C155" s="81" t="s">
        <v>208</v>
      </c>
      <c r="D155" s="35"/>
      <c r="E155" s="36"/>
      <c r="F155" s="36"/>
      <c r="G155" s="36"/>
      <c r="H155" s="35"/>
      <c r="I155" s="40"/>
      <c r="J155" s="25" cm="1">
        <f t="array" ref="J155:K155">LEN(F155:G155)</f>
        <v>0</v>
      </c>
      <c r="K155" s="25">
        <v>0</v>
      </c>
      <c r="L155" s="23">
        <f t="shared" si="2"/>
        <v>0</v>
      </c>
    </row>
    <row r="156" spans="1:12" s="21" customFormat="1" ht="232" x14ac:dyDescent="0.4">
      <c r="A156" s="14" t="s">
        <v>135</v>
      </c>
      <c r="B156" s="14"/>
      <c r="C156" s="24"/>
      <c r="D156" s="38">
        <v>1</v>
      </c>
      <c r="E156" s="39" t="s">
        <v>209</v>
      </c>
      <c r="F156" s="39" t="s">
        <v>210</v>
      </c>
      <c r="G156" s="39" t="s">
        <v>211</v>
      </c>
      <c r="H156" s="38" t="s">
        <v>139</v>
      </c>
      <c r="I156" s="24"/>
      <c r="J156" s="25" cm="1">
        <f t="array" ref="J156:K156">LEN(F156:G156)</f>
        <v>266</v>
      </c>
      <c r="K156" s="25">
        <v>642</v>
      </c>
      <c r="L156" s="23">
        <f t="shared" si="2"/>
        <v>908</v>
      </c>
    </row>
    <row r="157" spans="1:12" s="21" customFormat="1" ht="183" customHeight="1" x14ac:dyDescent="0.4">
      <c r="A157" s="14" t="s">
        <v>135</v>
      </c>
      <c r="B157" s="14"/>
      <c r="C157" s="24"/>
      <c r="D157" s="38">
        <v>2</v>
      </c>
      <c r="E157" s="39" t="s">
        <v>147</v>
      </c>
      <c r="F157" s="39" t="s">
        <v>148</v>
      </c>
      <c r="G157" s="39"/>
      <c r="H157" s="38"/>
      <c r="I157" s="24"/>
      <c r="J157" s="25" cm="1">
        <f t="array" ref="J157:K157">LEN(F157:G157)</f>
        <v>68</v>
      </c>
      <c r="K157" s="25">
        <v>0</v>
      </c>
      <c r="L157" s="23">
        <f t="shared" si="2"/>
        <v>68</v>
      </c>
    </row>
    <row r="158" spans="1:12" s="21" customFormat="1" ht="14.5" x14ac:dyDescent="0.4">
      <c r="A158" s="41"/>
      <c r="B158" s="14" t="s">
        <v>95</v>
      </c>
      <c r="C158" s="81" t="s">
        <v>212</v>
      </c>
      <c r="D158" s="42"/>
      <c r="E158" s="43"/>
      <c r="F158" s="43"/>
      <c r="G158" s="43"/>
      <c r="H158" s="42"/>
      <c r="I158" s="34"/>
      <c r="J158" s="25" cm="1">
        <f t="array" ref="J158:K158">LEN(F158:G158)</f>
        <v>0</v>
      </c>
      <c r="K158" s="25">
        <v>0</v>
      </c>
      <c r="L158" s="23">
        <f t="shared" si="2"/>
        <v>0</v>
      </c>
    </row>
    <row r="159" spans="1:12" s="21" customFormat="1" ht="225" customHeight="1" x14ac:dyDescent="0.4">
      <c r="A159" s="14" t="s">
        <v>135</v>
      </c>
      <c r="B159" s="14"/>
      <c r="C159" s="24"/>
      <c r="D159" s="38">
        <v>1</v>
      </c>
      <c r="E159" s="39" t="s">
        <v>213</v>
      </c>
      <c r="F159" s="39" t="s">
        <v>214</v>
      </c>
      <c r="G159" s="39" t="s">
        <v>215</v>
      </c>
      <c r="H159" s="38" t="s">
        <v>139</v>
      </c>
      <c r="I159" s="24"/>
      <c r="J159" s="25" cm="1">
        <f t="array" ref="J159:K159">LEN(F159:G159)</f>
        <v>398</v>
      </c>
      <c r="K159" s="25">
        <v>459</v>
      </c>
      <c r="L159" s="23">
        <f t="shared" si="2"/>
        <v>857</v>
      </c>
    </row>
    <row r="160" spans="1:12" s="21" customFormat="1" ht="43.5" x14ac:dyDescent="0.4">
      <c r="A160" s="14" t="s">
        <v>135</v>
      </c>
      <c r="B160" s="14"/>
      <c r="C160" s="24"/>
      <c r="D160" s="38">
        <v>2</v>
      </c>
      <c r="E160" s="39" t="s">
        <v>147</v>
      </c>
      <c r="F160" s="39" t="s">
        <v>148</v>
      </c>
      <c r="G160" s="39"/>
      <c r="H160" s="38"/>
      <c r="I160" s="24"/>
      <c r="J160" s="25" cm="1">
        <f t="array" ref="J160:K160">LEN(F160:G160)</f>
        <v>68</v>
      </c>
      <c r="K160" s="25">
        <v>0</v>
      </c>
      <c r="L160" s="23">
        <f t="shared" si="2"/>
        <v>68</v>
      </c>
    </row>
    <row r="161" spans="1:12" s="21" customFormat="1" ht="14.5" x14ac:dyDescent="0.4">
      <c r="A161" s="33"/>
      <c r="B161" s="14" t="s">
        <v>97</v>
      </c>
      <c r="C161" s="81" t="s">
        <v>216</v>
      </c>
      <c r="D161" s="35"/>
      <c r="E161" s="36"/>
      <c r="F161" s="36"/>
      <c r="G161" s="36"/>
      <c r="H161" s="35"/>
      <c r="I161" s="40"/>
      <c r="J161" s="25" cm="1">
        <f t="array" ref="J161:K161">LEN(F161:G161)</f>
        <v>0</v>
      </c>
      <c r="K161" s="25">
        <v>0</v>
      </c>
      <c r="L161" s="23">
        <f t="shared" si="2"/>
        <v>0</v>
      </c>
    </row>
    <row r="162" spans="1:12" s="21" customFormat="1" ht="353.25" customHeight="1" x14ac:dyDescent="0.4">
      <c r="A162" s="14" t="s">
        <v>135</v>
      </c>
      <c r="B162" s="14"/>
      <c r="C162" s="24"/>
      <c r="D162" s="38">
        <v>1</v>
      </c>
      <c r="E162" s="39" t="s">
        <v>217</v>
      </c>
      <c r="F162" s="39" t="s">
        <v>419</v>
      </c>
      <c r="G162" s="39" t="s">
        <v>218</v>
      </c>
      <c r="H162" s="38" t="s">
        <v>199</v>
      </c>
      <c r="I162" s="24" t="s">
        <v>140</v>
      </c>
      <c r="J162" s="25" cm="1">
        <f t="array" ref="J162:K162">LEN(F162:G162)</f>
        <v>385</v>
      </c>
      <c r="K162" s="25">
        <v>100</v>
      </c>
      <c r="L162" s="23">
        <f t="shared" si="2"/>
        <v>485</v>
      </c>
    </row>
    <row r="163" spans="1:12" s="21" customFormat="1" ht="43.5" x14ac:dyDescent="0.4">
      <c r="A163" s="14" t="s">
        <v>135</v>
      </c>
      <c r="B163" s="14"/>
      <c r="C163" s="24"/>
      <c r="D163" s="38">
        <v>2</v>
      </c>
      <c r="E163" s="39" t="s">
        <v>219</v>
      </c>
      <c r="F163" s="39" t="s">
        <v>220</v>
      </c>
      <c r="G163" s="39" t="s">
        <v>221</v>
      </c>
      <c r="H163" s="38"/>
      <c r="I163" s="24"/>
      <c r="J163" s="25" cm="1">
        <f t="array" ref="J163:K163">LEN(F163:G163)</f>
        <v>66</v>
      </c>
      <c r="K163" s="25">
        <v>116</v>
      </c>
      <c r="L163" s="23">
        <f t="shared" si="2"/>
        <v>182</v>
      </c>
    </row>
    <row r="164" spans="1:12" s="21" customFormat="1" ht="43.5" x14ac:dyDescent="0.4">
      <c r="A164" s="14" t="s">
        <v>135</v>
      </c>
      <c r="B164" s="14"/>
      <c r="C164" s="24"/>
      <c r="D164" s="38">
        <v>3</v>
      </c>
      <c r="E164" s="39" t="s">
        <v>147</v>
      </c>
      <c r="F164" s="39" t="s">
        <v>148</v>
      </c>
      <c r="G164" s="39"/>
      <c r="H164" s="38"/>
      <c r="I164" s="24"/>
      <c r="J164" s="25" cm="1">
        <f t="array" ref="J164:K164">LEN(F164:G164)</f>
        <v>68</v>
      </c>
      <c r="K164" s="25">
        <v>0</v>
      </c>
      <c r="L164" s="23">
        <f t="shared" si="2"/>
        <v>68</v>
      </c>
    </row>
    <row r="165" spans="1:12" s="21" customFormat="1" ht="14.5" x14ac:dyDescent="0.4">
      <c r="A165" s="51"/>
      <c r="B165" s="14" t="s">
        <v>99</v>
      </c>
      <c r="C165" s="82" t="s">
        <v>303</v>
      </c>
      <c r="D165" s="52"/>
      <c r="E165" s="53"/>
      <c r="F165" s="53"/>
      <c r="G165" s="51"/>
      <c r="H165" s="51"/>
      <c r="I165" s="52"/>
      <c r="J165" s="25" cm="1">
        <f t="array" ref="J165:K165">LEN(F165:G165)</f>
        <v>0</v>
      </c>
      <c r="K165" s="25">
        <v>0</v>
      </c>
      <c r="L165" s="23">
        <f t="shared" si="2"/>
        <v>0</v>
      </c>
    </row>
    <row r="166" spans="1:12" s="21" customFormat="1" ht="105" customHeight="1" x14ac:dyDescent="0.4">
      <c r="A166" s="14" t="s">
        <v>135</v>
      </c>
      <c r="B166" s="14"/>
      <c r="C166" s="14"/>
      <c r="D166" s="38">
        <v>1</v>
      </c>
      <c r="E166" s="39" t="s">
        <v>136</v>
      </c>
      <c r="F166" s="39" t="s">
        <v>137</v>
      </c>
      <c r="G166" s="39" t="s">
        <v>138</v>
      </c>
      <c r="H166" s="38" t="s">
        <v>191</v>
      </c>
      <c r="I166" s="24" t="s">
        <v>222</v>
      </c>
      <c r="J166" s="25" cm="1">
        <f t="array" ref="J166:K166">LEN(F166:G166)</f>
        <v>120</v>
      </c>
      <c r="K166" s="25">
        <v>83</v>
      </c>
      <c r="L166" s="23">
        <f t="shared" si="2"/>
        <v>203</v>
      </c>
    </row>
    <row r="167" spans="1:12" s="21" customFormat="1" ht="165" customHeight="1" x14ac:dyDescent="0.4">
      <c r="A167" s="14" t="s">
        <v>135</v>
      </c>
      <c r="B167" s="14"/>
      <c r="C167" s="14"/>
      <c r="D167" s="38">
        <v>2</v>
      </c>
      <c r="E167" s="39" t="s">
        <v>150</v>
      </c>
      <c r="F167" s="39" t="s">
        <v>223</v>
      </c>
      <c r="G167" s="39"/>
      <c r="H167" s="38"/>
      <c r="I167" s="24"/>
      <c r="J167" s="25" cm="1">
        <f t="array" ref="J167:K167">LEN(F167:G167)</f>
        <v>298</v>
      </c>
      <c r="K167" s="25">
        <v>0</v>
      </c>
      <c r="L167" s="23">
        <f t="shared" si="2"/>
        <v>298</v>
      </c>
    </row>
    <row r="168" spans="1:12" s="21" customFormat="1" ht="261" x14ac:dyDescent="0.4">
      <c r="A168" s="14" t="s">
        <v>135</v>
      </c>
      <c r="B168" s="14"/>
      <c r="C168" s="14"/>
      <c r="D168" s="38">
        <v>3</v>
      </c>
      <c r="E168" s="39" t="s">
        <v>224</v>
      </c>
      <c r="F168" s="39" t="s">
        <v>153</v>
      </c>
      <c r="G168" s="39"/>
      <c r="H168" s="38"/>
      <c r="I168" s="24"/>
      <c r="J168" s="25" cm="1">
        <f t="array" ref="J168:K168">LEN(F168:G168)</f>
        <v>52</v>
      </c>
      <c r="K168" s="25">
        <v>0</v>
      </c>
      <c r="L168" s="23">
        <f t="shared" si="2"/>
        <v>52</v>
      </c>
    </row>
    <row r="169" spans="1:12" s="21" customFormat="1" ht="210" customHeight="1" x14ac:dyDescent="0.4">
      <c r="A169" s="14" t="s">
        <v>135</v>
      </c>
      <c r="B169" s="14"/>
      <c r="C169" s="14"/>
      <c r="D169" s="38">
        <v>4</v>
      </c>
      <c r="E169" s="39" t="s">
        <v>146</v>
      </c>
      <c r="F169" s="47" t="s">
        <v>225</v>
      </c>
      <c r="G169" s="39"/>
      <c r="H169" s="38"/>
      <c r="I169" s="24"/>
      <c r="J169" s="25" cm="1">
        <f t="array" ref="J169:K169">LEN(F169:G169)</f>
        <v>341</v>
      </c>
      <c r="K169" s="25">
        <v>0</v>
      </c>
      <c r="L169" s="23">
        <f t="shared" si="2"/>
        <v>341</v>
      </c>
    </row>
    <row r="170" spans="1:12" s="21" customFormat="1" ht="409.5" x14ac:dyDescent="0.4">
      <c r="A170" s="14" t="s">
        <v>135</v>
      </c>
      <c r="B170" s="14"/>
      <c r="C170" s="14"/>
      <c r="D170" s="38">
        <v>5</v>
      </c>
      <c r="E170" s="39" t="s">
        <v>226</v>
      </c>
      <c r="F170" s="39" t="s">
        <v>403</v>
      </c>
      <c r="G170" s="39" t="s">
        <v>406</v>
      </c>
      <c r="H170" s="38"/>
      <c r="I170" s="24"/>
      <c r="J170" s="25" cm="1">
        <f t="array" ref="J170:K170">LEN(F170:G170)</f>
        <v>810</v>
      </c>
      <c r="K170" s="25">
        <v>306</v>
      </c>
      <c r="L170" s="23">
        <f t="shared" si="2"/>
        <v>1116</v>
      </c>
    </row>
    <row r="171" spans="1:12" s="21" customFormat="1" ht="46.5" customHeight="1" x14ac:dyDescent="0.4">
      <c r="A171" s="14" t="s">
        <v>135</v>
      </c>
      <c r="B171" s="14"/>
      <c r="C171" s="14"/>
      <c r="D171" s="38">
        <v>6</v>
      </c>
      <c r="E171" s="39" t="s">
        <v>171</v>
      </c>
      <c r="F171" s="39" t="s">
        <v>148</v>
      </c>
      <c r="G171" s="39"/>
      <c r="H171" s="38"/>
      <c r="I171" s="24"/>
      <c r="J171" s="25" cm="1">
        <f t="array" ref="J171:K171">LEN(F171:G171)</f>
        <v>68</v>
      </c>
      <c r="K171" s="25">
        <v>0</v>
      </c>
      <c r="L171" s="23">
        <f t="shared" si="2"/>
        <v>68</v>
      </c>
    </row>
    <row r="172" spans="1:12" s="21" customFormat="1" ht="14.5" x14ac:dyDescent="0.4">
      <c r="A172" s="41"/>
      <c r="B172" s="14" t="s">
        <v>101</v>
      </c>
      <c r="C172" s="81" t="s">
        <v>227</v>
      </c>
      <c r="D172" s="42"/>
      <c r="E172" s="43"/>
      <c r="F172" s="43"/>
      <c r="G172" s="43"/>
      <c r="H172" s="42"/>
      <c r="I172" s="34"/>
      <c r="J172" s="25" cm="1">
        <f t="array" ref="J172:K172">LEN(F172:G172)</f>
        <v>0</v>
      </c>
      <c r="K172" s="25">
        <v>0</v>
      </c>
      <c r="L172" s="23">
        <f t="shared" si="2"/>
        <v>0</v>
      </c>
    </row>
    <row r="173" spans="1:12" s="21" customFormat="1" ht="87" x14ac:dyDescent="0.4">
      <c r="A173" s="14" t="s">
        <v>135</v>
      </c>
      <c r="B173" s="14"/>
      <c r="C173" s="24"/>
      <c r="D173" s="38">
        <v>1</v>
      </c>
      <c r="E173" s="39" t="s">
        <v>228</v>
      </c>
      <c r="F173" s="39"/>
      <c r="G173" s="39"/>
      <c r="H173" s="38" t="s">
        <v>139</v>
      </c>
      <c r="I173" s="24" t="s">
        <v>229</v>
      </c>
      <c r="J173" s="25" cm="1">
        <f t="array" ref="J173:K173">LEN(F173:G173)</f>
        <v>0</v>
      </c>
      <c r="K173" s="25">
        <v>0</v>
      </c>
      <c r="L173" s="23">
        <f t="shared" si="2"/>
        <v>0</v>
      </c>
    </row>
    <row r="174" spans="1:12" s="21" customFormat="1" ht="72.5" x14ac:dyDescent="0.4">
      <c r="A174" s="14" t="s">
        <v>135</v>
      </c>
      <c r="B174" s="14"/>
      <c r="C174" s="24"/>
      <c r="D174" s="38">
        <v>2</v>
      </c>
      <c r="E174" s="39" t="s">
        <v>230</v>
      </c>
      <c r="F174" s="39" t="s">
        <v>231</v>
      </c>
      <c r="G174" s="39"/>
      <c r="H174" s="38"/>
      <c r="I174" s="24"/>
      <c r="J174" s="25" cm="1">
        <f t="array" ref="J174:K174">LEN(F174:G174)</f>
        <v>130</v>
      </c>
      <c r="K174" s="25">
        <v>0</v>
      </c>
      <c r="L174" s="23">
        <f t="shared" si="2"/>
        <v>130</v>
      </c>
    </row>
    <row r="175" spans="1:12" s="21" customFormat="1" ht="43.5" x14ac:dyDescent="0.4">
      <c r="A175" s="14" t="s">
        <v>135</v>
      </c>
      <c r="B175" s="14"/>
      <c r="C175" s="24"/>
      <c r="D175" s="38">
        <v>3</v>
      </c>
      <c r="E175" s="39" t="s">
        <v>232</v>
      </c>
      <c r="F175" s="39" t="s">
        <v>233</v>
      </c>
      <c r="G175" s="39"/>
      <c r="H175" s="38"/>
      <c r="I175" s="24"/>
      <c r="J175" s="25" cm="1">
        <f t="array" ref="J175:K175">LEN(F175:G175)</f>
        <v>95</v>
      </c>
      <c r="K175" s="25">
        <v>0</v>
      </c>
      <c r="L175" s="23">
        <f t="shared" si="2"/>
        <v>95</v>
      </c>
    </row>
    <row r="176" spans="1:12" s="21" customFormat="1" ht="43.5" x14ac:dyDescent="0.4">
      <c r="A176" s="14" t="s">
        <v>135</v>
      </c>
      <c r="B176" s="14"/>
      <c r="C176" s="24"/>
      <c r="D176" s="38">
        <v>4</v>
      </c>
      <c r="E176" s="39" t="s">
        <v>234</v>
      </c>
      <c r="F176" s="39" t="s">
        <v>235</v>
      </c>
      <c r="G176" s="39"/>
      <c r="H176" s="38"/>
      <c r="I176" s="24"/>
      <c r="J176" s="25" cm="1">
        <f t="array" ref="J176:K176">LEN(F176:G176)</f>
        <v>44</v>
      </c>
      <c r="K176" s="25">
        <v>0</v>
      </c>
      <c r="L176" s="23">
        <f t="shared" si="2"/>
        <v>44</v>
      </c>
    </row>
    <row r="177" spans="1:12" s="21" customFormat="1" ht="43.5" x14ac:dyDescent="0.4">
      <c r="A177" s="14" t="s">
        <v>135</v>
      </c>
      <c r="B177" s="14"/>
      <c r="C177" s="24"/>
      <c r="D177" s="38">
        <v>5</v>
      </c>
      <c r="E177" s="39" t="s">
        <v>236</v>
      </c>
      <c r="F177" s="39" t="s">
        <v>237</v>
      </c>
      <c r="G177" s="39"/>
      <c r="H177" s="38"/>
      <c r="I177" s="24"/>
      <c r="J177" s="25" cm="1">
        <f t="array" ref="J177:K177">LEN(F177:G177)</f>
        <v>48</v>
      </c>
      <c r="K177" s="25">
        <v>0</v>
      </c>
      <c r="L177" s="23">
        <f t="shared" si="2"/>
        <v>48</v>
      </c>
    </row>
    <row r="178" spans="1:12" s="21" customFormat="1" ht="43.5" x14ac:dyDescent="0.4">
      <c r="A178" s="14" t="s">
        <v>135</v>
      </c>
      <c r="B178" s="14"/>
      <c r="C178" s="24"/>
      <c r="D178" s="38">
        <v>6</v>
      </c>
      <c r="E178" s="39" t="s">
        <v>238</v>
      </c>
      <c r="F178" s="39" t="s">
        <v>239</v>
      </c>
      <c r="G178" s="39"/>
      <c r="H178" s="38"/>
      <c r="I178" s="24"/>
      <c r="J178" s="25" cm="1">
        <f t="array" ref="J178:K178">LEN(F178:G178)</f>
        <v>77</v>
      </c>
      <c r="K178" s="25">
        <v>0</v>
      </c>
      <c r="L178" s="23">
        <f t="shared" si="2"/>
        <v>77</v>
      </c>
    </row>
    <row r="179" spans="1:12" s="21" customFormat="1" ht="14.5" x14ac:dyDescent="0.4">
      <c r="A179" s="51"/>
      <c r="B179" s="14" t="s">
        <v>103</v>
      </c>
      <c r="C179" s="81" t="s">
        <v>240</v>
      </c>
      <c r="D179" s="52"/>
      <c r="E179" s="53"/>
      <c r="F179" s="53"/>
      <c r="G179" s="53"/>
      <c r="H179" s="52"/>
      <c r="I179" s="52"/>
      <c r="J179" s="25" cm="1">
        <f t="array" ref="J179:K179">LEN(F179:G179)</f>
        <v>0</v>
      </c>
      <c r="K179" s="25">
        <v>0</v>
      </c>
      <c r="L179" s="23">
        <f t="shared" si="2"/>
        <v>0</v>
      </c>
    </row>
    <row r="180" spans="1:12" s="21" customFormat="1" ht="87" x14ac:dyDescent="0.4">
      <c r="A180" s="14" t="s">
        <v>135</v>
      </c>
      <c r="B180" s="14"/>
      <c r="C180" s="14"/>
      <c r="D180" s="38">
        <v>1</v>
      </c>
      <c r="E180" s="39" t="s">
        <v>136</v>
      </c>
      <c r="F180" s="39" t="s">
        <v>241</v>
      </c>
      <c r="G180" s="39" t="s">
        <v>138</v>
      </c>
      <c r="H180" s="38" t="s">
        <v>139</v>
      </c>
      <c r="I180" s="24" t="s">
        <v>140</v>
      </c>
      <c r="J180" s="25" cm="1">
        <f t="array" ref="J180:K180">LEN(F180:G180)</f>
        <v>119</v>
      </c>
      <c r="K180" s="25">
        <v>83</v>
      </c>
      <c r="L180" s="23">
        <f t="shared" si="2"/>
        <v>202</v>
      </c>
    </row>
    <row r="181" spans="1:12" s="21" customFormat="1" ht="43.5" x14ac:dyDescent="0.4">
      <c r="A181" s="14" t="s">
        <v>135</v>
      </c>
      <c r="B181" s="14"/>
      <c r="C181" s="14"/>
      <c r="D181" s="38">
        <v>2</v>
      </c>
      <c r="E181" s="14" t="s">
        <v>242</v>
      </c>
      <c r="F181" s="14" t="s">
        <v>410</v>
      </c>
      <c r="G181" s="14"/>
      <c r="H181" s="14"/>
      <c r="I181" s="14"/>
      <c r="J181" s="25" cm="1">
        <f t="array" ref="J181:K181">LEN(F181:G181)</f>
        <v>73</v>
      </c>
      <c r="K181" s="25">
        <v>0</v>
      </c>
      <c r="L181" s="23">
        <f t="shared" si="2"/>
        <v>73</v>
      </c>
    </row>
    <row r="182" spans="1:12" s="21" customFormat="1" ht="43.5" x14ac:dyDescent="0.4">
      <c r="A182" s="14" t="s">
        <v>135</v>
      </c>
      <c r="B182" s="14"/>
      <c r="C182" s="14"/>
      <c r="D182" s="38">
        <v>3</v>
      </c>
      <c r="E182" s="14" t="s">
        <v>243</v>
      </c>
      <c r="F182" s="88" t="s">
        <v>428</v>
      </c>
      <c r="G182" s="14" t="s">
        <v>244</v>
      </c>
      <c r="H182" s="14"/>
      <c r="I182" s="14"/>
      <c r="J182" s="25" cm="1">
        <f t="array" ref="J182:K182">LEN(F182:G182)</f>
        <v>66</v>
      </c>
      <c r="K182" s="25">
        <v>76</v>
      </c>
      <c r="L182" s="23">
        <f t="shared" si="2"/>
        <v>142</v>
      </c>
    </row>
    <row r="183" spans="1:12" s="21" customFormat="1" ht="14.5" x14ac:dyDescent="0.4">
      <c r="A183" s="41"/>
      <c r="B183" s="14" t="s">
        <v>105</v>
      </c>
      <c r="C183" s="81" t="s">
        <v>245</v>
      </c>
      <c r="D183" s="42"/>
      <c r="E183" s="43"/>
      <c r="F183" s="43"/>
      <c r="G183" s="43"/>
      <c r="H183" s="42"/>
      <c r="I183" s="34"/>
      <c r="J183" s="25" cm="1">
        <f t="array" ref="J183:K183">LEN(F183:G183)</f>
        <v>0</v>
      </c>
      <c r="K183" s="25">
        <v>0</v>
      </c>
      <c r="L183" s="23">
        <f t="shared" si="2"/>
        <v>0</v>
      </c>
    </row>
    <row r="184" spans="1:12" s="21" customFormat="1" ht="87" x14ac:dyDescent="0.4">
      <c r="A184" s="14" t="s">
        <v>135</v>
      </c>
      <c r="B184" s="14"/>
      <c r="C184" s="24"/>
      <c r="D184" s="38">
        <v>1</v>
      </c>
      <c r="E184" s="39" t="s">
        <v>136</v>
      </c>
      <c r="F184" s="39" t="s">
        <v>137</v>
      </c>
      <c r="G184" s="39" t="s">
        <v>138</v>
      </c>
      <c r="H184" s="38" t="s">
        <v>139</v>
      </c>
      <c r="I184" s="24" t="s">
        <v>246</v>
      </c>
      <c r="J184" s="25" cm="1">
        <f t="array" ref="J184:K184">LEN(F184:G184)</f>
        <v>120</v>
      </c>
      <c r="K184" s="25">
        <v>83</v>
      </c>
      <c r="L184" s="23">
        <f t="shared" si="2"/>
        <v>203</v>
      </c>
    </row>
    <row r="185" spans="1:12" s="21" customFormat="1" ht="58" x14ac:dyDescent="0.4">
      <c r="A185" s="14" t="s">
        <v>135</v>
      </c>
      <c r="B185" s="14"/>
      <c r="C185" s="24"/>
      <c r="D185" s="38">
        <v>2</v>
      </c>
      <c r="E185" s="39" t="s">
        <v>165</v>
      </c>
      <c r="F185" s="39" t="s">
        <v>166</v>
      </c>
      <c r="G185" s="39" t="s">
        <v>393</v>
      </c>
      <c r="H185" s="38"/>
      <c r="I185" s="24"/>
      <c r="J185" s="25" cm="1">
        <f t="array" ref="J185:K185">LEN(F185:G185)</f>
        <v>91</v>
      </c>
      <c r="K185" s="25">
        <v>154</v>
      </c>
      <c r="L185" s="23">
        <f t="shared" si="2"/>
        <v>245</v>
      </c>
    </row>
    <row r="186" spans="1:12" s="21" customFormat="1" ht="43.5" x14ac:dyDescent="0.4">
      <c r="A186" s="14" t="s">
        <v>135</v>
      </c>
      <c r="B186" s="14"/>
      <c r="C186" s="24"/>
      <c r="D186" s="38">
        <v>3</v>
      </c>
      <c r="E186" s="39" t="s">
        <v>167</v>
      </c>
      <c r="F186" s="39" t="s">
        <v>168</v>
      </c>
      <c r="G186" s="39" t="s">
        <v>169</v>
      </c>
      <c r="H186" s="38"/>
      <c r="I186" s="24"/>
      <c r="J186" s="25" cm="1">
        <f t="array" ref="J186:K186">LEN(F186:G186)</f>
        <v>104</v>
      </c>
      <c r="K186" s="25">
        <v>30</v>
      </c>
      <c r="L186" s="23">
        <f t="shared" si="2"/>
        <v>134</v>
      </c>
    </row>
    <row r="187" spans="1:12" s="21" customFormat="1" ht="409.5" x14ac:dyDescent="0.4">
      <c r="A187" s="14" t="s">
        <v>135</v>
      </c>
      <c r="B187" s="14"/>
      <c r="C187" s="24"/>
      <c r="D187" s="38">
        <v>4</v>
      </c>
      <c r="E187" s="39" t="s">
        <v>170</v>
      </c>
      <c r="F187" s="39" t="s">
        <v>423</v>
      </c>
      <c r="G187" s="39" t="s">
        <v>397</v>
      </c>
      <c r="H187" s="38"/>
      <c r="I187" s="24"/>
      <c r="J187" s="25" cm="1">
        <f t="array" ref="J187:K187">LEN(F187:G187)</f>
        <v>1046</v>
      </c>
      <c r="K187" s="25">
        <v>148</v>
      </c>
      <c r="L187" s="23">
        <f t="shared" si="2"/>
        <v>1194</v>
      </c>
    </row>
    <row r="188" spans="1:12" s="21" customFormat="1" ht="132" customHeight="1" x14ac:dyDescent="0.4">
      <c r="A188" s="14"/>
      <c r="B188" s="14"/>
      <c r="C188" s="24"/>
      <c r="D188" s="38">
        <v>5</v>
      </c>
      <c r="E188" s="39" t="s">
        <v>247</v>
      </c>
      <c r="F188" s="39" t="s">
        <v>412</v>
      </c>
      <c r="G188" s="39"/>
      <c r="H188" s="38"/>
      <c r="I188" s="24"/>
      <c r="J188" s="25" cm="1">
        <f t="array" ref="J188:K188">LEN(F188:G188)</f>
        <v>309</v>
      </c>
      <c r="K188" s="25">
        <v>0</v>
      </c>
      <c r="L188" s="23">
        <f t="shared" si="2"/>
        <v>309</v>
      </c>
    </row>
    <row r="189" spans="1:12" s="21" customFormat="1" ht="43.5" x14ac:dyDescent="0.4">
      <c r="A189" s="14" t="s">
        <v>135</v>
      </c>
      <c r="B189" s="14"/>
      <c r="C189" s="24"/>
      <c r="D189" s="38">
        <v>5</v>
      </c>
      <c r="E189" s="39" t="s">
        <v>248</v>
      </c>
      <c r="F189" s="39" t="s">
        <v>249</v>
      </c>
      <c r="G189" s="39"/>
      <c r="H189" s="38"/>
      <c r="I189" s="24"/>
      <c r="J189" s="25" cm="1">
        <f t="array" ref="J189:K189">LEN(F189:G189)</f>
        <v>44</v>
      </c>
      <c r="K189" s="25">
        <v>0</v>
      </c>
      <c r="L189" s="23">
        <f t="shared" si="2"/>
        <v>44</v>
      </c>
    </row>
    <row r="190" spans="1:12" s="21" customFormat="1" ht="43.5" x14ac:dyDescent="0.4">
      <c r="A190" s="14" t="s">
        <v>135</v>
      </c>
      <c r="B190" s="14"/>
      <c r="C190" s="24"/>
      <c r="D190" s="38">
        <v>6</v>
      </c>
      <c r="E190" s="39" t="s">
        <v>171</v>
      </c>
      <c r="F190" s="39" t="s">
        <v>148</v>
      </c>
      <c r="G190" s="39"/>
      <c r="H190" s="38"/>
      <c r="I190" s="24"/>
      <c r="J190" s="25" cm="1">
        <f t="array" ref="J190:K190">LEN(F190:G190)</f>
        <v>68</v>
      </c>
      <c r="K190" s="25">
        <v>0</v>
      </c>
      <c r="L190" s="23">
        <f t="shared" si="2"/>
        <v>68</v>
      </c>
    </row>
    <row r="191" spans="1:12" s="21" customFormat="1" ht="14.5" x14ac:dyDescent="0.4">
      <c r="A191" s="41"/>
      <c r="B191" s="14" t="s">
        <v>107</v>
      </c>
      <c r="C191" s="81" t="s">
        <v>250</v>
      </c>
      <c r="D191" s="42"/>
      <c r="E191" s="43"/>
      <c r="F191" s="43"/>
      <c r="G191" s="43"/>
      <c r="H191" s="42"/>
      <c r="I191" s="34"/>
      <c r="J191" s="25" cm="1">
        <f t="array" ref="J191:K191">LEN(F191:G191)</f>
        <v>0</v>
      </c>
      <c r="K191" s="25">
        <v>0</v>
      </c>
      <c r="L191" s="23">
        <f t="shared" si="2"/>
        <v>0</v>
      </c>
    </row>
    <row r="192" spans="1:12" s="21" customFormat="1" ht="124.5" customHeight="1" x14ac:dyDescent="0.4">
      <c r="A192" s="14" t="s">
        <v>135</v>
      </c>
      <c r="B192" s="14"/>
      <c r="C192" s="24"/>
      <c r="D192" s="38">
        <v>1</v>
      </c>
      <c r="E192" s="39" t="s">
        <v>136</v>
      </c>
      <c r="F192" s="39" t="s">
        <v>137</v>
      </c>
      <c r="G192" s="39" t="s">
        <v>138</v>
      </c>
      <c r="H192" s="38" t="s">
        <v>173</v>
      </c>
      <c r="I192" s="24" t="s">
        <v>251</v>
      </c>
      <c r="J192" s="25" cm="1">
        <f t="array" ref="J192:K192">LEN(F192:G192)</f>
        <v>120</v>
      </c>
      <c r="K192" s="25">
        <v>83</v>
      </c>
      <c r="L192" s="23">
        <f t="shared" si="2"/>
        <v>203</v>
      </c>
    </row>
    <row r="193" spans="1:12" s="21" customFormat="1" ht="145" x14ac:dyDescent="0.4">
      <c r="A193" s="14" t="s">
        <v>135</v>
      </c>
      <c r="B193" s="14"/>
      <c r="C193" s="24"/>
      <c r="D193" s="38">
        <v>2</v>
      </c>
      <c r="E193" s="39" t="s">
        <v>150</v>
      </c>
      <c r="F193" s="39" t="s">
        <v>151</v>
      </c>
      <c r="G193" s="39"/>
      <c r="H193" s="38"/>
      <c r="I193" s="24"/>
      <c r="J193" s="25" cm="1">
        <f t="array" ref="J193:K193">LEN(F193:G193)</f>
        <v>298</v>
      </c>
      <c r="K193" s="25">
        <v>0</v>
      </c>
      <c r="L193" s="23">
        <f t="shared" si="2"/>
        <v>298</v>
      </c>
    </row>
    <row r="194" spans="1:12" s="21" customFormat="1" ht="261" x14ac:dyDescent="0.4">
      <c r="A194" s="14" t="s">
        <v>135</v>
      </c>
      <c r="B194" s="14"/>
      <c r="C194" s="24"/>
      <c r="D194" s="38">
        <v>3</v>
      </c>
      <c r="E194" s="39" t="s">
        <v>152</v>
      </c>
      <c r="F194" s="39" t="s">
        <v>153</v>
      </c>
      <c r="G194" s="39"/>
      <c r="H194" s="38"/>
      <c r="I194" s="24"/>
      <c r="J194" s="25" cm="1">
        <f t="array" ref="J194:K194">LEN(F194:G194)</f>
        <v>52</v>
      </c>
      <c r="K194" s="25">
        <v>0</v>
      </c>
      <c r="L194" s="23">
        <f t="shared" si="2"/>
        <v>52</v>
      </c>
    </row>
    <row r="195" spans="1:12" s="21" customFormat="1" ht="409.5" x14ac:dyDescent="0.4">
      <c r="A195" s="14" t="s">
        <v>135</v>
      </c>
      <c r="B195" s="14"/>
      <c r="C195" s="24"/>
      <c r="D195" s="38">
        <v>4</v>
      </c>
      <c r="E195" s="39" t="s">
        <v>146</v>
      </c>
      <c r="F195" s="39" t="s">
        <v>403</v>
      </c>
      <c r="G195" s="39" t="s">
        <v>407</v>
      </c>
      <c r="H195" s="38"/>
      <c r="I195" s="24"/>
      <c r="J195" s="25" cm="1">
        <f t="array" ref="J195:K195">LEN(F195:G195)</f>
        <v>810</v>
      </c>
      <c r="K195" s="25">
        <v>224</v>
      </c>
      <c r="L195" s="23">
        <f t="shared" si="2"/>
        <v>1034</v>
      </c>
    </row>
    <row r="196" spans="1:12" s="21" customFormat="1" ht="58" x14ac:dyDescent="0.4">
      <c r="A196" s="14" t="s">
        <v>135</v>
      </c>
      <c r="B196" s="14"/>
      <c r="C196" s="24"/>
      <c r="D196" s="38">
        <v>5</v>
      </c>
      <c r="E196" s="39" t="s">
        <v>420</v>
      </c>
      <c r="F196" s="39" t="s">
        <v>253</v>
      </c>
      <c r="G196" s="39"/>
      <c r="H196" s="38"/>
      <c r="I196" s="24"/>
      <c r="J196" s="25" cm="1">
        <f t="array" ref="J196:K196">LEN(F196:G196)</f>
        <v>85</v>
      </c>
      <c r="K196" s="25">
        <v>0</v>
      </c>
      <c r="L196" s="23">
        <f t="shared" si="2"/>
        <v>85</v>
      </c>
    </row>
    <row r="197" spans="1:12" s="21" customFormat="1" ht="217.5" x14ac:dyDescent="0.4">
      <c r="A197" s="14" t="s">
        <v>135</v>
      </c>
      <c r="B197" s="14"/>
      <c r="C197" s="24"/>
      <c r="D197" s="38">
        <v>6</v>
      </c>
      <c r="E197" s="39" t="s">
        <v>254</v>
      </c>
      <c r="F197" s="39" t="s">
        <v>255</v>
      </c>
      <c r="G197" s="39" t="s">
        <v>421</v>
      </c>
      <c r="H197" s="38"/>
      <c r="I197" s="24"/>
      <c r="J197" s="25" cm="1">
        <f t="array" ref="J197:K197">LEN(F197:G197)</f>
        <v>55</v>
      </c>
      <c r="K197" s="25">
        <v>339</v>
      </c>
      <c r="L197" s="23">
        <f t="shared" si="2"/>
        <v>394</v>
      </c>
    </row>
    <row r="198" spans="1:12" s="21" customFormat="1" ht="43.5" x14ac:dyDescent="0.4">
      <c r="A198" s="14" t="s">
        <v>135</v>
      </c>
      <c r="B198" s="14"/>
      <c r="C198" s="24"/>
      <c r="D198" s="38">
        <v>7</v>
      </c>
      <c r="E198" s="39" t="s">
        <v>147</v>
      </c>
      <c r="F198" s="39" t="s">
        <v>148</v>
      </c>
      <c r="G198" s="39"/>
      <c r="H198" s="38"/>
      <c r="I198" s="24"/>
      <c r="J198" s="25" cm="1">
        <f t="array" ref="J198:K198">LEN(F198:G198)</f>
        <v>68</v>
      </c>
      <c r="K198" s="25">
        <v>0</v>
      </c>
      <c r="L198" s="23">
        <f t="shared" si="2"/>
        <v>68</v>
      </c>
    </row>
    <row r="199" spans="1:12" s="21" customFormat="1" ht="14.5" x14ac:dyDescent="0.4">
      <c r="A199" s="41"/>
      <c r="B199" s="14" t="s">
        <v>109</v>
      </c>
      <c r="C199" s="81" t="s">
        <v>256</v>
      </c>
      <c r="D199" s="42"/>
      <c r="E199" s="43"/>
      <c r="F199" s="43"/>
      <c r="G199" s="43"/>
      <c r="H199" s="42"/>
      <c r="I199" s="34"/>
      <c r="J199" s="25" cm="1">
        <f t="array" ref="J199:K199">LEN(F199:G199)</f>
        <v>0</v>
      </c>
      <c r="K199" s="25">
        <v>0</v>
      </c>
      <c r="L199" s="23">
        <f t="shared" si="2"/>
        <v>0</v>
      </c>
    </row>
    <row r="200" spans="1:12" s="21" customFormat="1" ht="116" x14ac:dyDescent="0.4">
      <c r="A200" s="14" t="s">
        <v>135</v>
      </c>
      <c r="B200" s="14"/>
      <c r="C200" s="24"/>
      <c r="D200" s="38">
        <v>1</v>
      </c>
      <c r="E200" s="39" t="s">
        <v>136</v>
      </c>
      <c r="F200" s="39" t="s">
        <v>137</v>
      </c>
      <c r="G200" s="39" t="s">
        <v>138</v>
      </c>
      <c r="H200" s="38" t="s">
        <v>173</v>
      </c>
      <c r="I200" s="24" t="s">
        <v>257</v>
      </c>
      <c r="J200" s="25" cm="1">
        <f t="array" ref="J200:K200">LEN(F200:G200)</f>
        <v>120</v>
      </c>
      <c r="K200" s="25">
        <v>83</v>
      </c>
      <c r="L200" s="23">
        <f t="shared" si="2"/>
        <v>203</v>
      </c>
    </row>
    <row r="201" spans="1:12" s="21" customFormat="1" ht="145" x14ac:dyDescent="0.4">
      <c r="A201" s="14" t="s">
        <v>135</v>
      </c>
      <c r="B201" s="14"/>
      <c r="C201" s="24"/>
      <c r="D201" s="38">
        <v>2</v>
      </c>
      <c r="E201" s="39" t="s">
        <v>150</v>
      </c>
      <c r="F201" s="39" t="s">
        <v>258</v>
      </c>
      <c r="G201" s="39"/>
      <c r="H201" s="38"/>
      <c r="I201" s="24"/>
      <c r="J201" s="25" cm="1">
        <f t="array" ref="J201:K201">LEN(F201:G201)</f>
        <v>298</v>
      </c>
      <c r="K201" s="25">
        <v>0</v>
      </c>
      <c r="L201" s="23">
        <f t="shared" si="2"/>
        <v>298</v>
      </c>
    </row>
    <row r="202" spans="1:12" s="21" customFormat="1" ht="261" x14ac:dyDescent="0.4">
      <c r="A202" s="14" t="s">
        <v>135</v>
      </c>
      <c r="B202" s="14"/>
      <c r="C202" s="24"/>
      <c r="D202" s="38">
        <v>3</v>
      </c>
      <c r="E202" s="39" t="s">
        <v>224</v>
      </c>
      <c r="F202" s="39" t="s">
        <v>153</v>
      </c>
      <c r="G202" s="39"/>
      <c r="H202" s="38"/>
      <c r="I202" s="24"/>
      <c r="J202" s="25" cm="1">
        <f t="array" ref="J202:K202">LEN(F202:G202)</f>
        <v>52</v>
      </c>
      <c r="K202" s="25">
        <v>0</v>
      </c>
      <c r="L202" s="23">
        <f t="shared" si="2"/>
        <v>52</v>
      </c>
    </row>
    <row r="203" spans="1:12" s="21" customFormat="1" ht="409.5" x14ac:dyDescent="0.4">
      <c r="A203" s="14" t="s">
        <v>135</v>
      </c>
      <c r="B203" s="14"/>
      <c r="C203" s="24"/>
      <c r="D203" s="38">
        <v>4</v>
      </c>
      <c r="E203" s="39" t="s">
        <v>146</v>
      </c>
      <c r="F203" s="39" t="s">
        <v>422</v>
      </c>
      <c r="G203" s="87" t="s">
        <v>396</v>
      </c>
      <c r="H203" s="38"/>
      <c r="I203" s="24"/>
      <c r="J203" s="25" cm="1">
        <f t="array" ref="J203:K203">LEN(F203:G203)</f>
        <v>810</v>
      </c>
      <c r="K203" s="25">
        <v>223</v>
      </c>
      <c r="L203" s="23">
        <f t="shared" si="2"/>
        <v>1033</v>
      </c>
    </row>
    <row r="204" spans="1:12" s="21" customFormat="1" ht="72.5" x14ac:dyDescent="0.4">
      <c r="A204" s="14" t="s">
        <v>135</v>
      </c>
      <c r="B204" s="14"/>
      <c r="C204" s="24"/>
      <c r="D204" s="38">
        <v>5</v>
      </c>
      <c r="E204" s="39" t="s">
        <v>181</v>
      </c>
      <c r="F204" s="39" t="s">
        <v>398</v>
      </c>
      <c r="G204" s="39"/>
      <c r="H204" s="38"/>
      <c r="I204" s="24"/>
      <c r="J204" s="25" cm="1">
        <f t="array" ref="J204:K204">LEN(F204:G204)</f>
        <v>156</v>
      </c>
      <c r="K204" s="25">
        <v>0</v>
      </c>
      <c r="L204" s="23">
        <f t="shared" si="2"/>
        <v>156</v>
      </c>
    </row>
    <row r="205" spans="1:12" s="21" customFormat="1" ht="87" x14ac:dyDescent="0.4">
      <c r="A205" s="14" t="s">
        <v>135</v>
      </c>
      <c r="B205" s="14"/>
      <c r="C205" s="24"/>
      <c r="D205" s="38">
        <v>6</v>
      </c>
      <c r="E205" s="39" t="s">
        <v>259</v>
      </c>
      <c r="F205" s="39" t="s">
        <v>260</v>
      </c>
      <c r="G205" s="39" t="s">
        <v>261</v>
      </c>
      <c r="H205" s="38"/>
      <c r="I205" s="24"/>
      <c r="J205" s="25" cm="1">
        <f t="array" ref="J205:K205">LEN(F205:G205)</f>
        <v>68</v>
      </c>
      <c r="K205" s="25">
        <v>153</v>
      </c>
      <c r="L205" s="23">
        <f t="shared" ref="L205:L206" si="3">+J205+K205</f>
        <v>221</v>
      </c>
    </row>
    <row r="206" spans="1:12" s="21" customFormat="1" ht="43.5" x14ac:dyDescent="0.4">
      <c r="A206" s="14" t="s">
        <v>135</v>
      </c>
      <c r="B206" s="14"/>
      <c r="C206" s="24"/>
      <c r="D206" s="38">
        <v>7</v>
      </c>
      <c r="E206" s="39" t="s">
        <v>147</v>
      </c>
      <c r="F206" s="39" t="s">
        <v>148</v>
      </c>
      <c r="G206" s="39"/>
      <c r="H206" s="38"/>
      <c r="I206" s="24"/>
      <c r="J206" s="25" cm="1">
        <f t="array" ref="J206:K206">LEN(F206:G206)</f>
        <v>68</v>
      </c>
      <c r="K206" s="25">
        <v>0</v>
      </c>
      <c r="L206" s="23">
        <f t="shared" si="3"/>
        <v>68</v>
      </c>
    </row>
    <row r="207" spans="1:12" s="21" customFormat="1" ht="14.5" x14ac:dyDescent="0.4">
      <c r="A207" s="41"/>
      <c r="B207" s="14" t="s">
        <v>424</v>
      </c>
      <c r="C207" s="81" t="s">
        <v>451</v>
      </c>
      <c r="D207" s="42"/>
      <c r="E207" s="43"/>
      <c r="F207" s="43"/>
      <c r="G207" s="43"/>
      <c r="H207" s="42"/>
      <c r="I207" s="34"/>
    </row>
    <row r="208" spans="1:12" s="21" customFormat="1" ht="101.5" x14ac:dyDescent="0.4">
      <c r="A208" s="14" t="s">
        <v>135</v>
      </c>
      <c r="B208" s="14"/>
      <c r="C208" s="24"/>
      <c r="D208" s="38">
        <v>1</v>
      </c>
      <c r="E208" s="39" t="s">
        <v>136</v>
      </c>
      <c r="F208" s="39" t="s">
        <v>137</v>
      </c>
      <c r="G208" s="39" t="s">
        <v>138</v>
      </c>
      <c r="H208" s="38" t="s">
        <v>173</v>
      </c>
      <c r="I208" s="24" t="s">
        <v>425</v>
      </c>
    </row>
    <row r="209" spans="1:9" s="21" customFormat="1" ht="145" x14ac:dyDescent="0.4">
      <c r="A209" s="14" t="s">
        <v>135</v>
      </c>
      <c r="B209" s="14"/>
      <c r="C209" s="24"/>
      <c r="D209" s="38">
        <v>2</v>
      </c>
      <c r="E209" s="39" t="s">
        <v>150</v>
      </c>
      <c r="F209" s="39" t="s">
        <v>426</v>
      </c>
      <c r="G209" s="39"/>
      <c r="H209" s="38"/>
      <c r="I209" s="24"/>
    </row>
    <row r="210" spans="1:9" s="21" customFormat="1" ht="261" x14ac:dyDescent="0.4">
      <c r="A210" s="14" t="s">
        <v>135</v>
      </c>
      <c r="B210" s="14"/>
      <c r="C210" s="24"/>
      <c r="D210" s="38">
        <v>3</v>
      </c>
      <c r="E210" s="39" t="s">
        <v>427</v>
      </c>
      <c r="F210" s="39" t="s">
        <v>153</v>
      </c>
      <c r="G210" s="39"/>
      <c r="H210" s="38"/>
      <c r="I210" s="24"/>
    </row>
    <row r="211" spans="1:9" s="21" customFormat="1" ht="409.5" x14ac:dyDescent="0.4">
      <c r="A211" s="14" t="s">
        <v>135</v>
      </c>
      <c r="B211" s="14"/>
      <c r="C211" s="24"/>
      <c r="D211" s="38">
        <v>4</v>
      </c>
      <c r="E211" s="39" t="s">
        <v>146</v>
      </c>
      <c r="F211" s="39" t="s">
        <v>422</v>
      </c>
      <c r="G211" s="87" t="s">
        <v>449</v>
      </c>
      <c r="H211" s="38"/>
      <c r="I211" s="24"/>
    </row>
    <row r="212" spans="1:9" s="21" customFormat="1" ht="174" x14ac:dyDescent="0.4">
      <c r="A212" s="14" t="s">
        <v>135</v>
      </c>
      <c r="B212" s="14"/>
      <c r="C212" s="24"/>
      <c r="D212" s="38">
        <v>5</v>
      </c>
      <c r="E212" s="39" t="s">
        <v>429</v>
      </c>
      <c r="F212" s="39" t="s">
        <v>450</v>
      </c>
      <c r="G212" s="39" t="s">
        <v>430</v>
      </c>
      <c r="H212" s="38"/>
      <c r="I212" s="24"/>
    </row>
    <row r="213" spans="1:9" s="21" customFormat="1" ht="43.5" x14ac:dyDescent="0.4">
      <c r="A213" s="14" t="s">
        <v>135</v>
      </c>
      <c r="B213" s="14"/>
      <c r="C213" s="24"/>
      <c r="D213" s="38">
        <v>7</v>
      </c>
      <c r="E213" s="39" t="s">
        <v>147</v>
      </c>
      <c r="F213" s="39" t="s">
        <v>148</v>
      </c>
      <c r="G213" s="39"/>
      <c r="H213" s="38"/>
      <c r="I213" s="24"/>
    </row>
    <row r="214" spans="1:9" s="21" customFormat="1" ht="14.5" x14ac:dyDescent="0.4">
      <c r="A214" s="34"/>
      <c r="B214" s="34" t="s">
        <v>452</v>
      </c>
      <c r="C214" s="34" t="s">
        <v>431</v>
      </c>
      <c r="D214" s="34"/>
      <c r="E214" s="34"/>
      <c r="F214" s="34"/>
      <c r="G214" s="34"/>
      <c r="H214" s="34"/>
      <c r="I214" s="34"/>
    </row>
    <row r="215" spans="1:9" s="21" customFormat="1" ht="87" x14ac:dyDescent="0.4">
      <c r="A215" s="14" t="s">
        <v>135</v>
      </c>
      <c r="B215" s="119"/>
      <c r="C215" s="14" t="s">
        <v>432</v>
      </c>
      <c r="D215" s="38">
        <v>1</v>
      </c>
      <c r="E215" s="24" t="s">
        <v>228</v>
      </c>
      <c r="F215" s="14"/>
      <c r="G215" s="14"/>
      <c r="H215" s="38" t="s">
        <v>139</v>
      </c>
      <c r="I215" s="24" t="s">
        <v>229</v>
      </c>
    </row>
    <row r="216" spans="1:9" s="21" customFormat="1" ht="72.5" x14ac:dyDescent="0.4">
      <c r="A216" s="14" t="s">
        <v>135</v>
      </c>
      <c r="B216" s="14"/>
      <c r="C216" s="14" t="s">
        <v>432</v>
      </c>
      <c r="D216" s="38">
        <v>2</v>
      </c>
      <c r="E216" s="24" t="s">
        <v>445</v>
      </c>
      <c r="F216" s="39" t="s">
        <v>231</v>
      </c>
      <c r="G216" s="14" t="s">
        <v>433</v>
      </c>
      <c r="H216" s="120"/>
      <c r="I216" s="121"/>
    </row>
    <row r="217" spans="1:9" s="21" customFormat="1" ht="43.5" x14ac:dyDescent="0.4">
      <c r="A217" s="14" t="s">
        <v>135</v>
      </c>
      <c r="B217" s="14"/>
      <c r="C217" s="14" t="s">
        <v>432</v>
      </c>
      <c r="D217" s="38">
        <v>3</v>
      </c>
      <c r="E217" s="24" t="s">
        <v>434</v>
      </c>
      <c r="F217" s="24" t="s">
        <v>435</v>
      </c>
      <c r="G217" s="24"/>
      <c r="H217" s="24"/>
      <c r="I217" s="24"/>
    </row>
    <row r="218" spans="1:9" s="21" customFormat="1" ht="43.5" x14ac:dyDescent="0.4">
      <c r="A218" s="14" t="s">
        <v>135</v>
      </c>
      <c r="B218" s="14"/>
      <c r="C218" s="14" t="s">
        <v>432</v>
      </c>
      <c r="D218" s="38">
        <v>4</v>
      </c>
      <c r="E218" s="24" t="s">
        <v>436</v>
      </c>
      <c r="F218" s="24" t="s">
        <v>235</v>
      </c>
      <c r="G218" s="24"/>
      <c r="H218" s="24"/>
      <c r="I218" s="24"/>
    </row>
    <row r="219" spans="1:9" s="21" customFormat="1" ht="43.5" x14ac:dyDescent="0.4">
      <c r="A219" s="14" t="s">
        <v>135</v>
      </c>
      <c r="B219" s="14"/>
      <c r="C219" s="14" t="s">
        <v>432</v>
      </c>
      <c r="D219" s="38">
        <v>5</v>
      </c>
      <c r="E219" s="24" t="s">
        <v>236</v>
      </c>
      <c r="F219" s="24" t="s">
        <v>237</v>
      </c>
      <c r="G219" s="24"/>
      <c r="H219" s="24"/>
      <c r="I219" s="24"/>
    </row>
    <row r="220" spans="1:9" s="21" customFormat="1" ht="58" x14ac:dyDescent="0.4">
      <c r="A220" s="14" t="s">
        <v>135</v>
      </c>
      <c r="B220" s="14"/>
      <c r="C220" s="14" t="s">
        <v>432</v>
      </c>
      <c r="D220" s="38">
        <v>6</v>
      </c>
      <c r="E220" s="24" t="s">
        <v>238</v>
      </c>
      <c r="F220" s="24" t="s">
        <v>446</v>
      </c>
      <c r="G220" s="24" t="s">
        <v>437</v>
      </c>
      <c r="H220" s="24"/>
      <c r="I220" s="24"/>
    </row>
    <row r="221" spans="1:9" s="21" customFormat="1" ht="217.5" x14ac:dyDescent="0.4">
      <c r="A221" s="14" t="s">
        <v>135</v>
      </c>
      <c r="B221" s="14"/>
      <c r="C221" s="14" t="s">
        <v>432</v>
      </c>
      <c r="D221" s="38">
        <v>7</v>
      </c>
      <c r="E221" s="39" t="s">
        <v>438</v>
      </c>
      <c r="F221" s="39" t="s">
        <v>444</v>
      </c>
      <c r="G221" s="39" t="s">
        <v>439</v>
      </c>
      <c r="H221" s="39"/>
      <c r="I221" s="39"/>
    </row>
    <row r="222" spans="1:9" s="21" customFormat="1" ht="14.5" x14ac:dyDescent="0.4">
      <c r="A222" s="34"/>
      <c r="B222" s="34" t="s">
        <v>453</v>
      </c>
      <c r="C222" s="34" t="s">
        <v>440</v>
      </c>
      <c r="D222" s="34"/>
      <c r="E222" s="34"/>
      <c r="F222" s="34"/>
      <c r="G222" s="34"/>
      <c r="H222" s="34"/>
      <c r="I222" s="34"/>
    </row>
    <row r="223" spans="1:9" s="21" customFormat="1" ht="87" x14ac:dyDescent="0.4">
      <c r="A223" s="14" t="s">
        <v>135</v>
      </c>
      <c r="B223" s="119"/>
      <c r="C223" s="14" t="s">
        <v>441</v>
      </c>
      <c r="D223" s="38">
        <v>1</v>
      </c>
      <c r="E223" s="24" t="s">
        <v>228</v>
      </c>
      <c r="F223" s="14"/>
      <c r="G223" s="14"/>
      <c r="H223" s="38" t="s">
        <v>139</v>
      </c>
      <c r="I223" s="24" t="s">
        <v>229</v>
      </c>
    </row>
    <row r="224" spans="1:9" s="21" customFormat="1" ht="72.5" x14ac:dyDescent="0.4">
      <c r="A224" s="14" t="s">
        <v>135</v>
      </c>
      <c r="B224" s="14"/>
      <c r="C224" s="14" t="s">
        <v>441</v>
      </c>
      <c r="D224" s="38">
        <v>2</v>
      </c>
      <c r="E224" s="24" t="s">
        <v>447</v>
      </c>
      <c r="F224" s="39" t="s">
        <v>231</v>
      </c>
      <c r="G224" s="14" t="s">
        <v>433</v>
      </c>
      <c r="H224" s="120"/>
      <c r="I224" s="121"/>
    </row>
    <row r="225" spans="1:9" s="21" customFormat="1" ht="43.5" x14ac:dyDescent="0.4">
      <c r="A225" s="14" t="s">
        <v>135</v>
      </c>
      <c r="B225" s="14"/>
      <c r="C225" s="14" t="s">
        <v>441</v>
      </c>
      <c r="D225" s="38">
        <v>3</v>
      </c>
      <c r="E225" s="24" t="s">
        <v>434</v>
      </c>
      <c r="F225" s="24" t="s">
        <v>435</v>
      </c>
      <c r="G225" s="24"/>
      <c r="H225" s="24"/>
      <c r="I225" s="24"/>
    </row>
    <row r="226" spans="1:9" s="21" customFormat="1" ht="43.5" x14ac:dyDescent="0.4">
      <c r="A226" s="14" t="s">
        <v>135</v>
      </c>
      <c r="B226" s="14"/>
      <c r="C226" s="14" t="s">
        <v>441</v>
      </c>
      <c r="D226" s="38">
        <v>4</v>
      </c>
      <c r="E226" s="24" t="s">
        <v>436</v>
      </c>
      <c r="F226" s="24" t="s">
        <v>235</v>
      </c>
      <c r="G226" s="24"/>
      <c r="H226" s="24"/>
      <c r="I226" s="24"/>
    </row>
    <row r="227" spans="1:9" s="21" customFormat="1" ht="43.5" x14ac:dyDescent="0.4">
      <c r="A227" s="14" t="s">
        <v>135</v>
      </c>
      <c r="B227" s="14"/>
      <c r="C227" s="14" t="s">
        <v>441</v>
      </c>
      <c r="D227" s="38">
        <v>5</v>
      </c>
      <c r="E227" s="24" t="s">
        <v>236</v>
      </c>
      <c r="F227" s="24" t="s">
        <v>237</v>
      </c>
      <c r="G227" s="24"/>
      <c r="H227" s="24"/>
      <c r="I227" s="24"/>
    </row>
    <row r="228" spans="1:9" s="21" customFormat="1" ht="43.5" x14ac:dyDescent="0.4">
      <c r="A228" s="14" t="s">
        <v>135</v>
      </c>
      <c r="B228" s="14"/>
      <c r="C228" s="14" t="s">
        <v>441</v>
      </c>
      <c r="D228" s="38">
        <v>6</v>
      </c>
      <c r="E228" s="24" t="s">
        <v>238</v>
      </c>
      <c r="F228" s="24" t="s">
        <v>448</v>
      </c>
      <c r="G228" s="24"/>
      <c r="H228" s="24"/>
      <c r="I228" s="24"/>
    </row>
    <row r="229" spans="1:9" s="21" customFormat="1" ht="377" x14ac:dyDescent="0.4">
      <c r="A229" s="14" t="s">
        <v>135</v>
      </c>
      <c r="B229" s="14"/>
      <c r="C229" s="14" t="s">
        <v>441</v>
      </c>
      <c r="D229" s="38">
        <v>7</v>
      </c>
      <c r="E229" s="39" t="s">
        <v>442</v>
      </c>
      <c r="F229" s="39" t="s">
        <v>443</v>
      </c>
      <c r="G229" s="39"/>
      <c r="H229" s="39"/>
      <c r="I229" s="39"/>
    </row>
    <row r="230" spans="1:9" s="21" customFormat="1" ht="14.5" x14ac:dyDescent="0.4">
      <c r="A230" s="33"/>
      <c r="B230" s="86" t="s">
        <v>457</v>
      </c>
      <c r="C230" s="85" t="s">
        <v>458</v>
      </c>
      <c r="D230" s="35"/>
      <c r="E230" s="36"/>
      <c r="F230" s="36"/>
      <c r="G230" s="36"/>
      <c r="H230" s="35"/>
      <c r="I230" s="40"/>
    </row>
    <row r="231" spans="1:9" s="21" customFormat="1" ht="116" x14ac:dyDescent="0.4">
      <c r="A231" s="14" t="s">
        <v>135</v>
      </c>
      <c r="B231" s="14"/>
      <c r="C231" s="24"/>
      <c r="D231" s="38">
        <v>1</v>
      </c>
      <c r="E231" s="39" t="s">
        <v>136</v>
      </c>
      <c r="F231" s="39" t="s">
        <v>137</v>
      </c>
      <c r="G231" s="39" t="s">
        <v>138</v>
      </c>
      <c r="H231" s="38" t="s">
        <v>139</v>
      </c>
      <c r="I231" s="24" t="s">
        <v>456</v>
      </c>
    </row>
    <row r="232" spans="1:9" s="21" customFormat="1" ht="145" x14ac:dyDescent="0.4">
      <c r="A232" s="14" t="s">
        <v>135</v>
      </c>
      <c r="B232" s="14"/>
      <c r="C232" s="24"/>
      <c r="D232" s="38">
        <v>2</v>
      </c>
      <c r="E232" s="39" t="s">
        <v>150</v>
      </c>
      <c r="F232" s="39" t="s">
        <v>454</v>
      </c>
      <c r="G232" s="39"/>
      <c r="H232" s="38"/>
      <c r="I232" s="24"/>
    </row>
    <row r="233" spans="1:9" s="21" customFormat="1" ht="261" x14ac:dyDescent="0.4">
      <c r="A233" s="14" t="s">
        <v>135</v>
      </c>
      <c r="B233" s="14"/>
      <c r="C233" s="24"/>
      <c r="D233" s="38">
        <v>3</v>
      </c>
      <c r="E233" s="39" t="s">
        <v>455</v>
      </c>
      <c r="F233" s="39" t="s">
        <v>153</v>
      </c>
      <c r="G233" s="39"/>
      <c r="H233" s="38"/>
      <c r="I233" s="24"/>
    </row>
    <row r="234" spans="1:9" s="21" customFormat="1" ht="409.5" x14ac:dyDescent="0.4">
      <c r="A234" s="14" t="s">
        <v>135</v>
      </c>
      <c r="B234" s="14"/>
      <c r="C234" s="24"/>
      <c r="D234" s="38">
        <v>4</v>
      </c>
      <c r="E234" s="39" t="s">
        <v>146</v>
      </c>
      <c r="F234" s="39" t="s">
        <v>404</v>
      </c>
      <c r="G234" s="87" t="s">
        <v>414</v>
      </c>
      <c r="H234" s="38"/>
      <c r="I234" s="24"/>
    </row>
    <row r="235" spans="1:9" s="21" customFormat="1" ht="43.5" x14ac:dyDescent="0.4">
      <c r="A235" s="14" t="s">
        <v>135</v>
      </c>
      <c r="B235" s="14"/>
      <c r="C235" s="24"/>
      <c r="D235" s="38">
        <v>5</v>
      </c>
      <c r="E235" s="39" t="s">
        <v>147</v>
      </c>
      <c r="F235" s="39" t="s">
        <v>148</v>
      </c>
      <c r="G235" s="39"/>
      <c r="H235" s="38"/>
      <c r="I235" s="24"/>
    </row>
    <row r="236" spans="1:9" s="21" customFormat="1" x14ac:dyDescent="0.45">
      <c r="A236" s="22"/>
      <c r="B236" s="22"/>
      <c r="C236" s="22"/>
      <c r="D236" s="22"/>
      <c r="E236" s="22"/>
      <c r="F236" s="22"/>
      <c r="G236" s="22"/>
      <c r="H236" s="22"/>
    </row>
    <row r="237" spans="1:9" s="21" customFormat="1" x14ac:dyDescent="0.45">
      <c r="A237" s="22"/>
      <c r="B237" s="22"/>
      <c r="C237" s="22"/>
      <c r="D237" s="22"/>
      <c r="E237" s="22"/>
      <c r="F237" s="22"/>
      <c r="G237" s="22"/>
      <c r="H237" s="22"/>
    </row>
    <row r="238" spans="1:9" s="21" customFormat="1" x14ac:dyDescent="0.45">
      <c r="A238" s="22"/>
      <c r="B238" s="22"/>
      <c r="C238" s="22"/>
      <c r="D238" s="22"/>
      <c r="E238" s="22"/>
      <c r="F238" s="22"/>
      <c r="G238" s="22"/>
      <c r="H238" s="22"/>
    </row>
    <row r="239" spans="1:9" s="21" customFormat="1" x14ac:dyDescent="0.45">
      <c r="A239" s="22"/>
      <c r="B239" s="22"/>
      <c r="C239" s="22"/>
      <c r="D239" s="22"/>
      <c r="E239" s="22"/>
      <c r="F239" s="22"/>
      <c r="G239" s="22"/>
      <c r="H239" s="22"/>
    </row>
    <row r="240" spans="1:9" s="21" customFormat="1" x14ac:dyDescent="0.45">
      <c r="A240" s="22"/>
      <c r="B240" s="22"/>
      <c r="C240" s="22"/>
      <c r="D240" s="22"/>
      <c r="E240" s="22"/>
      <c r="F240" s="22"/>
      <c r="G240" s="22"/>
      <c r="H240" s="22"/>
    </row>
    <row r="241" spans="1:8" s="21" customFormat="1" x14ac:dyDescent="0.45">
      <c r="A241" s="22"/>
      <c r="B241" s="22"/>
      <c r="C241" s="22"/>
      <c r="D241" s="22"/>
      <c r="E241" s="22"/>
      <c r="F241" s="22"/>
      <c r="G241" s="22"/>
      <c r="H241" s="22"/>
    </row>
    <row r="242" spans="1:8" s="21" customFormat="1" x14ac:dyDescent="0.45">
      <c r="A242" s="22"/>
      <c r="B242" s="22"/>
      <c r="C242" s="22"/>
      <c r="D242" s="22"/>
      <c r="E242" s="22"/>
      <c r="F242" s="22"/>
      <c r="G242" s="22"/>
      <c r="H242" s="22"/>
    </row>
    <row r="243" spans="1:8" s="21" customFormat="1" x14ac:dyDescent="0.45">
      <c r="A243" s="22"/>
      <c r="B243" s="22"/>
      <c r="C243" s="22"/>
      <c r="D243" s="22"/>
      <c r="E243" s="22"/>
      <c r="F243" s="22"/>
      <c r="G243" s="22"/>
      <c r="H243" s="22"/>
    </row>
    <row r="244" spans="1:8" s="21" customFormat="1" x14ac:dyDescent="0.45">
      <c r="A244" s="22"/>
      <c r="B244" s="22"/>
      <c r="C244" s="22"/>
      <c r="D244" s="22"/>
      <c r="E244" s="22"/>
      <c r="F244" s="22"/>
      <c r="G244" s="22"/>
      <c r="H244" s="22"/>
    </row>
    <row r="245" spans="1:8" s="21" customFormat="1" x14ac:dyDescent="0.45">
      <c r="A245" s="22"/>
      <c r="B245" s="22"/>
      <c r="C245" s="22"/>
      <c r="D245" s="22"/>
      <c r="E245" s="22"/>
      <c r="F245" s="22"/>
      <c r="G245" s="22"/>
      <c r="H245" s="22"/>
    </row>
    <row r="246" spans="1:8" s="21" customFormat="1" x14ac:dyDescent="0.45">
      <c r="A246" s="22"/>
      <c r="B246" s="22"/>
      <c r="C246" s="22"/>
      <c r="D246" s="22"/>
      <c r="E246" s="22"/>
      <c r="F246" s="22"/>
      <c r="G246" s="22"/>
      <c r="H246" s="22"/>
    </row>
    <row r="247" spans="1:8" s="21" customFormat="1" x14ac:dyDescent="0.45">
      <c r="A247" s="22"/>
      <c r="B247" s="22"/>
      <c r="C247" s="22"/>
      <c r="D247" s="22"/>
      <c r="E247" s="22"/>
      <c r="F247" s="22"/>
      <c r="G247" s="22"/>
      <c r="H247" s="22"/>
    </row>
    <row r="248" spans="1:8" s="21" customFormat="1" x14ac:dyDescent="0.45">
      <c r="A248" s="22"/>
      <c r="B248" s="22"/>
      <c r="C248" s="22"/>
      <c r="D248" s="22"/>
      <c r="E248" s="22"/>
      <c r="F248" s="22"/>
      <c r="G248" s="22"/>
      <c r="H248" s="22"/>
    </row>
    <row r="249" spans="1:8" s="21" customFormat="1" x14ac:dyDescent="0.45">
      <c r="A249" s="22"/>
      <c r="B249" s="22"/>
      <c r="C249" s="22"/>
      <c r="D249" s="22"/>
      <c r="E249" s="22"/>
      <c r="F249" s="22"/>
      <c r="G249" s="22"/>
      <c r="H249" s="22"/>
    </row>
    <row r="250" spans="1:8" s="21" customFormat="1" x14ac:dyDescent="0.45">
      <c r="A250" s="22"/>
      <c r="B250" s="22"/>
      <c r="C250" s="22"/>
      <c r="D250" s="22"/>
      <c r="E250" s="22"/>
      <c r="F250" s="22"/>
      <c r="G250" s="22"/>
      <c r="H250" s="22"/>
    </row>
    <row r="251" spans="1:8" s="21" customFormat="1" x14ac:dyDescent="0.45">
      <c r="A251" s="22"/>
      <c r="B251" s="22"/>
      <c r="C251" s="22"/>
      <c r="D251" s="22"/>
      <c r="E251" s="22"/>
      <c r="F251" s="22"/>
      <c r="G251" s="22"/>
      <c r="H251" s="22"/>
    </row>
    <row r="252" spans="1:8" s="21" customFormat="1" x14ac:dyDescent="0.45">
      <c r="A252" s="22"/>
      <c r="B252" s="22"/>
      <c r="C252" s="22"/>
      <c r="D252" s="22"/>
      <c r="E252" s="22"/>
      <c r="F252" s="22"/>
      <c r="G252" s="22"/>
      <c r="H252" s="22"/>
    </row>
    <row r="253" spans="1:8" s="21" customFormat="1" x14ac:dyDescent="0.45">
      <c r="A253" s="22"/>
      <c r="B253" s="22"/>
      <c r="C253" s="22"/>
      <c r="D253" s="22"/>
      <c r="E253" s="22"/>
      <c r="F253" s="22"/>
      <c r="G253" s="22"/>
      <c r="H253" s="22"/>
    </row>
    <row r="254" spans="1:8" s="21" customFormat="1" x14ac:dyDescent="0.45">
      <c r="A254" s="22"/>
      <c r="B254" s="22"/>
      <c r="C254" s="22"/>
      <c r="D254" s="22"/>
      <c r="E254" s="22"/>
      <c r="F254" s="22"/>
      <c r="G254" s="22"/>
      <c r="H254" s="22"/>
    </row>
    <row r="255" spans="1:8" s="21" customFormat="1" x14ac:dyDescent="0.45">
      <c r="A255" s="22"/>
      <c r="B255" s="22"/>
      <c r="C255" s="22"/>
      <c r="D255" s="22"/>
      <c r="E255" s="22"/>
      <c r="F255" s="22"/>
      <c r="G255" s="22"/>
      <c r="H255" s="22"/>
    </row>
    <row r="256" spans="1:8" s="21" customFormat="1" x14ac:dyDescent="0.45">
      <c r="A256" s="22"/>
      <c r="B256" s="22"/>
      <c r="C256" s="22"/>
      <c r="D256" s="22"/>
      <c r="E256" s="22"/>
      <c r="F256" s="22"/>
      <c r="G256" s="22"/>
      <c r="H256" s="22"/>
    </row>
    <row r="257" spans="1:8" s="21" customFormat="1" x14ac:dyDescent="0.45">
      <c r="A257" s="22"/>
      <c r="B257" s="22"/>
      <c r="C257" s="22"/>
      <c r="D257" s="22"/>
      <c r="E257" s="22"/>
      <c r="F257" s="22"/>
      <c r="G257" s="22"/>
      <c r="H257" s="22"/>
    </row>
    <row r="258" spans="1:8" s="21" customFormat="1" x14ac:dyDescent="0.45">
      <c r="A258" s="22"/>
      <c r="B258" s="22"/>
      <c r="C258" s="22"/>
      <c r="D258" s="22"/>
      <c r="E258" s="22"/>
      <c r="F258" s="22"/>
      <c r="G258" s="22"/>
      <c r="H258" s="22"/>
    </row>
    <row r="259" spans="1:8" s="21" customFormat="1" x14ac:dyDescent="0.45">
      <c r="A259" s="22"/>
      <c r="B259" s="22"/>
      <c r="C259" s="22"/>
      <c r="D259" s="22"/>
      <c r="E259" s="22"/>
      <c r="F259" s="22"/>
      <c r="G259" s="22"/>
      <c r="H259" s="22"/>
    </row>
    <row r="260" spans="1:8" s="21" customFormat="1" x14ac:dyDescent="0.45">
      <c r="A260" s="22"/>
      <c r="B260" s="22"/>
      <c r="C260" s="22"/>
      <c r="D260" s="22"/>
      <c r="E260" s="22"/>
      <c r="F260" s="22"/>
      <c r="G260" s="22"/>
      <c r="H260" s="22"/>
    </row>
    <row r="261" spans="1:8" s="21" customFormat="1" x14ac:dyDescent="0.45">
      <c r="A261" s="22"/>
      <c r="B261" s="22"/>
      <c r="C261" s="22"/>
      <c r="D261" s="22"/>
      <c r="E261" s="22"/>
      <c r="F261" s="22"/>
      <c r="G261" s="22"/>
      <c r="H261" s="22"/>
    </row>
    <row r="262" spans="1:8" s="21" customFormat="1" x14ac:dyDescent="0.45">
      <c r="A262" s="22"/>
      <c r="B262" s="22"/>
      <c r="C262" s="22"/>
      <c r="D262" s="22"/>
      <c r="E262" s="22"/>
      <c r="F262" s="22"/>
      <c r="G262" s="22"/>
      <c r="H262" s="22"/>
    </row>
    <row r="263" spans="1:8" s="21" customFormat="1" x14ac:dyDescent="0.45">
      <c r="A263" s="22"/>
      <c r="B263" s="22"/>
      <c r="C263" s="22"/>
      <c r="D263" s="22"/>
      <c r="E263" s="22"/>
      <c r="F263" s="22"/>
      <c r="G263" s="22"/>
      <c r="H263" s="22"/>
    </row>
    <row r="264" spans="1:8" s="21" customFormat="1" x14ac:dyDescent="0.45">
      <c r="A264" s="22"/>
      <c r="B264" s="22"/>
      <c r="C264" s="22"/>
      <c r="D264" s="22"/>
      <c r="E264" s="22"/>
      <c r="F264" s="22"/>
      <c r="G264" s="22"/>
      <c r="H264" s="22"/>
    </row>
    <row r="265" spans="1:8" s="21" customFormat="1" x14ac:dyDescent="0.45">
      <c r="A265" s="22"/>
      <c r="B265" s="22"/>
      <c r="C265" s="22"/>
      <c r="D265" s="22"/>
      <c r="E265" s="22"/>
      <c r="F265" s="22"/>
      <c r="G265" s="22"/>
      <c r="H265" s="22"/>
    </row>
    <row r="266" spans="1:8" s="21" customFormat="1" x14ac:dyDescent="0.45">
      <c r="A266" s="22"/>
      <c r="B266" s="22"/>
      <c r="C266" s="22"/>
      <c r="D266" s="22"/>
      <c r="E266" s="22"/>
      <c r="F266" s="22"/>
      <c r="G266" s="22"/>
      <c r="H266" s="22"/>
    </row>
    <row r="267" spans="1:8" s="21" customFormat="1" x14ac:dyDescent="0.45">
      <c r="A267" s="22"/>
      <c r="B267" s="22"/>
      <c r="C267" s="22"/>
      <c r="D267" s="22"/>
      <c r="E267" s="22"/>
      <c r="F267" s="22"/>
      <c r="G267" s="22"/>
      <c r="H267" s="22"/>
    </row>
    <row r="268" spans="1:8" s="21" customFormat="1" x14ac:dyDescent="0.45">
      <c r="A268" s="22"/>
      <c r="B268" s="22"/>
      <c r="C268" s="22"/>
      <c r="D268" s="22"/>
      <c r="E268" s="22"/>
      <c r="F268" s="22"/>
      <c r="G268" s="22"/>
      <c r="H268" s="22"/>
    </row>
    <row r="269" spans="1:8" s="21" customFormat="1" x14ac:dyDescent="0.45">
      <c r="A269" s="22"/>
      <c r="B269" s="22"/>
      <c r="C269" s="22"/>
      <c r="D269" s="22"/>
      <c r="E269" s="22"/>
      <c r="F269" s="22"/>
      <c r="G269" s="22"/>
      <c r="H269" s="22"/>
    </row>
    <row r="270" spans="1:8" s="21" customFormat="1" x14ac:dyDescent="0.45">
      <c r="A270" s="22"/>
      <c r="B270" s="22"/>
      <c r="C270" s="22"/>
      <c r="D270" s="22"/>
      <c r="E270" s="22"/>
      <c r="F270" s="22"/>
      <c r="G270" s="22"/>
      <c r="H270" s="22"/>
    </row>
    <row r="271" spans="1:8" s="21" customFormat="1" x14ac:dyDescent="0.45">
      <c r="A271" s="22"/>
      <c r="B271" s="22"/>
      <c r="C271" s="22"/>
      <c r="D271" s="22"/>
      <c r="E271" s="22"/>
      <c r="F271" s="22"/>
      <c r="G271" s="22"/>
      <c r="H271" s="22"/>
    </row>
    <row r="272" spans="1:8" s="21" customFormat="1" x14ac:dyDescent="0.45">
      <c r="A272" s="22"/>
      <c r="B272" s="22"/>
      <c r="C272" s="22"/>
      <c r="D272" s="22"/>
      <c r="E272" s="22"/>
      <c r="F272" s="22"/>
      <c r="G272" s="22"/>
      <c r="H272" s="22"/>
    </row>
    <row r="273" spans="1:8" s="21" customFormat="1" x14ac:dyDescent="0.45">
      <c r="A273" s="22"/>
      <c r="B273" s="22"/>
      <c r="C273" s="22"/>
      <c r="D273" s="22"/>
      <c r="E273" s="22"/>
      <c r="F273" s="22"/>
      <c r="G273" s="22"/>
      <c r="H273" s="22"/>
    </row>
    <row r="274" spans="1:8" s="21" customFormat="1" x14ac:dyDescent="0.45">
      <c r="A274" s="22"/>
      <c r="B274" s="22"/>
      <c r="C274" s="22"/>
      <c r="D274" s="22"/>
      <c r="E274" s="22"/>
      <c r="F274" s="22"/>
      <c r="G274" s="22"/>
      <c r="H274" s="22"/>
    </row>
    <row r="275" spans="1:8" s="21" customFormat="1" x14ac:dyDescent="0.45">
      <c r="A275" s="22"/>
      <c r="B275" s="22"/>
      <c r="C275" s="22"/>
      <c r="D275" s="22"/>
      <c r="E275" s="22"/>
      <c r="F275" s="22"/>
      <c r="G275" s="22"/>
      <c r="H275" s="22"/>
    </row>
    <row r="276" spans="1:8" s="21" customFormat="1" x14ac:dyDescent="0.45">
      <c r="A276" s="22"/>
      <c r="B276" s="22"/>
      <c r="C276" s="22"/>
      <c r="D276" s="22"/>
      <c r="E276" s="22"/>
      <c r="F276" s="22"/>
      <c r="G276" s="22"/>
      <c r="H276" s="22"/>
    </row>
    <row r="277" spans="1:8" s="21" customFormat="1" x14ac:dyDescent="0.45">
      <c r="A277" s="22"/>
      <c r="B277" s="22"/>
      <c r="C277" s="22"/>
      <c r="D277" s="22"/>
      <c r="E277" s="22"/>
      <c r="F277" s="22"/>
      <c r="G277" s="22"/>
      <c r="H277" s="22"/>
    </row>
    <row r="278" spans="1:8" s="21" customFormat="1" x14ac:dyDescent="0.45">
      <c r="A278" s="22"/>
      <c r="B278" s="22"/>
      <c r="C278" s="22"/>
      <c r="D278" s="22"/>
      <c r="E278" s="22"/>
      <c r="F278" s="22"/>
      <c r="G278" s="22"/>
      <c r="H278" s="22"/>
    </row>
    <row r="279" spans="1:8" s="21" customFormat="1" x14ac:dyDescent="0.45">
      <c r="A279" s="22"/>
      <c r="B279" s="22"/>
      <c r="C279" s="22"/>
      <c r="D279" s="22"/>
      <c r="E279" s="22"/>
      <c r="F279" s="22"/>
      <c r="G279" s="22"/>
      <c r="H279" s="22"/>
    </row>
    <row r="280" spans="1:8" s="21" customFormat="1" x14ac:dyDescent="0.45">
      <c r="A280" s="22"/>
      <c r="B280" s="22"/>
      <c r="C280" s="22"/>
      <c r="D280" s="22"/>
      <c r="E280" s="22"/>
      <c r="F280" s="22"/>
      <c r="G280" s="22"/>
      <c r="H280" s="22"/>
    </row>
    <row r="281" spans="1:8" s="21" customFormat="1" x14ac:dyDescent="0.45">
      <c r="A281" s="22"/>
      <c r="B281" s="22"/>
      <c r="C281" s="22"/>
      <c r="D281" s="22"/>
      <c r="E281" s="22"/>
      <c r="F281" s="22"/>
      <c r="G281" s="22"/>
      <c r="H281" s="22"/>
    </row>
    <row r="282" spans="1:8" s="21" customFormat="1" x14ac:dyDescent="0.45">
      <c r="A282" s="22"/>
      <c r="B282" s="22"/>
      <c r="C282" s="22"/>
      <c r="D282" s="22"/>
      <c r="E282" s="22"/>
      <c r="F282" s="22"/>
      <c r="G282" s="22"/>
      <c r="H282" s="22"/>
    </row>
    <row r="283" spans="1:8" s="21" customFormat="1" x14ac:dyDescent="0.45">
      <c r="A283" s="22"/>
      <c r="B283" s="22"/>
      <c r="C283" s="22"/>
      <c r="D283" s="22"/>
      <c r="E283" s="22"/>
      <c r="F283" s="22"/>
      <c r="G283" s="22"/>
      <c r="H283" s="22"/>
    </row>
    <row r="284" spans="1:8" s="21" customFormat="1" x14ac:dyDescent="0.45">
      <c r="A284" s="22"/>
      <c r="B284" s="22"/>
      <c r="C284" s="22"/>
      <c r="D284" s="22"/>
      <c r="E284" s="22"/>
      <c r="F284" s="22"/>
      <c r="G284" s="22"/>
      <c r="H284" s="22"/>
    </row>
    <row r="285" spans="1:8" s="21" customFormat="1" x14ac:dyDescent="0.45">
      <c r="A285" s="22"/>
      <c r="B285" s="22"/>
      <c r="C285" s="22"/>
      <c r="D285" s="22"/>
      <c r="E285" s="22"/>
      <c r="F285" s="22"/>
      <c r="G285" s="22"/>
      <c r="H285" s="22"/>
    </row>
    <row r="286" spans="1:8" s="21" customFormat="1" x14ac:dyDescent="0.45">
      <c r="A286" s="22"/>
      <c r="B286" s="22"/>
      <c r="C286" s="22"/>
      <c r="D286" s="22"/>
      <c r="E286" s="22"/>
      <c r="F286" s="22"/>
      <c r="G286" s="22"/>
      <c r="H286" s="22"/>
    </row>
    <row r="287" spans="1:8" s="21" customFormat="1" x14ac:dyDescent="0.45">
      <c r="A287" s="22"/>
      <c r="B287" s="22"/>
      <c r="C287" s="22"/>
      <c r="D287" s="22"/>
      <c r="E287" s="22"/>
      <c r="F287" s="22"/>
      <c r="G287" s="22"/>
      <c r="H287" s="22"/>
    </row>
    <row r="288" spans="1:8" s="21" customFormat="1" ht="72.75" customHeight="1" x14ac:dyDescent="0.45">
      <c r="A288" s="22"/>
      <c r="B288" s="22"/>
      <c r="C288" s="22"/>
      <c r="D288" s="22"/>
      <c r="E288" s="22"/>
      <c r="F288" s="22"/>
      <c r="G288" s="22"/>
      <c r="H288" s="22"/>
    </row>
    <row r="289" spans="1:8" s="21" customFormat="1" x14ac:dyDescent="0.45">
      <c r="A289" s="22"/>
      <c r="B289" s="22"/>
      <c r="C289" s="22"/>
      <c r="D289" s="22"/>
      <c r="E289" s="22"/>
      <c r="F289" s="22"/>
      <c r="G289" s="22"/>
      <c r="H289" s="22"/>
    </row>
    <row r="290" spans="1:8" s="21" customFormat="1" ht="69.75" customHeight="1" x14ac:dyDescent="0.45">
      <c r="A290" s="22"/>
      <c r="B290" s="22"/>
      <c r="C290" s="22"/>
      <c r="D290" s="22"/>
      <c r="E290" s="22"/>
      <c r="F290" s="22"/>
      <c r="G290" s="22"/>
      <c r="H290" s="22"/>
    </row>
    <row r="291" spans="1:8" s="21" customFormat="1" x14ac:dyDescent="0.45">
      <c r="A291" s="22"/>
      <c r="B291" s="22"/>
      <c r="C291" s="22"/>
      <c r="D291" s="22"/>
      <c r="E291" s="22"/>
      <c r="F291" s="22"/>
      <c r="G291" s="22"/>
      <c r="H291" s="22"/>
    </row>
    <row r="292" spans="1:8" s="21" customFormat="1" ht="86.25" customHeight="1" x14ac:dyDescent="0.45">
      <c r="A292" s="22"/>
      <c r="B292" s="22"/>
      <c r="C292" s="22"/>
      <c r="D292" s="22"/>
      <c r="E292" s="22"/>
      <c r="F292" s="22"/>
      <c r="G292" s="22"/>
      <c r="H292" s="22"/>
    </row>
    <row r="293" spans="1:8" s="21" customFormat="1" x14ac:dyDescent="0.45">
      <c r="A293" s="22"/>
      <c r="B293" s="22"/>
      <c r="C293" s="22"/>
      <c r="D293" s="22"/>
      <c r="E293" s="22"/>
      <c r="F293" s="22"/>
      <c r="G293" s="22"/>
      <c r="H293" s="22"/>
    </row>
    <row r="294" spans="1:8" s="21" customFormat="1" x14ac:dyDescent="0.45">
      <c r="A294" s="22"/>
      <c r="B294" s="22"/>
      <c r="C294" s="22"/>
      <c r="D294" s="22"/>
      <c r="E294" s="22"/>
      <c r="F294" s="22"/>
      <c r="G294" s="22"/>
      <c r="H294" s="22"/>
    </row>
    <row r="295" spans="1:8" s="21" customFormat="1" x14ac:dyDescent="0.45">
      <c r="A295" s="22"/>
      <c r="B295" s="22"/>
      <c r="C295" s="22"/>
      <c r="D295" s="22"/>
      <c r="E295" s="22"/>
      <c r="F295" s="22"/>
      <c r="G295" s="22"/>
      <c r="H295" s="22"/>
    </row>
    <row r="296" spans="1:8" s="21" customFormat="1" x14ac:dyDescent="0.45">
      <c r="A296" s="22"/>
      <c r="B296" s="22"/>
      <c r="C296" s="22"/>
      <c r="D296" s="22"/>
      <c r="E296" s="22"/>
      <c r="F296" s="22"/>
      <c r="G296" s="22"/>
      <c r="H296" s="22"/>
    </row>
    <row r="297" spans="1:8" s="21" customFormat="1" x14ac:dyDescent="0.45">
      <c r="A297" s="22"/>
      <c r="B297" s="22"/>
      <c r="C297" s="22"/>
      <c r="D297" s="22"/>
      <c r="E297" s="22"/>
      <c r="F297" s="22"/>
      <c r="G297" s="22"/>
      <c r="H297" s="22"/>
    </row>
    <row r="298" spans="1:8" s="21" customFormat="1" x14ac:dyDescent="0.45">
      <c r="A298" s="22"/>
      <c r="B298" s="22"/>
      <c r="C298" s="22"/>
      <c r="D298" s="22"/>
      <c r="E298" s="22"/>
      <c r="F298" s="22"/>
      <c r="G298" s="22"/>
      <c r="H298" s="22"/>
    </row>
    <row r="299" spans="1:8" s="21" customFormat="1" x14ac:dyDescent="0.45">
      <c r="A299" s="22"/>
      <c r="B299" s="22"/>
      <c r="C299" s="22"/>
      <c r="D299" s="22"/>
      <c r="E299" s="22"/>
      <c r="F299" s="22"/>
      <c r="G299" s="22"/>
      <c r="H299" s="22"/>
    </row>
    <row r="300" spans="1:8" s="21" customFormat="1" x14ac:dyDescent="0.45">
      <c r="A300" s="22"/>
      <c r="B300" s="22"/>
      <c r="C300" s="22"/>
      <c r="D300" s="22"/>
      <c r="E300" s="22"/>
      <c r="F300" s="22"/>
      <c r="G300" s="22"/>
      <c r="H300" s="22"/>
    </row>
    <row r="301" spans="1:8" s="21" customFormat="1" x14ac:dyDescent="0.45">
      <c r="A301" s="22"/>
      <c r="B301" s="22"/>
      <c r="C301" s="22"/>
      <c r="D301" s="22"/>
      <c r="E301" s="22"/>
      <c r="F301" s="22"/>
      <c r="G301" s="22"/>
      <c r="H301" s="22"/>
    </row>
    <row r="302" spans="1:8" s="21" customFormat="1" x14ac:dyDescent="0.45">
      <c r="A302" s="22"/>
      <c r="B302" s="22"/>
      <c r="C302" s="22"/>
      <c r="D302" s="22"/>
      <c r="E302" s="22"/>
      <c r="F302" s="22"/>
      <c r="G302" s="22"/>
      <c r="H302" s="22"/>
    </row>
    <row r="303" spans="1:8" s="21" customFormat="1" x14ac:dyDescent="0.45">
      <c r="A303" s="22"/>
      <c r="B303" s="22"/>
      <c r="C303" s="22"/>
      <c r="D303" s="22"/>
      <c r="E303" s="22"/>
      <c r="F303" s="22"/>
      <c r="G303" s="22"/>
      <c r="H303" s="22"/>
    </row>
    <row r="304" spans="1:8" s="21" customFormat="1" x14ac:dyDescent="0.45">
      <c r="A304" s="22"/>
      <c r="B304" s="22"/>
      <c r="C304" s="22"/>
      <c r="D304" s="22"/>
      <c r="E304" s="22"/>
      <c r="F304" s="22"/>
      <c r="G304" s="22"/>
      <c r="H304" s="22"/>
    </row>
    <row r="305" spans="1:8" s="21" customFormat="1" x14ac:dyDescent="0.45">
      <c r="A305" s="22"/>
      <c r="B305" s="22"/>
      <c r="C305" s="22"/>
      <c r="D305" s="22"/>
      <c r="E305" s="22"/>
      <c r="F305" s="22"/>
      <c r="G305" s="22"/>
      <c r="H305" s="22"/>
    </row>
    <row r="306" spans="1:8" s="21" customFormat="1" x14ac:dyDescent="0.45">
      <c r="A306" s="22"/>
      <c r="B306" s="22"/>
      <c r="C306" s="22"/>
      <c r="D306" s="22"/>
      <c r="E306" s="22"/>
      <c r="F306" s="22"/>
      <c r="G306" s="22"/>
      <c r="H306" s="22"/>
    </row>
    <row r="307" spans="1:8" s="21" customFormat="1" x14ac:dyDescent="0.45">
      <c r="A307" s="22"/>
      <c r="B307" s="22"/>
      <c r="C307" s="22"/>
      <c r="D307" s="22"/>
      <c r="E307" s="22"/>
      <c r="F307" s="22"/>
      <c r="G307" s="22"/>
      <c r="H307" s="22"/>
    </row>
    <row r="308" spans="1:8" s="21" customFormat="1" ht="71.25" customHeight="1" x14ac:dyDescent="0.45">
      <c r="A308" s="22"/>
      <c r="B308" s="22"/>
      <c r="C308" s="22"/>
      <c r="D308" s="22"/>
      <c r="E308" s="22"/>
      <c r="F308" s="22"/>
      <c r="G308" s="22"/>
      <c r="H308" s="22"/>
    </row>
    <row r="309" spans="1:8" s="21" customFormat="1" x14ac:dyDescent="0.45">
      <c r="A309" s="22"/>
      <c r="B309" s="22"/>
      <c r="C309" s="22"/>
      <c r="D309" s="22"/>
      <c r="E309" s="22"/>
      <c r="F309" s="22"/>
      <c r="G309" s="22"/>
      <c r="H309" s="22"/>
    </row>
    <row r="310" spans="1:8" s="21" customFormat="1" x14ac:dyDescent="0.45">
      <c r="A310" s="22"/>
      <c r="B310" s="22"/>
      <c r="C310" s="22"/>
      <c r="D310" s="22"/>
      <c r="E310" s="22"/>
      <c r="F310" s="22"/>
      <c r="G310" s="22"/>
      <c r="H310" s="22"/>
    </row>
    <row r="311" spans="1:8" s="21" customFormat="1" x14ac:dyDescent="0.45">
      <c r="A311" s="22"/>
      <c r="B311" s="22"/>
      <c r="C311" s="22"/>
      <c r="D311" s="22"/>
      <c r="E311" s="22"/>
      <c r="F311" s="22"/>
      <c r="G311" s="22"/>
      <c r="H311" s="22"/>
    </row>
    <row r="312" spans="1:8" s="21" customFormat="1" x14ac:dyDescent="0.45">
      <c r="A312" s="22"/>
      <c r="B312" s="22"/>
      <c r="C312" s="22"/>
      <c r="D312" s="22"/>
      <c r="E312" s="22"/>
      <c r="F312" s="22"/>
      <c r="G312" s="22"/>
      <c r="H312" s="22"/>
    </row>
    <row r="313" spans="1:8" s="21" customFormat="1" x14ac:dyDescent="0.45">
      <c r="A313" s="22"/>
      <c r="B313" s="22"/>
      <c r="C313" s="22"/>
      <c r="D313" s="22"/>
      <c r="E313" s="22"/>
      <c r="F313" s="22"/>
      <c r="G313" s="22"/>
      <c r="H313" s="22"/>
    </row>
    <row r="314" spans="1:8" s="21" customFormat="1" ht="72.75" customHeight="1" x14ac:dyDescent="0.45">
      <c r="A314" s="22"/>
      <c r="B314" s="22"/>
      <c r="C314" s="22"/>
      <c r="D314" s="22"/>
      <c r="E314" s="22"/>
      <c r="F314" s="22"/>
      <c r="G314" s="22"/>
      <c r="H314" s="22"/>
    </row>
    <row r="315" spans="1:8" s="21" customFormat="1" x14ac:dyDescent="0.45">
      <c r="A315" s="22"/>
      <c r="B315" s="22"/>
      <c r="C315" s="22"/>
      <c r="D315" s="22"/>
      <c r="E315" s="22"/>
      <c r="F315" s="22"/>
      <c r="G315" s="22"/>
      <c r="H315" s="22"/>
    </row>
    <row r="316" spans="1:8" s="21" customFormat="1" ht="69.75" customHeight="1" x14ac:dyDescent="0.45">
      <c r="A316" s="22"/>
      <c r="B316" s="22"/>
      <c r="C316" s="22"/>
      <c r="D316" s="22"/>
      <c r="E316" s="22"/>
      <c r="F316" s="22"/>
      <c r="G316" s="22"/>
      <c r="H316" s="22"/>
    </row>
    <row r="317" spans="1:8" s="21" customFormat="1" x14ac:dyDescent="0.45">
      <c r="A317" s="22"/>
      <c r="B317" s="22"/>
      <c r="C317" s="22"/>
      <c r="D317" s="22"/>
      <c r="E317" s="22"/>
      <c r="F317" s="22"/>
      <c r="G317" s="22"/>
      <c r="H317" s="22"/>
    </row>
    <row r="318" spans="1:8" s="21" customFormat="1" x14ac:dyDescent="0.45">
      <c r="A318" s="22"/>
      <c r="B318" s="22"/>
      <c r="C318" s="22"/>
      <c r="D318" s="22"/>
      <c r="E318" s="22"/>
      <c r="F318" s="22"/>
      <c r="G318" s="22"/>
      <c r="H318" s="22"/>
    </row>
    <row r="319" spans="1:8" s="21" customFormat="1" x14ac:dyDescent="0.45">
      <c r="A319" s="22"/>
      <c r="B319" s="22"/>
      <c r="C319" s="22"/>
      <c r="D319" s="22"/>
      <c r="E319" s="22"/>
      <c r="F319" s="22"/>
      <c r="G319" s="22"/>
      <c r="H319" s="22"/>
    </row>
    <row r="320" spans="1:8" s="21" customFormat="1" x14ac:dyDescent="0.45">
      <c r="A320" s="22"/>
      <c r="B320" s="22"/>
      <c r="C320" s="22"/>
      <c r="D320" s="22"/>
      <c r="E320" s="22"/>
      <c r="F320" s="22"/>
      <c r="G320" s="22"/>
      <c r="H320" s="22"/>
    </row>
    <row r="321" spans="1:8" s="21" customFormat="1" x14ac:dyDescent="0.45">
      <c r="A321" s="22"/>
      <c r="B321" s="22"/>
      <c r="C321" s="22"/>
      <c r="D321" s="22"/>
      <c r="E321" s="22"/>
      <c r="F321" s="22"/>
      <c r="G321" s="22"/>
      <c r="H321" s="22"/>
    </row>
    <row r="322" spans="1:8" s="21" customFormat="1" x14ac:dyDescent="0.45">
      <c r="A322" s="22"/>
      <c r="B322" s="22"/>
      <c r="C322" s="22"/>
      <c r="D322" s="22"/>
      <c r="E322" s="22"/>
      <c r="F322" s="22"/>
      <c r="G322" s="22"/>
      <c r="H322" s="22"/>
    </row>
    <row r="323" spans="1:8" s="21" customFormat="1" x14ac:dyDescent="0.45">
      <c r="A323" s="22"/>
      <c r="B323" s="22"/>
      <c r="C323" s="22"/>
      <c r="D323" s="22"/>
      <c r="E323" s="22"/>
      <c r="F323" s="22"/>
      <c r="G323" s="22"/>
      <c r="H323" s="22"/>
    </row>
    <row r="324" spans="1:8" s="21" customFormat="1" x14ac:dyDescent="0.45">
      <c r="A324" s="22"/>
      <c r="B324" s="22"/>
      <c r="C324" s="22"/>
      <c r="D324" s="22"/>
      <c r="E324" s="22"/>
      <c r="F324" s="22"/>
      <c r="G324" s="22"/>
      <c r="H324" s="22"/>
    </row>
    <row r="325" spans="1:8" s="21" customFormat="1" x14ac:dyDescent="0.45">
      <c r="A325" s="22"/>
      <c r="B325" s="22"/>
      <c r="C325" s="22"/>
      <c r="D325" s="22"/>
      <c r="E325" s="22"/>
      <c r="F325" s="22"/>
      <c r="G325" s="22"/>
      <c r="H325" s="22"/>
    </row>
    <row r="326" spans="1:8" s="21" customFormat="1" x14ac:dyDescent="0.45">
      <c r="A326" s="22"/>
      <c r="B326" s="22"/>
      <c r="C326" s="22"/>
      <c r="D326" s="22"/>
      <c r="E326" s="22"/>
      <c r="F326" s="22"/>
      <c r="G326" s="22"/>
      <c r="H326" s="22"/>
    </row>
    <row r="327" spans="1:8" s="21" customFormat="1" x14ac:dyDescent="0.45">
      <c r="A327" s="22"/>
      <c r="B327" s="22"/>
      <c r="C327" s="22"/>
      <c r="D327" s="22"/>
      <c r="E327" s="22"/>
      <c r="F327" s="22"/>
      <c r="G327" s="22"/>
      <c r="H327" s="22"/>
    </row>
    <row r="328" spans="1:8" s="21" customFormat="1" x14ac:dyDescent="0.45">
      <c r="A328" s="22"/>
      <c r="B328" s="22"/>
      <c r="C328" s="22"/>
      <c r="D328" s="22"/>
      <c r="E328" s="22"/>
      <c r="F328" s="22"/>
      <c r="G328" s="22"/>
      <c r="H328" s="22"/>
    </row>
    <row r="329" spans="1:8" s="21" customFormat="1" x14ac:dyDescent="0.45">
      <c r="A329" s="22"/>
      <c r="B329" s="22"/>
      <c r="C329" s="22"/>
      <c r="D329" s="22"/>
      <c r="E329" s="22"/>
      <c r="F329" s="22"/>
      <c r="G329" s="22"/>
      <c r="H329" s="22"/>
    </row>
    <row r="330" spans="1:8" s="21" customFormat="1" x14ac:dyDescent="0.45">
      <c r="A330" s="22"/>
      <c r="B330" s="22"/>
      <c r="C330" s="22"/>
      <c r="D330" s="22"/>
      <c r="E330" s="22"/>
      <c r="F330" s="22"/>
      <c r="G330" s="22"/>
      <c r="H330" s="22"/>
    </row>
    <row r="331" spans="1:8" s="21" customFormat="1" x14ac:dyDescent="0.45">
      <c r="A331" s="22"/>
      <c r="B331" s="22"/>
      <c r="C331" s="22"/>
      <c r="D331" s="22"/>
      <c r="E331" s="22"/>
      <c r="F331" s="22"/>
      <c r="G331" s="22"/>
      <c r="H331" s="22"/>
    </row>
    <row r="332" spans="1:8" s="21" customFormat="1" ht="71.25" customHeight="1" x14ac:dyDescent="0.45">
      <c r="A332" s="22"/>
      <c r="B332" s="22"/>
      <c r="C332" s="22"/>
      <c r="D332" s="22"/>
      <c r="E332" s="22"/>
      <c r="F332" s="22"/>
      <c r="G332" s="22"/>
      <c r="H332" s="22"/>
    </row>
    <row r="333" spans="1:8" s="21" customFormat="1" x14ac:dyDescent="0.45">
      <c r="A333" s="22"/>
      <c r="B333" s="22"/>
      <c r="C333" s="22"/>
      <c r="D333" s="22"/>
      <c r="E333" s="22"/>
      <c r="F333" s="22"/>
      <c r="G333" s="22"/>
      <c r="H333" s="22"/>
    </row>
    <row r="334" spans="1:8" s="21" customFormat="1" x14ac:dyDescent="0.45">
      <c r="A334" s="22"/>
      <c r="B334" s="22"/>
      <c r="C334" s="22"/>
      <c r="D334" s="22"/>
      <c r="E334" s="22"/>
      <c r="F334" s="22"/>
      <c r="G334" s="22"/>
      <c r="H334" s="22"/>
    </row>
    <row r="335" spans="1:8" s="21" customFormat="1" x14ac:dyDescent="0.45">
      <c r="A335" s="22"/>
      <c r="B335" s="22"/>
      <c r="C335" s="22"/>
      <c r="D335" s="22"/>
      <c r="E335" s="22"/>
      <c r="F335" s="22"/>
      <c r="G335" s="22"/>
      <c r="H335" s="22"/>
    </row>
    <row r="336" spans="1:8" s="21" customFormat="1" x14ac:dyDescent="0.45">
      <c r="A336" s="22"/>
      <c r="B336" s="22"/>
      <c r="C336" s="22"/>
      <c r="D336" s="22"/>
      <c r="E336" s="22"/>
      <c r="F336" s="22"/>
      <c r="G336" s="22"/>
      <c r="H336" s="22"/>
    </row>
    <row r="337" spans="1:8" s="21" customFormat="1" x14ac:dyDescent="0.45">
      <c r="A337" s="22"/>
      <c r="B337" s="22"/>
      <c r="C337" s="22"/>
      <c r="D337" s="22"/>
      <c r="E337" s="22"/>
      <c r="F337" s="22"/>
      <c r="G337" s="22"/>
      <c r="H337" s="22"/>
    </row>
    <row r="338" spans="1:8" s="21" customFormat="1" x14ac:dyDescent="0.45">
      <c r="A338" s="22"/>
      <c r="B338" s="22"/>
      <c r="C338" s="22"/>
      <c r="D338" s="22"/>
      <c r="E338" s="22"/>
      <c r="F338" s="22"/>
      <c r="G338" s="22"/>
      <c r="H338" s="22"/>
    </row>
    <row r="339" spans="1:8" s="21" customFormat="1" x14ac:dyDescent="0.45">
      <c r="A339" s="22"/>
      <c r="B339" s="22"/>
      <c r="C339" s="22"/>
      <c r="D339" s="22"/>
      <c r="E339" s="22"/>
      <c r="F339" s="22"/>
      <c r="G339" s="22"/>
      <c r="H339" s="22"/>
    </row>
    <row r="340" spans="1:8" s="21" customFormat="1" x14ac:dyDescent="0.45">
      <c r="A340" s="22"/>
      <c r="B340" s="22"/>
      <c r="C340" s="22"/>
      <c r="D340" s="22"/>
      <c r="E340" s="22"/>
      <c r="F340" s="22"/>
      <c r="G340" s="22"/>
      <c r="H340" s="22"/>
    </row>
    <row r="341" spans="1:8" s="21" customFormat="1" x14ac:dyDescent="0.45">
      <c r="A341" s="22"/>
      <c r="B341" s="22"/>
      <c r="C341" s="22"/>
      <c r="D341" s="22"/>
      <c r="E341" s="22"/>
      <c r="F341" s="22"/>
      <c r="G341" s="22"/>
      <c r="H341" s="22"/>
    </row>
    <row r="342" spans="1:8" s="21" customFormat="1" x14ac:dyDescent="0.45">
      <c r="A342" s="22"/>
      <c r="B342" s="22"/>
      <c r="C342" s="22"/>
      <c r="D342" s="22"/>
      <c r="E342" s="22"/>
      <c r="F342" s="22"/>
      <c r="G342" s="22"/>
      <c r="H342" s="22"/>
    </row>
    <row r="343" spans="1:8" s="21" customFormat="1" x14ac:dyDescent="0.45">
      <c r="A343" s="22"/>
      <c r="B343" s="22"/>
      <c r="C343" s="22"/>
      <c r="D343" s="22"/>
      <c r="E343" s="22"/>
      <c r="F343" s="22"/>
      <c r="G343" s="22"/>
      <c r="H343" s="22"/>
    </row>
    <row r="344" spans="1:8" s="21" customFormat="1" x14ac:dyDescent="0.45">
      <c r="A344" s="22"/>
      <c r="B344" s="22"/>
      <c r="C344" s="22"/>
      <c r="D344" s="22"/>
      <c r="E344" s="22"/>
      <c r="F344" s="22"/>
      <c r="G344" s="22"/>
      <c r="H344" s="22"/>
    </row>
    <row r="345" spans="1:8" s="21" customFormat="1" x14ac:dyDescent="0.45">
      <c r="A345" s="22"/>
      <c r="B345" s="22"/>
      <c r="C345" s="22"/>
      <c r="D345" s="22"/>
      <c r="E345" s="22"/>
      <c r="F345" s="22"/>
      <c r="G345" s="22"/>
      <c r="H345" s="22"/>
    </row>
    <row r="346" spans="1:8" s="21" customFormat="1" x14ac:dyDescent="0.45">
      <c r="A346" s="22"/>
      <c r="B346" s="22"/>
      <c r="C346" s="22"/>
      <c r="D346" s="22"/>
      <c r="E346" s="22"/>
      <c r="F346" s="22"/>
      <c r="G346" s="22"/>
      <c r="H346" s="22"/>
    </row>
    <row r="347" spans="1:8" s="21" customFormat="1" x14ac:dyDescent="0.45">
      <c r="A347" s="22"/>
      <c r="B347" s="22"/>
      <c r="C347" s="22"/>
      <c r="D347" s="22"/>
      <c r="E347" s="22"/>
      <c r="F347" s="22"/>
      <c r="G347" s="22"/>
      <c r="H347" s="22"/>
    </row>
    <row r="348" spans="1:8" s="21" customFormat="1" x14ac:dyDescent="0.45">
      <c r="A348" s="22"/>
      <c r="B348" s="22"/>
      <c r="C348" s="22"/>
      <c r="D348" s="22"/>
      <c r="E348" s="22"/>
      <c r="F348" s="22"/>
      <c r="G348" s="22"/>
      <c r="H348" s="22"/>
    </row>
    <row r="349" spans="1:8" s="21" customFormat="1" x14ac:dyDescent="0.45">
      <c r="A349" s="22"/>
      <c r="B349" s="22"/>
      <c r="C349" s="22"/>
      <c r="D349" s="22"/>
      <c r="E349" s="22"/>
      <c r="F349" s="22"/>
      <c r="G349" s="22"/>
      <c r="H349" s="22"/>
    </row>
    <row r="350" spans="1:8" s="21" customFormat="1" x14ac:dyDescent="0.45">
      <c r="A350" s="22"/>
      <c r="B350" s="22"/>
      <c r="C350" s="22"/>
      <c r="D350" s="22"/>
      <c r="E350" s="22"/>
      <c r="F350" s="22"/>
      <c r="G350" s="22"/>
      <c r="H350" s="22"/>
    </row>
    <row r="351" spans="1:8" s="21" customFormat="1" x14ac:dyDescent="0.45">
      <c r="A351" s="22"/>
      <c r="B351" s="22"/>
      <c r="C351" s="22"/>
      <c r="D351" s="22"/>
      <c r="E351" s="22"/>
      <c r="F351" s="22"/>
      <c r="G351" s="22"/>
      <c r="H351" s="22"/>
    </row>
    <row r="352" spans="1:8" s="21" customFormat="1" x14ac:dyDescent="0.45">
      <c r="A352" s="22"/>
      <c r="B352" s="22"/>
      <c r="C352" s="22"/>
      <c r="D352" s="22"/>
      <c r="E352" s="22"/>
      <c r="F352" s="22"/>
      <c r="G352" s="22"/>
      <c r="H352" s="22"/>
    </row>
    <row r="353" spans="1:8" s="21" customFormat="1" x14ac:dyDescent="0.45">
      <c r="A353" s="22"/>
      <c r="B353" s="22"/>
      <c r="C353" s="22"/>
      <c r="D353" s="22"/>
      <c r="E353" s="22"/>
      <c r="F353" s="22"/>
      <c r="G353" s="22"/>
      <c r="H353" s="22"/>
    </row>
    <row r="354" spans="1:8" s="21" customFormat="1" x14ac:dyDescent="0.45">
      <c r="A354" s="22"/>
      <c r="B354" s="22"/>
      <c r="C354" s="22"/>
      <c r="D354" s="22"/>
      <c r="E354" s="22"/>
      <c r="F354" s="22"/>
      <c r="G354" s="22"/>
      <c r="H354" s="22"/>
    </row>
    <row r="355" spans="1:8" s="21" customFormat="1" x14ac:dyDescent="0.45">
      <c r="A355" s="22"/>
      <c r="B355" s="22"/>
      <c r="C355" s="22"/>
      <c r="D355" s="22"/>
      <c r="E355" s="22"/>
      <c r="F355" s="22"/>
      <c r="G355" s="22"/>
      <c r="H355" s="22"/>
    </row>
    <row r="356" spans="1:8" s="21" customFormat="1" x14ac:dyDescent="0.45">
      <c r="A356" s="22"/>
      <c r="B356" s="22"/>
      <c r="C356" s="22"/>
      <c r="D356" s="22"/>
      <c r="E356" s="22"/>
      <c r="F356" s="22"/>
      <c r="G356" s="22"/>
      <c r="H356" s="22"/>
    </row>
    <row r="357" spans="1:8" s="21" customFormat="1" x14ac:dyDescent="0.45">
      <c r="A357" s="22"/>
      <c r="B357" s="22"/>
      <c r="C357" s="22"/>
      <c r="D357" s="22"/>
      <c r="E357" s="22"/>
      <c r="F357" s="22"/>
      <c r="G357" s="22"/>
      <c r="H357" s="22"/>
    </row>
    <row r="358" spans="1:8" s="21" customFormat="1" x14ac:dyDescent="0.45">
      <c r="A358" s="22"/>
      <c r="B358" s="22"/>
      <c r="C358" s="22"/>
      <c r="D358" s="22"/>
      <c r="E358" s="22"/>
      <c r="F358" s="22"/>
      <c r="G358" s="22"/>
      <c r="H358" s="22"/>
    </row>
    <row r="359" spans="1:8" s="21" customFormat="1" x14ac:dyDescent="0.45">
      <c r="A359" s="22"/>
      <c r="B359" s="22"/>
      <c r="C359" s="22"/>
      <c r="D359" s="22"/>
      <c r="E359" s="22"/>
      <c r="F359" s="22"/>
      <c r="G359" s="22"/>
      <c r="H359" s="22"/>
    </row>
    <row r="360" spans="1:8" s="21" customFormat="1" x14ac:dyDescent="0.45">
      <c r="A360" s="22"/>
      <c r="B360" s="22"/>
      <c r="C360" s="22"/>
      <c r="D360" s="22"/>
      <c r="E360" s="22"/>
      <c r="F360" s="22"/>
      <c r="G360" s="22"/>
      <c r="H360" s="22"/>
    </row>
    <row r="361" spans="1:8" s="21" customFormat="1" x14ac:dyDescent="0.45">
      <c r="A361" s="22"/>
      <c r="B361" s="22"/>
      <c r="C361" s="22"/>
      <c r="D361" s="22"/>
      <c r="E361" s="22"/>
      <c r="F361" s="22"/>
      <c r="G361" s="22"/>
      <c r="H361" s="22"/>
    </row>
    <row r="362" spans="1:8" s="21" customFormat="1" x14ac:dyDescent="0.45">
      <c r="A362" s="22"/>
      <c r="B362" s="22"/>
      <c r="C362" s="22"/>
      <c r="D362" s="22"/>
      <c r="E362" s="22"/>
      <c r="F362" s="22"/>
      <c r="G362" s="22"/>
      <c r="H362" s="22"/>
    </row>
    <row r="363" spans="1:8" s="21" customFormat="1" x14ac:dyDescent="0.45">
      <c r="A363" s="22"/>
      <c r="B363" s="22"/>
      <c r="C363" s="22"/>
      <c r="D363" s="22"/>
      <c r="E363" s="22"/>
      <c r="F363" s="22"/>
      <c r="G363" s="22"/>
      <c r="H363" s="22"/>
    </row>
    <row r="364" spans="1:8" s="21" customFormat="1" x14ac:dyDescent="0.45">
      <c r="A364" s="22"/>
      <c r="B364" s="22"/>
      <c r="C364" s="22"/>
      <c r="D364" s="22"/>
      <c r="E364" s="22"/>
      <c r="F364" s="22"/>
      <c r="G364" s="22"/>
      <c r="H364" s="22"/>
    </row>
    <row r="365" spans="1:8" s="21" customFormat="1" x14ac:dyDescent="0.45">
      <c r="A365" s="22"/>
      <c r="B365" s="22"/>
      <c r="C365" s="22"/>
      <c r="D365" s="22"/>
      <c r="E365" s="22"/>
      <c r="F365" s="22"/>
      <c r="G365" s="22"/>
      <c r="H365" s="22"/>
    </row>
    <row r="366" spans="1:8" s="21" customFormat="1" x14ac:dyDescent="0.45">
      <c r="A366" s="22"/>
      <c r="B366" s="22"/>
      <c r="C366" s="22"/>
      <c r="D366" s="22"/>
      <c r="E366" s="22"/>
      <c r="F366" s="22"/>
      <c r="G366" s="22"/>
      <c r="H366" s="22"/>
    </row>
    <row r="367" spans="1:8" s="21" customFormat="1" x14ac:dyDescent="0.45">
      <c r="A367" s="22"/>
      <c r="B367" s="22"/>
      <c r="C367" s="22"/>
      <c r="D367" s="22"/>
      <c r="E367" s="22"/>
      <c r="F367" s="22"/>
      <c r="G367" s="22"/>
      <c r="H367" s="22"/>
    </row>
    <row r="368" spans="1:8" s="21" customFormat="1" x14ac:dyDescent="0.45">
      <c r="A368" s="22"/>
      <c r="B368" s="22"/>
      <c r="C368" s="22"/>
      <c r="D368" s="22"/>
      <c r="E368" s="22"/>
      <c r="F368" s="22"/>
      <c r="G368" s="22"/>
      <c r="H368" s="22"/>
    </row>
    <row r="369" spans="1:9" s="21" customFormat="1" x14ac:dyDescent="0.45">
      <c r="A369" s="22"/>
      <c r="B369" s="22"/>
      <c r="C369" s="22"/>
      <c r="D369" s="22"/>
      <c r="E369" s="22"/>
      <c r="F369" s="22"/>
      <c r="G369" s="22"/>
      <c r="H369" s="22"/>
    </row>
    <row r="370" spans="1:9" s="21" customFormat="1" x14ac:dyDescent="0.45">
      <c r="A370" s="22"/>
      <c r="B370" s="22"/>
      <c r="C370" s="22"/>
      <c r="D370" s="22"/>
      <c r="E370" s="22"/>
      <c r="F370" s="22"/>
      <c r="G370" s="22"/>
      <c r="H370" s="22"/>
    </row>
    <row r="371" spans="1:9" s="21" customFormat="1" x14ac:dyDescent="0.45">
      <c r="A371" s="22"/>
      <c r="B371" s="22"/>
      <c r="C371" s="22"/>
      <c r="D371" s="22"/>
      <c r="E371" s="22"/>
      <c r="F371" s="22"/>
      <c r="G371" s="22"/>
      <c r="H371" s="22"/>
    </row>
    <row r="372" spans="1:9" s="21" customFormat="1" x14ac:dyDescent="0.45">
      <c r="A372" s="22"/>
      <c r="B372" s="22"/>
      <c r="C372" s="22"/>
      <c r="D372" s="22"/>
      <c r="E372" s="22"/>
      <c r="F372" s="22"/>
      <c r="G372" s="22"/>
      <c r="H372" s="22"/>
    </row>
    <row r="373" spans="1:9" s="21" customFormat="1" x14ac:dyDescent="0.45">
      <c r="A373" s="22"/>
      <c r="B373" s="22"/>
      <c r="C373" s="22"/>
      <c r="D373" s="22"/>
      <c r="E373" s="22"/>
      <c r="F373" s="22"/>
      <c r="G373" s="22"/>
      <c r="H373" s="22"/>
    </row>
    <row r="374" spans="1:9" s="21" customFormat="1" x14ac:dyDescent="0.45">
      <c r="A374" s="22"/>
      <c r="B374" s="22"/>
      <c r="C374" s="22"/>
      <c r="D374" s="22"/>
      <c r="E374" s="22"/>
      <c r="F374" s="22"/>
      <c r="G374" s="22"/>
      <c r="H374" s="22"/>
    </row>
    <row r="375" spans="1:9" s="21" customFormat="1" x14ac:dyDescent="0.45">
      <c r="A375" s="22"/>
      <c r="B375" s="22"/>
      <c r="C375" s="22"/>
      <c r="D375" s="22"/>
      <c r="E375" s="22"/>
      <c r="F375" s="22"/>
      <c r="G375" s="22"/>
      <c r="H375" s="22"/>
    </row>
    <row r="376" spans="1:9" s="21" customFormat="1" x14ac:dyDescent="0.45">
      <c r="A376" s="22"/>
      <c r="B376" s="22"/>
      <c r="C376" s="22"/>
      <c r="D376" s="22"/>
      <c r="E376" s="22"/>
      <c r="F376" s="22"/>
      <c r="G376" s="22"/>
      <c r="H376" s="22"/>
    </row>
    <row r="377" spans="1:9" s="21" customFormat="1" x14ac:dyDescent="0.45">
      <c r="A377" s="22"/>
      <c r="B377" s="22"/>
      <c r="C377" s="22"/>
      <c r="D377" s="22"/>
      <c r="E377" s="22"/>
      <c r="F377" s="22"/>
      <c r="G377" s="22"/>
      <c r="H377" s="22"/>
    </row>
    <row r="378" spans="1:9" s="21" customFormat="1" x14ac:dyDescent="0.45">
      <c r="A378" s="22"/>
      <c r="B378" s="22"/>
      <c r="C378" s="22"/>
      <c r="D378" s="22"/>
      <c r="E378" s="22"/>
      <c r="F378" s="22"/>
      <c r="G378" s="22"/>
      <c r="H378" s="22"/>
    </row>
    <row r="379" spans="1:9" s="21" customFormat="1" x14ac:dyDescent="0.45">
      <c r="A379" s="22"/>
      <c r="B379" s="22"/>
      <c r="C379" s="22"/>
      <c r="D379" s="22"/>
      <c r="E379" s="22"/>
      <c r="F379" s="22"/>
      <c r="G379" s="22"/>
      <c r="H379" s="22"/>
    </row>
    <row r="380" spans="1:9" s="21" customFormat="1" x14ac:dyDescent="0.45">
      <c r="A380" s="22"/>
      <c r="B380" s="22"/>
      <c r="C380" s="22"/>
      <c r="D380" s="22"/>
      <c r="E380" s="22"/>
      <c r="F380" s="22"/>
      <c r="G380" s="22"/>
      <c r="H380" s="22"/>
    </row>
    <row r="381" spans="1:9" s="21" customFormat="1" x14ac:dyDescent="0.45">
      <c r="A381" s="22"/>
      <c r="B381" s="22"/>
      <c r="C381" s="22"/>
      <c r="D381" s="22"/>
      <c r="E381" s="22"/>
      <c r="F381" s="22"/>
      <c r="G381" s="22"/>
      <c r="H381" s="22"/>
    </row>
    <row r="382" spans="1:9" x14ac:dyDescent="0.45">
      <c r="I382" s="21"/>
    </row>
    <row r="383" spans="1:9" x14ac:dyDescent="0.45">
      <c r="I383" s="21"/>
    </row>
    <row r="384" spans="1:9" x14ac:dyDescent="0.45">
      <c r="I384" s="21"/>
    </row>
    <row r="385" spans="9:9" x14ac:dyDescent="0.45">
      <c r="I385" s="21"/>
    </row>
    <row r="386" spans="9:9" x14ac:dyDescent="0.45">
      <c r="I386" s="21"/>
    </row>
    <row r="387" spans="9:9" x14ac:dyDescent="0.45">
      <c r="I387" s="21"/>
    </row>
    <row r="388" spans="9:9" x14ac:dyDescent="0.45">
      <c r="I388" s="21"/>
    </row>
    <row r="389" spans="9:9" x14ac:dyDescent="0.45">
      <c r="I389" s="21"/>
    </row>
    <row r="390" spans="9:9" x14ac:dyDescent="0.45">
      <c r="I390" s="21"/>
    </row>
    <row r="391" spans="9:9" x14ac:dyDescent="0.45">
      <c r="I391" s="21"/>
    </row>
    <row r="392" spans="9:9" x14ac:dyDescent="0.45">
      <c r="I392" s="21"/>
    </row>
  </sheetData>
  <mergeCells count="8">
    <mergeCell ref="A14:B14"/>
    <mergeCell ref="C14:D14"/>
    <mergeCell ref="A15:C15"/>
    <mergeCell ref="D10:E10"/>
    <mergeCell ref="A12:B12"/>
    <mergeCell ref="C12:D12"/>
    <mergeCell ref="A13:B13"/>
    <mergeCell ref="C13:D13"/>
  </mergeCells>
  <phoneticPr fontId="36" type="noConversion"/>
  <pageMargins left="0.70833333333333304" right="0.70833333333333304" top="0.74791666666666701" bottom="0.74791666666666701" header="0.511811023622047" footer="0.31527777777777799"/>
  <pageSetup scale="45" orientation="landscape" horizontalDpi="300" verticalDpi="300" r:id="rId1"/>
  <headerFooter>
    <oddFooter>&amp;R&amp;"Montserrat,Normal"&amp;10Página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C35F-85A9-4355-86E3-34E0D9D4F88B}">
  <dimension ref="C19:H513"/>
  <sheetViews>
    <sheetView topLeftCell="A39" zoomScale="85" zoomScaleNormal="85" workbookViewId="0">
      <selection activeCell="D19" sqref="D19"/>
    </sheetView>
  </sheetViews>
  <sheetFormatPr baseColWidth="10" defaultRowHeight="14.5" x14ac:dyDescent="0.35"/>
  <cols>
    <col min="4" max="4" width="25.54296875" customWidth="1"/>
    <col min="5" max="5" width="7.7265625" customWidth="1"/>
    <col min="6" max="6" width="73.54296875" customWidth="1"/>
    <col min="7" max="7" width="82.453125" customWidth="1"/>
  </cols>
  <sheetData>
    <row r="19" spans="3:8" x14ac:dyDescent="0.35">
      <c r="C19" t="s">
        <v>296</v>
      </c>
      <c r="D19" s="77" t="str">
        <f>IF('Casos de Prueba'!B19&lt;&gt;0,'Casos de Prueba'!B19&amp;"-"&amp;_xlfn.SINGLE('Casos de Prueba'!C19),"")</f>
        <v>CP01-Busqueda/Folio Fiscal</v>
      </c>
      <c r="E19" s="77" t="str">
        <f>IF(LEN($D19)&gt;0,"",'Casos de Prueba'!D19)</f>
        <v/>
      </c>
      <c r="F19" s="77" t="str">
        <f>IF(LEN($C19)&gt;0,"",'Casos de Prueba'!E19)</f>
        <v/>
      </c>
      <c r="G19" s="77" t="str">
        <f>IF(LEN($C19)&gt;0,"",'Casos de Prueba'!F19)</f>
        <v/>
      </c>
      <c r="H19" s="77" t="str">
        <f>IF(LEN($C19)&gt;0,"",'Casos de Prueba'!G19&amp;CHAR(10)&amp;'Casos de Prueba'!H19)</f>
        <v/>
      </c>
    </row>
    <row r="20" spans="3:8" ht="13" customHeight="1" x14ac:dyDescent="0.35">
      <c r="D20" s="77" t="str">
        <f>IF('Casos de Prueba'!B20&lt;&gt;0,'Casos de Prueba'!B20&amp;"-"&amp;_xlfn.SINGLE('Casos de Prueba'!C20),"")</f>
        <v/>
      </c>
      <c r="E20" s="77">
        <f>IF(LEN($C20)&gt;0,"",'Casos de Prueba'!D20)</f>
        <v>1</v>
      </c>
      <c r="F20" s="77" t="str">
        <f>IF(LEN($C20)&gt;0,"",'Casos de Prueba'!E20)</f>
        <v>Usuario ingresa al Portal Empleados Consulta Central</v>
      </c>
      <c r="G20" s="77" t="str">
        <f>IF(LEN($C20)&gt;0,"",'Casos de Prueba'!F20&amp;CHAR(10)&amp;'Casos de Prueba'!G20)</f>
        <v>El sistema muestra las siguientes opciones de búsqueda:
- Folio Fiscal
- Masiva UUID
- Fecha Inicial y Final de Emisión
El Usuario previamente se autenticó  y accedió al portal Empleados-Consulta Central</v>
      </c>
      <c r="H20">
        <f>+LEN(G20)</f>
        <v>204</v>
      </c>
    </row>
    <row r="21" spans="3:8" x14ac:dyDescent="0.35">
      <c r="D21" s="77" t="str">
        <f>IF('Casos de Prueba'!B21&lt;&gt;0,'Casos de Prueba'!B21&amp;"-"&amp;_xlfn.SINGLE('Casos de Prueba'!C21),"")</f>
        <v/>
      </c>
      <c r="E21" s="77">
        <f>IF(LEN($D21)&gt;0,"",'Casos de Prueba'!D21)</f>
        <v>2</v>
      </c>
      <c r="F21" s="77" t="str">
        <f>IF(LEN($C21)&gt;0,"",'Casos de Prueba'!E21)</f>
        <v>Selecciona la opción Folio Fiscal</v>
      </c>
      <c r="G21" s="77" t="str">
        <f>IF(LEN($C21)&gt;0,"",'Casos de Prueba'!F21&amp;CHAR(10)&amp;'Casos de Prueba'!G21)</f>
        <v xml:space="preserve">El sistema muestra cuadro de texto para incorporar el número de Folio Fiscal que se requiere buscar.
Al seleccionar el botón de folio fiscal se deben deshabilitar los campos de la sección Fecha Inicial y Final de Emisión
(Aplica la Regla de Negocio 01) </v>
      </c>
      <c r="H21">
        <f t="shared" ref="H21:H84" si="0">+LEN(G21)</f>
        <v>254</v>
      </c>
    </row>
    <row r="22" spans="3:8" ht="13" customHeight="1" x14ac:dyDescent="0.35">
      <c r="D22" s="77" t="str">
        <f>IF('Casos de Prueba'!B22&lt;&gt;0,'Casos de Prueba'!B22&amp;"-"&amp;_xlfn.SINGLE('Casos de Prueba'!C22),"")</f>
        <v/>
      </c>
      <c r="E22" s="77">
        <f>IF(LEN($D22)&gt;0,"",'Casos de Prueba'!D22)</f>
        <v>3</v>
      </c>
      <c r="F22" s="77" t="str">
        <f>IF(LEN($C22)&gt;0,"",'Casos de Prueba'!E22)</f>
        <v xml:space="preserve">Ingresa los datos del Folio Fiscal </v>
      </c>
      <c r="G22" s="77" t="str">
        <f>IF(LEN($C22)&gt;0,"",'Casos de Prueba'!F22&amp;CHAR(10)&amp;'Casos de Prueba'!G22)</f>
        <v xml:space="preserve">El sistema muestra los datos que se van ingresando del folio fiscal
</v>
      </c>
      <c r="H22">
        <f t="shared" si="0"/>
        <v>69</v>
      </c>
    </row>
    <row r="23" spans="3:8" ht="19" customHeight="1" x14ac:dyDescent="0.35">
      <c r="D23" s="77" t="str">
        <f>IF('Casos de Prueba'!B23&lt;&gt;0,'Casos de Prueba'!B23&amp;"-"&amp;_xlfn.SINGLE('Casos de Prueba'!C23),"")</f>
        <v/>
      </c>
      <c r="E23" s="77">
        <f>IF(LEN($D23)&gt;0,"",'Casos de Prueba'!D23)</f>
        <v>4</v>
      </c>
      <c r="F23" s="77" t="str">
        <f>IF(LEN($C23)&gt;0,"",'Casos de Prueba'!E23)</f>
        <v>Da clic en el botón buscar CFDI</v>
      </c>
      <c r="G23" s="77" t="str">
        <f>IF(LEN($C23)&gt;0,"",'Casos de Prueba'!F23&amp;CHAR(10)&amp;'Casos de Prueba'!G23)</f>
        <v>Si la petición es correcta, el sistema muestra:
A.	Casilla Acciones 
1)	Seleccionar.
2)	Descargar.
3)	Recuperar Representación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Metadata.
2)	Exportar Resultados a PDF.
3)	Exportar Resultados a CSV.
El aplicativo debe realizar la búsqueda de todas las versiones del CFDI (3.2, 3.3 y 4.0), de acuerdo a los criterios de búsqueda seleccionados previamente.
En caso de no encontrar información ir al Caso de Prueba "Sin Resultados"
En una consulta por Folio fiscal o cuando se realice la c onsulta por periodo de fecha y el resultado sea uno: (Aplica la Regla de Negocio 15) 
*Descargar metadata
*Exportar Resultados a PDF
*Exportar Resultados a CSV</v>
      </c>
      <c r="H23">
        <f t="shared" si="0"/>
        <v>1201</v>
      </c>
    </row>
    <row r="24" spans="3:8" x14ac:dyDescent="0.35">
      <c r="D24" s="77" t="str">
        <f>IF('Casos de Prueba'!B24&lt;&gt;0,'Casos de Prueba'!B24&amp;"-"&amp;_xlfn.SINGLE('Casos de Prueba'!C24),"")</f>
        <v/>
      </c>
      <c r="E24" s="77">
        <f>IF(LEN($D24)&gt;0,"",'Casos de Prueba'!D24)</f>
        <v>5</v>
      </c>
      <c r="F24" s="77" t="str">
        <f>IF(LEN($C24)&gt;0,"",'Casos de Prueba'!E24)</f>
        <v>Da clic en cerrar sesión</v>
      </c>
      <c r="G24" s="77" t="str">
        <f>IF(LEN($C24)&gt;0,"",'Casos de Prueba'!F24&amp;CHAR(10)&amp;'Casos de Prueba'!G24)</f>
        <v xml:space="preserve">Cierra la aplicación y se direcciona a la pantalla de autenticación.
</v>
      </c>
      <c r="H24">
        <f t="shared" si="0"/>
        <v>69</v>
      </c>
    </row>
    <row r="25" spans="3:8" x14ac:dyDescent="0.35">
      <c r="D25" s="77" t="str">
        <f>IF('Casos de Prueba'!B25&lt;&gt;0,'Casos de Prueba'!B25&amp;"-"&amp;_xlfn.SINGLE('Casos de Prueba'!C25),"")</f>
        <v>CP02-Busqueda/RFC Emisor</v>
      </c>
      <c r="E25" s="77" t="str">
        <f>IF(LEN($D25)&gt;0,"",'Casos de Prueba'!D25)</f>
        <v/>
      </c>
      <c r="F25" s="77"/>
      <c r="G25" s="77" t="str">
        <f>IF(LEN($C25)&gt;0,"",'Casos de Prueba'!F25&amp;CHAR(10)&amp;'Casos de Prueba'!G25)</f>
        <v xml:space="preserve">
</v>
      </c>
      <c r="H25">
        <f t="shared" si="0"/>
        <v>1</v>
      </c>
    </row>
    <row r="26" spans="3:8" ht="21.5" customHeight="1" x14ac:dyDescent="0.35">
      <c r="D26" s="77" t="str">
        <f>IF('Casos de Prueba'!B26&lt;&gt;0,'Casos de Prueba'!B26&amp;"-"&amp;_xlfn.SINGLE('Casos de Prueba'!C26),"")</f>
        <v/>
      </c>
      <c r="E26" s="77">
        <f>IF(LEN($D26)&gt;0,"",'Casos de Prueba'!D26)</f>
        <v>1</v>
      </c>
      <c r="F26" s="77" t="str">
        <f>IF(LEN($C26)&gt;0,"",'Casos de Prueba'!E26)</f>
        <v>Usuario ingresa al Portal Empleados Consulta Central</v>
      </c>
      <c r="G26" s="77" t="str">
        <f>IF(LEN($C26)&gt;0,"",'Casos de Prueba'!F26&amp;CHAR(10)&amp;'Casos de Prueba'!G26)</f>
        <v>El sistema muestra las siguientes opciones de búsqueda:
- Folio Fiscal
- Masiva UUID
- Fecha Inicial y Final de Emisión
El Usuario previamente se autenticó  y accedió al portal Empleados-Consulta Central</v>
      </c>
      <c r="H26">
        <f t="shared" si="0"/>
        <v>204</v>
      </c>
    </row>
    <row r="27" spans="3:8" ht="31.5" customHeight="1" x14ac:dyDescent="0.35">
      <c r="D27" s="77" t="str">
        <f>IF('Casos de Prueba'!B27&lt;&gt;0,'Casos de Prueba'!B27&amp;"-"&amp;_xlfn.SINGLE('Casos de Prueba'!C27),"")</f>
        <v/>
      </c>
      <c r="E27" s="77">
        <f>IF(LEN($D27)&gt;0,"",'Casos de Prueba'!D27)</f>
        <v>2</v>
      </c>
      <c r="F27" s="77" t="str">
        <f>IF(LEN($C27)&gt;0,"",'Casos de Prueba'!E27)</f>
        <v>Selecciona la opción Fecha Inicial y Final de Emisión</v>
      </c>
      <c r="G27" s="77" t="str">
        <f>IF(LEN($C27)&gt;0,"",'Casos de Prueba'!F27&amp;CHAR(10)&amp;'Casos de Prueba'!G27)</f>
        <v xml:space="preserve">El sistema habilita los siguientes campos:
•	Fecha Inicial de Emisión (*).
•	Fecha Final de Emisión (*).
•	RFC Emisor.
•	RFC Receptor.
•	RFC a cuenta terceros.
•	Tipo de Comprobante.
•	Estado del Comprobante.
•	Tipo de Comprobante (Complemento) (RN17).
•	Estatus Cancelación (Campo condicional).
</v>
      </c>
      <c r="H27">
        <f t="shared" si="0"/>
        <v>296</v>
      </c>
    </row>
    <row r="28" spans="3:8" x14ac:dyDescent="0.35">
      <c r="D28" s="77" t="str">
        <f>IF('Casos de Prueba'!B28&lt;&gt;0,'Casos de Prueba'!B28&amp;"-"&amp;_xlfn.SINGLE('Casos de Prueba'!C28),"")</f>
        <v/>
      </c>
      <c r="E28" s="77">
        <f>IF(LEN($D28)&gt;0,"",'Casos de Prueba'!D28)</f>
        <v>3</v>
      </c>
      <c r="F28" s="77" t="str">
        <f>IF(LEN($C28)&gt;0,"",'Casos de Prueba'!E28)</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28" s="77" t="str">
        <f>IF(LEN($C28)&gt;0,"",'Casos de Prueba'!F28&amp;CHAR(10)&amp;'Casos de Prueba'!G28)</f>
        <v xml:space="preserve">El sistema muestra los datos que se van ingresando .
</v>
      </c>
      <c r="H28">
        <f t="shared" si="0"/>
        <v>53</v>
      </c>
    </row>
    <row r="29" spans="3:8" ht="16.5" customHeight="1" x14ac:dyDescent="0.35">
      <c r="D29" s="77" t="str">
        <f>IF('Casos de Prueba'!B29&lt;&gt;0,'Casos de Prueba'!B29&amp;"-"&amp;_xlfn.SINGLE('Casos de Prueba'!C29),"")</f>
        <v/>
      </c>
      <c r="E29" s="77">
        <f>IF(LEN($D29)&gt;0,"",'Casos de Prueba'!D29)</f>
        <v>4</v>
      </c>
      <c r="F29" s="77" t="str">
        <f>IF(LEN($C29)&gt;0,"",'Casos de Prueba'!E29)</f>
        <v>Da clic en el botón buscar CFDI</v>
      </c>
      <c r="G29" s="77" t="str">
        <f>IF(LEN($C29)&gt;0,"",'Casos de Prueba'!F29&amp;CHAR(10)&amp;'Casos de Prueba'!G29)</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*Descargar metadata
*Exportar Resultados a PDF
*Exportar Resultados a CSV</v>
      </c>
      <c r="H29">
        <f t="shared" si="0"/>
        <v>1031</v>
      </c>
    </row>
    <row r="30" spans="3:8" x14ac:dyDescent="0.35">
      <c r="D30" s="77" t="str">
        <f>IF('Casos de Prueba'!B30&lt;&gt;0,'Casos de Prueba'!B30&amp;"-"&amp;_xlfn.SINGLE('Casos de Prueba'!C30),"")</f>
        <v/>
      </c>
      <c r="E30" s="77">
        <f>IF(LEN($D30)&gt;0,"",'Casos de Prueba'!D30)</f>
        <v>5</v>
      </c>
      <c r="F30" s="77" t="str">
        <f>IF(LEN($C30)&gt;0,"",'Casos de Prueba'!E30)</f>
        <v>Da clic en cerrar sesión</v>
      </c>
      <c r="G30" s="77" t="str">
        <f>IF(LEN($C30)&gt;0,"",'Casos de Prueba'!F30&amp;CHAR(10)&amp;'Casos de Prueba'!G30)</f>
        <v xml:space="preserve">Cierra la aplicación y se direcciona a la pantalla de autenticación.
</v>
      </c>
      <c r="H30">
        <f t="shared" si="0"/>
        <v>69</v>
      </c>
    </row>
    <row r="31" spans="3:8" x14ac:dyDescent="0.35">
      <c r="D31" s="77" t="str">
        <f>IF('Casos de Prueba'!B31&lt;&gt;0,'Casos de Prueba'!B31&amp;"-"&amp;_xlfn.SINGLE('Casos de Prueba'!C31),"")</f>
        <v>CP03-Busqueda/RFC Receptor</v>
      </c>
      <c r="E31" s="77" t="str">
        <f>IF(LEN($D31)&gt;0,"",'Casos de Prueba'!D31)</f>
        <v/>
      </c>
      <c r="F31" s="77"/>
      <c r="G31" s="77" t="str">
        <f>IF(LEN($C31)&gt;0,"",'Casos de Prueba'!F31&amp;CHAR(10)&amp;'Casos de Prueba'!G31)</f>
        <v xml:space="preserve">
</v>
      </c>
      <c r="H31">
        <f t="shared" si="0"/>
        <v>1</v>
      </c>
    </row>
    <row r="32" spans="3:8" x14ac:dyDescent="0.35">
      <c r="D32" s="77" t="str">
        <f>IF('Casos de Prueba'!B32&lt;&gt;0,'Casos de Prueba'!B32&amp;"-"&amp;_xlfn.SINGLE('Casos de Prueba'!C32),"")</f>
        <v/>
      </c>
      <c r="E32" s="77">
        <f>IF(LEN($D32)&gt;0,"",'Casos de Prueba'!D32)</f>
        <v>1</v>
      </c>
      <c r="F32" s="77" t="str">
        <f>IF(LEN($C32)&gt;0,"",'Casos de Prueba'!E32)</f>
        <v>Usuario ingresa al Portal Empleados Consulta Central</v>
      </c>
      <c r="G32" s="77" t="str">
        <f>IF(LEN($C32)&gt;0,"",'Casos de Prueba'!F32&amp;CHAR(10)&amp;'Casos de Prueba'!G32)</f>
        <v>El sistema muestra las siguientes opciones de búsqueda:
- Folio Fiscal
- Masiva UUID
- Fecha Inicial y Final de Emisión
El Usuario previamente se autenticó  y accedió al portal Empleados-Consulta Central</v>
      </c>
      <c r="H32">
        <f t="shared" si="0"/>
        <v>204</v>
      </c>
    </row>
    <row r="33" spans="4:8" ht="23.5" customHeight="1" x14ac:dyDescent="0.35">
      <c r="D33" s="77" t="str">
        <f>IF('Casos de Prueba'!B33&lt;&gt;0,'Casos de Prueba'!B33&amp;"-"&amp;_xlfn.SINGLE('Casos de Prueba'!C33),"")</f>
        <v/>
      </c>
      <c r="E33" s="77">
        <f>IF(LEN($D33)&gt;0,"",'Casos de Prueba'!D33)</f>
        <v>2</v>
      </c>
      <c r="F33" s="77" t="str">
        <f>IF(LEN($C33)&gt;0,"",'Casos de Prueba'!E33)</f>
        <v>Selecciona la opción Fecha Inicial y Final de Emisión</v>
      </c>
      <c r="G33" s="77" t="str">
        <f>IF(LEN($C33)&gt;0,"",'Casos de Prueba'!F33&amp;CHAR(10)&amp;'Casos de Prueba'!G33)</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33">
        <f t="shared" si="0"/>
        <v>299</v>
      </c>
    </row>
    <row r="34" spans="4:8" x14ac:dyDescent="0.35">
      <c r="D34" s="77" t="str">
        <f>IF('Casos de Prueba'!B34&lt;&gt;0,'Casos de Prueba'!B34&amp;"-"&amp;_xlfn.SINGLE('Casos de Prueba'!C34),"")</f>
        <v/>
      </c>
      <c r="E34" s="77">
        <f>IF(LEN($D34)&gt;0,"",'Casos de Prueba'!D34)</f>
        <v>3</v>
      </c>
      <c r="F34" s="77" t="str">
        <f>IF(LEN($C34)&gt;0,"",'Casos de Prueba'!E34)</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34" s="77" t="str">
        <f>IF(LEN($C34)&gt;0,"",'Casos de Prueba'!F34&amp;CHAR(10)&amp;'Casos de Prueba'!G34)</f>
        <v xml:space="preserve">El sistema muestra los datos que se van ingresando .
</v>
      </c>
      <c r="H34">
        <f t="shared" si="0"/>
        <v>53</v>
      </c>
    </row>
    <row r="35" spans="4:8" ht="16.5" customHeight="1" x14ac:dyDescent="0.35">
      <c r="D35" s="77" t="str">
        <f>IF('Casos de Prueba'!B35&lt;&gt;0,'Casos de Prueba'!B35&amp;"-"&amp;_xlfn.SINGLE('Casos de Prueba'!C35),"")</f>
        <v/>
      </c>
      <c r="E35" s="77">
        <f>IF(LEN($D35)&gt;0,"",'Casos de Prueba'!D35)</f>
        <v>4</v>
      </c>
      <c r="F35" s="77" t="str">
        <f>IF(LEN($C35)&gt;0,"",'Casos de Prueba'!E35)</f>
        <v>Da clic en el botón buscar CFDI</v>
      </c>
      <c r="G35" s="77" t="str">
        <f>IF(LEN($C35)&gt;0,"",'Casos de Prueba'!F35&amp;CHAR(10)&amp;'Casos de Prueba'!G35)</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*Descargar metadata
*Exportar Resultados a PDF
*Exportar Resultados a CSV</v>
      </c>
      <c r="H35">
        <f t="shared" si="0"/>
        <v>1031</v>
      </c>
    </row>
    <row r="36" spans="4:8" x14ac:dyDescent="0.35">
      <c r="D36" s="77" t="str">
        <f>IF('Casos de Prueba'!B36&lt;&gt;0,'Casos de Prueba'!B36&amp;"-"&amp;_xlfn.SINGLE('Casos de Prueba'!C36),"")</f>
        <v/>
      </c>
      <c r="E36" s="77">
        <f>IF(LEN($D36)&gt;0,"",'Casos de Prueba'!D36)</f>
        <v>5</v>
      </c>
      <c r="F36" s="77" t="str">
        <f>IF(LEN($C36)&gt;0,"",'Casos de Prueba'!E36)</f>
        <v>Da clic en cerrar sesión</v>
      </c>
      <c r="G36" s="77" t="str">
        <f>IF(LEN($C36)&gt;0,"",'Casos de Prueba'!F36&amp;CHAR(10)&amp;'Casos de Prueba'!G36)</f>
        <v xml:space="preserve">Cierra la aplicación y se direcciona a la pantalla de autenticación.
</v>
      </c>
      <c r="H36">
        <f t="shared" si="0"/>
        <v>69</v>
      </c>
    </row>
    <row r="37" spans="4:8" x14ac:dyDescent="0.35">
      <c r="D37" s="77" t="str">
        <f>IF('Casos de Prueba'!B37&lt;&gt;0,'Casos de Prueba'!B37&amp;"-"&amp;_xlfn.SINGLE('Casos de Prueba'!C37),"")</f>
        <v>CP04-Busqueda/RFC Tercero</v>
      </c>
      <c r="E37" s="77" t="str">
        <f>IF(LEN($D37)&gt;0,"",'Casos de Prueba'!D37)</f>
        <v/>
      </c>
      <c r="F37" s="77"/>
      <c r="G37" s="77" t="str">
        <f>IF(LEN($C37)&gt;0,"",'Casos de Prueba'!F37&amp;CHAR(10)&amp;'Casos de Prueba'!G37)</f>
        <v xml:space="preserve">
</v>
      </c>
      <c r="H37">
        <f t="shared" si="0"/>
        <v>1</v>
      </c>
    </row>
    <row r="38" spans="4:8" x14ac:dyDescent="0.35">
      <c r="D38" s="77" t="str">
        <f>IF('Casos de Prueba'!B38&lt;&gt;0,'Casos de Prueba'!B38&amp;"-"&amp;_xlfn.SINGLE('Casos de Prueba'!C38),"")</f>
        <v/>
      </c>
      <c r="E38" s="77">
        <f>IF(LEN($D38)&gt;0,"",'Casos de Prueba'!D38)</f>
        <v>1</v>
      </c>
      <c r="F38" s="77" t="str">
        <f>IF(LEN($C38)&gt;0,"",'Casos de Prueba'!E38)</f>
        <v>Usuario ingresa al Portal Empleados Consulta Central</v>
      </c>
      <c r="G38" s="77" t="str">
        <f>IF(LEN($C38)&gt;0,"",'Casos de Prueba'!F38&amp;CHAR(10)&amp;'Casos de Prueba'!G38)</f>
        <v>El sistema muestra las siguientes opciones de búsqueda:
- Folio Fiscal
- Masiva UUID
- Fecha Inicial y Final de Emisión
El Usuario previamente se autenticó  y accedió al portal Empleados-Consulta Central</v>
      </c>
      <c r="H38">
        <f t="shared" si="0"/>
        <v>204</v>
      </c>
    </row>
    <row r="39" spans="4:8" ht="55.5" customHeight="1" x14ac:dyDescent="0.35">
      <c r="D39" s="77" t="str">
        <f>IF('Casos de Prueba'!B39&lt;&gt;0,'Casos de Prueba'!B39&amp;"-"&amp;_xlfn.SINGLE('Casos de Prueba'!C39),"")</f>
        <v/>
      </c>
      <c r="E39" s="77">
        <f>IF(LEN($D39)&gt;0,"",'Casos de Prueba'!D39)</f>
        <v>2</v>
      </c>
      <c r="F39" s="77" t="str">
        <f>IF(LEN($C39)&gt;0,"",'Casos de Prueba'!E39)</f>
        <v>Selecciona la opción Fecha Inicial y Final de Emisión</v>
      </c>
      <c r="G39" s="77" t="str">
        <f>IF(LEN($C39)&gt;0,"",'Casos de Prueba'!F39&amp;CHAR(10)&amp;'Casos de Prueba'!G39)</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39">
        <f t="shared" si="0"/>
        <v>299</v>
      </c>
    </row>
    <row r="40" spans="4:8" x14ac:dyDescent="0.35">
      <c r="D40" s="77" t="str">
        <f>IF('Casos de Prueba'!B40&lt;&gt;0,'Casos de Prueba'!B40&amp;"-"&amp;_xlfn.SINGLE('Casos de Prueba'!C40),"")</f>
        <v/>
      </c>
      <c r="E40" s="77">
        <f>IF(LEN($D40)&gt;0,"",'Casos de Prueba'!D40)</f>
        <v>3</v>
      </c>
      <c r="F40" s="77" t="str">
        <f>IF(LEN($C40)&gt;0,"",'Casos de Prueba'!E40)</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40" s="77" t="str">
        <f>IF(LEN($C40)&gt;0,"",'Casos de Prueba'!F40&amp;CHAR(10)&amp;'Casos de Prueba'!G40)</f>
        <v xml:space="preserve">El sistema muestra los datos que se van ingresando .
</v>
      </c>
      <c r="H40">
        <f t="shared" si="0"/>
        <v>53</v>
      </c>
    </row>
    <row r="41" spans="4:8" ht="41.5" customHeight="1" x14ac:dyDescent="0.35">
      <c r="D41" s="77" t="str">
        <f>IF('Casos de Prueba'!B41&lt;&gt;0,'Casos de Prueba'!B41&amp;"-"&amp;_xlfn.SINGLE('Casos de Prueba'!C41),"")</f>
        <v/>
      </c>
      <c r="E41" s="77">
        <f>IF(LEN($D41)&gt;0,"",'Casos de Prueba'!D41)</f>
        <v>4</v>
      </c>
      <c r="F41" s="77" t="str">
        <f>IF(LEN($C41)&gt;0,"",'Casos de Prueba'!E41)</f>
        <v>Da clic en el botón buscar CFDI</v>
      </c>
      <c r="G41" s="77" t="str">
        <f>IF(LEN($C41)&gt;0,"",'Casos de Prueba'!F41&amp;CHAR(10)&amp;'Casos de Prueba'!G41)</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*Descargar metadata
*Exportar Resultados a PDF
*Exportar Resultados a CSV</v>
      </c>
      <c r="H41">
        <f t="shared" si="0"/>
        <v>1031</v>
      </c>
    </row>
    <row r="42" spans="4:8" x14ac:dyDescent="0.35">
      <c r="D42" s="77" t="str">
        <f>IF('Casos de Prueba'!B42&lt;&gt;0,'Casos de Prueba'!B42&amp;"-"&amp;_xlfn.SINGLE('Casos de Prueba'!C42),"")</f>
        <v/>
      </c>
      <c r="E42" s="77">
        <f>IF(LEN($D42)&gt;0,"",'Casos de Prueba'!D42)</f>
        <v>5</v>
      </c>
      <c r="F42" s="77" t="str">
        <f>IF(LEN($C42)&gt;0,"",'Casos de Prueba'!E42)</f>
        <v>Da clic en cerrar sesión</v>
      </c>
      <c r="G42" s="77" t="str">
        <f>IF(LEN($C42)&gt;0,"",'Casos de Prueba'!F42&amp;CHAR(10)&amp;'Casos de Prueba'!G42)</f>
        <v xml:space="preserve">Cierra la aplicación y se direcciona a la pantalla de autenticación.
</v>
      </c>
      <c r="H42">
        <f t="shared" si="0"/>
        <v>69</v>
      </c>
    </row>
    <row r="43" spans="4:8" x14ac:dyDescent="0.35">
      <c r="D43" s="77" t="str">
        <f>IF('Casos de Prueba'!B43&lt;&gt;0,'Casos de Prueba'!B43&amp;"-"&amp;_xlfn.SINGLE('Casos de Prueba'!C43),"")</f>
        <v>CP05-Sin Resultados</v>
      </c>
      <c r="E43" s="77" t="str">
        <f>IF(LEN($D43)&gt;0,"",'Casos de Prueba'!D43)</f>
        <v/>
      </c>
      <c r="F43" s="77"/>
      <c r="G43" s="77" t="str">
        <f>IF(LEN($C43)&gt;0,"",'Casos de Prueba'!F43&amp;CHAR(10)&amp;'Casos de Prueba'!G43)</f>
        <v xml:space="preserve">
</v>
      </c>
      <c r="H43">
        <f t="shared" si="0"/>
        <v>1</v>
      </c>
    </row>
    <row r="44" spans="4:8" ht="44" customHeight="1" x14ac:dyDescent="0.35">
      <c r="D44" s="77" t="str">
        <f>IF('Casos de Prueba'!B44&lt;&gt;0,'Casos de Prueba'!B44&amp;"-"&amp;_xlfn.SINGLE('Casos de Prueba'!C44),"")</f>
        <v/>
      </c>
      <c r="E44" s="77">
        <f>IF(LEN($D44)&gt;0,"",'Casos de Prueba'!D44)</f>
        <v>1</v>
      </c>
      <c r="F44" s="77" t="str">
        <f>IF(LEN($C44)&gt;0,"",'Casos de Prueba'!E44)</f>
        <v>Da clic en el botón buscar</v>
      </c>
      <c r="G44" s="77" t="str">
        <f>IF(LEN($C44)&gt;0,"",'Casos de Prueba'!F44&amp;CHAR(10)&amp;'Casos de Prueba'!G44)</f>
        <v xml:space="preserve">En caso de que no se encuentre información con los parámetros de búsqueda ingresados, el sistema muestra el siguiente mensaje: “No existen registros que cumplan con los criterios de búsqueda ingresados, intentar nuevamente”
Viene de los Casos de Prueba: 
- CP01_ConsultaCentral_CFDI_Búsqueda/Folio Fiscal
- CP02_ConsultaCentral_CFDI_Búsqueda/RFCEmisor
- CP03_ConsultaCentral_CFDI_Búsqueda/RFCReceptor
- CP04_ConsultaCentral_CFDI_Búsqueda/RFCTercero
</v>
      </c>
      <c r="H44">
        <f t="shared" si="0"/>
        <v>449</v>
      </c>
    </row>
    <row r="45" spans="4:8" x14ac:dyDescent="0.35">
      <c r="D45" s="77" t="str">
        <f>IF('Casos de Prueba'!B45&lt;&gt;0,'Casos de Prueba'!B45&amp;"-"&amp;_xlfn.SINGLE('Casos de Prueba'!C45),"")</f>
        <v/>
      </c>
      <c r="E45" s="77">
        <f>IF(LEN($D45)&gt;0,"",'Casos de Prueba'!D45)</f>
        <v>2</v>
      </c>
      <c r="F45" s="77" t="str">
        <f>IF(LEN($C45)&gt;0,"",'Casos de Prueba'!E45)</f>
        <v>Da clic en cerrar sesión</v>
      </c>
      <c r="G45" s="77" t="str">
        <f>IF(LEN($C45)&gt;0,"",'Casos de Prueba'!F45&amp;CHAR(10)&amp;'Casos de Prueba'!G45)</f>
        <v xml:space="preserve">Cierra la aplicación y se direcciona a la pantalla de autenticación.
</v>
      </c>
      <c r="H45">
        <f t="shared" si="0"/>
        <v>69</v>
      </c>
    </row>
    <row r="46" spans="4:8" x14ac:dyDescent="0.35">
      <c r="D46" s="77" t="str">
        <f>IF('Casos de Prueba'!B46&lt;&gt;0,'Casos de Prueba'!B46&amp;"-"&amp;_xlfn.SINGLE('Casos de Prueba'!C46),"")</f>
        <v>CP06-Busqueda/Masiva UUID</v>
      </c>
      <c r="E46" s="77" t="str">
        <f>IF(LEN($D46)&gt;0,"",'Casos de Prueba'!D46)</f>
        <v/>
      </c>
      <c r="F46" s="77"/>
      <c r="G46" s="77" t="str">
        <f>IF(LEN($C46)&gt;0,"",'Casos de Prueba'!F46&amp;CHAR(10)&amp;'Casos de Prueba'!G46)</f>
        <v xml:space="preserve">
</v>
      </c>
      <c r="H46">
        <f t="shared" si="0"/>
        <v>1</v>
      </c>
    </row>
    <row r="47" spans="4:8" x14ac:dyDescent="0.35">
      <c r="D47" s="77" t="str">
        <f>IF('Casos de Prueba'!B47&lt;&gt;0,'Casos de Prueba'!B47&amp;"-"&amp;_xlfn.SINGLE('Casos de Prueba'!C47),"")</f>
        <v/>
      </c>
      <c r="E47" s="77">
        <f>IF(LEN($D47)&gt;0,"",'Casos de Prueba'!D47)</f>
        <v>1</v>
      </c>
      <c r="F47" s="77" t="str">
        <f>IF(LEN($C47)&gt;0,"",'Casos de Prueba'!E47)</f>
        <v>Usuario ingresa al Portal Empleados Consulta Central</v>
      </c>
      <c r="G47" s="77" t="str">
        <f>IF(LEN($C47)&gt;0,"",'Casos de Prueba'!F47&amp;CHAR(10)&amp;'Casos de Prueba'!G47)</f>
        <v>El sistema muestra las siguientes opciones de búsqueda:
- Folio Fiscal
- Masiva UUID
- Fecha Inicial y Final de Emisión
El Usuario previamente se autenticó  y accedió al portal Empleados-Consulta Central</v>
      </c>
      <c r="H47">
        <f t="shared" si="0"/>
        <v>204</v>
      </c>
    </row>
    <row r="48" spans="4:8" x14ac:dyDescent="0.35">
      <c r="D48" s="77" t="str">
        <f>IF('Casos de Prueba'!B48&lt;&gt;0,'Casos de Prueba'!B48&amp;"-"&amp;_xlfn.SINGLE('Casos de Prueba'!C48),"")</f>
        <v/>
      </c>
      <c r="E48" s="77">
        <f>IF(LEN($D48)&gt;0,"",'Casos de Prueba'!D48)</f>
        <v>2</v>
      </c>
      <c r="F48" s="77" t="str">
        <f>IF(LEN($C48)&gt;0,"",'Casos de Prueba'!E48)</f>
        <v>Selecciona la opción Masiva UUID</v>
      </c>
      <c r="G48" s="77" t="str">
        <f>IF(LEN($C48)&gt;0,"",'Casos de Prueba'!F48&amp;CHAR(10)&amp;'Casos de Prueba'!G48)</f>
        <v>El sistema muestra las siguientes opciones de búsqueda:
- *Seleccionar Archivo
Botón Enviar
En caso de no seleccionar un archivo 
El sistema muestra el siguiente mensaje: "Debe seleccionar un archivo .txt que contenga información para continuar."</v>
      </c>
      <c r="H48">
        <f t="shared" si="0"/>
        <v>246</v>
      </c>
    </row>
    <row r="49" spans="4:8" x14ac:dyDescent="0.35">
      <c r="D49" s="77" t="str">
        <f>IF('Casos de Prueba'!B49&lt;&gt;0,'Casos de Prueba'!B49&amp;"-"&amp;_xlfn.SINGLE('Casos de Prueba'!C49),"")</f>
        <v/>
      </c>
      <c r="E49" s="77">
        <f>IF(LEN($D49)&gt;0,"",'Casos de Prueba'!D49)</f>
        <v>3</v>
      </c>
      <c r="F49" s="77" t="str">
        <f>IF(LEN($C49)&gt;0,"",'Casos de Prueba'!E49)</f>
        <v>Selecciona el archivo(txt) mediante el explorador de Windows.</v>
      </c>
      <c r="G49" s="77" t="str">
        <f>IF(LEN($C49)&gt;0,"",'Casos de Prueba'!F49&amp;CHAR(10)&amp;'Casos de Prueba'!G49)</f>
        <v xml:space="preserve">
El  aplicativo ejecuta la consulta y arroja el resultado conforme a los UUID definidos en el archivo.  
Archivo TXT con distintos UUID</v>
      </c>
      <c r="H49">
        <f t="shared" si="0"/>
        <v>135</v>
      </c>
    </row>
    <row r="50" spans="4:8" ht="51.5" customHeight="1" x14ac:dyDescent="0.35">
      <c r="D50" s="77" t="str">
        <f>IF('Casos de Prueba'!B50&lt;&gt;0,'Casos de Prueba'!B50&amp;"-"&amp;_xlfn.SINGLE('Casos de Prueba'!C50),"")</f>
        <v/>
      </c>
      <c r="E50" s="77">
        <f>IF(LEN($D50)&gt;0,"",'Casos de Prueba'!D50)</f>
        <v>4</v>
      </c>
      <c r="F50" s="77" t="str">
        <f>IF(LEN($C50)&gt;0,"",'Casos de Prueba'!E50)</f>
        <v>Da clic en el botón Enviar</v>
      </c>
      <c r="G50" s="77" t="str">
        <f>IF(LEN($C50)&gt;0,"",'Casos de Prueba'!F50&amp;CHAR(10)&amp;'Casos de Prueba'!G50)</f>
        <v xml:space="preserve">El sistema realiza la petición y si contiene folios correctos los muestra en la sección de resultados: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	La consulta masiva esta limitada a 1,000 registros de UUID.
•	El servicio solo permite la consulta a través de archivos de texto plano (.txt)
•	Si el sistema no encuentra folios válidos ver el caso de prueba CP28
</v>
      </c>
      <c r="H50">
        <f t="shared" si="0"/>
        <v>1265</v>
      </c>
    </row>
    <row r="51" spans="4:8" x14ac:dyDescent="0.35">
      <c r="D51" s="77" t="str">
        <f>IF('Casos de Prueba'!B51&lt;&gt;0,'Casos de Prueba'!B51&amp;"-"&amp;_xlfn.SINGLE('Casos de Prueba'!C51),"")</f>
        <v/>
      </c>
      <c r="E51" s="77">
        <f>IF(LEN($D51)&gt;0,"",'Casos de Prueba'!D51)</f>
        <v>5</v>
      </c>
      <c r="F51" s="77" t="str">
        <f>IF(LEN($C51)&gt;0,"",'Casos de Prueba'!E51)</f>
        <v>Da clic en Cerrar Sesión</v>
      </c>
      <c r="G51" s="77" t="str">
        <f>IF(LEN($C51)&gt;0,"",'Casos de Prueba'!F51&amp;CHAR(10)&amp;'Casos de Prueba'!G51)</f>
        <v xml:space="preserve">Cierra la aplicación y se direcciona a la pantalla de autenticación.
</v>
      </c>
      <c r="H51">
        <f t="shared" si="0"/>
        <v>69</v>
      </c>
    </row>
    <row r="52" spans="4:8" x14ac:dyDescent="0.35">
      <c r="D52" s="77" t="str">
        <f>IF('Casos de Prueba'!B52&lt;&gt;0,'Casos de Prueba'!B52&amp;"-"&amp;_xlfn.SINGLE('Casos de Prueba'!C52),"")</f>
        <v>CP07-Folio Fiscal/Acuse de cancelación</v>
      </c>
      <c r="E52" s="77" t="str">
        <f>IF(LEN($D52)&gt;0,"",'Casos de Prueba'!D52)</f>
        <v/>
      </c>
      <c r="F52" s="77"/>
      <c r="G52" s="77" t="str">
        <f>IF(LEN($C52)&gt;0,"",'Casos de Prueba'!F52&amp;CHAR(10)&amp;'Casos de Prueba'!G52)</f>
        <v xml:space="preserve">
</v>
      </c>
      <c r="H52">
        <f t="shared" si="0"/>
        <v>1</v>
      </c>
    </row>
    <row r="53" spans="4:8" x14ac:dyDescent="0.35">
      <c r="D53" s="77" t="str">
        <f>IF('Casos de Prueba'!B53&lt;&gt;0,'Casos de Prueba'!B53&amp;"-"&amp;_xlfn.SINGLE('Casos de Prueba'!C53),"")</f>
        <v/>
      </c>
      <c r="E53" s="77">
        <f>IF(LEN($D53)&gt;0,"",'Casos de Prueba'!D53)</f>
        <v>1</v>
      </c>
      <c r="F53" s="77" t="str">
        <f>IF(LEN($C53)&gt;0,"",'Casos de Prueba'!E53)</f>
        <v>Usuario ingresa al Portal Empleados Consulta Central</v>
      </c>
      <c r="G53" s="77" t="str">
        <f>IF(LEN($C53)&gt;0,"",'Casos de Prueba'!F53&amp;CHAR(10)&amp;'Casos de Prueba'!G53)</f>
        <v>El sistema muestra las siguientes opciones de búsqueda:
- Folio Fiscal
- Masiva UUID
- Fecha Inicial y Final de Emisión
El Usuario previamente se autenticó  y accedió al portal Empleados-Consulta Central</v>
      </c>
      <c r="H53">
        <f t="shared" si="0"/>
        <v>204</v>
      </c>
    </row>
    <row r="54" spans="4:8" x14ac:dyDescent="0.35">
      <c r="D54" s="77" t="str">
        <f>IF('Casos de Prueba'!B54&lt;&gt;0,'Casos de Prueba'!B54&amp;"-"&amp;_xlfn.SINGLE('Casos de Prueba'!C54),"")</f>
        <v/>
      </c>
      <c r="E54" s="77">
        <f>IF(LEN($D54)&gt;0,"",'Casos de Prueba'!D54)</f>
        <v>2</v>
      </c>
      <c r="F54" s="77" t="str">
        <f>IF(LEN($C54)&gt;0,"",'Casos de Prueba'!E54)</f>
        <v>Selecciona la opción Folio Fiscal</v>
      </c>
      <c r="G54" s="77" t="str">
        <f>IF(LEN($C54)&gt;0,"",'Casos de Prueba'!F54&amp;CHAR(10)&amp;'Casos de Prueba'!G54)</f>
        <v xml:space="preserve">El sistema muestra cuadro de texto para incorporar el número de Folio Fiscal que se requiere buscar.
Al seleccionar el botón de folio fiscal se deben deshabilitar los campos de la sección Fecha Inicial y Final de Emisión
(Aplica la Regla de Negocio 01) </v>
      </c>
      <c r="H54">
        <f t="shared" si="0"/>
        <v>254</v>
      </c>
    </row>
    <row r="55" spans="4:8" x14ac:dyDescent="0.35">
      <c r="D55" s="77" t="str">
        <f>IF('Casos de Prueba'!B55&lt;&gt;0,'Casos de Prueba'!B55&amp;"-"&amp;_xlfn.SINGLE('Casos de Prueba'!C55),"")</f>
        <v/>
      </c>
      <c r="E55" s="77">
        <f>IF(LEN($D55)&gt;0,"",'Casos de Prueba'!D55)</f>
        <v>3</v>
      </c>
      <c r="F55" s="77" t="str">
        <f>IF(LEN($C55)&gt;0,"",'Casos de Prueba'!E55)</f>
        <v xml:space="preserve">Ingresa los datos del Folio Fiscal </v>
      </c>
      <c r="G55" s="77" t="str">
        <f>IF(LEN($C55)&gt;0,"",'Casos de Prueba'!F55&amp;CHAR(10)&amp;'Casos de Prueba'!G55)</f>
        <v xml:space="preserve">El sistema muestra los datos que se van ingresando del folio fiscal
</v>
      </c>
      <c r="H55">
        <f t="shared" si="0"/>
        <v>69</v>
      </c>
    </row>
    <row r="56" spans="4:8" ht="47.5" customHeight="1" x14ac:dyDescent="0.35">
      <c r="D56" s="77" t="str">
        <f>IF('Casos de Prueba'!B56&lt;&gt;0,'Casos de Prueba'!B56&amp;"-"&amp;_xlfn.SINGLE('Casos de Prueba'!C56),"")</f>
        <v/>
      </c>
      <c r="E56" s="77">
        <f>IF(LEN($D56)&gt;0,"",'Casos de Prueba'!D56)</f>
        <v>4</v>
      </c>
      <c r="F56" s="77" t="str">
        <f>IF(LEN($C56)&gt;0,"",'Casos de Prueba'!E56)</f>
        <v>Da clic en el botón buscar CFDI</v>
      </c>
      <c r="G56" s="77" t="str">
        <f>IF(LEN($C56)&gt;0,"",'Casos de Prueba'!F56&amp;CHAR(10)&amp;'Casos de Prueba'!G56)</f>
        <v>Si la petición es correcta, el sistema muestra:
A.	Casilla Acciones 
1)	Seleccionar.
2)	Descargar.
3)	Recuperar Representación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Metadata.
2)	Exportar Resultados a PDF.
3)	Exportar Resultados a CSV.
El aplicativo debe realizar la búsqueda de todas las versiones del CFDI (3.2, 3.3 y 4.0), de acuerdo a los criterios de búsqueda seleccionados previamente.
En caso de no encontrar información ir al Caso de Prueba "Sin Resultados"
En una consulta por Folio fiscal o cuando se realice la c onsulta por periodo de fecha y el resultado sea uno: (Aplica la Regla de Negocio 15) 
*Descargar metadata
*Exportar Resultados a PDF
*Exportar Resultados a CSV</v>
      </c>
      <c r="H56">
        <f t="shared" si="0"/>
        <v>1201</v>
      </c>
    </row>
    <row r="57" spans="4:8" ht="60" customHeight="1" x14ac:dyDescent="0.35">
      <c r="D57" s="77" t="str">
        <f>IF('Casos de Prueba'!B57&lt;&gt;0,'Casos de Prueba'!B57&amp;"-"&amp;_xlfn.SINGLE('Casos de Prueba'!C57),"")</f>
        <v/>
      </c>
      <c r="E57" s="77">
        <f>IF(LEN($D57)&gt;0,"",'Casos de Prueba'!D57)</f>
        <v>5</v>
      </c>
      <c r="F57" s="77" t="str">
        <f>IF(LEN($C57)&gt;0,"",'Casos de Prueba'!E57)</f>
        <v>El usuario selecciona un folio fiscal (UUID) de la tabla “Resultados” y ubica la columna “Estado del Comprobante” que tenga el valor “Cancelado” y da clic  en el hipervinculo para descargar el acuse de cancelación</v>
      </c>
      <c r="G57" s="77" t="str">
        <f>IF(LEN($C57)&gt;0,"",'Casos de Prueba'!F57&amp;CHAR(10)&amp;'Casos de Prueba'!G57)</f>
        <v>El sistema abre una ventana emergente y comienza con la descarga del acuse de cancelación en formato PDF.
-	Datos del Acuse de Cancelación de CFDI
•	Folio Fiscal
•	RFC Receptor
•	RFC Emisor
•	Estado CFDI
•	Estado Cancelación
•	Motivo Cancelación
•	Número de serie de la e.firma o CSD (RN21)
•	Fecha de Solicitud de Cancelación (RN19) 
•	Mensaje de Error
•	Fecha
•	Sello digital SAT
Esta opción solo será visible en la columna “Estado del Comprobante, cuando exista una solicitud de la cancelación asociada al CFDI.
Se podrá realizar la descarga del acuse en formato PDF, recuperando el acuse con el estatus final.</v>
      </c>
      <c r="H57">
        <f t="shared" si="0"/>
        <v>613</v>
      </c>
    </row>
    <row r="58" spans="4:8" x14ac:dyDescent="0.35">
      <c r="D58" s="77" t="str">
        <f>IF('Casos de Prueba'!B58&lt;&gt;0,'Casos de Prueba'!B58&amp;"-"&amp;_xlfn.SINGLE('Casos de Prueba'!C58),"")</f>
        <v/>
      </c>
      <c r="E58" s="77">
        <f>IF(LEN($D58)&gt;0,"",'Casos de Prueba'!D58)</f>
        <v>6</v>
      </c>
      <c r="F58" s="77" t="str">
        <f>IF(LEN($C58)&gt;0,"",'Casos de Prueba'!E58)</f>
        <v>Da clic en cerrar sesión</v>
      </c>
      <c r="G58" s="77" t="str">
        <f>IF(LEN($C58)&gt;0,"",'Casos de Prueba'!F58&amp;CHAR(10)&amp;'Casos de Prueba'!G58)</f>
        <v xml:space="preserve">Cierra la aplicación y se direcciona a la pantalla de autenticación.
</v>
      </c>
      <c r="H58">
        <f t="shared" si="0"/>
        <v>69</v>
      </c>
    </row>
    <row r="59" spans="4:8" x14ac:dyDescent="0.35">
      <c r="D59" s="77" t="str">
        <f>IF('Casos de Prueba'!B59&lt;&gt;0,'Casos de Prueba'!B59&amp;"-"&amp;_xlfn.SINGLE('Casos de Prueba'!C59),"")</f>
        <v>CP08-RFC Emisor/Acuse de Cancelación</v>
      </c>
      <c r="E59" s="77" t="str">
        <f>IF(LEN($D59)&gt;0,"",'Casos de Prueba'!D59)</f>
        <v/>
      </c>
      <c r="F59" s="77"/>
      <c r="G59" s="77" t="str">
        <f>IF(LEN($C59)&gt;0,"",'Casos de Prueba'!F59&amp;CHAR(10)&amp;'Casos de Prueba'!G59)</f>
        <v xml:space="preserve">
</v>
      </c>
      <c r="H59">
        <f t="shared" si="0"/>
        <v>1</v>
      </c>
    </row>
    <row r="60" spans="4:8" x14ac:dyDescent="0.35">
      <c r="D60" s="77" t="str">
        <f>IF('Casos de Prueba'!B60&lt;&gt;0,'Casos de Prueba'!B60&amp;"-"&amp;_xlfn.SINGLE('Casos de Prueba'!C60),"")</f>
        <v/>
      </c>
      <c r="E60" s="77">
        <f>IF(LEN($D60)&gt;0,"",'Casos de Prueba'!D60)</f>
        <v>1</v>
      </c>
      <c r="F60" s="77" t="str">
        <f>IF(LEN($C60)&gt;0,"",'Casos de Prueba'!E60)</f>
        <v>Usuario ingresa al Portal Empleados Consulta Central</v>
      </c>
      <c r="G60" s="77" t="str">
        <f>IF(LEN($C60)&gt;0,"",'Casos de Prueba'!F60&amp;CHAR(10)&amp;'Casos de Prueba'!G60)</f>
        <v>El sistema muestra las siguientes opciones de búsqueda:
- Folio Fiscal
- Masiva UUID
- Fecha Inicial y Final de Emisión
El Usuario previamente se autenticó  y accedió al portal Empleados-Consulta Central</v>
      </c>
      <c r="H60">
        <f t="shared" si="0"/>
        <v>204</v>
      </c>
    </row>
    <row r="61" spans="4:8" ht="49.5" customHeight="1" x14ac:dyDescent="0.35">
      <c r="D61" s="77" t="str">
        <f>IF('Casos de Prueba'!B61&lt;&gt;0,'Casos de Prueba'!B61&amp;"-"&amp;_xlfn.SINGLE('Casos de Prueba'!C61),"")</f>
        <v/>
      </c>
      <c r="E61" s="77">
        <f>IF(LEN($D61)&gt;0,"",'Casos de Prueba'!D61)</f>
        <v>2</v>
      </c>
      <c r="F61" s="77" t="str">
        <f>IF(LEN($C61)&gt;0,"",'Casos de Prueba'!E61)</f>
        <v>Selecciona la opción Fecha Inicial y Final de Emisión</v>
      </c>
      <c r="G61" s="77" t="str">
        <f>IF(LEN($C61)&gt;0,"",'Casos de Prueba'!F61&amp;CHAR(10)&amp;'Casos de Prueba'!G61)</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61">
        <f t="shared" si="0"/>
        <v>299</v>
      </c>
    </row>
    <row r="62" spans="4:8" x14ac:dyDescent="0.35">
      <c r="D62" s="77" t="str">
        <f>IF('Casos de Prueba'!B62&lt;&gt;0,'Casos de Prueba'!B62&amp;"-"&amp;_xlfn.SINGLE('Casos de Prueba'!C62),"")</f>
        <v/>
      </c>
      <c r="E62" s="77">
        <f>IF(LEN($D62)&gt;0,"",'Casos de Prueba'!D62)</f>
        <v>3</v>
      </c>
      <c r="F62" s="77" t="str">
        <f>IF(LEN($C62)&gt;0,"",'Casos de Prueba'!E62)</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62" s="77" t="str">
        <f>IF(LEN($C62)&gt;0,"",'Casos de Prueba'!F62&amp;CHAR(10)&amp;'Casos de Prueba'!G62)</f>
        <v xml:space="preserve">El sistema muestra los datos que se van ingresando .
</v>
      </c>
      <c r="H62">
        <f t="shared" si="0"/>
        <v>53</v>
      </c>
    </row>
    <row r="63" spans="4:8" ht="53.5" customHeight="1" x14ac:dyDescent="0.35">
      <c r="D63" s="77" t="str">
        <f>IF('Casos de Prueba'!B63&lt;&gt;0,'Casos de Prueba'!B63&amp;"-"&amp;_xlfn.SINGLE('Casos de Prueba'!C63),"")</f>
        <v/>
      </c>
      <c r="E63" s="77">
        <f>IF(LEN($D63)&gt;0,"",'Casos de Prueba'!D63)</f>
        <v>4</v>
      </c>
      <c r="F63" s="77" t="str">
        <f>IF(LEN($C63)&gt;0,"",'Casos de Prueba'!E63)</f>
        <v>Da clic en el botón buscar CFDI</v>
      </c>
      <c r="G63" s="77" t="str">
        <f>IF(LEN($C63)&gt;0,"",'Casos de Prueba'!F63&amp;CHAR(10)&amp;'Casos de Prueba'!G63)</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 Descargar metadata
*Exportar Resultados a PDF
*Exportar Resultados a CSV</v>
      </c>
      <c r="H63">
        <f t="shared" si="0"/>
        <v>1032</v>
      </c>
    </row>
    <row r="64" spans="4:8" ht="54" customHeight="1" x14ac:dyDescent="0.35">
      <c r="D64" s="77" t="str">
        <f>IF('Casos de Prueba'!B64&lt;&gt;0,'Casos de Prueba'!B64&amp;"-"&amp;_xlfn.SINGLE('Casos de Prueba'!C64),"")</f>
        <v/>
      </c>
      <c r="E64" s="77">
        <f>IF(LEN($D64)&gt;0,"",'Casos de Prueba'!D64)</f>
        <v>5</v>
      </c>
      <c r="F64" s="77" t="str">
        <f>IF(LEN($C64)&gt;0,"",'Casos de Prueba'!E64)</f>
        <v>El usuario selecciona un folio fiscal (UUID) de la tabla “Resultados” y ubica la columna “Estado del Comprobante” que tenga el valor “Cancelado” y da clic  en el hipervinculo para descargar el acuse de cancelación</v>
      </c>
      <c r="G64" s="77" t="str">
        <f>IF(LEN($C64)&gt;0,"",'Casos de Prueba'!F64&amp;CHAR(10)&amp;'Casos de Prueba'!G64)</f>
        <v>El sistema abre una ventana emergente y comienza con la descarga del acuse de cancelación en formato PDF.
-	Datos del Acuse de Cancelación de CFDI
•	Folio Fiscal
•	RFC Receptor
•	RFC Emisor
•	Estado CFDI
•	Estado Cancelación
•	Motivo Cancelación
•	Número de serie de la e.firma o CSD (RN21)
•	Fecha de Solicitud de Cancelación (RN19) 
•	Mensaje de Error
•	Fecha
•	Sello digital SAT
Esta opción solo será visible en la columna “Estado del Comprobante, cuando exista una solicitud de la cancelación asociada al CFDI.
Se podrá realizar la descarga del acuse en formato PDF, recuperando el acuse con el estatus final.</v>
      </c>
      <c r="H64">
        <f t="shared" si="0"/>
        <v>613</v>
      </c>
    </row>
    <row r="65" spans="4:8" x14ac:dyDescent="0.35">
      <c r="D65" s="77" t="str">
        <f>IF('Casos de Prueba'!B65&lt;&gt;0,'Casos de Prueba'!B65&amp;"-"&amp;_xlfn.SINGLE('Casos de Prueba'!C65),"")</f>
        <v/>
      </c>
      <c r="E65" s="77">
        <f>IF(LEN($D65)&gt;0,"",'Casos de Prueba'!D65)</f>
        <v>6</v>
      </c>
      <c r="F65" s="77" t="str">
        <f>IF(LEN($C65)&gt;0,"",'Casos de Prueba'!E65)</f>
        <v>Da clic en cerrar sesión</v>
      </c>
      <c r="G65" s="77" t="str">
        <f>IF(LEN($C65)&gt;0,"",'Casos de Prueba'!F65&amp;CHAR(10)&amp;'Casos de Prueba'!G65)</f>
        <v xml:space="preserve">Cierra la aplicación y se direcciona a la pantalla de autenticación.
</v>
      </c>
      <c r="H65">
        <f t="shared" si="0"/>
        <v>69</v>
      </c>
    </row>
    <row r="66" spans="4:8" x14ac:dyDescent="0.35">
      <c r="D66" s="77" t="str">
        <f>IF('Casos de Prueba'!B66&lt;&gt;0,'Casos de Prueba'!B66&amp;"-"&amp;_xlfn.SINGLE('Casos de Prueba'!C66),"")</f>
        <v>CP09-RFC Receptor/Acuse de Cancelación</v>
      </c>
      <c r="E66" s="77" t="str">
        <f>IF(LEN($D66)&gt;0,"",'Casos de Prueba'!D66)</f>
        <v/>
      </c>
      <c r="F66" s="77"/>
      <c r="G66" s="77" t="str">
        <f>IF(LEN($C66)&gt;0,"",'Casos de Prueba'!F66&amp;CHAR(10)&amp;'Casos de Prueba'!G66)</f>
        <v xml:space="preserve">
</v>
      </c>
      <c r="H66">
        <f t="shared" si="0"/>
        <v>1</v>
      </c>
    </row>
    <row r="67" spans="4:8" x14ac:dyDescent="0.35">
      <c r="D67" s="77" t="str">
        <f>IF('Casos de Prueba'!B67&lt;&gt;0,'Casos de Prueba'!B67&amp;"-"&amp;_xlfn.SINGLE('Casos de Prueba'!C67),"")</f>
        <v/>
      </c>
      <c r="E67" s="77">
        <f>IF(LEN($D67)&gt;0,"",'Casos de Prueba'!D67)</f>
        <v>1</v>
      </c>
      <c r="F67" s="77" t="str">
        <f>IF(LEN($C67)&gt;0,"",'Casos de Prueba'!E67)</f>
        <v>Usuario ingresa al Portal Empleados Consulta Central</v>
      </c>
      <c r="G67" s="77" t="str">
        <f>IF(LEN($C67)&gt;0,"",'Casos de Prueba'!F67&amp;CHAR(10)&amp;'Casos de Prueba'!G67)</f>
        <v>El sistema muestra las siguientes opciones de búsqueda:
- Folio Fiscal
- Masiva UUID
- Fecha Inicial y Final de Emisión
El Usuario previamente se autenticó  y accedió al portal Empleados-Consulta Central</v>
      </c>
      <c r="H67">
        <f t="shared" si="0"/>
        <v>204</v>
      </c>
    </row>
    <row r="68" spans="4:8" ht="47.5" customHeight="1" x14ac:dyDescent="0.35">
      <c r="D68" s="77" t="str">
        <f>IF('Casos de Prueba'!B68&lt;&gt;0,'Casos de Prueba'!B68&amp;"-"&amp;_xlfn.SINGLE('Casos de Prueba'!C68),"")</f>
        <v/>
      </c>
      <c r="E68" s="77">
        <f>IF(LEN($D68)&gt;0,"",'Casos de Prueba'!D68)</f>
        <v>2</v>
      </c>
      <c r="F68" s="77" t="str">
        <f>IF(LEN($C68)&gt;0,"",'Casos de Prueba'!E68)</f>
        <v>Selecciona la opción Fecha Inicial y Final de Emisión</v>
      </c>
      <c r="G68" s="77" t="str">
        <f>IF(LEN($C68)&gt;0,"",'Casos de Prueba'!F68&amp;CHAR(10)&amp;'Casos de Prueba'!G68)</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68">
        <f t="shared" si="0"/>
        <v>299</v>
      </c>
    </row>
    <row r="69" spans="4:8" x14ac:dyDescent="0.35">
      <c r="D69" s="77" t="str">
        <f>IF('Casos de Prueba'!B69&lt;&gt;0,'Casos de Prueba'!B69&amp;"-"&amp;_xlfn.SINGLE('Casos de Prueba'!C69),"")</f>
        <v/>
      </c>
      <c r="E69" s="77">
        <f>IF(LEN($D69)&gt;0,"",'Casos de Prueba'!D69)</f>
        <v>3</v>
      </c>
      <c r="F69" s="77" t="str">
        <f>IF(LEN($C69)&gt;0,"",'Casos de Prueba'!E69)</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69" s="77" t="str">
        <f>IF(LEN($C69)&gt;0,"",'Casos de Prueba'!F69&amp;CHAR(10)&amp;'Casos de Prueba'!G69)</f>
        <v xml:space="preserve">El sistema muestra los datos que se van ingresando .
</v>
      </c>
      <c r="H69">
        <f t="shared" si="0"/>
        <v>53</v>
      </c>
    </row>
    <row r="70" spans="4:8" ht="75.5" customHeight="1" x14ac:dyDescent="0.35">
      <c r="D70" s="77" t="str">
        <f>IF('Casos de Prueba'!B70&lt;&gt;0,'Casos de Prueba'!B70&amp;"-"&amp;_xlfn.SINGLE('Casos de Prueba'!C70),"")</f>
        <v/>
      </c>
      <c r="E70" s="77">
        <f>IF(LEN($D70)&gt;0,"",'Casos de Prueba'!D70)</f>
        <v>4</v>
      </c>
      <c r="F70" s="77" t="str">
        <f>IF(LEN($C70)&gt;0,"",'Casos de Prueba'!E70)</f>
        <v>Da clic en el botón buscar CFDI</v>
      </c>
      <c r="G70" s="77" t="str">
        <f>IF(LEN($C70)&gt;0,"",'Casos de Prueba'!F70&amp;CHAR(10)&amp;'Casos de Prueba'!G70)</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 Descargar metadata
*Exportar Resultados a PDF
*Exportar Resultados a CSV</v>
      </c>
      <c r="H70">
        <f t="shared" si="0"/>
        <v>1032</v>
      </c>
    </row>
    <row r="71" spans="4:8" ht="38" customHeight="1" x14ac:dyDescent="0.35">
      <c r="D71" s="77" t="str">
        <f>IF('Casos de Prueba'!B71&lt;&gt;0,'Casos de Prueba'!B71&amp;"-"&amp;_xlfn.SINGLE('Casos de Prueba'!C71),"")</f>
        <v/>
      </c>
      <c r="E71" s="77">
        <f>IF(LEN($D71)&gt;0,"",'Casos de Prueba'!D71)</f>
        <v>5</v>
      </c>
      <c r="F71" s="77" t="str">
        <f>IF(LEN($C71)&gt;0,"",'Casos de Prueba'!E71)</f>
        <v>El usuario selecciona un folio fiscal (UUID) de la tabla “Resultados” y ubica la columna “Estado del Comprobante” que tenga el valor “Cancelado” y da clic  en el hipervinculo para descargar el acuse de cancelación</v>
      </c>
      <c r="G71" s="77" t="str">
        <f>IF(LEN($C71)&gt;0,"",'Casos de Prueba'!F71&amp;CHAR(10)&amp;'Casos de Prueba'!G71)</f>
        <v>El sistema abre una ventana emergente y comienza con la descarga del acuse de cancelación en formato PDF.
-	Datos del Acuse de Cancelación de CFDI
•	Folio Fiscal
•	RFC Receptor
•	RFC Emisor
•	Estado CFDI
•	Estado Cancelación
•	Motivo Cancelación
•	Número de serie de la e.firma o CSD (RN21)
•	Fecha de Solicitud de Cancelación (RN19) 
•	Mensaje de Error
•	Fecha
•	Sello digital SAT
Esta opción solo será visible en la columna “Estado del Comprobante, cuando exista una solicitud de la cancelación asociada al CFDI.
Se podrá realizar la descarga del acuse en formato PDF, recuperando el acuse con el estatus final.</v>
      </c>
      <c r="H71">
        <f t="shared" si="0"/>
        <v>613</v>
      </c>
    </row>
    <row r="72" spans="4:8" ht="25" customHeight="1" x14ac:dyDescent="0.35">
      <c r="D72" s="77" t="str">
        <f>IF('Casos de Prueba'!B72&lt;&gt;0,'Casos de Prueba'!B72&amp;"-"&amp;_xlfn.SINGLE('Casos de Prueba'!C72),"")</f>
        <v/>
      </c>
      <c r="E72" s="77">
        <f>IF(LEN($D72)&gt;0,"",'Casos de Prueba'!D72)</f>
        <v>6</v>
      </c>
      <c r="F72" s="77" t="str">
        <f>IF(LEN($C72)&gt;0,"",'Casos de Prueba'!E72)</f>
        <v>Da clic en cerrar sesión</v>
      </c>
      <c r="G72" s="77" t="str">
        <f>IF(LEN($C72)&gt;0,"",'Casos de Prueba'!F72&amp;CHAR(10)&amp;'Casos de Prueba'!G72)</f>
        <v xml:space="preserve">Cierra la aplicación y se direcciona a la pantalla de autenticación.
</v>
      </c>
      <c r="H72">
        <f t="shared" si="0"/>
        <v>69</v>
      </c>
    </row>
    <row r="73" spans="4:8" ht="25" customHeight="1" x14ac:dyDescent="0.35">
      <c r="D73" s="77" t="str">
        <f>IF('Casos de Prueba'!B73&lt;&gt;0,'Casos de Prueba'!B73&amp;"-"&amp;_xlfn.SINGLE('Casos de Prueba'!C73),"")</f>
        <v>CP10-Masiva UUID/Acuse de Cancelación</v>
      </c>
      <c r="E73" s="77" t="str">
        <f>IF(LEN($D73)&gt;0,"",'Casos de Prueba'!D73)</f>
        <v/>
      </c>
      <c r="F73" s="77"/>
      <c r="G73" s="77" t="str">
        <f>IF(LEN($C73)&gt;0,"",'Casos de Prueba'!F73&amp;CHAR(10)&amp;'Casos de Prueba'!G73)</f>
        <v xml:space="preserve">
</v>
      </c>
      <c r="H73">
        <f t="shared" si="0"/>
        <v>1</v>
      </c>
    </row>
    <row r="74" spans="4:8" ht="25" customHeight="1" x14ac:dyDescent="0.35">
      <c r="D74" s="77" t="str">
        <f>IF('Casos de Prueba'!B74&lt;&gt;0,'Casos de Prueba'!B74&amp;"-"&amp;_xlfn.SINGLE('Casos de Prueba'!C74),"")</f>
        <v/>
      </c>
      <c r="E74" s="77">
        <f>IF(LEN($D74)&gt;0,"",'Casos de Prueba'!D74)</f>
        <v>1</v>
      </c>
      <c r="F74" s="77" t="str">
        <f>IF(LEN($C74)&gt;0,"",'Casos de Prueba'!E74)</f>
        <v>Usuario ingresa al Portal Empleados Consulta Central</v>
      </c>
      <c r="G74" s="77" t="str">
        <f>IF(LEN($C74)&gt;0,"",'Casos de Prueba'!F74&amp;CHAR(10)&amp;'Casos de Prueba'!G74)</f>
        <v>El sistema muestra las siguientes opciones de búsqueda:
- Folio Fiscal
- Masiva UUID
- Fecha Inicial y Final de Emisión
El Usuario previamente se autenticó  y accedió al portal Empleados-Consulta Central</v>
      </c>
      <c r="H74">
        <f t="shared" si="0"/>
        <v>204</v>
      </c>
    </row>
    <row r="75" spans="4:8" ht="25" customHeight="1" x14ac:dyDescent="0.35">
      <c r="D75" s="77" t="str">
        <f>IF('Casos de Prueba'!B75&lt;&gt;0,'Casos de Prueba'!B75&amp;"-"&amp;_xlfn.SINGLE('Casos de Prueba'!C75),"")</f>
        <v/>
      </c>
      <c r="E75" s="77">
        <f>IF(LEN($D75)&gt;0,"",'Casos de Prueba'!D75)</f>
        <v>2</v>
      </c>
      <c r="F75" s="77" t="str">
        <f>IF(LEN($C75)&gt;0,"",'Casos de Prueba'!E75)</f>
        <v>Selecciona la opción Masiva UUID</v>
      </c>
      <c r="G75" s="77" t="str">
        <f>IF(LEN($C75)&gt;0,"",'Casos de Prueba'!F75&amp;CHAR(10)&amp;'Casos de Prueba'!G75)</f>
        <v>El sistema muestra las siguientes opciones de búsqueda:
- *Seleccionar Archivo
Botón Enviar
En caso de no seleccionar un archivo 
El sistema muestra el siguiente mensaje: "Debe seleccionar un archivo .txt que contenga información para continuar."</v>
      </c>
      <c r="H75">
        <f t="shared" si="0"/>
        <v>246</v>
      </c>
    </row>
    <row r="76" spans="4:8" ht="25" customHeight="1" x14ac:dyDescent="0.35">
      <c r="D76" s="77" t="str">
        <f>IF('Casos de Prueba'!B76&lt;&gt;0,'Casos de Prueba'!B76&amp;"-"&amp;_xlfn.SINGLE('Casos de Prueba'!C76),"")</f>
        <v/>
      </c>
      <c r="E76" s="77">
        <f>IF(LEN($D76)&gt;0,"",'Casos de Prueba'!D76)</f>
        <v>3</v>
      </c>
      <c r="F76" s="77" t="str">
        <f>IF(LEN($C76)&gt;0,"",'Casos de Prueba'!E76)</f>
        <v>Selecciona el archivo(txt) mediante el explorador de Windows.</v>
      </c>
      <c r="G76" s="77" t="str">
        <f>IF(LEN($C76)&gt;0,"",'Casos de Prueba'!F76&amp;CHAR(10)&amp;'Casos de Prueba'!G76)</f>
        <v xml:space="preserve">
El  aplicativo ejecuta la consulta y arroja el resultado conforme a los UUID definidos en el archivo.  
Archivo TXT con distintos UUID</v>
      </c>
      <c r="H76">
        <f t="shared" si="0"/>
        <v>135</v>
      </c>
    </row>
    <row r="77" spans="4:8" ht="25" customHeight="1" x14ac:dyDescent="0.35">
      <c r="D77" s="77" t="str">
        <f>IF('Casos de Prueba'!B77&lt;&gt;0,'Casos de Prueba'!B77&amp;"-"&amp;_xlfn.SINGLE('Casos de Prueba'!C77),"")</f>
        <v/>
      </c>
      <c r="E77" s="77">
        <f>IF(LEN($D77)&gt;0,"",'Casos de Prueba'!D77)</f>
        <v>4</v>
      </c>
      <c r="F77" s="77" t="str">
        <f>IF(LEN($C77)&gt;0,"",'Casos de Prueba'!E77)</f>
        <v>Da clic en el botón Enviar</v>
      </c>
      <c r="G77" s="77" t="str">
        <f>IF(LEN($C77)&gt;0,"",'Casos de Prueba'!F77&amp;CHAR(10)&amp;'Casos de Prueba'!G77)</f>
        <v xml:space="preserve">El sistema realiza la petición y si contiene folios correctos los muestra en la sección de resultados: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	La consulta masiva esta limitada a 1,000 registros de UUID.
•	El servicio solo permite la consulta a través de archivos de texto plano (.txt)
•	Si el sistema no encuentra folios válidos ver el caso de prueba CP29
</v>
      </c>
      <c r="H77">
        <f t="shared" si="0"/>
        <v>1266</v>
      </c>
    </row>
    <row r="78" spans="4:8" ht="54" customHeight="1" x14ac:dyDescent="0.35">
      <c r="D78" s="77" t="str">
        <f>IF('Casos de Prueba'!B78&lt;&gt;0,'Casos de Prueba'!B78&amp;"-"&amp;_xlfn.SINGLE('Casos de Prueba'!C78),"")</f>
        <v/>
      </c>
      <c r="E78" s="77">
        <f>IF(LEN($D78)&gt;0,"",'Casos de Prueba'!D78)</f>
        <v>5</v>
      </c>
      <c r="F78" s="77" t="str">
        <f>IF(LEN($C78)&gt;0,"",'Casos de Prueba'!E78)</f>
        <v>El usuario selecciona un folio fiscal (UUID) de la tabla “Resultados” y ubica la columna “Estado del Comprobante” que tenga el valor “Cancelado” y da clic  en el hipervinculo para descargar el acuse de cancelación</v>
      </c>
      <c r="G78" s="77" t="str">
        <f>IF(LEN($C78)&gt;0,"",'Casos de Prueba'!F78&amp;CHAR(10)&amp;'Casos de Prueba'!G78)</f>
        <v>El sistema abre una ventana emergente y comienza con la descarga del acuse de cancelación en formato PDF.
-	Datos del Acuse de Cancelación de CFDI
•	Folio Fiscal
•	RFC Receptor
•	RFC Emisor
•	Estado CFDI
•	Estado Cancelación
•	Motivo Cancelación
•	Número de serie de la e.firma o CSD (RN21)
•	Fecha de Solicitud de Cancelación (RN19) 
•	Mensaje de Error
•	Fecha
•	Sello digital SAT
Esta opción solo será visible en la columna “Estado del Comprobante, cuando exista una solicitud de la cancelación asociada al CFDI.
Se podrá realizar la descarga del acuse en formato PDF, recuperando el acuse con el estatus final.</v>
      </c>
      <c r="H78">
        <f t="shared" si="0"/>
        <v>613</v>
      </c>
    </row>
    <row r="79" spans="4:8" x14ac:dyDescent="0.35">
      <c r="D79" s="77" t="str">
        <f>IF('Casos de Prueba'!B79&lt;&gt;0,'Casos de Prueba'!B79&amp;"-"&amp;_xlfn.SINGLE('Casos de Prueba'!C79),"")</f>
        <v/>
      </c>
      <c r="E79" s="77">
        <f>IF(LEN($D79)&gt;0,"",'Casos de Prueba'!D79)</f>
        <v>6</v>
      </c>
      <c r="F79" s="77" t="str">
        <f>IF(LEN($C79)&gt;0,"",'Casos de Prueba'!E79)</f>
        <v>Da clic en cerrar sesión</v>
      </c>
      <c r="G79" s="77" t="str">
        <f>IF(LEN($C79)&gt;0,"",'Casos de Prueba'!F79&amp;CHAR(10)&amp;'Casos de Prueba'!G79)</f>
        <v xml:space="preserve">Cierra la aplicación y se direcciona a la pantalla de autenticación.
</v>
      </c>
      <c r="H79">
        <f t="shared" si="0"/>
        <v>69</v>
      </c>
    </row>
    <row r="80" spans="4:8" ht="11.5" customHeight="1" x14ac:dyDescent="0.35">
      <c r="D80" s="77" t="str">
        <f>IF('Casos de Prueba'!B80&lt;&gt;0,'Casos de Prueba'!B80&amp;"-"&amp;_xlfn.SINGLE('Casos de Prueba'!C80),"")</f>
        <v>CP11-Folio Fiscal/Descargar RI</v>
      </c>
      <c r="E80" s="77" t="str">
        <f>IF(LEN($D80)&gt;0,"",'Casos de Prueba'!D80)</f>
        <v/>
      </c>
      <c r="F80" s="77"/>
      <c r="G80" s="77" t="str">
        <f>IF(LEN($C80)&gt;0,"",'Casos de Prueba'!F80&amp;CHAR(10)&amp;'Casos de Prueba'!G80)</f>
        <v xml:space="preserve">
</v>
      </c>
      <c r="H80">
        <f t="shared" si="0"/>
        <v>1</v>
      </c>
    </row>
    <row r="81" spans="4:8" ht="17" customHeight="1" x14ac:dyDescent="0.35">
      <c r="D81" s="77" t="str">
        <f>IF('Casos de Prueba'!B81&lt;&gt;0,'Casos de Prueba'!B81&amp;"-"&amp;_xlfn.SINGLE('Casos de Prueba'!C81),"")</f>
        <v/>
      </c>
      <c r="E81" s="77">
        <f>IF(LEN($D81)&gt;0,"",'Casos de Prueba'!D81)</f>
        <v>1</v>
      </c>
      <c r="F81" s="77" t="str">
        <f>IF(LEN($C81)&gt;0,"",'Casos de Prueba'!E81)</f>
        <v>Usuario ingresa al Portal Empleados Consulta Central</v>
      </c>
      <c r="G81" s="77" t="str">
        <f>IF(LEN($C81)&gt;0,"",'Casos de Prueba'!F81&amp;CHAR(10)&amp;'Casos de Prueba'!G81)</f>
        <v>El sistema muestra las siguientes opciones de búsqueda:
- Folio Fiscal
- Masiva UUID
- Fecha Inicial y Final de Emisión
El Usuario previamente se autenticó  y accedió al portal Empleados-Consulta Central</v>
      </c>
      <c r="H81">
        <f t="shared" si="0"/>
        <v>204</v>
      </c>
    </row>
    <row r="82" spans="4:8" ht="15" customHeight="1" x14ac:dyDescent="0.35">
      <c r="D82" s="77" t="str">
        <f>IF('Casos de Prueba'!B82&lt;&gt;0,'Casos de Prueba'!B82&amp;"-"&amp;_xlfn.SINGLE('Casos de Prueba'!C82),"")</f>
        <v/>
      </c>
      <c r="E82" s="77">
        <f>IF(LEN($D82)&gt;0,"",'Casos de Prueba'!D82)</f>
        <v>2</v>
      </c>
      <c r="F82" s="77" t="str">
        <f>IF(LEN($C82)&gt;0,"",'Casos de Prueba'!E82)</f>
        <v>Selecciona la opción Folio Fiscal</v>
      </c>
      <c r="G82" s="77" t="str">
        <f>IF(LEN($C82)&gt;0,"",'Casos de Prueba'!F82&amp;CHAR(10)&amp;'Casos de Prueba'!G82)</f>
        <v xml:space="preserve">El sistema muestra cuadro de texto para incorporar el número de Folio Fiscal que se requiere buscar.
Al seleccionar el botón de folio fiscal se deben deshabilitar los campos de la sección Fecha Inicial y Final de Emisión
(Aplica la Regla de Negocio 01) </v>
      </c>
      <c r="H82">
        <f t="shared" si="0"/>
        <v>254</v>
      </c>
    </row>
    <row r="83" spans="4:8" ht="17" customHeight="1" x14ac:dyDescent="0.35">
      <c r="D83" s="77" t="str">
        <f>IF('Casos de Prueba'!B83&lt;&gt;0,'Casos de Prueba'!B83&amp;"-"&amp;_xlfn.SINGLE('Casos de Prueba'!C83),"")</f>
        <v/>
      </c>
      <c r="E83" s="77">
        <f>IF(LEN($D83)&gt;0,"",'Casos de Prueba'!D83)</f>
        <v>3</v>
      </c>
      <c r="F83" s="77" t="str">
        <f>IF(LEN($C83)&gt;0,"",'Casos de Prueba'!E83)</f>
        <v xml:space="preserve">Ingresa los datos del Folio Fiscal </v>
      </c>
      <c r="G83" s="77" t="str">
        <f>IF(LEN($C83)&gt;0,"",'Casos de Prueba'!F83&amp;CHAR(10)&amp;'Casos de Prueba'!G83)</f>
        <v xml:space="preserve">El sistema muestra los datos que se van ingresando del folio fiscal
</v>
      </c>
      <c r="H83">
        <f t="shared" si="0"/>
        <v>69</v>
      </c>
    </row>
    <row r="84" spans="4:8" ht="79.5" customHeight="1" x14ac:dyDescent="0.35">
      <c r="D84" s="77" t="str">
        <f>IF('Casos de Prueba'!B84&lt;&gt;0,'Casos de Prueba'!B84&amp;"-"&amp;_xlfn.SINGLE('Casos de Prueba'!C84),"")</f>
        <v/>
      </c>
      <c r="E84" s="77">
        <f>IF(LEN($D84)&gt;0,"",'Casos de Prueba'!D84)</f>
        <v>4</v>
      </c>
      <c r="F84" s="77" t="str">
        <f>IF(LEN($C84)&gt;0,"",'Casos de Prueba'!E84)</f>
        <v>Da clic en el botón buscar CFDI</v>
      </c>
      <c r="G84" s="77" t="str">
        <f>IF(LEN($C84)&gt;0,"",'Casos de Prueba'!F84&amp;CHAR(10)&amp;'Casos de Prueba'!G84)</f>
        <v>Si la petición es correcta, el sistema muestra:
A.	Casilla Acciones 
1)	Seleccionar.
2)	Descargar.
3)	Recuperar Representación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Metadata.
2)	Exportar Resultados a PDF.
3)	Exportar Resultados a CSV.
El aplicativo debe realizar la búsqueda de todas las versiones del CFDI (3.2, 3.3 y 4.0), de acuerdo a los criterios de búsqueda seleccionados previamente.
En caso de no encontrar información ir al Caso de Prueba "Sin Resultados"
En una consulta por Folio fiscal o cuando se realice la c onsulta por periodo de fecha y el resultado sea uno: (Aplica la Regla de Negocio 15) 
* Descargar metadata
*Exportar Resultados a PDF
*Exportar Resultados a CSV</v>
      </c>
      <c r="H84">
        <f t="shared" si="0"/>
        <v>1202</v>
      </c>
    </row>
    <row r="85" spans="4:8" ht="37.5" customHeight="1" x14ac:dyDescent="0.35">
      <c r="D85" s="77" t="str">
        <f>IF('Casos de Prueba'!B85&lt;&gt;0,'Casos de Prueba'!B85&amp;"-"&amp;_xlfn.SINGLE('Casos de Prueba'!C85),"")</f>
        <v/>
      </c>
      <c r="E85" s="77">
        <f>IF(LEN($D85)&gt;0,"",'Casos de Prueba'!D85)</f>
        <v>5</v>
      </c>
      <c r="F85" s="77" t="str">
        <f>IF(LEN($C85)&gt;0,"",'Casos de Prueba'!E85)</f>
        <v>Selecciona un folio fiscal (UUID) de la tabla “Resultados”</v>
      </c>
      <c r="G85" s="77" t="str">
        <f>IF(LEN($C85)&gt;0,"",'Casos de Prueba'!F85&amp;CHAR(10)&amp;'Casos de Prueba'!G85)</f>
        <v xml:space="preserve">En la columna de acciones se desplegaran los botones 
•	Descargar
•	Recuperar Representación Impresa  
•	Recuperar RI Complemento Carta Porte (Condicional)
</v>
      </c>
      <c r="H85">
        <f t="shared" ref="H85:H148" si="1">+LEN(G85)</f>
        <v>157</v>
      </c>
    </row>
    <row r="86" spans="4:8" ht="15" customHeight="1" x14ac:dyDescent="0.35">
      <c r="D86" s="77" t="str">
        <f>IF('Casos de Prueba'!B86&lt;&gt;0,'Casos de Prueba'!B86&amp;"-"&amp;_xlfn.SINGLE('Casos de Prueba'!C86),"")</f>
        <v/>
      </c>
      <c r="E86" s="77">
        <f>IF(LEN($D86)&gt;0,"",'Casos de Prueba'!D86)</f>
        <v>6</v>
      </c>
      <c r="F86" s="77" t="str">
        <f>IF(LEN($C86)&gt;0,"",'Casos de Prueba'!E86)</f>
        <v>Da clic en el la opción Recuperar Representación Impresa</v>
      </c>
      <c r="G86" s="77" t="str">
        <f>IF(LEN($C86)&gt;0,"",'Casos de Prueba'!F86&amp;CHAR(10)&amp;'Casos de Prueba'!G86)</f>
        <v>El sistema muestra la representación impresa del comprobante
La descarga se realiza uno a uno, contemplando el límite diario establecido para los archivos PDF en su RI.
(Aplica las Reglas de Negocio 07, 08 y 14)</v>
      </c>
      <c r="H86">
        <f t="shared" si="1"/>
        <v>211</v>
      </c>
    </row>
    <row r="87" spans="4:8" ht="15.5" customHeight="1" x14ac:dyDescent="0.35">
      <c r="D87" s="77" t="str">
        <f>IF('Casos de Prueba'!B87&lt;&gt;0,'Casos de Prueba'!B87&amp;"-"&amp;_xlfn.SINGLE('Casos de Prueba'!C87),"")</f>
        <v/>
      </c>
      <c r="E87" s="77">
        <f>IF(LEN($D87)&gt;0,"",'Casos de Prueba'!D87)</f>
        <v>7</v>
      </c>
      <c r="F87" s="77" t="str">
        <f>IF(LEN($C87)&gt;0,"",'Casos de Prueba'!E87)</f>
        <v>Da clic en cerrar sesión</v>
      </c>
      <c r="G87" s="77" t="str">
        <f>IF(LEN($C87)&gt;0,"",'Casos de Prueba'!F87&amp;CHAR(10)&amp;'Casos de Prueba'!G87)</f>
        <v xml:space="preserve">Cierra la aplicación y se direcciona a la pantalla de autenticación.
</v>
      </c>
      <c r="H87">
        <f t="shared" si="1"/>
        <v>69</v>
      </c>
    </row>
    <row r="88" spans="4:8" ht="16.5" customHeight="1" x14ac:dyDescent="0.35">
      <c r="D88" s="77" t="str">
        <f>IF('Casos de Prueba'!B88&lt;&gt;0,'Casos de Prueba'!B88&amp;"-"&amp;_xlfn.SINGLE('Casos de Prueba'!C88),"")</f>
        <v>CP12-RFC Emisor/Descargar RI</v>
      </c>
      <c r="E88" s="77" t="str">
        <f>IF(LEN($D88)&gt;0,"",'Casos de Prueba'!D88)</f>
        <v/>
      </c>
      <c r="F88" s="77"/>
      <c r="G88" s="77" t="str">
        <f>IF(LEN($C88)&gt;0,"",'Casos de Prueba'!F88&amp;CHAR(10)&amp;'Casos de Prueba'!G88)</f>
        <v xml:space="preserve">
</v>
      </c>
      <c r="H88">
        <f t="shared" si="1"/>
        <v>1</v>
      </c>
    </row>
    <row r="89" spans="4:8" ht="20.5" customHeight="1" x14ac:dyDescent="0.35">
      <c r="D89" s="77" t="str">
        <f>IF('Casos de Prueba'!B89&lt;&gt;0,'Casos de Prueba'!B89&amp;"-"&amp;_xlfn.SINGLE('Casos de Prueba'!C89),"")</f>
        <v/>
      </c>
      <c r="E89" s="77">
        <f>IF(LEN($D89)&gt;0,"",'Casos de Prueba'!D89)</f>
        <v>1</v>
      </c>
      <c r="F89" s="77" t="str">
        <f>IF(LEN($C89)&gt;0,"",'Casos de Prueba'!E89)</f>
        <v>Usuario ingresa al Portal Empleados Consulta Central</v>
      </c>
      <c r="G89" s="77" t="str">
        <f>IF(LEN($C89)&gt;0,"",'Casos de Prueba'!F89&amp;CHAR(10)&amp;'Casos de Prueba'!G89)</f>
        <v>El sistema muestra las siguientes opciones de búsqueda:
- Folio Fiscal
- Masiva UUID
- Fecha Inicial y Final de Emisión
El Usuario previamente se autenticó  y accedió al portal Empleados-Consulta Central</v>
      </c>
      <c r="H89">
        <f t="shared" si="1"/>
        <v>204</v>
      </c>
    </row>
    <row r="90" spans="4:8" ht="47.5" customHeight="1" x14ac:dyDescent="0.35">
      <c r="D90" s="77" t="str">
        <f>IF('Casos de Prueba'!B90&lt;&gt;0,'Casos de Prueba'!B90&amp;"-"&amp;_xlfn.SINGLE('Casos de Prueba'!C90),"")</f>
        <v/>
      </c>
      <c r="E90" s="77">
        <f>IF(LEN($D90)&gt;0,"",'Casos de Prueba'!D90)</f>
        <v>2</v>
      </c>
      <c r="F90" s="77" t="str">
        <f>IF(LEN($C90)&gt;0,"",'Casos de Prueba'!E90)</f>
        <v>Selecciona la opción Fecha Inicial y Final de Emisión</v>
      </c>
      <c r="G90" s="77" t="str">
        <f>IF(LEN($C90)&gt;0,"",'Casos de Prueba'!F90&amp;CHAR(10)&amp;'Casos de Prueba'!G90)</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90">
        <f t="shared" si="1"/>
        <v>299</v>
      </c>
    </row>
    <row r="91" spans="4:8" x14ac:dyDescent="0.35">
      <c r="D91" s="77" t="str">
        <f>IF('Casos de Prueba'!B91&lt;&gt;0,'Casos de Prueba'!B91&amp;"-"&amp;_xlfn.SINGLE('Casos de Prueba'!C91),"")</f>
        <v/>
      </c>
      <c r="E91" s="77">
        <f>IF(LEN($D91)&gt;0,"",'Casos de Prueba'!D91)</f>
        <v>3</v>
      </c>
      <c r="F91" s="77" t="str">
        <f>IF(LEN($C91)&gt;0,"",'Casos de Prueba'!E91)</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91" s="77" t="str">
        <f>IF(LEN($C91)&gt;0,"",'Casos de Prueba'!F91&amp;CHAR(10)&amp;'Casos de Prueba'!G91)</f>
        <v xml:space="preserve">El sistema muestra los datos que se van ingresando .
</v>
      </c>
      <c r="H91">
        <f t="shared" si="1"/>
        <v>53</v>
      </c>
    </row>
    <row r="92" spans="4:8" ht="35.5" customHeight="1" x14ac:dyDescent="0.35">
      <c r="D92" s="77" t="str">
        <f>IF('Casos de Prueba'!B92&lt;&gt;0,'Casos de Prueba'!B92&amp;"-"&amp;_xlfn.SINGLE('Casos de Prueba'!C92),"")</f>
        <v/>
      </c>
      <c r="E92" s="77">
        <f>IF(LEN($D92)&gt;0,"",'Casos de Prueba'!D92)</f>
        <v>4</v>
      </c>
      <c r="F92" s="77" t="str">
        <f>IF(LEN($C92)&gt;0,"",'Casos de Prueba'!E92)</f>
        <v>Da clic en el botón buscar CFDI</v>
      </c>
      <c r="G92" s="77" t="str">
        <f>IF(LEN($C92)&gt;0,"",'Casos de Prueba'!F92&amp;CHAR(10)&amp;'Casos de Prueba'!G92)</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*Descargar metadata
*Exportar Resultados a PDF
*Exportar Resultados a CSV</v>
      </c>
      <c r="H92">
        <f t="shared" si="1"/>
        <v>1031</v>
      </c>
    </row>
    <row r="93" spans="4:8" x14ac:dyDescent="0.35">
      <c r="D93" s="77" t="str">
        <f>IF('Casos de Prueba'!B93&lt;&gt;0,'Casos de Prueba'!B93&amp;"-"&amp;_xlfn.SINGLE('Casos de Prueba'!C93),"")</f>
        <v/>
      </c>
      <c r="E93" s="77">
        <f>IF(LEN($D93)&gt;0,"",'Casos de Prueba'!D93)</f>
        <v>5</v>
      </c>
      <c r="F93" s="77" t="str">
        <f>IF(LEN($C93)&gt;0,"",'Casos de Prueba'!E93)</f>
        <v>Selecciona un folio fiscal (UUID) de la tabla “Resultados”</v>
      </c>
      <c r="G93" s="77" t="str">
        <f>IF(LEN($C93)&gt;0,"",'Casos de Prueba'!F93&amp;CHAR(10)&amp;'Casos de Prueba'!G93)</f>
        <v xml:space="preserve">En la columna de acciones se desplegaran los botones 
•	Descargar
•	Recuperar Representación Impresa  
•	Recuperar RI Complemento Carta Porte (Condicional)
</v>
      </c>
      <c r="H93">
        <f t="shared" si="1"/>
        <v>157</v>
      </c>
    </row>
    <row r="94" spans="4:8" x14ac:dyDescent="0.35">
      <c r="D94" s="77" t="str">
        <f>IF('Casos de Prueba'!B94&lt;&gt;0,'Casos de Prueba'!B94&amp;"-"&amp;_xlfn.SINGLE('Casos de Prueba'!C94),"")</f>
        <v/>
      </c>
      <c r="E94" s="77">
        <f>IF(LEN($D94)&gt;0,"",'Casos de Prueba'!D94)</f>
        <v>6</v>
      </c>
      <c r="F94" s="77" t="str">
        <f>IF(LEN($C94)&gt;0,"",'Casos de Prueba'!E94)</f>
        <v>Da clic en el la opción Recuperar Representación Impresa</v>
      </c>
      <c r="G94" s="77" t="str">
        <f>IF(LEN($C94)&gt;0,"",'Casos de Prueba'!F94&amp;CHAR(10)&amp;'Casos de Prueba'!G94)</f>
        <v>El sistema muestra la representación impresa del comprobante
La descarga se realiza uno a uno, contemplando el límite diario establecido para los archivos PDF en su RI.
(Aplica las Reglas de Negocio 07, 08 y 14)</v>
      </c>
      <c r="H94">
        <f t="shared" si="1"/>
        <v>211</v>
      </c>
    </row>
    <row r="95" spans="4:8" x14ac:dyDescent="0.35">
      <c r="D95" s="77" t="str">
        <f>IF('Casos de Prueba'!B95&lt;&gt;0,'Casos de Prueba'!B95&amp;"-"&amp;_xlfn.SINGLE('Casos de Prueba'!C95),"")</f>
        <v/>
      </c>
      <c r="E95" s="77">
        <f>IF(LEN($D95)&gt;0,"",'Casos de Prueba'!D95)</f>
        <v>7</v>
      </c>
      <c r="F95" s="77" t="str">
        <f>IF(LEN($C95)&gt;0,"",'Casos de Prueba'!E95)</f>
        <v>Da clic en cerrar sesión</v>
      </c>
      <c r="G95" s="77" t="str">
        <f>IF(LEN($C95)&gt;0,"",'Casos de Prueba'!F95&amp;CHAR(10)&amp;'Casos de Prueba'!G95)</f>
        <v xml:space="preserve">Cierra la aplicación y se direcciona a la pantalla de autenticación.
</v>
      </c>
      <c r="H95">
        <f t="shared" si="1"/>
        <v>69</v>
      </c>
    </row>
    <row r="96" spans="4:8" x14ac:dyDescent="0.35">
      <c r="D96" s="77" t="str">
        <f>IF('Casos de Prueba'!B96&lt;&gt;0,'Casos de Prueba'!B96&amp;"-"&amp;_xlfn.SINGLE('Casos de Prueba'!C96),"")</f>
        <v>CP13-RFC Receptor/Descargar RI</v>
      </c>
      <c r="E96" s="77" t="str">
        <f>IF(LEN($D96)&gt;0,"",'Casos de Prueba'!D96)</f>
        <v/>
      </c>
      <c r="F96" s="77"/>
      <c r="G96" s="77" t="str">
        <f>IF(LEN($C96)&gt;0,"",'Casos de Prueba'!F96&amp;CHAR(10)&amp;'Casos de Prueba'!G96)</f>
        <v xml:space="preserve">
</v>
      </c>
      <c r="H96">
        <f t="shared" si="1"/>
        <v>1</v>
      </c>
    </row>
    <row r="97" spans="4:8" ht="53" customHeight="1" x14ac:dyDescent="0.35">
      <c r="D97" s="77" t="str">
        <f>IF('Casos de Prueba'!B97&lt;&gt;0,'Casos de Prueba'!B97&amp;"-"&amp;_xlfn.SINGLE('Casos de Prueba'!C97),"")</f>
        <v/>
      </c>
      <c r="E97" s="77">
        <f>IF(LEN($D97)&gt;0,"",'Casos de Prueba'!D97)</f>
        <v>1</v>
      </c>
      <c r="F97" s="77" t="str">
        <f>IF(LEN($C97)&gt;0,"",'Casos de Prueba'!E97)</f>
        <v>Usuario ingresa al Portal Empleados Consulta Central</v>
      </c>
      <c r="G97" s="77" t="str">
        <f>IF(LEN($C97)&gt;0,"",'Casos de Prueba'!F97&amp;CHAR(10)&amp;'Casos de Prueba'!G97)</f>
        <v>El sistema muestra las siguientes opciones de búsqueda:
- Folio Fiscal
- Masiva UUID
- Fecha Inicial y Final de Emisión
El Usuario previamente se autenticó  y accedió al portal Empleados-Consulta Central</v>
      </c>
      <c r="H97">
        <f t="shared" si="1"/>
        <v>204</v>
      </c>
    </row>
    <row r="98" spans="4:8" ht="51.5" customHeight="1" x14ac:dyDescent="0.35">
      <c r="D98" s="77" t="str">
        <f>IF('Casos de Prueba'!B98&lt;&gt;0,'Casos de Prueba'!B98&amp;"-"&amp;_xlfn.SINGLE('Casos de Prueba'!C98),"")</f>
        <v/>
      </c>
      <c r="E98" s="77">
        <f>IF(LEN($D98)&gt;0,"",'Casos de Prueba'!D98)</f>
        <v>2</v>
      </c>
      <c r="F98" s="77" t="str">
        <f>IF(LEN($C98)&gt;0,"",'Casos de Prueba'!E98)</f>
        <v>Selecciona la opción Fecha Inicial y Final de Emisión</v>
      </c>
      <c r="G98" s="77" t="str">
        <f>IF(LEN($C98)&gt;0,"",'Casos de Prueba'!F98&amp;CHAR(10)&amp;'Casos de Prueba'!G98)</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98">
        <f t="shared" si="1"/>
        <v>299</v>
      </c>
    </row>
    <row r="99" spans="4:8" x14ac:dyDescent="0.35">
      <c r="D99" s="77" t="str">
        <f>IF('Casos de Prueba'!B99&lt;&gt;0,'Casos de Prueba'!B99&amp;"-"&amp;_xlfn.SINGLE('Casos de Prueba'!C99),"")</f>
        <v/>
      </c>
      <c r="E99" s="77">
        <f>IF(LEN($D99)&gt;0,"",'Casos de Prueba'!D99)</f>
        <v>3</v>
      </c>
      <c r="F99" s="77" t="str">
        <f>IF(LEN($C99)&gt;0,"",'Casos de Prueba'!E99)</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99" s="77" t="str">
        <f>IF(LEN($C99)&gt;0,"",'Casos de Prueba'!F99&amp;CHAR(10)&amp;'Casos de Prueba'!G99)</f>
        <v xml:space="preserve">El sistema muestra los datos que se van ingresando .
</v>
      </c>
      <c r="H99">
        <f t="shared" si="1"/>
        <v>53</v>
      </c>
    </row>
    <row r="100" spans="4:8" ht="35.5" customHeight="1" x14ac:dyDescent="0.35">
      <c r="D100" s="77" t="str">
        <f>IF('Casos de Prueba'!B100&lt;&gt;0,'Casos de Prueba'!B100&amp;"-"&amp;_xlfn.SINGLE('Casos de Prueba'!C100),"")</f>
        <v/>
      </c>
      <c r="E100" s="77">
        <f>IF(LEN($D100)&gt;0,"",'Casos de Prueba'!D100)</f>
        <v>4</v>
      </c>
      <c r="F100" s="77" t="str">
        <f>IF(LEN($C100)&gt;0,"",'Casos de Prueba'!E100)</f>
        <v>Da clic en el botón buscar CFDI</v>
      </c>
      <c r="G100" s="77" t="str">
        <f>IF(LEN($C100)&gt;0,"",'Casos de Prueba'!F100&amp;CHAR(10)&amp;'Casos de Prueba'!G100)</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 Descargar metadata
*Exportar Resultados a PDF
*Exportar Resultados a CSV</v>
      </c>
      <c r="H100">
        <f t="shared" si="1"/>
        <v>1032</v>
      </c>
    </row>
    <row r="101" spans="4:8" x14ac:dyDescent="0.35">
      <c r="D101" s="77" t="str">
        <f>IF('Casos de Prueba'!B101&lt;&gt;0,'Casos de Prueba'!B101&amp;"-"&amp;_xlfn.SINGLE('Casos de Prueba'!C101),"")</f>
        <v/>
      </c>
      <c r="E101" s="77">
        <f>IF(LEN($D101)&gt;0,"",'Casos de Prueba'!D101)</f>
        <v>5</v>
      </c>
      <c r="F101" s="77" t="str">
        <f>IF(LEN($C101)&gt;0,"",'Casos de Prueba'!E101)</f>
        <v>Selecciona un folio fiscal (UUID) de la tabla “Resultados”</v>
      </c>
      <c r="G101" s="77" t="str">
        <f>IF(LEN($C101)&gt;0,"",'Casos de Prueba'!F101&amp;CHAR(10)&amp;'Casos de Prueba'!G101)</f>
        <v xml:space="preserve">En la columna de acciones se desplegaran los botones 
•	Descargar
•	Recuperar Representación Impresa  
•	Recuperar RI Complemento Carta Porte (Condicional)
</v>
      </c>
      <c r="H101">
        <f t="shared" si="1"/>
        <v>157</v>
      </c>
    </row>
    <row r="102" spans="4:8" x14ac:dyDescent="0.35">
      <c r="D102" s="77" t="str">
        <f>IF('Casos de Prueba'!B102&lt;&gt;0,'Casos de Prueba'!B102&amp;"-"&amp;_xlfn.SINGLE('Casos de Prueba'!C102),"")</f>
        <v/>
      </c>
      <c r="E102" s="77">
        <f>IF(LEN($D102)&gt;0,"",'Casos de Prueba'!D102)</f>
        <v>6</v>
      </c>
      <c r="F102" s="77" t="str">
        <f>IF(LEN($C102)&gt;0,"",'Casos de Prueba'!E102)</f>
        <v>Da clic en el la opción Recuperar Representación Impresa</v>
      </c>
      <c r="G102" s="77" t="str">
        <f>IF(LEN($C102)&gt;0,"",'Casos de Prueba'!F102&amp;CHAR(10)&amp;'Casos de Prueba'!G102)</f>
        <v>El sistema muestra la representación impresa del comprobante
La descarga se realiza uno a uno, contemplando el límite diario establecido para los archivos PDF en su RI.
(Aplica las Reglas de Negocio 07, 08 y 14)</v>
      </c>
      <c r="H102">
        <f t="shared" si="1"/>
        <v>211</v>
      </c>
    </row>
    <row r="103" spans="4:8" x14ac:dyDescent="0.35">
      <c r="D103" s="77" t="str">
        <f>IF('Casos de Prueba'!B103&lt;&gt;0,'Casos de Prueba'!B103&amp;"-"&amp;_xlfn.SINGLE('Casos de Prueba'!C103),"")</f>
        <v/>
      </c>
      <c r="E103" s="77">
        <f>IF(LEN($D103)&gt;0,"",'Casos de Prueba'!D103)</f>
        <v>7</v>
      </c>
      <c r="F103" s="77" t="str">
        <f>IF(LEN($C103)&gt;0,"",'Casos de Prueba'!E103)</f>
        <v>Da clic en cerrar sesión</v>
      </c>
      <c r="G103" s="77" t="str">
        <f>IF(LEN($C103)&gt;0,"",'Casos de Prueba'!F103&amp;CHAR(10)&amp;'Casos de Prueba'!G103)</f>
        <v xml:space="preserve">Cierra la aplicación y se direcciona a la pantalla de autenticación.
</v>
      </c>
      <c r="H103">
        <f t="shared" si="1"/>
        <v>69</v>
      </c>
    </row>
    <row r="104" spans="4:8" x14ac:dyDescent="0.35">
      <c r="D104" s="77" t="str">
        <f>IF('Casos de Prueba'!B104&lt;&gt;0,'Casos de Prueba'!B104&amp;"-"&amp;_xlfn.SINGLE('Casos de Prueba'!C104),"")</f>
        <v>CP14-Masiva UUID/Descargar RI</v>
      </c>
      <c r="E104" s="77" t="str">
        <f>IF(LEN($D104)&gt;0,"",'Casos de Prueba'!D104)</f>
        <v/>
      </c>
      <c r="F104" s="77"/>
      <c r="G104" s="77" t="str">
        <f>IF(LEN($C104)&gt;0,"",'Casos de Prueba'!F104&amp;CHAR(10)&amp;'Casos de Prueba'!G104)</f>
        <v xml:space="preserve">
</v>
      </c>
      <c r="H104">
        <f t="shared" si="1"/>
        <v>1</v>
      </c>
    </row>
    <row r="105" spans="4:8" x14ac:dyDescent="0.35">
      <c r="D105" s="77" t="str">
        <f>IF('Casos de Prueba'!B105&lt;&gt;0,'Casos de Prueba'!B105&amp;"-"&amp;_xlfn.SINGLE('Casos de Prueba'!C105),"")</f>
        <v/>
      </c>
      <c r="E105" s="77">
        <f>IF(LEN($D105)&gt;0,"",'Casos de Prueba'!D105)</f>
        <v>1</v>
      </c>
      <c r="F105" s="77" t="str">
        <f>IF(LEN($C105)&gt;0,"",'Casos de Prueba'!E105)</f>
        <v>Usuario ingresa al Portal Empleados Consulta Central</v>
      </c>
      <c r="G105" s="77" t="str">
        <f>IF(LEN($C105)&gt;0,"",'Casos de Prueba'!F105&amp;CHAR(10)&amp;'Casos de Prueba'!G105)</f>
        <v>El sistema muestra las siguientes opciones de búsqueda:
- Folio Fiscal
- Masiva UUID
- Fecha Inicial y Final de Emisión
El Usuario previamente se autenticó  y accedió al portal Empleados-Consulta Central</v>
      </c>
      <c r="H105">
        <f t="shared" si="1"/>
        <v>204</v>
      </c>
    </row>
    <row r="106" spans="4:8" x14ac:dyDescent="0.35">
      <c r="D106" s="77" t="str">
        <f>IF('Casos de Prueba'!B106&lt;&gt;0,'Casos de Prueba'!B106&amp;"-"&amp;_xlfn.SINGLE('Casos de Prueba'!C106),"")</f>
        <v/>
      </c>
      <c r="E106" s="77">
        <f>IF(LEN($D106)&gt;0,"",'Casos de Prueba'!D106)</f>
        <v>2</v>
      </c>
      <c r="F106" s="77" t="str">
        <f>IF(LEN($C106)&gt;0,"",'Casos de Prueba'!E106)</f>
        <v>Selecciona la opción Masiva UUID</v>
      </c>
      <c r="G106" s="77" t="str">
        <f>IF(LEN($C106)&gt;0,"",'Casos de Prueba'!F106&amp;CHAR(10)&amp;'Casos de Prueba'!G106)</f>
        <v>El sistema muestra las siguientes opciones de búsqueda:
- *Seleccionar Archivo
Botón Enviar
En caso de no seleccionar un archivo 
El sistema muestra el siguiente mensaje: "Debe seleccionar un archivo .txt que contenga información para continuar."</v>
      </c>
      <c r="H106">
        <f t="shared" si="1"/>
        <v>246</v>
      </c>
    </row>
    <row r="107" spans="4:8" x14ac:dyDescent="0.35">
      <c r="D107" s="77" t="str">
        <f>IF('Casos de Prueba'!B107&lt;&gt;0,'Casos de Prueba'!B107&amp;"-"&amp;_xlfn.SINGLE('Casos de Prueba'!C107),"")</f>
        <v/>
      </c>
      <c r="E107" s="77">
        <f>IF(LEN($D107)&gt;0,"",'Casos de Prueba'!D107)</f>
        <v>3</v>
      </c>
      <c r="F107" s="77" t="str">
        <f>IF(LEN($C107)&gt;0,"",'Casos de Prueba'!E107)</f>
        <v>Selecciona el archivo(txt) mediante el explorador de Windows.</v>
      </c>
      <c r="G107" s="77" t="str">
        <f>IF(LEN($C107)&gt;0,"",'Casos de Prueba'!F107&amp;CHAR(10)&amp;'Casos de Prueba'!G107)</f>
        <v xml:space="preserve">
El  aplicativo ejecuta la consulta y arroja el resultado conforme a los UUID definidos en el archivo.  
Archivo TXT con distintos UUID</v>
      </c>
      <c r="H107">
        <f t="shared" si="1"/>
        <v>135</v>
      </c>
    </row>
    <row r="108" spans="4:8" ht="63.5" customHeight="1" x14ac:dyDescent="0.35">
      <c r="D108" s="77" t="str">
        <f>IF('Casos de Prueba'!B108&lt;&gt;0,'Casos de Prueba'!B108&amp;"-"&amp;_xlfn.SINGLE('Casos de Prueba'!C108),"")</f>
        <v/>
      </c>
      <c r="E108" s="77">
        <f>IF(LEN($D108)&gt;0,"",'Casos de Prueba'!D108)</f>
        <v>4</v>
      </c>
      <c r="F108" s="77" t="str">
        <f>IF(LEN($C108)&gt;0,"",'Casos de Prueba'!E108)</f>
        <v>Da clic en el botón Enviar</v>
      </c>
      <c r="G108" s="77" t="str">
        <f>IF(LEN($C108)&gt;0,"",'Casos de Prueba'!F108&amp;CHAR(10)&amp;'Casos de Prueba'!G108)</f>
        <v xml:space="preserve">El sistema realiza la petición y si contiene folios correctos los muestra en la sección de resultados: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	La consulta masiva esta limitada a 1,000 registros de UUID.
•	El servicio solo permite la consulta a través de archivos de texto plano (.txt)
•	Si el sistema no encuentra folios válidos ver el caso de prueba CP29
</v>
      </c>
      <c r="H108">
        <f t="shared" si="1"/>
        <v>1266</v>
      </c>
    </row>
    <row r="109" spans="4:8" x14ac:dyDescent="0.35">
      <c r="D109" s="77" t="str">
        <f>IF('Casos de Prueba'!B109&lt;&gt;0,'Casos de Prueba'!B109&amp;"-"&amp;_xlfn.SINGLE('Casos de Prueba'!C109),"")</f>
        <v/>
      </c>
      <c r="E109" s="77">
        <f>IF(LEN($D109)&gt;0,"",'Casos de Prueba'!D109)</f>
        <v>5</v>
      </c>
      <c r="F109" s="77" t="str">
        <f>IF(LEN($C109)&gt;0,"",'Casos de Prueba'!E109)</f>
        <v>Selecciona un folio fiscal (UUID) de la tabla “Resultados”</v>
      </c>
      <c r="G109" s="77" t="str">
        <f>IF(LEN($C109)&gt;0,"",'Casos de Prueba'!F109&amp;CHAR(10)&amp;'Casos de Prueba'!G109)</f>
        <v xml:space="preserve">En la columna de acciones se desplegaran los botones 
•	Descargar
•	Recuperar Representación Impresa  
•	Recuperar RI Complemento Carta Porte (Condicional)
</v>
      </c>
      <c r="H109">
        <f t="shared" si="1"/>
        <v>157</v>
      </c>
    </row>
    <row r="110" spans="4:8" x14ac:dyDescent="0.35">
      <c r="D110" s="77" t="str">
        <f>IF('Casos de Prueba'!B110&lt;&gt;0,'Casos de Prueba'!B110&amp;"-"&amp;_xlfn.SINGLE('Casos de Prueba'!C110),"")</f>
        <v/>
      </c>
      <c r="E110" s="77">
        <f>IF(LEN($D110)&gt;0,"",'Casos de Prueba'!D110)</f>
        <v>6</v>
      </c>
      <c r="F110" s="77" t="str">
        <f>IF(LEN($C110)&gt;0,"",'Casos de Prueba'!E110)</f>
        <v>Da clic en el la opción Recuperar Representación Impresa</v>
      </c>
      <c r="G110" s="77" t="str">
        <f>IF(LEN($C110)&gt;0,"",'Casos de Prueba'!F110&amp;CHAR(10)&amp;'Casos de Prueba'!G110)</f>
        <v>El sistema muestra la representación impresa del comprobante
La descarga se realiza uno a uno, contemplando el límite diario establecido para los archivos PDF en su RI.
(Aplica las Reglas de Negocio 07, 08 y 14)</v>
      </c>
      <c r="H110">
        <f t="shared" si="1"/>
        <v>211</v>
      </c>
    </row>
    <row r="111" spans="4:8" x14ac:dyDescent="0.35">
      <c r="D111" s="77" t="str">
        <f>IF('Casos de Prueba'!B111&lt;&gt;0,'Casos de Prueba'!B111&amp;"-"&amp;_xlfn.SINGLE('Casos de Prueba'!C111),"")</f>
        <v/>
      </c>
      <c r="E111" s="77">
        <f>IF(LEN($D111)&gt;0,"",'Casos de Prueba'!D111)</f>
        <v>7</v>
      </c>
      <c r="F111" s="77" t="str">
        <f>IF(LEN($C111)&gt;0,"",'Casos de Prueba'!E111)</f>
        <v>Da clic en Cerrar Sesión</v>
      </c>
      <c r="G111" s="77" t="str">
        <f>IF(LEN($C111)&gt;0,"",'Casos de Prueba'!F111&amp;CHAR(10)&amp;'Casos de Prueba'!G111)</f>
        <v xml:space="preserve">Cierra la aplicación y se direcciona a la pantalla de autenticación.
</v>
      </c>
      <c r="H111">
        <f t="shared" si="1"/>
        <v>69</v>
      </c>
    </row>
    <row r="112" spans="4:8" x14ac:dyDescent="0.35">
      <c r="D112" s="77" t="e">
        <f>IF('Casos de Prueba'!#REF!&lt;&gt;0,'Casos de Prueba'!#REF!&amp;"-"&amp;_xlfn.SINGLE('Casos de Prueba'!#REF!),"")</f>
        <v>#REF!</v>
      </c>
      <c r="E112" s="77" t="e">
        <f>IF(LEN($D112)&gt;0,"",'Casos de Prueba'!#REF!)</f>
        <v>#REF!</v>
      </c>
      <c r="F112" s="77"/>
      <c r="G112" s="77" t="e">
        <f>IF(LEN($C112)&gt;0,"",'Casos de Prueba'!#REF!&amp;CHAR(10)&amp;'Casos de Prueba'!#REF!)</f>
        <v>#REF!</v>
      </c>
      <c r="H112" t="e">
        <f t="shared" si="1"/>
        <v>#REF!</v>
      </c>
    </row>
    <row r="113" spans="4:8" x14ac:dyDescent="0.35">
      <c r="D113" s="77" t="e">
        <f>IF('Casos de Prueba'!#REF!&lt;&gt;0,'Casos de Prueba'!#REF!&amp;"-"&amp;_xlfn.SINGLE('Casos de Prueba'!#REF!),"")</f>
        <v>#REF!</v>
      </c>
      <c r="E113" s="77" t="e">
        <f>IF(LEN($D113)&gt;0,"",'Casos de Prueba'!#REF!)</f>
        <v>#REF!</v>
      </c>
      <c r="F113" s="77" t="e">
        <f>IF(LEN($C113)&gt;0,"",'Casos de Prueba'!#REF!)</f>
        <v>#REF!</v>
      </c>
      <c r="G113" s="77" t="e">
        <f>IF(LEN($C113)&gt;0,"",'Casos de Prueba'!#REF!&amp;CHAR(10)&amp;'Casos de Prueba'!#REF!)</f>
        <v>#REF!</v>
      </c>
      <c r="H113" t="e">
        <f t="shared" si="1"/>
        <v>#REF!</v>
      </c>
    </row>
    <row r="114" spans="4:8" x14ac:dyDescent="0.35">
      <c r="D114" s="77" t="e">
        <f>IF('Casos de Prueba'!#REF!&lt;&gt;0,'Casos de Prueba'!#REF!&amp;"-"&amp;_xlfn.SINGLE('Casos de Prueba'!#REF!),"")</f>
        <v>#REF!</v>
      </c>
      <c r="E114" s="77" t="e">
        <f>IF(LEN($D114)&gt;0,"",'Casos de Prueba'!#REF!)</f>
        <v>#REF!</v>
      </c>
      <c r="F114" s="77" t="e">
        <f>IF(LEN($C114)&gt;0,"",'Casos de Prueba'!#REF!)</f>
        <v>#REF!</v>
      </c>
      <c r="G114" s="77" t="e">
        <f>IF(LEN($C114)&gt;0,"",'Casos de Prueba'!#REF!&amp;CHAR(10)&amp;'Casos de Prueba'!#REF!)</f>
        <v>#REF!</v>
      </c>
      <c r="H114" t="e">
        <f t="shared" si="1"/>
        <v>#REF!</v>
      </c>
    </row>
    <row r="115" spans="4:8" x14ac:dyDescent="0.35">
      <c r="D115" s="77" t="e">
        <f>IF('Casos de Prueba'!#REF!&lt;&gt;0,'Casos de Prueba'!#REF!&amp;"-"&amp;_xlfn.SINGLE('Casos de Prueba'!#REF!),"")</f>
        <v>#REF!</v>
      </c>
      <c r="E115" s="77" t="e">
        <f>IF(LEN($D115)&gt;0,"",'Casos de Prueba'!#REF!)</f>
        <v>#REF!</v>
      </c>
      <c r="F115" s="77" t="e">
        <f>IF(LEN($C115)&gt;0,"",'Casos de Prueba'!#REF!)</f>
        <v>#REF!</v>
      </c>
      <c r="G115" s="77" t="e">
        <f>IF(LEN($C115)&gt;0,"",'Casos de Prueba'!#REF!&amp;CHAR(10)&amp;'Casos de Prueba'!#REF!)</f>
        <v>#REF!</v>
      </c>
      <c r="H115" t="e">
        <f t="shared" si="1"/>
        <v>#REF!</v>
      </c>
    </row>
    <row r="116" spans="4:8" ht="55.5" customHeight="1" x14ac:dyDescent="0.35">
      <c r="D116" s="77" t="e">
        <f>IF('Casos de Prueba'!#REF!&lt;&gt;0,'Casos de Prueba'!#REF!&amp;"-"&amp;_xlfn.SINGLE('Casos de Prueba'!#REF!),"")</f>
        <v>#REF!</v>
      </c>
      <c r="E116" s="77" t="e">
        <f>IF(LEN($D116)&gt;0,"",'Casos de Prueba'!#REF!)</f>
        <v>#REF!</v>
      </c>
      <c r="F116" s="77" t="e">
        <f>IF(LEN($C116)&gt;0,"",'Casos de Prueba'!#REF!)</f>
        <v>#REF!</v>
      </c>
      <c r="G116" s="77" t="e">
        <f>IF(LEN($C116)&gt;0,"",'Casos de Prueba'!#REF!&amp;CHAR(10)&amp;'Casos de Prueba'!#REF!)</f>
        <v>#REF!</v>
      </c>
      <c r="H116" t="e">
        <f t="shared" si="1"/>
        <v>#REF!</v>
      </c>
    </row>
    <row r="117" spans="4:8" x14ac:dyDescent="0.35">
      <c r="D117" s="77" t="e">
        <f>IF('Casos de Prueba'!#REF!&lt;&gt;0,'Casos de Prueba'!#REF!&amp;"-"&amp;_xlfn.SINGLE('Casos de Prueba'!#REF!),"")</f>
        <v>#REF!</v>
      </c>
      <c r="E117" s="77" t="e">
        <f>IF(LEN($D117)&gt;0,"",'Casos de Prueba'!#REF!)</f>
        <v>#REF!</v>
      </c>
      <c r="F117" s="77" t="e">
        <f>IF(LEN($C117)&gt;0,"",'Casos de Prueba'!#REF!)</f>
        <v>#REF!</v>
      </c>
      <c r="G117" s="77" t="e">
        <f>IF(LEN($C117)&gt;0,"",'Casos de Prueba'!#REF!&amp;CHAR(10)&amp;'Casos de Prueba'!#REF!)</f>
        <v>#REF!</v>
      </c>
      <c r="H117" t="e">
        <f t="shared" si="1"/>
        <v>#REF!</v>
      </c>
    </row>
    <row r="118" spans="4:8" x14ac:dyDescent="0.35">
      <c r="D118" s="77" t="e">
        <f>IF('Casos de Prueba'!#REF!&lt;&gt;0,'Casos de Prueba'!#REF!&amp;"-"&amp;_xlfn.SINGLE('Casos de Prueba'!#REF!),"")</f>
        <v>#REF!</v>
      </c>
      <c r="E118" s="77" t="e">
        <f>IF(LEN($D118)&gt;0,"",'Casos de Prueba'!#REF!)</f>
        <v>#REF!</v>
      </c>
      <c r="F118" s="77" t="e">
        <f>IF(LEN($C118)&gt;0,"",'Casos de Prueba'!#REF!)</f>
        <v>#REF!</v>
      </c>
      <c r="G118" s="77" t="e">
        <f>IF(LEN($C118)&gt;0,"",'Casos de Prueba'!#REF!&amp;CHAR(10)&amp;'Casos de Prueba'!#REF!)</f>
        <v>#REF!</v>
      </c>
      <c r="H118" t="e">
        <f t="shared" si="1"/>
        <v>#REF!</v>
      </c>
    </row>
    <row r="119" spans="4:8" x14ac:dyDescent="0.35">
      <c r="D119" s="77" t="str">
        <f>IF('Casos de Prueba'!B112&lt;&gt;0,'Casos de Prueba'!B112&amp;"-"&amp;_xlfn.SINGLE('Casos de Prueba'!C112),"")</f>
        <v>CP15-Folio Fiscal/Descargar</v>
      </c>
      <c r="E119" s="77" t="str">
        <f>IF(LEN($D119)&gt;0,"",'Casos de Prueba'!D112)</f>
        <v/>
      </c>
      <c r="F119" s="77"/>
      <c r="G119" s="77" t="str">
        <f>IF(LEN($C119)&gt;0,"",'Casos de Prueba'!F112&amp;CHAR(10)&amp;'Casos de Prueba'!G112)</f>
        <v xml:space="preserve">
</v>
      </c>
      <c r="H119">
        <f t="shared" si="1"/>
        <v>1</v>
      </c>
    </row>
    <row r="120" spans="4:8" x14ac:dyDescent="0.35">
      <c r="D120" s="77" t="str">
        <f>IF('Casos de Prueba'!B113&lt;&gt;0,'Casos de Prueba'!B113&amp;"-"&amp;_xlfn.SINGLE('Casos de Prueba'!C113),"")</f>
        <v/>
      </c>
      <c r="E120" s="77">
        <f>IF(LEN($D120)&gt;0,"",'Casos de Prueba'!D113)</f>
        <v>1</v>
      </c>
      <c r="F120" s="77" t="str">
        <f>IF(LEN($C120)&gt;0,"",'Casos de Prueba'!E113)</f>
        <v>Usuario ingresa al Portal Empleados Consulta Central</v>
      </c>
      <c r="G120" s="77" t="str">
        <f>IF(LEN($C120)&gt;0,"",'Casos de Prueba'!F113&amp;CHAR(10)&amp;'Casos de Prueba'!G113)</f>
        <v>El sistema muestra las siguientes opciones de búsqueda:
- Folio Fiscal
- Masiva UUID
- Fecha Inicial y Final de Emisión
El Usuario previamente se autenticó  y accedió al portal Empleados-Consulta Central</v>
      </c>
      <c r="H120">
        <f t="shared" si="1"/>
        <v>204</v>
      </c>
    </row>
    <row r="121" spans="4:8" x14ac:dyDescent="0.35">
      <c r="D121" s="77" t="str">
        <f>IF('Casos de Prueba'!B114&lt;&gt;0,'Casos de Prueba'!B114&amp;"-"&amp;_xlfn.SINGLE('Casos de Prueba'!C114),"")</f>
        <v/>
      </c>
      <c r="E121" s="77">
        <f>IF(LEN($D121)&gt;0,"",'Casos de Prueba'!D114)</f>
        <v>2</v>
      </c>
      <c r="F121" s="77" t="str">
        <f>IF(LEN($C121)&gt;0,"",'Casos de Prueba'!E114)</f>
        <v>Selecciona la opción Folio Fiscal</v>
      </c>
      <c r="G121" s="77" t="str">
        <f>IF(LEN($C121)&gt;0,"",'Casos de Prueba'!F114&amp;CHAR(10)&amp;'Casos de Prueba'!G114)</f>
        <v xml:space="preserve">El sistema muestra cuadro de texto para incorporar el número de Folio Fiscal que se requiere buscar.
Al seleccionar el botón de folio fiscal se deben deshabilitar los campos de la sección Fecha Inicial y Final de Emisión
(Aplica la Regla de Negocio 01) </v>
      </c>
      <c r="H121">
        <f t="shared" si="1"/>
        <v>254</v>
      </c>
    </row>
    <row r="122" spans="4:8" x14ac:dyDescent="0.35">
      <c r="D122" s="77" t="str">
        <f>IF('Casos de Prueba'!B115&lt;&gt;0,'Casos de Prueba'!B115&amp;"-"&amp;_xlfn.SINGLE('Casos de Prueba'!C115),"")</f>
        <v/>
      </c>
      <c r="E122" s="77">
        <f>IF(LEN($D122)&gt;0,"",'Casos de Prueba'!D115)</f>
        <v>3</v>
      </c>
      <c r="F122" s="77" t="str">
        <f>IF(LEN($C122)&gt;0,"",'Casos de Prueba'!E115)</f>
        <v xml:space="preserve">Ingresa los datos del Folio Fiscal </v>
      </c>
      <c r="G122" s="77" t="str">
        <f>IF(LEN($C122)&gt;0,"",'Casos de Prueba'!F115&amp;CHAR(10)&amp;'Casos de Prueba'!G115)</f>
        <v xml:space="preserve">El sistema muestra los datos que se van ingresando del folio fiscal
</v>
      </c>
      <c r="H122">
        <f t="shared" si="1"/>
        <v>69</v>
      </c>
    </row>
    <row r="123" spans="4:8" ht="39.5" customHeight="1" x14ac:dyDescent="0.35">
      <c r="D123" s="77" t="str">
        <f>IF('Casos de Prueba'!B116&lt;&gt;0,'Casos de Prueba'!B116&amp;"-"&amp;_xlfn.SINGLE('Casos de Prueba'!C116),"")</f>
        <v/>
      </c>
      <c r="E123" s="77">
        <f>IF(LEN($D123)&gt;0,"",'Casos de Prueba'!D116)</f>
        <v>4</v>
      </c>
      <c r="F123" s="77" t="str">
        <f>IF(LEN($C123)&gt;0,"",'Casos de Prueba'!E116)</f>
        <v>Da clic en el botón buscar CFDI</v>
      </c>
      <c r="G123" s="77" t="str">
        <f>IF(LEN($C123)&gt;0,"",'Casos de Prueba'!F116&amp;CHAR(10)&amp;'Casos de Prueba'!G116)</f>
        <v>Si la petición es correcta, el sistema muestra:
A.	Casilla Acciones 
1)	Seleccionar.
2)	Descargar.
3)	Recuperar Representación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Metadata.
2)	Exportar Resultados a PDF.
3)	Exportar Resultados a CSV.
El aplicativo debe realizar la búsqueda de todas las versiones del CFDI (3.2, 3.3 y 4.0), de acuerdo a los criterios de búsqueda seleccionados previamente.
En caso de no encontrar información ir al Caso de Prueba "Sin Resultados"
En una consulta por Folio fiscal o cuando se realice la c onsulta por periodo de fecha y el resultado sea uno: (Aplica la Regla de Negocio 15) 
* Descargar metadata
*Exportar Resultados a PDF
*Exportar Resultados a CSV</v>
      </c>
      <c r="H123">
        <f t="shared" si="1"/>
        <v>1202</v>
      </c>
    </row>
    <row r="124" spans="4:8" x14ac:dyDescent="0.35">
      <c r="D124" s="77" t="str">
        <f>IF('Casos de Prueba'!B117&lt;&gt;0,'Casos de Prueba'!B117&amp;"-"&amp;_xlfn.SINGLE('Casos de Prueba'!C117),"")</f>
        <v/>
      </c>
      <c r="E124" s="77">
        <f>IF(LEN($D124)&gt;0,"",'Casos de Prueba'!D117)</f>
        <v>5</v>
      </c>
      <c r="F124" s="77" t="str">
        <f>IF(LEN($C124)&gt;0,"",'Casos de Prueba'!E117)</f>
        <v>Selecciona un folio fiscal (UUID) de la tabla “Resultados”</v>
      </c>
      <c r="G124" s="77" t="str">
        <f>IF(LEN($C124)&gt;0,"",'Casos de Prueba'!F117&amp;CHAR(10)&amp;'Casos de Prueba'!G117)</f>
        <v xml:space="preserve">En la columna de acciones se desplegaran los botones 
•	Descargar
•	Recuperar Representación Impresa  
•	Recuperar RI Complemento Carta Porte (Condicional)
</v>
      </c>
      <c r="H124">
        <f t="shared" si="1"/>
        <v>157</v>
      </c>
    </row>
    <row r="125" spans="4:8" x14ac:dyDescent="0.35">
      <c r="D125" s="77" t="str">
        <f>IF('Casos de Prueba'!B118&lt;&gt;0,'Casos de Prueba'!B118&amp;"-"&amp;_xlfn.SINGLE('Casos de Prueba'!C118),"")</f>
        <v/>
      </c>
      <c r="E125" s="77">
        <f>IF(LEN($D125)&gt;0,"",'Casos de Prueba'!D118)</f>
        <v>6</v>
      </c>
      <c r="F125" s="77" t="str">
        <f>IF(LEN($C125)&gt;0,"",'Casos de Prueba'!E118)</f>
        <v>Seleccionar el icono para el archivo XML</v>
      </c>
      <c r="G125" s="77" t="str">
        <f>IF(LEN($C125)&gt;0,"",'Casos de Prueba'!F118&amp;CHAR(10)&amp;'Casos de Prueba'!G118)</f>
        <v>El sistema abre una ventana emergente y comienza a descargar el archivo XML.
Esta descarga se realiza uno a uno, contemplando el límite diario establecido para los archivos XML.
(Aplica las Reglas de Negocio 09 y 14)</v>
      </c>
      <c r="H125">
        <f t="shared" si="1"/>
        <v>216</v>
      </c>
    </row>
    <row r="126" spans="4:8" x14ac:dyDescent="0.35">
      <c r="D126" s="77" t="str">
        <f>IF('Casos de Prueba'!B119&lt;&gt;0,'Casos de Prueba'!B119&amp;"-"&amp;_xlfn.SINGLE('Casos de Prueba'!C119),"")</f>
        <v/>
      </c>
      <c r="E126" s="77">
        <f>IF(LEN($D126)&gt;0,"",'Casos de Prueba'!D119)</f>
        <v>7</v>
      </c>
      <c r="F126" s="77" t="str">
        <f>IF(LEN($C126)&gt;0,"",'Casos de Prueba'!E119)</f>
        <v>Da clic en cerrar sesión</v>
      </c>
      <c r="G126" s="77" t="str">
        <f>IF(LEN($C126)&gt;0,"",'Casos de Prueba'!F119&amp;CHAR(10)&amp;'Casos de Prueba'!G119)</f>
        <v xml:space="preserve">Cierra la aplicación y se direcciona a la pantalla de autenticación.
</v>
      </c>
      <c r="H126">
        <f t="shared" si="1"/>
        <v>69</v>
      </c>
    </row>
    <row r="127" spans="4:8" x14ac:dyDescent="0.35">
      <c r="D127" s="77" t="str">
        <f>IF('Casos de Prueba'!B120&lt;&gt;0,'Casos de Prueba'!B120&amp;"-"&amp;_xlfn.SINGLE('Casos de Prueba'!C120),"")</f>
        <v>CP16-RFCEmisor/Descargar</v>
      </c>
      <c r="E127" s="77" t="str">
        <f>IF(LEN($D127)&gt;0,"",'Casos de Prueba'!D120)</f>
        <v/>
      </c>
      <c r="F127" s="77"/>
      <c r="G127" s="77" t="str">
        <f>IF(LEN($C127)&gt;0,"",'Casos de Prueba'!F120&amp;CHAR(10)&amp;'Casos de Prueba'!G120)</f>
        <v xml:space="preserve">
</v>
      </c>
      <c r="H127">
        <f t="shared" si="1"/>
        <v>1</v>
      </c>
    </row>
    <row r="128" spans="4:8" x14ac:dyDescent="0.35">
      <c r="D128" s="77" t="str">
        <f>IF('Casos de Prueba'!B121&lt;&gt;0,'Casos de Prueba'!B121&amp;"-"&amp;_xlfn.SINGLE('Casos de Prueba'!C121),"")</f>
        <v/>
      </c>
      <c r="E128" s="77">
        <f>IF(LEN($D128)&gt;0,"",'Casos de Prueba'!D121)</f>
        <v>1</v>
      </c>
      <c r="F128" s="77" t="str">
        <f>IF(LEN($C128)&gt;0,"",'Casos de Prueba'!E121)</f>
        <v>Usuario ingresa al Portal Empleados Consulta Central</v>
      </c>
      <c r="G128" s="77" t="str">
        <f>IF(LEN($C128)&gt;0,"",'Casos de Prueba'!F121&amp;CHAR(10)&amp;'Casos de Prueba'!G121)</f>
        <v>El sistema muestra las siguientes opciones de búsqueda:
- Folio Fiscal
- Masiva UUID
- Fecha Inicial y Final de Emisión
El Usuario previamente se autenticó  y accedió al portal Empleados-Consulta Central</v>
      </c>
      <c r="H128">
        <f t="shared" si="1"/>
        <v>204</v>
      </c>
    </row>
    <row r="129" spans="4:8" ht="14" customHeight="1" x14ac:dyDescent="0.35">
      <c r="D129" s="77" t="str">
        <f>IF('Casos de Prueba'!B122&lt;&gt;0,'Casos de Prueba'!B122&amp;"-"&amp;_xlfn.SINGLE('Casos de Prueba'!C122),"")</f>
        <v/>
      </c>
      <c r="E129" s="77">
        <f>IF(LEN($D129)&gt;0,"",'Casos de Prueba'!D122)</f>
        <v>2</v>
      </c>
      <c r="F129" s="77" t="str">
        <f>IF(LEN($C129)&gt;0,"",'Casos de Prueba'!E122)</f>
        <v>Selecciona la opción Fecha Inicial y Final de Emisión</v>
      </c>
      <c r="G129" s="77" t="str">
        <f>IF(LEN($C129)&gt;0,"",'Casos de Prueba'!F122&amp;CHAR(10)&amp;'Casos de Prueba'!G122)</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129">
        <f t="shared" si="1"/>
        <v>299</v>
      </c>
    </row>
    <row r="130" spans="4:8" x14ac:dyDescent="0.35">
      <c r="D130" s="77" t="str">
        <f>IF('Casos de Prueba'!B123&lt;&gt;0,'Casos de Prueba'!B123&amp;"-"&amp;_xlfn.SINGLE('Casos de Prueba'!C123),"")</f>
        <v/>
      </c>
      <c r="E130" s="77">
        <f>IF(LEN($D130)&gt;0,"",'Casos de Prueba'!D123)</f>
        <v>3</v>
      </c>
      <c r="F130" s="77" t="str">
        <f>IF(LEN($C130)&gt;0,"",'Casos de Prueba'!E123)</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130" s="77" t="str">
        <f>IF(LEN($C130)&gt;0,"",'Casos de Prueba'!F123&amp;CHAR(10)&amp;'Casos de Prueba'!G123)</f>
        <v xml:space="preserve">El sistema muestra los datos que se van ingresando .
</v>
      </c>
      <c r="H130">
        <f t="shared" si="1"/>
        <v>53</v>
      </c>
    </row>
    <row r="131" spans="4:8" ht="17.5" customHeight="1" x14ac:dyDescent="0.35">
      <c r="D131" s="77" t="str">
        <f>IF('Casos de Prueba'!B124&lt;&gt;0,'Casos de Prueba'!B124&amp;"-"&amp;_xlfn.SINGLE('Casos de Prueba'!C124),"")</f>
        <v/>
      </c>
      <c r="E131" s="77">
        <f>IF(LEN($D131)&gt;0,"",'Casos de Prueba'!D124)</f>
        <v>4</v>
      </c>
      <c r="F131" s="77" t="str">
        <f>IF(LEN($C131)&gt;0,"",'Casos de Prueba'!E124)</f>
        <v>Da clic en el botón buscar CFDI</v>
      </c>
      <c r="G131" s="77" t="str">
        <f>IF(LEN($C131)&gt;0,"",'Casos de Prueba'!F124&amp;CHAR(10)&amp;'Casos de Prueba'!G124)</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 Descargar metadata
*Exportar Resultados a PDF
*Exportar Resultados a CSV</v>
      </c>
      <c r="H131">
        <f t="shared" si="1"/>
        <v>1032</v>
      </c>
    </row>
    <row r="132" spans="4:8" x14ac:dyDescent="0.35">
      <c r="D132" s="77" t="str">
        <f>IF('Casos de Prueba'!B125&lt;&gt;0,'Casos de Prueba'!B125&amp;"-"&amp;_xlfn.SINGLE('Casos de Prueba'!C125),"")</f>
        <v/>
      </c>
      <c r="E132" s="77">
        <f>IF(LEN($D132)&gt;0,"",'Casos de Prueba'!D125)</f>
        <v>5</v>
      </c>
      <c r="F132" s="77" t="str">
        <f>IF(LEN($C132)&gt;0,"",'Casos de Prueba'!E125)</f>
        <v>Selecciona un folio fiscal (UUID) de la tabla “Resultados”</v>
      </c>
      <c r="G132" s="77" t="str">
        <f>IF(LEN($C132)&gt;0,"",'Casos de Prueba'!F125&amp;CHAR(10)&amp;'Casos de Prueba'!G125)</f>
        <v xml:space="preserve">En la columna de acciones se desplegaran los botones 
•	Descargar
•	Recuperar Representación Impresa  
•	Recuperar RI Complemento Carta Porte (Condicional)
</v>
      </c>
      <c r="H132">
        <f t="shared" si="1"/>
        <v>157</v>
      </c>
    </row>
    <row r="133" spans="4:8" x14ac:dyDescent="0.35">
      <c r="D133" s="77" t="str">
        <f>IF('Casos de Prueba'!B126&lt;&gt;0,'Casos de Prueba'!B126&amp;"-"&amp;_xlfn.SINGLE('Casos de Prueba'!C126),"")</f>
        <v/>
      </c>
      <c r="E133" s="77">
        <f>IF(LEN($D133)&gt;0,"",'Casos de Prueba'!D126)</f>
        <v>6</v>
      </c>
      <c r="F133" s="77" t="str">
        <f>IF(LEN($C133)&gt;0,"",'Casos de Prueba'!E126)</f>
        <v>Seleccionar el icono para el archivo XML</v>
      </c>
      <c r="G133" s="77" t="str">
        <f>IF(LEN($C133)&gt;0,"",'Casos de Prueba'!F126&amp;CHAR(10)&amp;'Casos de Prueba'!G126)</f>
        <v>El sistema abre una ventana emergente y comienza a descargar el archivo XML.
Esta descarga se realiza uno a uno, contemplando el límite diario establecido para los archivos XML.
(Aplica las Reglas de Negocio 09 y 14)</v>
      </c>
      <c r="H133">
        <f t="shared" si="1"/>
        <v>216</v>
      </c>
    </row>
    <row r="134" spans="4:8" x14ac:dyDescent="0.35">
      <c r="D134" s="77" t="str">
        <f>IF('Casos de Prueba'!B127&lt;&gt;0,'Casos de Prueba'!B127&amp;"-"&amp;_xlfn.SINGLE('Casos de Prueba'!C127),"")</f>
        <v/>
      </c>
      <c r="E134" s="77">
        <f>IF(LEN($D134)&gt;0,"",'Casos de Prueba'!D127)</f>
        <v>7</v>
      </c>
      <c r="F134" s="77" t="str">
        <f>IF(LEN($C134)&gt;0,"",'Casos de Prueba'!E127)</f>
        <v>Da clic en cerrar sesión</v>
      </c>
      <c r="G134" s="77" t="str">
        <f>IF(LEN($C134)&gt;0,"",'Casos de Prueba'!F127&amp;CHAR(10)&amp;'Casos de Prueba'!G127)</f>
        <v xml:space="preserve">Cierra la aplicación y se direcciona a la pantalla de autenticación.
</v>
      </c>
      <c r="H134">
        <f t="shared" si="1"/>
        <v>69</v>
      </c>
    </row>
    <row r="135" spans="4:8" x14ac:dyDescent="0.35">
      <c r="D135" s="77" t="str">
        <f>IF('Casos de Prueba'!B128&lt;&gt;0,'Casos de Prueba'!B128&amp;"-"&amp;_xlfn.SINGLE('Casos de Prueba'!C128),"")</f>
        <v>CP17-RFC Receptor/Descargar</v>
      </c>
      <c r="E135" s="77" t="str">
        <f>IF(LEN($D135)&gt;0,"",'Casos de Prueba'!D128)</f>
        <v/>
      </c>
      <c r="F135" s="77"/>
      <c r="G135" s="77" t="str">
        <f>IF(LEN($C135)&gt;0,"",'Casos de Prueba'!F128&amp;CHAR(10)&amp;'Casos de Prueba'!G128)</f>
        <v xml:space="preserve">
</v>
      </c>
      <c r="H135">
        <f t="shared" si="1"/>
        <v>1</v>
      </c>
    </row>
    <row r="136" spans="4:8" x14ac:dyDescent="0.35">
      <c r="D136" s="77" t="str">
        <f>IF('Casos de Prueba'!B129&lt;&gt;0,'Casos de Prueba'!B129&amp;"-"&amp;_xlfn.SINGLE('Casos de Prueba'!C129),"")</f>
        <v/>
      </c>
      <c r="E136" s="77">
        <f>IF(LEN($D136)&gt;0,"",'Casos de Prueba'!D129)</f>
        <v>1</v>
      </c>
      <c r="F136" s="77" t="str">
        <f>IF(LEN($C136)&gt;0,"",'Casos de Prueba'!E129)</f>
        <v>Usuario ingresa al Portal Empleados Consulta Central</v>
      </c>
      <c r="G136" s="77" t="str">
        <f>IF(LEN($C136)&gt;0,"",'Casos de Prueba'!F129&amp;CHAR(10)&amp;'Casos de Prueba'!G129)</f>
        <v>El sistema muestra las siguientes opciones de búsqueda:
- Folio Fiscal
- Masiva UUID
- Fecha Inicial y Final de Emisión
El Usuario previamente se autenticó  y accedió al portal Empleados-Consulta Central</v>
      </c>
      <c r="H136">
        <f t="shared" si="1"/>
        <v>204</v>
      </c>
    </row>
    <row r="137" spans="4:8" ht="11" customHeight="1" x14ac:dyDescent="0.35">
      <c r="D137" s="77" t="str">
        <f>IF('Casos de Prueba'!B130&lt;&gt;0,'Casos de Prueba'!B130&amp;"-"&amp;_xlfn.SINGLE('Casos de Prueba'!C130),"")</f>
        <v/>
      </c>
      <c r="E137" s="77">
        <f>IF(LEN($D137)&gt;0,"",'Casos de Prueba'!D130)</f>
        <v>2</v>
      </c>
      <c r="F137" s="77" t="str">
        <f>IF(LEN($C137)&gt;0,"",'Casos de Prueba'!E130)</f>
        <v>Selecciona la opción Fecha Inicial y Final de Emisión</v>
      </c>
      <c r="G137" s="77" t="str">
        <f>IF(LEN($C137)&gt;0,"",'Casos de Prueba'!F130&amp;CHAR(10)&amp;'Casos de Prueba'!G130)</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137">
        <f t="shared" si="1"/>
        <v>299</v>
      </c>
    </row>
    <row r="138" spans="4:8" x14ac:dyDescent="0.35">
      <c r="D138" s="77" t="str">
        <f>IF('Casos de Prueba'!B131&lt;&gt;0,'Casos de Prueba'!B131&amp;"-"&amp;_xlfn.SINGLE('Casos de Prueba'!C131),"")</f>
        <v/>
      </c>
      <c r="E138" s="77">
        <f>IF(LEN($D138)&gt;0,"",'Casos de Prueba'!D131)</f>
        <v>3</v>
      </c>
      <c r="F138" s="77" t="str">
        <f>IF(LEN($C138)&gt;0,"",'Casos de Prueba'!E131)</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138" s="77" t="str">
        <f>IF(LEN($C138)&gt;0,"",'Casos de Prueba'!F131&amp;CHAR(10)&amp;'Casos de Prueba'!G131)</f>
        <v xml:space="preserve">El sistema muestra los datos que se van ingresando .
</v>
      </c>
      <c r="H138">
        <f t="shared" si="1"/>
        <v>53</v>
      </c>
    </row>
    <row r="139" spans="4:8" ht="14.5" customHeight="1" x14ac:dyDescent="0.35">
      <c r="D139" s="77" t="str">
        <f>IF('Casos de Prueba'!B132&lt;&gt;0,'Casos de Prueba'!B132&amp;"-"&amp;_xlfn.SINGLE('Casos de Prueba'!C132),"")</f>
        <v/>
      </c>
      <c r="E139" s="77">
        <f>IF(LEN($D139)&gt;0,"",'Casos de Prueba'!D132)</f>
        <v>4</v>
      </c>
      <c r="F139" s="77" t="str">
        <f>IF(LEN($C139)&gt;0,"",'Casos de Prueba'!E132)</f>
        <v>Da clic en el botón buscar CFDI</v>
      </c>
      <c r="G139" s="77" t="str">
        <f>IF(LEN($C139)&gt;0,"",'Casos de Prueba'!F132&amp;CHAR(10)&amp;'Casos de Prueba'!G132)</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En una consulta por Folio fiscal o cuando se realice la c onsulta por periodo de fecha y el resultado sea uno: (Aplica la Regla de Negocio 15) 
* Descargar metadata
*Exportar Resultados a PDF
*Exportar Resultados a CSV</v>
      </c>
      <c r="H139">
        <f t="shared" si="1"/>
        <v>1032</v>
      </c>
    </row>
    <row r="140" spans="4:8" x14ac:dyDescent="0.35">
      <c r="D140" s="77" t="str">
        <f>IF('Casos de Prueba'!B133&lt;&gt;0,'Casos de Prueba'!B133&amp;"-"&amp;_xlfn.SINGLE('Casos de Prueba'!C133),"")</f>
        <v/>
      </c>
      <c r="E140" s="77">
        <f>IF(LEN($D140)&gt;0,"",'Casos de Prueba'!D133)</f>
        <v>5</v>
      </c>
      <c r="F140" s="77" t="str">
        <f>IF(LEN($C140)&gt;0,"",'Casos de Prueba'!E133)</f>
        <v>Selecciona un folio fiscal (UUID) de la tabla “Resultados”</v>
      </c>
      <c r="G140" s="77" t="str">
        <f>IF(LEN($C140)&gt;0,"",'Casos de Prueba'!F133&amp;CHAR(10)&amp;'Casos de Prueba'!G133)</f>
        <v xml:space="preserve">En la columna de acciones se desplegaran los botones 
•	Descargar
•	Recuperar Representación Impresa  
•	Recuperar RI Complemento Carta Porte (Condicional)
</v>
      </c>
      <c r="H140">
        <f t="shared" si="1"/>
        <v>157</v>
      </c>
    </row>
    <row r="141" spans="4:8" x14ac:dyDescent="0.35">
      <c r="D141" s="77" t="str">
        <f>IF('Casos de Prueba'!B134&lt;&gt;0,'Casos de Prueba'!B134&amp;"-"&amp;_xlfn.SINGLE('Casos de Prueba'!C134),"")</f>
        <v/>
      </c>
      <c r="E141" s="77">
        <f>IF(LEN($D141)&gt;0,"",'Casos de Prueba'!D134)</f>
        <v>6</v>
      </c>
      <c r="F141" s="77" t="str">
        <f>IF(LEN($C141)&gt;0,"",'Casos de Prueba'!E134)</f>
        <v>Seleccionar el icono para el archivo XML</v>
      </c>
      <c r="G141" s="77" t="str">
        <f>IF(LEN($C141)&gt;0,"",'Casos de Prueba'!F134&amp;CHAR(10)&amp;'Casos de Prueba'!G134)</f>
        <v>El sistema abre una ventana emergente y comienza a descargar el archivo XML.
Esta descarga se realiza uno a uno, contemplando el límite diario establecido para los archivos XML.
(Aplica las Reglas de Negocio 09 y 14)</v>
      </c>
      <c r="H141">
        <f t="shared" si="1"/>
        <v>216</v>
      </c>
    </row>
    <row r="142" spans="4:8" ht="18" customHeight="1" x14ac:dyDescent="0.35">
      <c r="D142" s="77" t="str">
        <f>IF('Casos de Prueba'!B135&lt;&gt;0,'Casos de Prueba'!B135&amp;"-"&amp;_xlfn.SINGLE('Casos de Prueba'!C135),"")</f>
        <v/>
      </c>
      <c r="E142" s="77">
        <f>IF(LEN($D142)&gt;0,"",'Casos de Prueba'!D135)</f>
        <v>7</v>
      </c>
      <c r="F142" s="77" t="str">
        <f>IF(LEN($C142)&gt;0,"",'Casos de Prueba'!E135)</f>
        <v>Da clic en cerrar sesión</v>
      </c>
      <c r="G142" s="77" t="str">
        <f>IF(LEN($C142)&gt;0,"",'Casos de Prueba'!F135&amp;CHAR(10)&amp;'Casos de Prueba'!G135)</f>
        <v xml:space="preserve">Cierra la aplicación y se direcciona a la pantalla de autenticación.
</v>
      </c>
      <c r="H142">
        <f t="shared" si="1"/>
        <v>69</v>
      </c>
    </row>
    <row r="143" spans="4:8" ht="19.5" customHeight="1" x14ac:dyDescent="0.35">
      <c r="D143" s="77" t="str">
        <f>IF('Casos de Prueba'!B136&lt;&gt;0,'Casos de Prueba'!B136&amp;"-"&amp;_xlfn.SINGLE('Casos de Prueba'!C136),"")</f>
        <v>CP18-Masiva UUID/Descargar</v>
      </c>
      <c r="E143" s="77" t="str">
        <f>IF(LEN($D143)&gt;0,"",'Casos de Prueba'!D136)</f>
        <v/>
      </c>
      <c r="F143" s="77"/>
      <c r="G143" s="77" t="str">
        <f>IF(LEN($C143)&gt;0,"",'Casos de Prueba'!F136&amp;CHAR(10)&amp;'Casos de Prueba'!G136)</f>
        <v xml:space="preserve">
</v>
      </c>
      <c r="H143">
        <f t="shared" si="1"/>
        <v>1</v>
      </c>
    </row>
    <row r="144" spans="4:8" ht="15" customHeight="1" x14ac:dyDescent="0.35">
      <c r="D144" s="77" t="str">
        <f>IF('Casos de Prueba'!B137&lt;&gt;0,'Casos de Prueba'!B137&amp;"-"&amp;_xlfn.SINGLE('Casos de Prueba'!C137),"")</f>
        <v/>
      </c>
      <c r="E144" s="77">
        <f>IF(LEN($D144)&gt;0,"",'Casos de Prueba'!D137)</f>
        <v>1</v>
      </c>
      <c r="F144" s="77" t="str">
        <f>IF(LEN($C144)&gt;0,"",'Casos de Prueba'!E137)</f>
        <v>Usuario ingresa al Portal Empleados Consulta Central</v>
      </c>
      <c r="G144" s="77" t="str">
        <f>IF(LEN($C144)&gt;0,"",'Casos de Prueba'!F137&amp;CHAR(10)&amp;'Casos de Prueba'!G137)</f>
        <v>El sistema muestra las siguientes opciones de búsqueda:
- Folio Fiscal
- Masiva UUID
- Fecha Inicial y Final de Emisión
El Usuario previamente se autenticó  y accedió al portal Empleados-Consulta Central</v>
      </c>
      <c r="H144">
        <f t="shared" si="1"/>
        <v>204</v>
      </c>
    </row>
    <row r="145" spans="4:8" ht="13.5" customHeight="1" x14ac:dyDescent="0.35">
      <c r="D145" s="77" t="str">
        <f>IF('Casos de Prueba'!B138&lt;&gt;0,'Casos de Prueba'!B138&amp;"-"&amp;_xlfn.SINGLE('Casos de Prueba'!C138),"")</f>
        <v/>
      </c>
      <c r="E145" s="77">
        <f>IF(LEN($D145)&gt;0,"",'Casos de Prueba'!D138)</f>
        <v>2</v>
      </c>
      <c r="F145" s="77" t="str">
        <f>IF(LEN($C145)&gt;0,"",'Casos de Prueba'!E138)</f>
        <v>Selecciona la opción Masiva UUID</v>
      </c>
      <c r="G145" s="77" t="str">
        <f>IF(LEN($C145)&gt;0,"",'Casos de Prueba'!F138&amp;CHAR(10)&amp;'Casos de Prueba'!G138)</f>
        <v>El sistema muestra las siguientes opciones de búsqueda:
- *Seleccionar Archivo
Botón Enviar
En caso de no seleccionar un archivo 
El sistema muestra el siguiente mensaje: "Debe seleccionar un archivo .txt que contenga información para continuar."</v>
      </c>
      <c r="H145">
        <f t="shared" si="1"/>
        <v>246</v>
      </c>
    </row>
    <row r="146" spans="4:8" ht="14.5" customHeight="1" x14ac:dyDescent="0.35">
      <c r="D146" s="77" t="str">
        <f>IF('Casos de Prueba'!B139&lt;&gt;0,'Casos de Prueba'!B139&amp;"-"&amp;_xlfn.SINGLE('Casos de Prueba'!C139),"")</f>
        <v/>
      </c>
      <c r="E146" s="77">
        <f>IF(LEN($D146)&gt;0,"",'Casos de Prueba'!D139)</f>
        <v>3</v>
      </c>
      <c r="F146" s="77" t="str">
        <f>IF(LEN($C146)&gt;0,"",'Casos de Prueba'!E139)</f>
        <v>Selecciona el archivo(txt) mediante el explorador de Windows.</v>
      </c>
      <c r="G146" s="77" t="str">
        <f>IF(LEN($C146)&gt;0,"",'Casos de Prueba'!F139&amp;CHAR(10)&amp;'Casos de Prueba'!G139)</f>
        <v xml:space="preserve">
El  aplicativo ejecuta la consulta y arroja el resultado conforme a los UUID definidos en el archivo.  
Archivo TXT con distintos UUID</v>
      </c>
      <c r="H146">
        <f t="shared" si="1"/>
        <v>135</v>
      </c>
    </row>
    <row r="147" spans="4:8" ht="15" customHeight="1" x14ac:dyDescent="0.35">
      <c r="D147" s="77" t="str">
        <f>IF('Casos de Prueba'!B140&lt;&gt;0,'Casos de Prueba'!B140&amp;"-"&amp;_xlfn.SINGLE('Casos de Prueba'!C140),"")</f>
        <v/>
      </c>
      <c r="E147" s="77">
        <f>IF(LEN($D147)&gt;0,"",'Casos de Prueba'!D140)</f>
        <v>4</v>
      </c>
      <c r="F147" s="77" t="str">
        <f>IF(LEN($C147)&gt;0,"",'Casos de Prueba'!E140)</f>
        <v>Da clic en el botón Enviar</v>
      </c>
      <c r="G147" s="77" t="str">
        <f>IF(LEN($C147)&gt;0,"",'Casos de Prueba'!F140&amp;CHAR(10)&amp;'Casos de Prueba'!G140)</f>
        <v xml:space="preserve">El sistema realiza la petición y si contiene folios correctos los muestra en la sección de resultados: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	La consulta masiva esta limitada a 1,000 registros de UUID.
•	El servicio solo permite la consulta a través de archivos de texto plano (.txt)
•	Si el sistema no encuentra folios válidos ver el caso de prueba CP29
</v>
      </c>
      <c r="H147">
        <f t="shared" si="1"/>
        <v>1266</v>
      </c>
    </row>
    <row r="148" spans="4:8" x14ac:dyDescent="0.35">
      <c r="D148" s="77" t="str">
        <f>IF('Casos de Prueba'!B141&lt;&gt;0,'Casos de Prueba'!B141&amp;"-"&amp;_xlfn.SINGLE('Casos de Prueba'!C141),"")</f>
        <v/>
      </c>
      <c r="E148" s="77">
        <f>IF(LEN($D148)&gt;0,"",'Casos de Prueba'!D141)</f>
        <v>5</v>
      </c>
      <c r="F148" s="77" t="str">
        <f>IF(LEN($C148)&gt;0,"",'Casos de Prueba'!E141)</f>
        <v>Selecciona un folio fiscal (UUID) de la tabla “Resultados”</v>
      </c>
      <c r="G148" s="77" t="str">
        <f>IF(LEN($C148)&gt;0,"",'Casos de Prueba'!F141&amp;CHAR(10)&amp;'Casos de Prueba'!G141)</f>
        <v xml:space="preserve">En la columna de acciones se desplegaran los botones 
•	Descargar
•	Recuperar Representación Impresa  
•	Recuperar RI Complemento Carta Porte (Condicional)
</v>
      </c>
      <c r="H148">
        <f t="shared" si="1"/>
        <v>157</v>
      </c>
    </row>
    <row r="149" spans="4:8" x14ac:dyDescent="0.35">
      <c r="D149" s="77" t="str">
        <f>IF('Casos de Prueba'!B142&lt;&gt;0,'Casos de Prueba'!B142&amp;"-"&amp;_xlfn.SINGLE('Casos de Prueba'!C142),"")</f>
        <v/>
      </c>
      <c r="E149" s="77">
        <f>IF(LEN($D149)&gt;0,"",'Casos de Prueba'!D142)</f>
        <v>6</v>
      </c>
      <c r="F149" s="77" t="str">
        <f>IF(LEN($C149)&gt;0,"",'Casos de Prueba'!E142)</f>
        <v>Seleccionar el icono para el archivo XML</v>
      </c>
      <c r="G149" s="77" t="str">
        <f>IF(LEN($C149)&gt;0,"",'Casos de Prueba'!F142&amp;CHAR(10)&amp;'Casos de Prueba'!G142)</f>
        <v>El sistema abre una ventana emergente y comienza a descargar el archivo XML.
Esta descarga se realiza uno a uno, contemplando el límite diario establecido para los archivos XML.
(Aplica las Reglas de Negocio 09 y 14)</v>
      </c>
      <c r="H149">
        <f t="shared" ref="H149:H212" si="2">+LEN(G149)</f>
        <v>216</v>
      </c>
    </row>
    <row r="150" spans="4:8" x14ac:dyDescent="0.35">
      <c r="D150" s="77" t="str">
        <f>IF('Casos de Prueba'!B143&lt;&gt;0,'Casos de Prueba'!B143&amp;"-"&amp;_xlfn.SINGLE('Casos de Prueba'!C143),"")</f>
        <v/>
      </c>
      <c r="E150" s="77">
        <f>IF(LEN($D150)&gt;0,"",'Casos de Prueba'!D143)</f>
        <v>7</v>
      </c>
      <c r="F150" s="77" t="str">
        <f>IF(LEN($C150)&gt;0,"",'Casos de Prueba'!E143)</f>
        <v>Da clic en cerrar sesión</v>
      </c>
      <c r="G150" s="77" t="str">
        <f>IF(LEN($C150)&gt;0,"",'Casos de Prueba'!F143&amp;CHAR(10)&amp;'Casos de Prueba'!G143)</f>
        <v xml:space="preserve">Cierra la aplicación y se direcciona a la pantalla de autenticación.
</v>
      </c>
      <c r="H150">
        <f t="shared" si="2"/>
        <v>69</v>
      </c>
    </row>
    <row r="151" spans="4:8" x14ac:dyDescent="0.35">
      <c r="D151" s="77" t="str">
        <f>IF('Casos de Prueba'!B144&lt;&gt;0,'Casos de Prueba'!B144&amp;"-"&amp;_xlfn.SINGLE('Casos de Prueba'!C144),"")</f>
        <v>CP19-Descargar Seleccionados XML</v>
      </c>
      <c r="E151" s="77" t="str">
        <f>IF(LEN($D151)&gt;0,"",'Casos de Prueba'!D144)</f>
        <v/>
      </c>
      <c r="F151" s="77"/>
      <c r="G151" s="77" t="str">
        <f>IF(LEN($C151)&gt;0,"",'Casos de Prueba'!F144&amp;CHAR(10)&amp;'Casos de Prueba'!G144)</f>
        <v xml:space="preserve">
</v>
      </c>
      <c r="H151">
        <f t="shared" si="2"/>
        <v>1</v>
      </c>
    </row>
    <row r="152" spans="4:8" x14ac:dyDescent="0.35">
      <c r="D152" s="77" t="str">
        <f>IF('Casos de Prueba'!B145&lt;&gt;0,'Casos de Prueba'!B145&amp;"-"&amp;_xlfn.SINGLE('Casos de Prueba'!C145),"")</f>
        <v/>
      </c>
      <c r="E152" s="77">
        <f>IF(LEN($D152)&gt;0,"",'Casos de Prueba'!D145)</f>
        <v>1</v>
      </c>
      <c r="F152" s="77" t="str">
        <f>IF(LEN($C152)&gt;0,"",'Casos de Prueba'!E145)</f>
        <v>Selecciona los Folios fiscales a descargar</v>
      </c>
      <c r="G152" s="77" t="str">
        <f>IF(LEN($C152)&gt;0,"",'Casos de Prueba'!F145&amp;CHAR(10)&amp;'Casos de Prueba'!G145)</f>
        <v>El sistema muestra la selección de los CFDI
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v>
      </c>
      <c r="H152">
        <f t="shared" si="2"/>
        <v>420</v>
      </c>
    </row>
    <row r="153" spans="4:8" x14ac:dyDescent="0.35">
      <c r="D153" s="77" t="str">
        <f>IF('Casos de Prueba'!B146&lt;&gt;0,'Casos de Prueba'!B146&amp;"-"&amp;_xlfn.SINGLE('Casos de Prueba'!C146),"")</f>
        <v/>
      </c>
      <c r="E153" s="77">
        <f>IF(LEN($D153)&gt;0,"",'Casos de Prueba'!D146)</f>
        <v>2</v>
      </c>
      <c r="F153" s="77" t="str">
        <f>IF(LEN($C153)&gt;0,"",'Casos de Prueba'!E146)</f>
        <v>Selecciona la opción: Descargar Seleccionados XML</v>
      </c>
      <c r="G153" s="77" t="str">
        <f>IF(LEN($C153)&gt;0,"",'Casos de Prueba'!F146&amp;CHAR(10)&amp;'Casos de Prueba'!G146)</f>
        <v>El sistema descarga de manera masiva los XML de los CFDI seleccionados que se obtuvieron como resultado de la búsqueda. 
Al momento de seleccionar está opción el sistema envía el mensaje: 
¡Descarga realizada con éxito!
La descarga de los CFDI se encuentra en proceso y podrás obtener el resultado con el folio de descarga: XXXXXXXX-XXXX-XXXX-XXXX-XXXXXXXXXXXX,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“Consulta Descarga”. 
ir al CP CP05/ConsultaCentral_CFDI_Consulta Descarga
(Aplica la Regla de Negocio 10) 
El archivo ZIP correspondiente a la descarga masiva, debe contener los archivos XML seleccionados. 
(Aplica las Reglas de Negocio 09, 14 y 16)</v>
      </c>
      <c r="H153">
        <f t="shared" si="2"/>
        <v>917</v>
      </c>
    </row>
    <row r="154" spans="4:8" x14ac:dyDescent="0.35">
      <c r="D154" s="77" t="str">
        <f>IF('Casos de Prueba'!B147&lt;&gt;0,'Casos de Prueba'!B147&amp;"-"&amp;_xlfn.SINGLE('Casos de Prueba'!C147),"")</f>
        <v/>
      </c>
      <c r="E154" s="77">
        <f>IF(LEN($D154)&gt;0,"",'Casos de Prueba'!D147)</f>
        <v>3</v>
      </c>
      <c r="F154" s="77" t="str">
        <f>IF(LEN($C154)&gt;0,"",'Casos de Prueba'!E147)</f>
        <v>Da clic en cerrar sesión</v>
      </c>
      <c r="G154" s="77" t="str">
        <f>IF(LEN($C154)&gt;0,"",'Casos de Prueba'!F147&amp;CHAR(10)&amp;'Casos de Prueba'!G147)</f>
        <v xml:space="preserve">Cierra la aplicación y se direcciona a la pantalla de autenticación.
</v>
      </c>
      <c r="H154">
        <f t="shared" si="2"/>
        <v>69</v>
      </c>
    </row>
    <row r="155" spans="4:8" x14ac:dyDescent="0.35">
      <c r="D155" s="77" t="str">
        <f>IF('Casos de Prueba'!B148&lt;&gt;0,'Casos de Prueba'!B148&amp;"-"&amp;_xlfn.SINGLE('Casos de Prueba'!C148),"")</f>
        <v>CP20-Descargar Seleccionar RI</v>
      </c>
      <c r="E155" s="77" t="str">
        <f>IF(LEN($D155)&gt;0,"",'Casos de Prueba'!D148)</f>
        <v/>
      </c>
      <c r="F155" s="77"/>
      <c r="G155" s="77" t="str">
        <f>IF(LEN($C155)&gt;0,"",'Casos de Prueba'!F148&amp;CHAR(10)&amp;'Casos de Prueba'!G148)</f>
        <v xml:space="preserve">
</v>
      </c>
      <c r="H155">
        <f t="shared" si="2"/>
        <v>1</v>
      </c>
    </row>
    <row r="156" spans="4:8" x14ac:dyDescent="0.35">
      <c r="D156" s="77" t="str">
        <f>IF('Casos de Prueba'!B149&lt;&gt;0,'Casos de Prueba'!B149&amp;"-"&amp;_xlfn.SINGLE('Casos de Prueba'!C149),"")</f>
        <v/>
      </c>
      <c r="E156" s="77">
        <f>IF(LEN($D156)&gt;0,"",'Casos de Prueba'!D149)</f>
        <v>1</v>
      </c>
      <c r="F156" s="77" t="str">
        <f>IF(LEN($C156)&gt;0,"",'Casos de Prueba'!E149)</f>
        <v>Selecciona los Folios fiscales a descargar</v>
      </c>
      <c r="G156" s="77" t="str">
        <f>IF(LEN($C156)&gt;0,"",'Casos de Prueba'!F149&amp;CHAR(10)&amp;'Casos de Prueba'!G149)</f>
        <v>El sistema muestra la selección de los CFDI
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v>
      </c>
      <c r="H156">
        <f t="shared" si="2"/>
        <v>420</v>
      </c>
    </row>
    <row r="157" spans="4:8" x14ac:dyDescent="0.35">
      <c r="D157" s="77" t="str">
        <f>IF('Casos de Prueba'!B150&lt;&gt;0,'Casos de Prueba'!B150&amp;"-"&amp;_xlfn.SINGLE('Casos de Prueba'!C150),"")</f>
        <v/>
      </c>
      <c r="E157" s="77">
        <f>IF(LEN($D157)&gt;0,"",'Casos de Prueba'!D150)</f>
        <v>2</v>
      </c>
      <c r="F157" s="77" t="str">
        <f>IF(LEN($C157)&gt;0,"",'Casos de Prueba'!E150)</f>
        <v>Selecciona la opción: Descargar  RI</v>
      </c>
      <c r="G157" s="77" t="str">
        <f>IF(LEN($C157)&gt;0,"",'Casos de Prueba'!F150&amp;CHAR(10)&amp;'Casos de Prueba'!G150)</f>
        <v xml:space="preserve">El sistema descarga de manera masiva la representación impresa de los CFDI seleccionados que se obtuvieron como resultado de la búsqueda. 
Al momento de seleccionar está opción el sistema envía el mensaje: 
¡Descarga realizada con éxito!
“La descarga de las representaciones impresas se encuentra en proceso y podrás obtener el resultado con el folio de descarga: 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v>
      </c>
      <c r="H157">
        <f t="shared" si="2"/>
        <v>823</v>
      </c>
    </row>
    <row r="158" spans="4:8" x14ac:dyDescent="0.35">
      <c r="D158" s="77" t="str">
        <f>IF('Casos de Prueba'!B151&lt;&gt;0,'Casos de Prueba'!B151&amp;"-"&amp;_xlfn.SINGLE('Casos de Prueba'!C151),"")</f>
        <v/>
      </c>
      <c r="E158" s="77">
        <f>IF(LEN($D158)&gt;0,"",'Casos de Prueba'!D151)</f>
        <v>3</v>
      </c>
      <c r="F158" s="77" t="str">
        <f>IF(LEN($C158)&gt;0,"",'Casos de Prueba'!E151)</f>
        <v>Da clic en cerrar sesión</v>
      </c>
      <c r="G158" s="77" t="str">
        <f>IF(LEN($C158)&gt;0,"",'Casos de Prueba'!F151&amp;CHAR(10)&amp;'Casos de Prueba'!G151)</f>
        <v xml:space="preserve">Cierra la aplicación y se direcciona a la pantalla de autenticación.
</v>
      </c>
      <c r="H158">
        <f t="shared" si="2"/>
        <v>69</v>
      </c>
    </row>
    <row r="159" spans="4:8" x14ac:dyDescent="0.35">
      <c r="D159" s="77" t="str">
        <f>IF('Casos de Prueba'!B152&lt;&gt;0,'Casos de Prueba'!B152&amp;"-"&amp;_xlfn.SINGLE('Casos de Prueba'!C152),"")</f>
        <v>CP21-Descarga Metadata</v>
      </c>
      <c r="E159" s="77" t="str">
        <f>IF(LEN($D159)&gt;0,"",'Casos de Prueba'!D152)</f>
        <v/>
      </c>
      <c r="F159" s="77"/>
      <c r="G159" s="77" t="str">
        <f>IF(LEN($C159)&gt;0,"",'Casos de Prueba'!F152&amp;CHAR(10)&amp;'Casos de Prueba'!G152)</f>
        <v xml:space="preserve">
</v>
      </c>
      <c r="H159">
        <f t="shared" si="2"/>
        <v>1</v>
      </c>
    </row>
    <row r="160" spans="4:8" x14ac:dyDescent="0.35">
      <c r="D160" s="77" t="str">
        <f>IF('Casos de Prueba'!B153&lt;&gt;0,'Casos de Prueba'!B153&amp;"-"&amp;_xlfn.SINGLE('Casos de Prueba'!C153),"")</f>
        <v/>
      </c>
      <c r="E160" s="77">
        <f>IF(LEN($D160)&gt;0,"",'Casos de Prueba'!D153)</f>
        <v>1</v>
      </c>
      <c r="F160" s="77" t="str">
        <f>IF(LEN($C160)&gt;0,"",'Casos de Prueba'!E153)</f>
        <v>Da clic en el botón buscar CFDI</v>
      </c>
      <c r="G160" s="77" t="str">
        <f>IF(LEN($C160)&gt;0,"",'Casos de Prueba'!F153&amp;CHAR(10)&amp;'Casos de Prueba'!G153)</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Viene de los Casos de Prueba: 
- CP01_/Folio Fiscal
- CP02_/RFCEmisor
- CP03_/RFCReceptor
- CP04_/RFCTercero
- CP06 /Masiva UUID
En una consulta por Folio fiscal o cuando se realice la c onsulta por periodo de fecha y el resultado sea uno: (Aplica la Regla de Negocio 15) 
* Descargar metadata
*Exportar Resultados a PDF
*Exportar Resultados a CSV</v>
      </c>
      <c r="H160">
        <f t="shared" si="2"/>
        <v>1162</v>
      </c>
    </row>
    <row r="161" spans="4:8" x14ac:dyDescent="0.35">
      <c r="D161" s="77" t="str">
        <f>IF('Casos de Prueba'!B154&lt;&gt;0,'Casos de Prueba'!B154&amp;"-"&amp;_xlfn.SINGLE('Casos de Prueba'!C154),"")</f>
        <v/>
      </c>
      <c r="E161" s="77">
        <f>IF(LEN($D161)&gt;0,"",'Casos de Prueba'!D154)</f>
        <v>2</v>
      </c>
      <c r="F161" s="77" t="str">
        <f>IF(LEN($C161)&gt;0,"",'Casos de Prueba'!E154)</f>
        <v xml:space="preserve">Selecciona la opción Descargar Metadata
</v>
      </c>
      <c r="G161" s="77" t="str">
        <f>IF(LEN($C161)&gt;0,"",'Casos de Prueba'!F154&amp;CHAR(10)&amp;'Casos de Prueba'!G154)</f>
        <v>Al momento de seleccionar está opción el sistema:
Enviara el mensaje: 
La descarga de metadatos se encuentra en proceso y podrás obtener el resultado con el folio de descarga:XXXXXXX-XXXX-XXXX-XXXX-XXXXXXXXXXX,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El archivo de texto plano debe de contener los datos de la metadata para los CFDI que corresponden al resultado de la consulta y que se visualizan en pantalla, como máximo 1,000 registros.
(Aplica las Reglas de Negocio 05 y 16)
Se descarga un archivo txt donde se muestra el detalle de los comprobantes separados por el carácter “~”.</v>
      </c>
      <c r="H161">
        <f t="shared" si="2"/>
        <v>965</v>
      </c>
    </row>
    <row r="162" spans="4:8" x14ac:dyDescent="0.35">
      <c r="D162" s="77" t="str">
        <f>IF('Casos de Prueba'!B155&lt;&gt;0,'Casos de Prueba'!B155&amp;"-"&amp;_xlfn.SINGLE('Casos de Prueba'!C155),"")</f>
        <v>CP22-Exportar resultados a PDF</v>
      </c>
      <c r="E162" s="77" t="str">
        <f>IF(LEN($D162)&gt;0,"",'Casos de Prueba'!D155)</f>
        <v/>
      </c>
      <c r="F162" s="77"/>
      <c r="G162" s="77" t="str">
        <f>IF(LEN($C162)&gt;0,"",'Casos de Prueba'!F155&amp;CHAR(10)&amp;'Casos de Prueba'!G155)</f>
        <v xml:space="preserve">
</v>
      </c>
      <c r="H162">
        <f t="shared" si="2"/>
        <v>1</v>
      </c>
    </row>
    <row r="163" spans="4:8" x14ac:dyDescent="0.35">
      <c r="D163" s="77" t="str">
        <f>IF('Casos de Prueba'!B156&lt;&gt;0,'Casos de Prueba'!B156&amp;"-"&amp;_xlfn.SINGLE('Casos de Prueba'!C156),"")</f>
        <v/>
      </c>
      <c r="E163" s="77">
        <f>IF(LEN($D163)&gt;0,"",'Casos de Prueba'!D156)</f>
        <v>1</v>
      </c>
      <c r="F163" s="77" t="str">
        <f>IF(LEN($C163)&gt;0,"",'Casos de Prueba'!E156)</f>
        <v>Da clic en el  botón Exportar resultados a PDF</v>
      </c>
      <c r="G163" s="77" t="str">
        <f>IF(LEN($C163)&gt;0,"",'Casos de Prueba'!F156&amp;CHAR(10)&amp;'Casos de Prueba'!G156)</f>
        <v xml:space="preserve">El aplicativo exporta toda la información de cada uno de los CFDI contenidos en la tabla a un documento pdf.
El sistema utilizar el componente que disponga el explorador de Windows para poder abrir el archivo o en su caso los archivos seleccionados en formato pdf. 
Viene de los Casos de Prueba: 
- CP01_ConsultaCentral_CFDI_Búsqueda/Folio Fiscal
- CP02_ConsultaCentral_CFDI_Búsqueda/RFCEmisor
- CP03_ConsultaCentral_CFDI_Búsqueda/RFCReceptor
- CP04_ConsultaCentral_CFDI_Búsqueda/RFCTercero
- CP06 ConsultaCentral_CFDI_Búsqueda/Masiva UUID
La información que se muestra en el archivo pdf, será toda la relativa a cada CFDI resultado de la consulta, en caso de que en alguna columna no se tenga información no se mostrará.
El archivo PDF debe contener los CFDI que corresponden al resultado de la consulta y que se visualizan en pantalla, como máximo 1,000 registros.
(Aplica las Reglas de Negocio 05 y 16) </v>
      </c>
      <c r="H163">
        <f t="shared" si="2"/>
        <v>909</v>
      </c>
    </row>
    <row r="164" spans="4:8" x14ac:dyDescent="0.35">
      <c r="D164" s="77" t="str">
        <f>IF('Casos de Prueba'!B157&lt;&gt;0,'Casos de Prueba'!B157&amp;"-"&amp;_xlfn.SINGLE('Casos de Prueba'!C157),"")</f>
        <v/>
      </c>
      <c r="E164" s="77">
        <f>IF(LEN($D164)&gt;0,"",'Casos de Prueba'!D157)</f>
        <v>2</v>
      </c>
      <c r="F164" s="77" t="str">
        <f>IF(LEN($C164)&gt;0,"",'Casos de Prueba'!E157)</f>
        <v>Da clic en cerrar sesión</v>
      </c>
      <c r="G164" s="77" t="str">
        <f>IF(LEN($C164)&gt;0,"",'Casos de Prueba'!F157&amp;CHAR(10)&amp;'Casos de Prueba'!G157)</f>
        <v xml:space="preserve">Cierra la aplicación y se direcciona a la pantalla de autenticación.
</v>
      </c>
      <c r="H164">
        <f t="shared" si="2"/>
        <v>69</v>
      </c>
    </row>
    <row r="165" spans="4:8" x14ac:dyDescent="0.35">
      <c r="D165" s="77" t="str">
        <f>IF('Casos de Prueba'!B158&lt;&gt;0,'Casos de Prueba'!B158&amp;"-"&amp;_xlfn.SINGLE('Casos de Prueba'!C158),"")</f>
        <v>CP23-Exportar resultados a CSV</v>
      </c>
      <c r="E165" s="77" t="str">
        <f>IF(LEN($D165)&gt;0,"",'Casos de Prueba'!D158)</f>
        <v/>
      </c>
      <c r="F165" s="77"/>
      <c r="G165" s="77" t="str">
        <f>IF(LEN($C165)&gt;0,"",'Casos de Prueba'!F158&amp;CHAR(10)&amp;'Casos de Prueba'!G158)</f>
        <v xml:space="preserve">
</v>
      </c>
      <c r="H165">
        <f t="shared" si="2"/>
        <v>1</v>
      </c>
    </row>
    <row r="166" spans="4:8" x14ac:dyDescent="0.35">
      <c r="D166" s="77" t="str">
        <f>IF('Casos de Prueba'!B159&lt;&gt;0,'Casos de Prueba'!B159&amp;"-"&amp;_xlfn.SINGLE('Casos de Prueba'!C159),"")</f>
        <v/>
      </c>
      <c r="E166" s="77">
        <f>IF(LEN($D166)&gt;0,"",'Casos de Prueba'!D159)</f>
        <v>1</v>
      </c>
      <c r="F166" s="77" t="str">
        <f>IF(LEN($C166)&gt;0,"",'Casos de Prueba'!E159)</f>
        <v>Da clic en el  botón Exportar resultados a CSV</v>
      </c>
      <c r="G166" s="77" t="str">
        <f>IF(LEN($C166)&gt;0,"",'Casos de Prueba'!F159&amp;CHAR(10)&amp;'Casos de Prueba'!G159)</f>
        <v xml:space="preserve">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 CP01_ConsultaCentral_CFDI_Búsqueda/Folio Fiscal
- CP02_ConsultaCentral_CFDI_Búsqueda/RFCEmisor
- CP03_ConsultaCentral_CFDI_Búsqueda/RFCReceptor
- CP04_ConsultaCentral_CFDI_Búsqueda/RFCTercero
- CP06 ConsultaCentral_CFDI_Búsqueda/Masiva UUID
El archivo CSV debe contener los CFDI que corresponden al resultado de la consulta y que se visualizan en pantalla, como máximo 1,000 registros.
(Aplica las Reglas de Negocio 05 y 16) </v>
      </c>
      <c r="H166">
        <f t="shared" si="2"/>
        <v>858</v>
      </c>
    </row>
    <row r="167" spans="4:8" x14ac:dyDescent="0.35">
      <c r="D167" s="77" t="str">
        <f>IF('Casos de Prueba'!B160&lt;&gt;0,'Casos de Prueba'!B160&amp;"-"&amp;_xlfn.SINGLE('Casos de Prueba'!C160),"")</f>
        <v/>
      </c>
      <c r="E167" s="77">
        <f>IF(LEN($D167)&gt;0,"",'Casos de Prueba'!D160)</f>
        <v>2</v>
      </c>
      <c r="F167" s="77" t="str">
        <f>IF(LEN($C167)&gt;0,"",'Casos de Prueba'!E160)</f>
        <v>Da clic en cerrar sesión</v>
      </c>
      <c r="G167" s="77" t="str">
        <f>IF(LEN($C167)&gt;0,"",'Casos de Prueba'!F160&amp;CHAR(10)&amp;'Casos de Prueba'!G160)</f>
        <v xml:space="preserve">Cierra la aplicación y se direcciona a la pantalla de autenticación.
</v>
      </c>
      <c r="H167">
        <f t="shared" si="2"/>
        <v>69</v>
      </c>
    </row>
    <row r="168" spans="4:8" x14ac:dyDescent="0.35">
      <c r="D168" s="77" t="str">
        <f>IF('Casos de Prueba'!B161&lt;&gt;0,'Casos de Prueba'!B161&amp;"-"&amp;_xlfn.SINGLE('Casos de Prueba'!C161),"")</f>
        <v>CP24-Recuperar Descargas de CFDI</v>
      </c>
      <c r="E168" s="77" t="str">
        <f>IF(LEN($D168)&gt;0,"",'Casos de Prueba'!D161)</f>
        <v/>
      </c>
      <c r="F168" s="77"/>
      <c r="G168" s="77" t="str">
        <f>IF(LEN($C168)&gt;0,"",'Casos de Prueba'!F161&amp;CHAR(10)&amp;'Casos de Prueba'!G161)</f>
        <v xml:space="preserve">
</v>
      </c>
      <c r="H168">
        <f t="shared" si="2"/>
        <v>1</v>
      </c>
    </row>
    <row r="169" spans="4:8" x14ac:dyDescent="0.35">
      <c r="D169" s="77" t="str">
        <f>IF('Casos de Prueba'!B162&lt;&gt;0,'Casos de Prueba'!B162&amp;"-"&amp;_xlfn.SINGLE('Casos de Prueba'!C162),"")</f>
        <v/>
      </c>
      <c r="E169" s="77">
        <f>IF(LEN($D169)&gt;0,"",'Casos de Prueba'!D162)</f>
        <v>1</v>
      </c>
      <c r="F169" s="77" t="str">
        <f>IF(LEN($C169)&gt;0,"",'Casos de Prueba'!E162)</f>
        <v>Usuario ingresa al Portal Empleados Consulta Central y selecciona la opción "Recuperar descargas de CFDI".</v>
      </c>
      <c r="G169" s="77" t="str">
        <f>IF(LEN($C169)&gt;0,"",'Casos de Prueba'!F162&amp;CHAR(10)&amp;'Casos de Prueba'!G162)</f>
        <v>El sistema muestra en una pantalla adicional en relación a las peticiones solicitadas, exponiendo la nota: “En esta consulta se podrán recuperar solicitudes de descargas de CFDI y metadata de los últimos 3 días”.
La tabla de resultados de peticiones esta compuesta por las siguientes columnas:
-Descargar
-# de Paquete
-Folio de Descarga
-Tipo
-# de Documentos
-Fecha de la solicitud
Viene de los Casos de Prueba: 
ResultadodeConsulta/DescargarRI
ResultadosdeConsulta/DescargaMetadata</v>
      </c>
      <c r="H169">
        <f t="shared" si="2"/>
        <v>486</v>
      </c>
    </row>
    <row r="170" spans="4:8" x14ac:dyDescent="0.35">
      <c r="D170" s="77" t="str">
        <f>IF('Casos de Prueba'!B163&lt;&gt;0,'Casos de Prueba'!B163&amp;"-"&amp;_xlfn.SINGLE('Casos de Prueba'!C163),"")</f>
        <v/>
      </c>
      <c r="E170" s="77">
        <f>IF(LEN($D170)&gt;0,"",'Casos de Prueba'!D163)</f>
        <v>2</v>
      </c>
      <c r="F170" s="77" t="str">
        <f>IF(LEN($C170)&gt;0,"",'Casos de Prueba'!E163)</f>
        <v>En la columna "Descargar", el usuario ubica el registro y da clic en el icono</v>
      </c>
      <c r="G170" s="77" t="str">
        <f>IF(LEN($C170)&gt;0,"",'Casos de Prueba'!F163&amp;CHAR(10)&amp;'Casos de Prueba'!G163)</f>
        <v>El sistema procesa la petición y comienza la descarga del archivo.
El tiempo para generar los paquetes es de 48 horas máximo, a partir de la fecha de generación del folio de descarga.</v>
      </c>
      <c r="H170">
        <f t="shared" si="2"/>
        <v>183</v>
      </c>
    </row>
    <row r="171" spans="4:8" x14ac:dyDescent="0.35">
      <c r="D171" s="77" t="str">
        <f>IF('Casos de Prueba'!B164&lt;&gt;0,'Casos de Prueba'!B164&amp;"-"&amp;_xlfn.SINGLE('Casos de Prueba'!C164),"")</f>
        <v/>
      </c>
      <c r="E171" s="77">
        <f>IF(LEN($D171)&gt;0,"",'Casos de Prueba'!D164)</f>
        <v>3</v>
      </c>
      <c r="F171" s="77" t="str">
        <f>IF(LEN($C171)&gt;0,"",'Casos de Prueba'!E164)</f>
        <v>Da clic en cerrar sesión</v>
      </c>
      <c r="G171" s="77" t="str">
        <f>IF(LEN($C171)&gt;0,"",'Casos de Prueba'!F164&amp;CHAR(10)&amp;'Casos de Prueba'!G164)</f>
        <v xml:space="preserve">Cierra la aplicación y se direcciona a la pantalla de autenticación.
</v>
      </c>
      <c r="H171">
        <f t="shared" si="2"/>
        <v>69</v>
      </c>
    </row>
    <row r="172" spans="4:8" x14ac:dyDescent="0.35">
      <c r="D172" s="77" t="str">
        <f>IF('Casos de Prueba'!B165&lt;&gt;0,'Casos de Prueba'!B165&amp;"-"&amp;_xlfn.SINGLE('Casos de Prueba'!C165),"")</f>
        <v>CP25-Consulta/PPE</v>
      </c>
      <c r="E172" s="77" t="str">
        <f>IF(LEN($D172)&gt;0,"",'Casos de Prueba'!D165)</f>
        <v/>
      </c>
      <c r="F172" s="77"/>
      <c r="G172" s="77" t="str">
        <f>IF(LEN($C172)&gt;0,"",'Casos de Prueba'!F165&amp;CHAR(10)&amp;'Casos de Prueba'!G165)</f>
        <v xml:space="preserve">
</v>
      </c>
      <c r="H172">
        <f t="shared" si="2"/>
        <v>1</v>
      </c>
    </row>
    <row r="173" spans="4:8" x14ac:dyDescent="0.35">
      <c r="D173" s="77" t="str">
        <f>IF('Casos de Prueba'!B166&lt;&gt;0,'Casos de Prueba'!B166&amp;"-"&amp;_xlfn.SINGLE('Casos de Prueba'!C166),"")</f>
        <v/>
      </c>
      <c r="E173" s="77">
        <f>IF(LEN($D173)&gt;0,"",'Casos de Prueba'!D166)</f>
        <v>1</v>
      </c>
      <c r="F173" s="77" t="str">
        <f>IF(LEN($C173)&gt;0,"",'Casos de Prueba'!E166)</f>
        <v>Usuario ingresa al Portal Empleados Consulta Central</v>
      </c>
      <c r="G173" s="77" t="str">
        <f>IF(LEN($C173)&gt;0,"",'Casos de Prueba'!F166&amp;CHAR(10)&amp;'Casos de Prueba'!G166)</f>
        <v>El sistema muestra las siguientes opciones de búsqueda:
- Folio Fiscal
- Masiva UUID
- Fecha Inicial y Final de Emisión
El Usuario previamente se autenticó  y accedió al portal Empleados-Consulta Central</v>
      </c>
      <c r="H173">
        <f t="shared" si="2"/>
        <v>204</v>
      </c>
    </row>
    <row r="174" spans="4:8" x14ac:dyDescent="0.35">
      <c r="D174" s="77" t="str">
        <f>IF('Casos de Prueba'!B167&lt;&gt;0,'Casos de Prueba'!B167&amp;"-"&amp;_xlfn.SINGLE('Casos de Prueba'!C167),"")</f>
        <v/>
      </c>
      <c r="E174" s="77">
        <f>IF(LEN($D174)&gt;0,"",'Casos de Prueba'!D167)</f>
        <v>2</v>
      </c>
      <c r="F174" s="77" t="str">
        <f>IF(LEN($C174)&gt;0,"",'Casos de Prueba'!E167)</f>
        <v>Selecciona la opción Fecha Inicial y Final de Emisión</v>
      </c>
      <c r="G174" s="77" t="str">
        <f>IF(LEN($C174)&gt;0,"",'Casos de Prueba'!F167&amp;CHAR(10)&amp;'Casos de Prueba'!G167)</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174">
        <f t="shared" si="2"/>
        <v>299</v>
      </c>
    </row>
    <row r="175" spans="4:8" x14ac:dyDescent="0.35">
      <c r="D175" s="77" t="str">
        <f>IF('Casos de Prueba'!B168&lt;&gt;0,'Casos de Prueba'!B168&amp;"-"&amp;_xlfn.SINGLE('Casos de Prueba'!C168),"")</f>
        <v/>
      </c>
      <c r="E175" s="77">
        <f>IF(LEN($D175)&gt;0,"",'Casos de Prueba'!D168)</f>
        <v>3</v>
      </c>
      <c r="F175" s="77" t="str">
        <f>IF(LEN($C175)&gt;0,"",'Casos de Prueba'!E168)</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175" s="77" t="str">
        <f>IF(LEN($C175)&gt;0,"",'Casos de Prueba'!F168&amp;CHAR(10)&amp;'Casos de Prueba'!G168)</f>
        <v xml:space="preserve">El sistema muestra los datos que se van ingresando .
</v>
      </c>
      <c r="H175">
        <f t="shared" si="2"/>
        <v>53</v>
      </c>
    </row>
    <row r="176" spans="4:8" x14ac:dyDescent="0.35">
      <c r="D176" s="77" t="str">
        <f>IF('Casos de Prueba'!B169&lt;&gt;0,'Casos de Prueba'!B169&amp;"-"&amp;_xlfn.SINGLE('Casos de Prueba'!C169),"")</f>
        <v/>
      </c>
      <c r="E176" s="77">
        <f>IF(LEN($D176)&gt;0,"",'Casos de Prueba'!D169)</f>
        <v>4</v>
      </c>
      <c r="F176" s="77" t="str">
        <f>IF(LEN($C176)&gt;0,"",'Casos de Prueba'!E169)</f>
        <v>Da clic en el botón buscar CFDI</v>
      </c>
      <c r="G176" s="77" t="str">
        <f>IF(LEN($C176)&gt;0,"",'Casos de Prueba'!F169&amp;CHAR(10)&amp;'Casos de Prueba'!G169)</f>
        <v xml:space="preserve">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v>
      </c>
      <c r="H176">
        <f t="shared" si="2"/>
        <v>342</v>
      </c>
    </row>
    <row r="177" spans="4:8" x14ac:dyDescent="0.35">
      <c r="D177" s="77" t="str">
        <f>IF('Casos de Prueba'!B170&lt;&gt;0,'Casos de Prueba'!B170&amp;"-"&amp;_xlfn.SINGLE('Casos de Prueba'!C170),"")</f>
        <v/>
      </c>
      <c r="E177" s="77">
        <f>IF(LEN($D177)&gt;0,"",'Casos de Prueba'!D170)</f>
        <v>5</v>
      </c>
      <c r="F177" s="77" t="str">
        <f>IF(LEN($C177)&gt;0,"",'Casos de Prueba'!E170)</f>
        <v>El usuario valida los registros en la sección "Resultados"</v>
      </c>
      <c r="G177" s="77" t="str">
        <f>IF(LEN($C177)&gt;0,"",'Casos de Prueba'!F170&amp;CHAR(10)&amp;'Casos de Prueba'!G170)</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El Usuario previamente se autenticó  y accedió al portal Empleados-Consulta Central
En una consulta por Folio fiscal o cuando se realice la c onsulta por periodo de fecha y el resultado sea uno: (Aplica la Regla de Negocio 15) 
* Descargar metadata
*Exportar Resultados a PDF
*Exportar Resultados a CSV</v>
      </c>
      <c r="H177">
        <f t="shared" si="2"/>
        <v>1117</v>
      </c>
    </row>
    <row r="178" spans="4:8" x14ac:dyDescent="0.35">
      <c r="D178" s="77" t="str">
        <f>IF('Casos de Prueba'!B171&lt;&gt;0,'Casos de Prueba'!B171&amp;"-"&amp;_xlfn.SINGLE('Casos de Prueba'!C171),"")</f>
        <v/>
      </c>
      <c r="E178" s="77">
        <f>IF(LEN($D178)&gt;0,"",'Casos de Prueba'!D171)</f>
        <v>6</v>
      </c>
      <c r="F178" s="77" t="str">
        <f>IF(LEN($C178)&gt;0,"",'Casos de Prueba'!E171)</f>
        <v>Da clic en Cerrar Sesión</v>
      </c>
      <c r="G178" s="77" t="str">
        <f>IF(LEN($C178)&gt;0,"",'Casos de Prueba'!F171&amp;CHAR(10)&amp;'Casos de Prueba'!G171)</f>
        <v xml:space="preserve">Cierra la aplicación y se direcciona a la pantalla de autenticación.
</v>
      </c>
      <c r="H178">
        <f t="shared" si="2"/>
        <v>69</v>
      </c>
    </row>
    <row r="179" spans="4:8" x14ac:dyDescent="0.35">
      <c r="D179" s="77" t="str">
        <f>IF('Casos de Prueba'!B172&lt;&gt;0,'Casos de Prueba'!B172&amp;"-"&amp;_xlfn.SINGLE('Casos de Prueba'!C172),"")</f>
        <v>CP26-Autenticación</v>
      </c>
      <c r="E179" s="77" t="str">
        <f>IF(LEN($D179)&gt;0,"",'Casos de Prueba'!D172)</f>
        <v/>
      </c>
      <c r="F179" s="77"/>
      <c r="G179" s="77" t="str">
        <f>IF(LEN($C179)&gt;0,"",'Casos de Prueba'!F172&amp;CHAR(10)&amp;'Casos de Prueba'!G172)</f>
        <v xml:space="preserve">
</v>
      </c>
      <c r="H179">
        <f t="shared" si="2"/>
        <v>1</v>
      </c>
    </row>
    <row r="180" spans="4:8" x14ac:dyDescent="0.35">
      <c r="D180" s="77" t="str">
        <f>IF('Casos de Prueba'!B173&lt;&gt;0,'Casos de Prueba'!B173&amp;"-"&amp;_xlfn.SINGLE('Casos de Prueba'!C173),"")</f>
        <v/>
      </c>
      <c r="E180" s="77">
        <f>IF(LEN($D180)&gt;0,"",'Casos de Prueba'!D173)</f>
        <v>1</v>
      </c>
      <c r="F180" s="77" t="str">
        <f>IF(LEN($C180)&gt;0,"",'Casos de Prueba'!E173)</f>
        <v>Usuario abre explorador</v>
      </c>
      <c r="G180" s="77" t="str">
        <f>IF(LEN($C180)&gt;0,"",'Casos de Prueba'!F173&amp;CHAR(10)&amp;'Casos de Prueba'!G173)</f>
        <v xml:space="preserve">
</v>
      </c>
      <c r="H180">
        <f t="shared" si="2"/>
        <v>1</v>
      </c>
    </row>
    <row r="181" spans="4:8" x14ac:dyDescent="0.35">
      <c r="D181" s="77" t="str">
        <f>IF('Casos de Prueba'!B174&lt;&gt;0,'Casos de Prueba'!B174&amp;"-"&amp;_xlfn.SINGLE('Casos de Prueba'!C174),"")</f>
        <v/>
      </c>
      <c r="E181" s="77">
        <f>IF(LEN($D181)&gt;0,"",'Casos de Prueba'!D174)</f>
        <v>2</v>
      </c>
      <c r="F181" s="77" t="str">
        <f>IF(LEN($C181)&gt;0,"",'Casos de Prueba'!E174)</f>
        <v>Usuario ingresa a la URL correspondiente a la Consulta Central</v>
      </c>
      <c r="G181" s="77" t="str">
        <f>IF(LEN($C181)&gt;0,"",'Casos de Prueba'!F174&amp;CHAR(10)&amp;'Casos de Prueba'!G174)</f>
        <v xml:space="preserve">Se muestran los datos para ingresar:
Certificado (.cer)
Clave privada (.Key)
Contraseña de clave privada: 
Se muestra el campo RFC
</v>
      </c>
      <c r="H181">
        <f t="shared" si="2"/>
        <v>131</v>
      </c>
    </row>
    <row r="182" spans="4:8" x14ac:dyDescent="0.35">
      <c r="D182" s="77" t="str">
        <f>IF('Casos de Prueba'!B175&lt;&gt;0,'Casos de Prueba'!B175&amp;"-"&amp;_xlfn.SINGLE('Casos de Prueba'!C175),"")</f>
        <v/>
      </c>
      <c r="E182" s="77">
        <f>IF(LEN($D182)&gt;0,"",'Casos de Prueba'!D175)</f>
        <v>3</v>
      </c>
      <c r="F182" s="77" t="str">
        <f>IF(LEN($C182)&gt;0,"",'Casos de Prueba'!E175)</f>
        <v>Usuario da clic en buscar y selecciona el archivo correspondiente a su certificado</v>
      </c>
      <c r="G182" s="77" t="str">
        <f>IF(LEN($C182)&gt;0,"",'Casos de Prueba'!F175&amp;CHAR(10)&amp;'Casos de Prueba'!G175)</f>
        <v xml:space="preserve">Se muestra el dato en el  campo certificado y en el campo RFC el dato del RFC del contribuyente
</v>
      </c>
      <c r="H182">
        <f t="shared" si="2"/>
        <v>96</v>
      </c>
    </row>
    <row r="183" spans="4:8" x14ac:dyDescent="0.35">
      <c r="D183" s="77" t="str">
        <f>IF('Casos de Prueba'!B176&lt;&gt;0,'Casos de Prueba'!B176&amp;"-"&amp;_xlfn.SINGLE('Casos de Prueba'!C176),"")</f>
        <v/>
      </c>
      <c r="E183" s="77">
        <f>IF(LEN($D183)&gt;0,"",'Casos de Prueba'!D176)</f>
        <v>4</v>
      </c>
      <c r="F183" s="77" t="str">
        <f>IF(LEN($C183)&gt;0,"",'Casos de Prueba'!E176)</f>
        <v>Usuario da clic en buscar y selecciona el archivo correspondiente a su clave privada</v>
      </c>
      <c r="G183" s="77" t="str">
        <f>IF(LEN($C183)&gt;0,"",'Casos de Prueba'!F176&amp;CHAR(10)&amp;'Casos de Prueba'!G176)</f>
        <v xml:space="preserve">Se muestra el dato en el campo clave privada
</v>
      </c>
      <c r="H183">
        <f t="shared" si="2"/>
        <v>45</v>
      </c>
    </row>
    <row r="184" spans="4:8" x14ac:dyDescent="0.35">
      <c r="D184" s="77" t="str">
        <f>IF('Casos de Prueba'!B177&lt;&gt;0,'Casos de Prueba'!B177&amp;"-"&amp;_xlfn.SINGLE('Casos de Prueba'!C177),"")</f>
        <v/>
      </c>
      <c r="E184" s="77">
        <f>IF(LEN($D184)&gt;0,"",'Casos de Prueba'!D177)</f>
        <v>5</v>
      </c>
      <c r="F184" s="77" t="str">
        <f>IF(LEN($C184)&gt;0,"",'Casos de Prueba'!E177)</f>
        <v>Usuario ingresa su contraseña</v>
      </c>
      <c r="G184" s="77" t="str">
        <f>IF(LEN($C184)&gt;0,"",'Casos de Prueba'!F177&amp;CHAR(10)&amp;'Casos de Prueba'!G177)</f>
        <v xml:space="preserve">Se muestra oculto el dato en el campo contraseña
</v>
      </c>
      <c r="H184">
        <f t="shared" si="2"/>
        <v>49</v>
      </c>
    </row>
    <row r="185" spans="4:8" x14ac:dyDescent="0.35">
      <c r="D185" s="77" t="str">
        <f>IF('Casos de Prueba'!B178&lt;&gt;0,'Casos de Prueba'!B178&amp;"-"&amp;_xlfn.SINGLE('Casos de Prueba'!C178),"")</f>
        <v/>
      </c>
      <c r="E185" s="77">
        <f>IF(LEN($D185)&gt;0,"",'Casos de Prueba'!D178)</f>
        <v>6</v>
      </c>
      <c r="F185" s="77" t="str">
        <f>IF(LEN($C185)&gt;0,"",'Casos de Prueba'!E178)</f>
        <v>Da clic en enviar</v>
      </c>
      <c r="G185" s="77" t="str">
        <f>IF(LEN($C185)&gt;0,"",'Casos de Prueba'!F178&amp;CHAR(10)&amp;'Casos de Prueba'!G178)</f>
        <v xml:space="preserve">Si la autenticación es correcta, el aplicativo reenvía a la página principal.
</v>
      </c>
      <c r="H185">
        <f t="shared" si="2"/>
        <v>78</v>
      </c>
    </row>
    <row r="186" spans="4:8" x14ac:dyDescent="0.35">
      <c r="D186" s="77" t="str">
        <f>IF('Casos de Prueba'!B179&lt;&gt;0,'Casos de Prueba'!B179&amp;"-"&amp;_xlfn.SINGLE('Casos de Prueba'!C179),"")</f>
        <v>CP27-Cierre Sesión Inactividad</v>
      </c>
      <c r="E186" s="77" t="str">
        <f>IF(LEN($D186)&gt;0,"",'Casos de Prueba'!D179)</f>
        <v/>
      </c>
      <c r="F186" s="77"/>
      <c r="G186" s="77" t="str">
        <f>IF(LEN($C186)&gt;0,"",'Casos de Prueba'!F179&amp;CHAR(10)&amp;'Casos de Prueba'!G179)</f>
        <v xml:space="preserve">
</v>
      </c>
      <c r="H186">
        <f t="shared" si="2"/>
        <v>1</v>
      </c>
    </row>
    <row r="187" spans="4:8" x14ac:dyDescent="0.35">
      <c r="D187" s="77" t="str">
        <f>IF('Casos de Prueba'!B180&lt;&gt;0,'Casos de Prueba'!B180&amp;"-"&amp;_xlfn.SINGLE('Casos de Prueba'!C180),"")</f>
        <v/>
      </c>
      <c r="E187" s="77">
        <f>IF(LEN($D187)&gt;0,"",'Casos de Prueba'!D180)</f>
        <v>1</v>
      </c>
      <c r="F187" s="77" t="str">
        <f>IF(LEN($C187)&gt;0,"",'Casos de Prueba'!E180)</f>
        <v>Usuario ingresa al Portal Empleados Consulta Central</v>
      </c>
      <c r="G187" s="77" t="str">
        <f>IF(LEN($C187)&gt;0,"",'Casos de Prueba'!F180&amp;CHAR(10)&amp;'Casos de Prueba'!G180)</f>
        <v>El sistema muestra las siguientes opciones de búsqueda:
- Folio Fiscal
- Fecha Inicial y Final de Emisión
- Masiva UUID
El Usuario previamente se autenticó  y accedió al portal Empleados-Consulta Central</v>
      </c>
      <c r="H187">
        <f t="shared" si="2"/>
        <v>203</v>
      </c>
    </row>
    <row r="188" spans="4:8" x14ac:dyDescent="0.35">
      <c r="D188" s="77" t="str">
        <f>IF('Casos de Prueba'!B181&lt;&gt;0,'Casos de Prueba'!B181&amp;"-"&amp;_xlfn.SINGLE('Casos de Prueba'!C181),"")</f>
        <v/>
      </c>
      <c r="E188" s="77">
        <f>IF(LEN($D188)&gt;0,"",'Casos de Prueba'!D181)</f>
        <v>2</v>
      </c>
      <c r="F188" s="77" t="str">
        <f>IF(LEN($C188)&gt;0,"",'Casos de Prueba'!E181)</f>
        <v>Usuario deja la sesión abierta sin realizar ninguna acción.</v>
      </c>
      <c r="G188" s="77" t="str">
        <f>IF(LEN($C188)&gt;0,"",'Casos de Prueba'!F181&amp;CHAR(10)&amp;'Casos de Prueba'!G181)</f>
        <v xml:space="preserve">Después de 10 minutos de inactividad, se cerrará la sesión en automático.
</v>
      </c>
      <c r="H188">
        <f t="shared" si="2"/>
        <v>74</v>
      </c>
    </row>
    <row r="189" spans="4:8" x14ac:dyDescent="0.35">
      <c r="D189" s="77" t="str">
        <f>IF('Casos de Prueba'!B182&lt;&gt;0,'Casos de Prueba'!B182&amp;"-"&amp;_xlfn.SINGLE('Casos de Prueba'!C182),"")</f>
        <v/>
      </c>
      <c r="E189" s="77">
        <f>IF(LEN($D189)&gt;0,"",'Casos de Prueba'!D182)</f>
        <v>3</v>
      </c>
      <c r="F189" s="77" t="str">
        <f>IF(LEN($C189)&gt;0,"",'Casos de Prueba'!E182)</f>
        <v>El sistema cierra la sesión por inactividad</v>
      </c>
      <c r="G189" s="77" t="str">
        <f>IF(LEN($C189)&gt;0,"",'Casos de Prueba'!F182&amp;CHAR(10)&amp;'Casos de Prueba'!G182)</f>
        <v>Al cerrarse debe redirigir la página al Módulo de autentificación.
Para realizar una nueva consulta, el usuario requiere autenticarse de nuevo.</v>
      </c>
      <c r="H189">
        <f t="shared" si="2"/>
        <v>143</v>
      </c>
    </row>
    <row r="190" spans="4:8" x14ac:dyDescent="0.35">
      <c r="D190" s="77" t="e">
        <f>IF('Casos de Prueba'!#REF!&lt;&gt;0,'Casos de Prueba'!#REF!&amp;"-"&amp;_xlfn.SINGLE('Casos de Prueba'!#REF!),"")</f>
        <v>#REF!</v>
      </c>
      <c r="E190" s="77" t="e">
        <f>IF(LEN($D190)&gt;0,"",'Casos de Prueba'!#REF!)</f>
        <v>#REF!</v>
      </c>
      <c r="F190" s="77" t="e">
        <f>IF(LEN($C190)&gt;0,"",'Casos de Prueba'!#REF!)</f>
        <v>#REF!</v>
      </c>
      <c r="G190" s="77" t="e">
        <f>IF(LEN($C190)&gt;0,"",'Casos de Prueba'!#REF!&amp;CHAR(10)&amp;'Casos de Prueba'!#REF!)</f>
        <v>#REF!</v>
      </c>
      <c r="H190" t="e">
        <f t="shared" si="2"/>
        <v>#REF!</v>
      </c>
    </row>
    <row r="191" spans="4:8" x14ac:dyDescent="0.35">
      <c r="D191" s="77" t="str">
        <f>IF('Casos de Prueba'!B183&lt;&gt;0,'Casos de Prueba'!B183&amp;"-"&amp;_xlfn.SINGLE('Casos de Prueba'!C183),"")</f>
        <v>CP28-Masiva UUID / Archivo con Errores</v>
      </c>
      <c r="E191" s="77" t="str">
        <f>IF(LEN($D191)&gt;0,"",'Casos de Prueba'!D183)</f>
        <v/>
      </c>
      <c r="F191" s="77"/>
      <c r="G191" s="77" t="str">
        <f>IF(LEN($C191)&gt;0,"",'Casos de Prueba'!F183&amp;CHAR(10)&amp;'Casos de Prueba'!G183)</f>
        <v xml:space="preserve">
</v>
      </c>
      <c r="H191">
        <f t="shared" si="2"/>
        <v>1</v>
      </c>
    </row>
    <row r="192" spans="4:8" x14ac:dyDescent="0.35">
      <c r="D192" s="77" t="str">
        <f>IF('Casos de Prueba'!B184&lt;&gt;0,'Casos de Prueba'!B184&amp;"-"&amp;_xlfn.SINGLE('Casos de Prueba'!C184),"")</f>
        <v/>
      </c>
      <c r="E192" s="77">
        <f>IF(LEN($D192)&gt;0,"",'Casos de Prueba'!D184)</f>
        <v>1</v>
      </c>
      <c r="F192" s="77" t="str">
        <f>IF(LEN($C192)&gt;0,"",'Casos de Prueba'!E184)</f>
        <v>Usuario ingresa al Portal Empleados Consulta Central</v>
      </c>
      <c r="G192" s="77" t="str">
        <f>IF(LEN($C192)&gt;0,"",'Casos de Prueba'!F184&amp;CHAR(10)&amp;'Casos de Prueba'!G184)</f>
        <v>El sistema muestra las siguientes opciones de búsqueda:
- Folio Fiscal
- Masiva UUID
- Fecha Inicial y Final de Emisión
El Usuario previamente se autenticó  y accedió al portal Empleados-Consulta Central</v>
      </c>
      <c r="H192">
        <f t="shared" si="2"/>
        <v>204</v>
      </c>
    </row>
    <row r="193" spans="4:8" x14ac:dyDescent="0.35">
      <c r="D193" s="77" t="str">
        <f>IF('Casos de Prueba'!B185&lt;&gt;0,'Casos de Prueba'!B185&amp;"-"&amp;_xlfn.SINGLE('Casos de Prueba'!C185),"")</f>
        <v/>
      </c>
      <c r="E193" s="77">
        <f>IF(LEN($D193)&gt;0,"",'Casos de Prueba'!D185)</f>
        <v>2</v>
      </c>
      <c r="F193" s="77" t="str">
        <f>IF(LEN($C193)&gt;0,"",'Casos de Prueba'!E185)</f>
        <v>Selecciona la opción Masiva UUID</v>
      </c>
      <c r="G193" s="77" t="str">
        <f>IF(LEN($C193)&gt;0,"",'Casos de Prueba'!F185&amp;CHAR(10)&amp;'Casos de Prueba'!G185)</f>
        <v>El sistema muestra las siguientes opciones de búsqueda:
- *Seleccionar Archivo
Botón Enviar
En caso de no seleccionar un archivo 
El sistema muestra el siguiente mensaje: "Debe seleccionar un archivo .txt que contenga información para continuar."</v>
      </c>
      <c r="H193">
        <f t="shared" si="2"/>
        <v>246</v>
      </c>
    </row>
    <row r="194" spans="4:8" x14ac:dyDescent="0.35">
      <c r="D194" s="77" t="str">
        <f>IF('Casos de Prueba'!B186&lt;&gt;0,'Casos de Prueba'!B186&amp;"-"&amp;_xlfn.SINGLE('Casos de Prueba'!C186),"")</f>
        <v/>
      </c>
      <c r="E194" s="77">
        <f>IF(LEN($D194)&gt;0,"",'Casos de Prueba'!D186)</f>
        <v>3</v>
      </c>
      <c r="F194" s="77" t="str">
        <f>IF(LEN($C194)&gt;0,"",'Casos de Prueba'!E186)</f>
        <v>Selecciona el archivo(txt) mediante el explorador de Windows.</v>
      </c>
      <c r="G194" s="77" t="str">
        <f>IF(LEN($C194)&gt;0,"",'Casos de Prueba'!F186&amp;CHAR(10)&amp;'Casos de Prueba'!G186)</f>
        <v xml:space="preserve">
El  aplicativo ejecuta la consulta y arroja el resultado conforme a los UUID definidos en el archivo.  
Archivo TXT con distintos UUID</v>
      </c>
      <c r="H194">
        <f t="shared" si="2"/>
        <v>135</v>
      </c>
    </row>
    <row r="195" spans="4:8" x14ac:dyDescent="0.35">
      <c r="D195" s="77" t="str">
        <f>IF('Casos de Prueba'!B187&lt;&gt;0,'Casos de Prueba'!B187&amp;"-"&amp;_xlfn.SINGLE('Casos de Prueba'!C187),"")</f>
        <v/>
      </c>
      <c r="E195" s="77">
        <f>IF(LEN($D195)&gt;0,"",'Casos de Prueba'!D187)</f>
        <v>4</v>
      </c>
      <c r="F195" s="77" t="str">
        <f>IF(LEN($C195)&gt;0,"",'Casos de Prueba'!E187)</f>
        <v>Da clic en el botón Enviar</v>
      </c>
      <c r="G195" s="77" t="str">
        <f>IF(LEN($C195)&gt;0,"",'Casos de Prueba'!F187&amp;CHAR(10)&amp;'Casos de Prueba'!G187)</f>
        <v xml:space="preserve">El sistema realiza la petición y si contiene folios correctos los muestra en la sección de resultados: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Para la consulta Masiva UUID cuando el resultado contiene mas de un folio fiscal se mostrarán los botones: 
1)	Descargar seleccionados XML
2)	Exportar resultados a PDF
3)	Exportar resultados a CSV
Cuando el resultado solo contiene un resultado se mostrarán los botones:
1.	Exportar resultados a PDF
2.	Exportar resultados a CSV
•	La consulta masiva esta limitada a 1,000 registros de UUID.
•	El servicio solo permite la consulta a través de archivos de texto plano (.txt)
</v>
      </c>
      <c r="H195">
        <f t="shared" si="2"/>
        <v>1195</v>
      </c>
    </row>
    <row r="196" spans="4:8" x14ac:dyDescent="0.35">
      <c r="D196" s="77" t="str">
        <f>IF('Casos de Prueba'!B188&lt;&gt;0,'Casos de Prueba'!B188&amp;"-"&amp;_xlfn.SINGLE('Casos de Prueba'!C188),"")</f>
        <v/>
      </c>
      <c r="E196" s="77">
        <f>IF(LEN($D196)&gt;0,"",'Casos de Prueba'!D188)</f>
        <v>5</v>
      </c>
      <c r="F196" s="77" t="str">
        <f>IF(LEN($C196)&gt;0,"",'Casos de Prueba'!E188)</f>
        <v>Usuario copia Folio de Error con el detalle de los UUID que no se localizaron o que no cumplen con la estructura</v>
      </c>
      <c r="G196" s="77" t="str">
        <f>IF(LEN($C196)&gt;0,"",'Casos de Prueba'!F188&amp;CHAR(10)&amp;'Casos de Prueba'!G188)</f>
        <v xml:space="preserve">Para el caso de que en la relación de los folios fiscales consultados no se localicen o no cumplan la estructura de UUID de CFDI.
El sistema genera un mensaje
"No se encontraron folios válidos en el archivo. Podrás descargar el listado de errores con el folio de descarga: xxxxxxxx-xxxx-xxxx-xxxx-xxxxxxxxxxx"
</v>
      </c>
      <c r="H196">
        <f t="shared" si="2"/>
        <v>310</v>
      </c>
    </row>
    <row r="197" spans="4:8" x14ac:dyDescent="0.35">
      <c r="D197" s="77" t="str">
        <f>IF('Casos de Prueba'!B189&lt;&gt;0,'Casos de Prueba'!B189&amp;"-"&amp;_xlfn.SINGLE('Casos de Prueba'!C189),"")</f>
        <v/>
      </c>
      <c r="E197" s="77">
        <f>IF(LEN($D197)&gt;0,"",'Casos de Prueba'!D189)</f>
        <v>5</v>
      </c>
      <c r="F197" s="77" t="str">
        <f>IF(LEN($C197)&gt;0,"",'Casos de Prueba'!E189)</f>
        <v xml:space="preserve">Usuario da clic en el botón “Archivos solicitados” para realizar la descarga </v>
      </c>
      <c r="G197" s="77" t="str">
        <f>IF(LEN($C197)&gt;0,"",'Casos de Prueba'!F189&amp;CHAR(10)&amp;'Casos de Prueba'!G189)</f>
        <v xml:space="preserve">Es sistema comienza la descarga del archivo.
</v>
      </c>
      <c r="H197">
        <f t="shared" si="2"/>
        <v>45</v>
      </c>
    </row>
    <row r="198" spans="4:8" x14ac:dyDescent="0.35">
      <c r="D198" s="77" t="str">
        <f>IF('Casos de Prueba'!B190&lt;&gt;0,'Casos de Prueba'!B190&amp;"-"&amp;_xlfn.SINGLE('Casos de Prueba'!C190),"")</f>
        <v/>
      </c>
      <c r="E198" s="77">
        <f>IF(LEN($D198)&gt;0,"",'Casos de Prueba'!D190)</f>
        <v>6</v>
      </c>
      <c r="F198" s="77" t="str">
        <f>IF(LEN($C198)&gt;0,"",'Casos de Prueba'!E190)</f>
        <v>Da clic en Cerrar Sesión</v>
      </c>
      <c r="G198" s="77" t="str">
        <f>IF(LEN($C198)&gt;0,"",'Casos de Prueba'!F190&amp;CHAR(10)&amp;'Casos de Prueba'!G190)</f>
        <v xml:space="preserve">Cierra la aplicación y se direcciona a la pantalla de autenticación.
</v>
      </c>
      <c r="H198">
        <f t="shared" si="2"/>
        <v>69</v>
      </c>
    </row>
    <row r="199" spans="4:8" x14ac:dyDescent="0.35">
      <c r="D199" s="77" t="str">
        <f>IF('Casos de Prueba'!B191&lt;&gt;0,'Casos de Prueba'!B191&amp;"-"&amp;_xlfn.SINGLE('Casos de Prueba'!C191),"")</f>
        <v>CP29-Folios Relacionados</v>
      </c>
      <c r="E199" s="77" t="str">
        <f>IF(LEN($D199)&gt;0,"",'Casos de Prueba'!D191)</f>
        <v/>
      </c>
      <c r="F199" s="77"/>
      <c r="G199" s="77" t="str">
        <f>IF(LEN($C199)&gt;0,"",'Casos de Prueba'!F191&amp;CHAR(10)&amp;'Casos de Prueba'!G191)</f>
        <v xml:space="preserve">
</v>
      </c>
      <c r="H199">
        <f t="shared" si="2"/>
        <v>1</v>
      </c>
    </row>
    <row r="200" spans="4:8" x14ac:dyDescent="0.35">
      <c r="D200" s="77" t="str">
        <f>IF('Casos de Prueba'!B192&lt;&gt;0,'Casos de Prueba'!B192&amp;"-"&amp;_xlfn.SINGLE('Casos de Prueba'!C192),"")</f>
        <v/>
      </c>
      <c r="E200" s="77">
        <f>IF(LEN($D200)&gt;0,"",'Casos de Prueba'!D192)</f>
        <v>1</v>
      </c>
      <c r="F200" s="77" t="str">
        <f>IF(LEN($C200)&gt;0,"",'Casos de Prueba'!E192)</f>
        <v>Usuario ingresa al Portal Empleados Consulta Central</v>
      </c>
      <c r="G200" s="77" t="str">
        <f>IF(LEN($C200)&gt;0,"",'Casos de Prueba'!F192&amp;CHAR(10)&amp;'Casos de Prueba'!G192)</f>
        <v>El sistema muestra las siguientes opciones de búsqueda:
- Folio Fiscal
- Masiva UUID
- Fecha Inicial y Final de Emisión
El Usuario previamente se autenticó  y accedió al portal Empleados-Consulta Central</v>
      </c>
      <c r="H200">
        <f t="shared" si="2"/>
        <v>204</v>
      </c>
    </row>
    <row r="201" spans="4:8" x14ac:dyDescent="0.35">
      <c r="D201" s="77" t="str">
        <f>IF('Casos de Prueba'!B193&lt;&gt;0,'Casos de Prueba'!B193&amp;"-"&amp;_xlfn.SINGLE('Casos de Prueba'!C193),"")</f>
        <v/>
      </c>
      <c r="E201" s="77">
        <f>IF(LEN($D201)&gt;0,"",'Casos de Prueba'!D193)</f>
        <v>2</v>
      </c>
      <c r="F201" s="77" t="str">
        <f>IF(LEN($C201)&gt;0,"",'Casos de Prueba'!E193)</f>
        <v>Selecciona la opción Fecha Inicial y Final de Emisión</v>
      </c>
      <c r="G201" s="77" t="str">
        <f>IF(LEN($C201)&gt;0,"",'Casos de Prueba'!F193&amp;CHAR(10)&amp;'Casos de Prueba'!G193)</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201">
        <f t="shared" si="2"/>
        <v>299</v>
      </c>
    </row>
    <row r="202" spans="4:8" x14ac:dyDescent="0.35">
      <c r="D202" s="77" t="str">
        <f>IF('Casos de Prueba'!B194&lt;&gt;0,'Casos de Prueba'!B194&amp;"-"&amp;_xlfn.SINGLE('Casos de Prueba'!C194),"")</f>
        <v/>
      </c>
      <c r="E202" s="77">
        <f>IF(LEN($D202)&gt;0,"",'Casos de Prueba'!D194)</f>
        <v>3</v>
      </c>
      <c r="F202" s="77" t="str">
        <f>IF(LEN($C202)&gt;0,"",'Casos de Prueba'!E194)</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202" s="77" t="str">
        <f>IF(LEN($C202)&gt;0,"",'Casos de Prueba'!F194&amp;CHAR(10)&amp;'Casos de Prueba'!G194)</f>
        <v xml:space="preserve">El sistema muestra los datos que se van ingresando .
</v>
      </c>
      <c r="H202">
        <f t="shared" si="2"/>
        <v>53</v>
      </c>
    </row>
    <row r="203" spans="4:8" x14ac:dyDescent="0.35">
      <c r="D203" s="77" t="str">
        <f>IF('Casos de Prueba'!B195&lt;&gt;0,'Casos de Prueba'!B195&amp;"-"&amp;_xlfn.SINGLE('Casos de Prueba'!C195),"")</f>
        <v/>
      </c>
      <c r="E203" s="77">
        <f>IF(LEN($D203)&gt;0,"",'Casos de Prueba'!D195)</f>
        <v>4</v>
      </c>
      <c r="F203" s="77" t="str">
        <f>IF(LEN($C203)&gt;0,"",'Casos de Prueba'!E195)</f>
        <v>Da clic en el botón buscar CFDI</v>
      </c>
      <c r="G203" s="77" t="str">
        <f>IF(LEN($C203)&gt;0,"",'Casos de Prueba'!F195&amp;CHAR(10)&amp;'Casos de Prueba'!G195)</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	En una consulta por Folio fiscal o cuando se realice la c onsulta por periodo de fecha y el resultado sea uno: (Aplica la Regla de Negocio 15) 
* Descargar metadata
*Exportar Resultados a PDF
*Exportar Resultados a CSV</v>
      </c>
      <c r="H203">
        <f t="shared" si="2"/>
        <v>1035</v>
      </c>
    </row>
    <row r="204" spans="4:8" x14ac:dyDescent="0.35">
      <c r="D204" s="77" t="str">
        <f>IF('Casos de Prueba'!B196&lt;&gt;0,'Casos de Prueba'!B196&amp;"-"&amp;_xlfn.SINGLE('Casos de Prueba'!C196),"")</f>
        <v/>
      </c>
      <c r="E204" s="77">
        <f>IF(LEN($D204)&gt;0,"",'Casos de Prueba'!D196)</f>
        <v>5</v>
      </c>
      <c r="F204" s="77" t="str">
        <f>IF(LEN($C204)&gt;0,"",'Casos de Prueba'!E196)</f>
        <v xml:space="preserve">Selecciona un folio fiscal (UUID) de la tabla “Resultados” en la columna "Estatus de Cancelación" que el valor sea "No Cancelable"  y dar clic en el hipervinculo </v>
      </c>
      <c r="G204" s="77" t="str">
        <f>IF(LEN($C204)&gt;0,"",'Casos de Prueba'!F196&amp;CHAR(10)&amp;'Casos de Prueba'!G196)</f>
        <v xml:space="preserve">El sistema comienza la descarga del Acuse de Documentos Relacionados en formato PDF.
</v>
      </c>
      <c r="H204">
        <f t="shared" si="2"/>
        <v>86</v>
      </c>
    </row>
    <row r="205" spans="4:8" x14ac:dyDescent="0.35">
      <c r="D205" s="77" t="str">
        <f>IF('Casos de Prueba'!B197&lt;&gt;0,'Casos de Prueba'!B197&amp;"-"&amp;_xlfn.SINGLE('Casos de Prueba'!C197),"")</f>
        <v/>
      </c>
      <c r="E205" s="77">
        <f>IF(LEN($D205)&gt;0,"",'Casos de Prueba'!D197)</f>
        <v>6</v>
      </c>
      <c r="F205" s="77" t="str">
        <f>IF(LEN($C205)&gt;0,"",'Casos de Prueba'!E197)</f>
        <v>Usuario ubica su repositorio de descarga y abre el acuse de documentos relacionados</v>
      </c>
      <c r="G205" s="77" t="str">
        <f>IF(LEN($C205)&gt;0,"",'Casos de Prueba'!F197&amp;CHAR(10)&amp;'Casos de Prueba'!G197)</f>
        <v>El sistema muestra el Acuse de Documentos Relacionados 
El Acuse Documentos Relacionados, deberá contar con las siguientes características:
-	Logo de la Hacienda
-	Nombre de la Institución: ‘Servicio de Administración Tributaria’
-	Nombre del documento: “Consulta de Documentos Relacionados”
•	UUID Consultado
Facturas que relacionan al UUID Consultado
Columnas:
•	# 
•	UUID
•	Emisor
•	Receptor</v>
      </c>
      <c r="H205">
        <f t="shared" si="2"/>
        <v>395</v>
      </c>
    </row>
    <row r="206" spans="4:8" x14ac:dyDescent="0.35">
      <c r="D206" s="77" t="str">
        <f>IF('Casos de Prueba'!B198&lt;&gt;0,'Casos de Prueba'!B198&amp;"-"&amp;_xlfn.SINGLE('Casos de Prueba'!C198),"")</f>
        <v/>
      </c>
      <c r="E206" s="77">
        <f>IF(LEN($D206)&gt;0,"",'Casos de Prueba'!D198)</f>
        <v>7</v>
      </c>
      <c r="F206" s="77" t="str">
        <f>IF(LEN($C206)&gt;0,"",'Casos de Prueba'!E198)</f>
        <v>Da clic en cerrar sesión</v>
      </c>
      <c r="G206" s="77" t="str">
        <f>IF(LEN($C206)&gt;0,"",'Casos de Prueba'!F198&amp;CHAR(10)&amp;'Casos de Prueba'!G198)</f>
        <v xml:space="preserve">Cierra la aplicación y se direcciona a la pantalla de autenticación.
</v>
      </c>
      <c r="H206">
        <f t="shared" si="2"/>
        <v>69</v>
      </c>
    </row>
    <row r="207" spans="4:8" x14ac:dyDescent="0.35">
      <c r="D207" s="77" t="str">
        <f>IF('Casos de Prueba'!B199&lt;&gt;0,'Casos de Prueba'!B199&amp;"-"&amp;_xlfn.SINGLE('Casos de Prueba'!C199),"")</f>
        <v>CP30-Representación Impresa Complemento Carta Porte</v>
      </c>
      <c r="E207" s="77" t="str">
        <f>IF(LEN($D207)&gt;0,"",'Casos de Prueba'!D199)</f>
        <v/>
      </c>
      <c r="F207" s="77"/>
      <c r="G207" s="77" t="str">
        <f>IF(LEN($C207)&gt;0,"",'Casos de Prueba'!F199&amp;CHAR(10)&amp;'Casos de Prueba'!G199)</f>
        <v xml:space="preserve">
</v>
      </c>
      <c r="H207">
        <f t="shared" si="2"/>
        <v>1</v>
      </c>
    </row>
    <row r="208" spans="4:8" x14ac:dyDescent="0.35">
      <c r="D208" s="77" t="str">
        <f>IF('Casos de Prueba'!B200&lt;&gt;0,'Casos de Prueba'!B200&amp;"-"&amp;_xlfn.SINGLE('Casos de Prueba'!C200),"")</f>
        <v/>
      </c>
      <c r="E208" s="77">
        <f>IF(LEN($D208)&gt;0,"",'Casos de Prueba'!D200)</f>
        <v>1</v>
      </c>
      <c r="F208" s="77" t="str">
        <f>IF(LEN($C208)&gt;0,"",'Casos de Prueba'!E200)</f>
        <v>Usuario ingresa al Portal Empleados Consulta Central</v>
      </c>
      <c r="G208" s="77" t="str">
        <f>IF(LEN($C208)&gt;0,"",'Casos de Prueba'!F200&amp;CHAR(10)&amp;'Casos de Prueba'!G200)</f>
        <v>El sistema muestra las siguientes opciones de búsqueda:
- Folio Fiscal
- Masiva UUID
- Fecha Inicial y Final de Emisión
El Usuario previamente se autenticó  y accedió al portal Empleados-Consulta Central</v>
      </c>
      <c r="H208">
        <f t="shared" si="2"/>
        <v>204</v>
      </c>
    </row>
    <row r="209" spans="4:8" x14ac:dyDescent="0.35">
      <c r="D209" s="77" t="str">
        <f>IF('Casos de Prueba'!B201&lt;&gt;0,'Casos de Prueba'!B201&amp;"-"&amp;_xlfn.SINGLE('Casos de Prueba'!C201),"")</f>
        <v/>
      </c>
      <c r="E209" s="77">
        <f>IF(LEN($D209)&gt;0,"",'Casos de Prueba'!D201)</f>
        <v>2</v>
      </c>
      <c r="F209" s="77" t="str">
        <f>IF(LEN($C209)&gt;0,"",'Casos de Prueba'!E201)</f>
        <v>Selecciona la opción Fecha Inicial y Final de Emisión</v>
      </c>
      <c r="G209" s="77" t="str">
        <f>IF(LEN($C209)&gt;0,"",'Casos de Prueba'!F201&amp;CHAR(10)&amp;'Casos de Prueba'!G201)</f>
        <v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v>
      </c>
      <c r="H209">
        <f t="shared" si="2"/>
        <v>299</v>
      </c>
    </row>
    <row r="210" spans="4:8" x14ac:dyDescent="0.35">
      <c r="D210" s="77" t="str">
        <f>IF('Casos de Prueba'!B202&lt;&gt;0,'Casos de Prueba'!B202&amp;"-"&amp;_xlfn.SINGLE('Casos de Prueba'!C202),"")</f>
        <v/>
      </c>
      <c r="E210" s="77">
        <f>IF(LEN($D210)&gt;0,"",'Casos de Prueba'!D202)</f>
        <v>3</v>
      </c>
      <c r="F210" s="77" t="str">
        <f>IF(LEN($C210)&gt;0,"",'Casos de Prueba'!E202)</f>
        <v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v>
      </c>
      <c r="G210" s="77" t="str">
        <f>IF(LEN($C210)&gt;0,"",'Casos de Prueba'!F202&amp;CHAR(10)&amp;'Casos de Prueba'!G202)</f>
        <v xml:space="preserve">El sistema muestra los datos que se van ingresando .
</v>
      </c>
      <c r="H210">
        <f t="shared" si="2"/>
        <v>53</v>
      </c>
    </row>
    <row r="211" spans="4:8" x14ac:dyDescent="0.35">
      <c r="D211" s="77" t="str">
        <f>IF('Casos de Prueba'!B203&lt;&gt;0,'Casos de Prueba'!B203&amp;"-"&amp;_xlfn.SINGLE('Casos de Prueba'!C203),"")</f>
        <v/>
      </c>
      <c r="E211" s="77">
        <f>IF(LEN($D211)&gt;0,"",'Casos de Prueba'!D203)</f>
        <v>4</v>
      </c>
      <c r="F211" s="77" t="str">
        <f>IF(LEN($C211)&gt;0,"",'Casos de Prueba'!E203)</f>
        <v>Da clic en el botón buscar CFDI</v>
      </c>
      <c r="G211" s="77" t="str">
        <f>IF(LEN($C211)&gt;0,"",'Casos de Prueba'!F203&amp;CHAR(10)&amp;'Casos de Prueba'!G203)</f>
        <v>Si la petición es correcta, el sistema muestra:
A.	Casilla Acciones 
1)	Seleccionar.
2)	Descargar
3)	Recuperar Representacion Impresa.
4)	Recuperar Representacion Impresa Carta Porte.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de Cancelación
•	Estatus de Proceso de Cancelación
•	Fecha de Solicitud de la cancelación
•	Motivo
•	Folio de sustitución
•	RFC a cuenta de terceros
C.	Botones: 
1)	Descargar Seleccionados XML.
2)	Descargas RI.
3)	Descargar Metadata.
4)	Exportar Resultados a PDF.
5)	Exportar Resultados a CSV.
D.	Paginador.
•	En una consulta por Folio fiscal o cuando se realice la c onsulta por periodo de fecha y el resultado sea uno: (Aplica la Regla de Negocio 15) 
* Descargar metadata
*Exportar Resultados a PDF
*Exportar Resultados a CSV</v>
      </c>
      <c r="H211">
        <f t="shared" si="2"/>
        <v>1034</v>
      </c>
    </row>
    <row r="212" spans="4:8" x14ac:dyDescent="0.35">
      <c r="D212" s="77" t="str">
        <f>IF('Casos de Prueba'!B204&lt;&gt;0,'Casos de Prueba'!B204&amp;"-"&amp;_xlfn.SINGLE('Casos de Prueba'!C204),"")</f>
        <v/>
      </c>
      <c r="E212" s="77">
        <f>IF(LEN($D212)&gt;0,"",'Casos de Prueba'!D204)</f>
        <v>5</v>
      </c>
      <c r="F212" s="77" t="str">
        <f>IF(LEN($C212)&gt;0,"",'Casos de Prueba'!E204)</f>
        <v>Selecciona un folio fiscal (UUID) de la tabla “Resultados”</v>
      </c>
      <c r="G212" s="77" t="str">
        <f>IF(LEN($C212)&gt;0,"",'Casos de Prueba'!F204&amp;CHAR(10)&amp;'Casos de Prueba'!G204)</f>
        <v xml:space="preserve">En la columna de acciones se desplegaran los botones 
•	Descargar
•	Recuperar Representación Impresa  
•	Recuperar RI Complemento Carta Porte (Condicional)
</v>
      </c>
      <c r="H212">
        <f t="shared" si="2"/>
        <v>157</v>
      </c>
    </row>
    <row r="213" spans="4:8" x14ac:dyDescent="0.35">
      <c r="D213" s="77" t="str">
        <f>IF('Casos de Prueba'!B205&lt;&gt;0,'Casos de Prueba'!B205&amp;"-"&amp;_xlfn.SINGLE('Casos de Prueba'!C205),"")</f>
        <v/>
      </c>
      <c r="E213" s="77">
        <f>IF(LEN($D213)&gt;0,"",'Casos de Prueba'!D205)</f>
        <v>6</v>
      </c>
      <c r="F213" s="77" t="str">
        <f>IF(LEN($C213)&gt;0,"",'Casos de Prueba'!E205)</f>
        <v>Seleccionar el icono para Recuperar Representación Impresa  Complemento Carta Porte
Nota: Para este caso de prueba se requiere un comprobante que cuente con CCP para que el sistema muestre el icono de descarga.</v>
      </c>
      <c r="G213" s="77" t="str">
        <f>IF(LEN($C213)&gt;0,"",'Casos de Prueba'!F205&amp;CHAR(10)&amp;'Casos de Prueba'!G205)</f>
        <v>El sistema muestra la representación impresa Complemento Carta Porte
La descarga se realiza uno a uno, contemplando el límite diario establecido para los archivos PDF en su RI CCP
(Aplica las Reglas de Negocio 07, 08 y 14)</v>
      </c>
      <c r="H213">
        <f t="shared" ref="H213:H214" si="3">+LEN(G213)</f>
        <v>222</v>
      </c>
    </row>
    <row r="214" spans="4:8" x14ac:dyDescent="0.35">
      <c r="D214" s="77" t="str">
        <f>IF('Casos de Prueba'!B206&lt;&gt;0,'Casos de Prueba'!B206&amp;"-"&amp;_xlfn.SINGLE('Casos de Prueba'!C206),"")</f>
        <v/>
      </c>
      <c r="E214" s="77">
        <f>IF(LEN($D214)&gt;0,"",'Casos de Prueba'!D206)</f>
        <v>7</v>
      </c>
      <c r="F214" s="77" t="str">
        <f>IF(LEN($C214)&gt;0,"",'Casos de Prueba'!E206)</f>
        <v>Da clic en cerrar sesión</v>
      </c>
      <c r="G214" s="77" t="str">
        <f>IF(LEN($C214)&gt;0,"",'Casos de Prueba'!F206&amp;CHAR(10)&amp;'Casos de Prueba'!G206)</f>
        <v xml:space="preserve">Cierra la aplicación y se direcciona a la pantalla de autenticación.
</v>
      </c>
      <c r="H214">
        <f t="shared" si="3"/>
        <v>69</v>
      </c>
    </row>
    <row r="215" spans="4:8" x14ac:dyDescent="0.35">
      <c r="E215" s="77"/>
    </row>
    <row r="216" spans="4:8" x14ac:dyDescent="0.35">
      <c r="E216" s="77"/>
    </row>
    <row r="217" spans="4:8" x14ac:dyDescent="0.35">
      <c r="E217" s="77"/>
    </row>
    <row r="218" spans="4:8" x14ac:dyDescent="0.35">
      <c r="E218" s="77"/>
    </row>
    <row r="219" spans="4:8" x14ac:dyDescent="0.35">
      <c r="E219" s="77"/>
    </row>
    <row r="220" spans="4:8" x14ac:dyDescent="0.35">
      <c r="E220" s="77"/>
    </row>
    <row r="221" spans="4:8" x14ac:dyDescent="0.35">
      <c r="E221" s="77"/>
    </row>
    <row r="222" spans="4:8" x14ac:dyDescent="0.35">
      <c r="E222" s="77"/>
    </row>
    <row r="223" spans="4:8" x14ac:dyDescent="0.35">
      <c r="E223" s="77"/>
    </row>
    <row r="224" spans="4:8" x14ac:dyDescent="0.35">
      <c r="E224" s="77"/>
    </row>
    <row r="225" spans="5:5" x14ac:dyDescent="0.35">
      <c r="E225" s="77"/>
    </row>
    <row r="226" spans="5:5" x14ac:dyDescent="0.35">
      <c r="E226" s="77"/>
    </row>
    <row r="227" spans="5:5" x14ac:dyDescent="0.35">
      <c r="E227" s="77"/>
    </row>
    <row r="228" spans="5:5" x14ac:dyDescent="0.35">
      <c r="E228" s="77"/>
    </row>
    <row r="229" spans="5:5" x14ac:dyDescent="0.35">
      <c r="E229" s="77"/>
    </row>
    <row r="230" spans="5:5" x14ac:dyDescent="0.35">
      <c r="E230" s="77"/>
    </row>
    <row r="231" spans="5:5" x14ac:dyDescent="0.35">
      <c r="E231" s="77"/>
    </row>
    <row r="232" spans="5:5" x14ac:dyDescent="0.35">
      <c r="E232" s="77"/>
    </row>
    <row r="233" spans="5:5" x14ac:dyDescent="0.35">
      <c r="E233" s="77"/>
    </row>
    <row r="234" spans="5:5" x14ac:dyDescent="0.35">
      <c r="E234" s="77"/>
    </row>
    <row r="235" spans="5:5" x14ac:dyDescent="0.35">
      <c r="E235" s="77"/>
    </row>
    <row r="236" spans="5:5" x14ac:dyDescent="0.35">
      <c r="E236" s="77"/>
    </row>
    <row r="237" spans="5:5" x14ac:dyDescent="0.35">
      <c r="E237" s="77"/>
    </row>
    <row r="238" spans="5:5" x14ac:dyDescent="0.35">
      <c r="E238" s="77"/>
    </row>
    <row r="239" spans="5:5" x14ac:dyDescent="0.35">
      <c r="E239" s="77"/>
    </row>
    <row r="240" spans="5:5" x14ac:dyDescent="0.35">
      <c r="E240" s="77"/>
    </row>
    <row r="241" spans="5:5" x14ac:dyDescent="0.35">
      <c r="E241" s="77"/>
    </row>
    <row r="242" spans="5:5" x14ac:dyDescent="0.35">
      <c r="E242" s="77"/>
    </row>
    <row r="243" spans="5:5" x14ac:dyDescent="0.35">
      <c r="E243" s="77"/>
    </row>
    <row r="244" spans="5:5" x14ac:dyDescent="0.35">
      <c r="E244" s="77"/>
    </row>
    <row r="245" spans="5:5" x14ac:dyDescent="0.35">
      <c r="E245" s="77"/>
    </row>
    <row r="246" spans="5:5" x14ac:dyDescent="0.35">
      <c r="E246" s="77"/>
    </row>
    <row r="247" spans="5:5" x14ac:dyDescent="0.35">
      <c r="E247" s="77"/>
    </row>
    <row r="248" spans="5:5" x14ac:dyDescent="0.35">
      <c r="E248" s="77"/>
    </row>
    <row r="249" spans="5:5" x14ac:dyDescent="0.35">
      <c r="E249" s="77"/>
    </row>
    <row r="250" spans="5:5" x14ac:dyDescent="0.35">
      <c r="E250" s="77"/>
    </row>
    <row r="251" spans="5:5" x14ac:dyDescent="0.35">
      <c r="E251" s="77"/>
    </row>
    <row r="252" spans="5:5" x14ac:dyDescent="0.35">
      <c r="E252" s="77"/>
    </row>
    <row r="253" spans="5:5" x14ac:dyDescent="0.35">
      <c r="E253" s="77"/>
    </row>
    <row r="254" spans="5:5" x14ac:dyDescent="0.35">
      <c r="E254" s="77"/>
    </row>
    <row r="255" spans="5:5" x14ac:dyDescent="0.35">
      <c r="E255" s="77"/>
    </row>
    <row r="256" spans="5:5" x14ac:dyDescent="0.35">
      <c r="E256" s="77"/>
    </row>
    <row r="257" spans="5:5" x14ac:dyDescent="0.35">
      <c r="E257" s="77"/>
    </row>
    <row r="258" spans="5:5" x14ac:dyDescent="0.35">
      <c r="E258" s="77"/>
    </row>
    <row r="259" spans="5:5" x14ac:dyDescent="0.35">
      <c r="E259" s="77"/>
    </row>
    <row r="260" spans="5:5" x14ac:dyDescent="0.35">
      <c r="E260" s="77"/>
    </row>
    <row r="261" spans="5:5" x14ac:dyDescent="0.35">
      <c r="E261" s="77"/>
    </row>
    <row r="262" spans="5:5" x14ac:dyDescent="0.35">
      <c r="E262" s="77"/>
    </row>
    <row r="263" spans="5:5" x14ac:dyDescent="0.35">
      <c r="E263" s="77"/>
    </row>
    <row r="264" spans="5:5" x14ac:dyDescent="0.35">
      <c r="E264" s="77"/>
    </row>
    <row r="265" spans="5:5" x14ac:dyDescent="0.35">
      <c r="E265" s="77"/>
    </row>
    <row r="266" spans="5:5" x14ac:dyDescent="0.35">
      <c r="E266" s="77"/>
    </row>
    <row r="267" spans="5:5" x14ac:dyDescent="0.35">
      <c r="E267" s="77"/>
    </row>
    <row r="268" spans="5:5" x14ac:dyDescent="0.35">
      <c r="E268" s="77"/>
    </row>
    <row r="269" spans="5:5" x14ac:dyDescent="0.35">
      <c r="E269" s="77"/>
    </row>
    <row r="270" spans="5:5" x14ac:dyDescent="0.35">
      <c r="E270" s="77"/>
    </row>
    <row r="271" spans="5:5" x14ac:dyDescent="0.35">
      <c r="E271" s="77"/>
    </row>
    <row r="272" spans="5:5" x14ac:dyDescent="0.35">
      <c r="E272" s="77"/>
    </row>
    <row r="273" spans="5:5" x14ac:dyDescent="0.35">
      <c r="E273" s="77"/>
    </row>
    <row r="274" spans="5:5" x14ac:dyDescent="0.35">
      <c r="E274" s="77"/>
    </row>
    <row r="275" spans="5:5" x14ac:dyDescent="0.35">
      <c r="E275" s="77"/>
    </row>
    <row r="276" spans="5:5" x14ac:dyDescent="0.35">
      <c r="E276" s="77"/>
    </row>
    <row r="277" spans="5:5" x14ac:dyDescent="0.35">
      <c r="E277" s="77"/>
    </row>
    <row r="278" spans="5:5" x14ac:dyDescent="0.35">
      <c r="E278" s="77"/>
    </row>
    <row r="279" spans="5:5" x14ac:dyDescent="0.35">
      <c r="E279" s="77"/>
    </row>
    <row r="280" spans="5:5" x14ac:dyDescent="0.35">
      <c r="E280" s="77"/>
    </row>
    <row r="281" spans="5:5" x14ac:dyDescent="0.35">
      <c r="E281" s="77"/>
    </row>
    <row r="282" spans="5:5" x14ac:dyDescent="0.35">
      <c r="E282" s="77"/>
    </row>
    <row r="283" spans="5:5" x14ac:dyDescent="0.35">
      <c r="E283" s="77"/>
    </row>
    <row r="284" spans="5:5" x14ac:dyDescent="0.35">
      <c r="E284" s="77"/>
    </row>
    <row r="285" spans="5:5" x14ac:dyDescent="0.35">
      <c r="E285" s="77"/>
    </row>
    <row r="286" spans="5:5" x14ac:dyDescent="0.35">
      <c r="E286" s="77"/>
    </row>
    <row r="287" spans="5:5" x14ac:dyDescent="0.35">
      <c r="E287" s="77"/>
    </row>
    <row r="288" spans="5:5" x14ac:dyDescent="0.35">
      <c r="E288" s="77"/>
    </row>
    <row r="289" spans="5:5" x14ac:dyDescent="0.35">
      <c r="E289" s="77"/>
    </row>
    <row r="290" spans="5:5" x14ac:dyDescent="0.35">
      <c r="E290" s="77"/>
    </row>
    <row r="291" spans="5:5" x14ac:dyDescent="0.35">
      <c r="E291" s="77"/>
    </row>
    <row r="292" spans="5:5" x14ac:dyDescent="0.35">
      <c r="E292" s="77"/>
    </row>
    <row r="293" spans="5:5" x14ac:dyDescent="0.35">
      <c r="E293" s="77"/>
    </row>
    <row r="294" spans="5:5" x14ac:dyDescent="0.35">
      <c r="E294" s="77"/>
    </row>
    <row r="295" spans="5:5" x14ac:dyDescent="0.35">
      <c r="E295" s="77"/>
    </row>
    <row r="296" spans="5:5" x14ac:dyDescent="0.35">
      <c r="E296" s="77"/>
    </row>
    <row r="297" spans="5:5" x14ac:dyDescent="0.35">
      <c r="E297" s="77"/>
    </row>
    <row r="298" spans="5:5" x14ac:dyDescent="0.35">
      <c r="E298" s="77"/>
    </row>
    <row r="299" spans="5:5" x14ac:dyDescent="0.35">
      <c r="E299" s="77"/>
    </row>
    <row r="300" spans="5:5" x14ac:dyDescent="0.35">
      <c r="E300" s="77"/>
    </row>
    <row r="301" spans="5:5" x14ac:dyDescent="0.35">
      <c r="E301" s="77"/>
    </row>
    <row r="302" spans="5:5" x14ac:dyDescent="0.35">
      <c r="E302" s="77"/>
    </row>
    <row r="303" spans="5:5" x14ac:dyDescent="0.35">
      <c r="E303" s="77"/>
    </row>
    <row r="304" spans="5:5" x14ac:dyDescent="0.35">
      <c r="E304" s="77"/>
    </row>
    <row r="305" spans="5:5" x14ac:dyDescent="0.35">
      <c r="E305" s="77"/>
    </row>
    <row r="306" spans="5:5" x14ac:dyDescent="0.35">
      <c r="E306" s="77"/>
    </row>
    <row r="307" spans="5:5" x14ac:dyDescent="0.35">
      <c r="E307" s="77"/>
    </row>
    <row r="308" spans="5:5" x14ac:dyDescent="0.35">
      <c r="E308" s="77"/>
    </row>
    <row r="309" spans="5:5" x14ac:dyDescent="0.35">
      <c r="E309" s="77"/>
    </row>
    <row r="310" spans="5:5" x14ac:dyDescent="0.35">
      <c r="E310" s="77"/>
    </row>
    <row r="311" spans="5:5" x14ac:dyDescent="0.35">
      <c r="E311" s="77"/>
    </row>
    <row r="312" spans="5:5" x14ac:dyDescent="0.35">
      <c r="E312" s="77"/>
    </row>
    <row r="313" spans="5:5" x14ac:dyDescent="0.35">
      <c r="E313" s="77"/>
    </row>
    <row r="314" spans="5:5" x14ac:dyDescent="0.35">
      <c r="E314" s="77"/>
    </row>
    <row r="315" spans="5:5" x14ac:dyDescent="0.35">
      <c r="E315" s="77"/>
    </row>
    <row r="316" spans="5:5" x14ac:dyDescent="0.35">
      <c r="E316" s="77"/>
    </row>
    <row r="317" spans="5:5" x14ac:dyDescent="0.35">
      <c r="E317" s="77"/>
    </row>
    <row r="318" spans="5:5" x14ac:dyDescent="0.35">
      <c r="E318" s="77"/>
    </row>
    <row r="319" spans="5:5" x14ac:dyDescent="0.35">
      <c r="E319" s="77"/>
    </row>
    <row r="320" spans="5:5" x14ac:dyDescent="0.35">
      <c r="E320" s="77"/>
    </row>
    <row r="321" spans="5:5" x14ac:dyDescent="0.35">
      <c r="E321" s="77"/>
    </row>
    <row r="322" spans="5:5" x14ac:dyDescent="0.35">
      <c r="E322" s="77"/>
    </row>
    <row r="323" spans="5:5" x14ac:dyDescent="0.35">
      <c r="E323" s="77"/>
    </row>
    <row r="324" spans="5:5" x14ac:dyDescent="0.35">
      <c r="E324" s="77"/>
    </row>
    <row r="325" spans="5:5" x14ac:dyDescent="0.35">
      <c r="E325" s="77"/>
    </row>
    <row r="326" spans="5:5" x14ac:dyDescent="0.35">
      <c r="E326" s="77"/>
    </row>
    <row r="327" spans="5:5" x14ac:dyDescent="0.35">
      <c r="E327" s="77"/>
    </row>
    <row r="328" spans="5:5" x14ac:dyDescent="0.35">
      <c r="E328" s="77"/>
    </row>
    <row r="329" spans="5:5" x14ac:dyDescent="0.35">
      <c r="E329" s="77"/>
    </row>
    <row r="330" spans="5:5" x14ac:dyDescent="0.35">
      <c r="E330" s="77"/>
    </row>
    <row r="331" spans="5:5" x14ac:dyDescent="0.35">
      <c r="E331" s="77"/>
    </row>
    <row r="332" spans="5:5" x14ac:dyDescent="0.35">
      <c r="E332" s="77"/>
    </row>
    <row r="333" spans="5:5" x14ac:dyDescent="0.35">
      <c r="E333" s="77"/>
    </row>
    <row r="334" spans="5:5" x14ac:dyDescent="0.35">
      <c r="E334" s="77"/>
    </row>
    <row r="335" spans="5:5" x14ac:dyDescent="0.35">
      <c r="E335" s="77"/>
    </row>
    <row r="336" spans="5:5" x14ac:dyDescent="0.35">
      <c r="E336" s="77"/>
    </row>
    <row r="337" spans="5:5" x14ac:dyDescent="0.35">
      <c r="E337" s="77"/>
    </row>
    <row r="338" spans="5:5" x14ac:dyDescent="0.35">
      <c r="E338" s="77"/>
    </row>
    <row r="339" spans="5:5" x14ac:dyDescent="0.35">
      <c r="E339" s="77"/>
    </row>
    <row r="340" spans="5:5" x14ac:dyDescent="0.35">
      <c r="E340" s="77"/>
    </row>
    <row r="341" spans="5:5" x14ac:dyDescent="0.35">
      <c r="E341" s="77"/>
    </row>
    <row r="342" spans="5:5" x14ac:dyDescent="0.35">
      <c r="E342" s="77"/>
    </row>
    <row r="343" spans="5:5" x14ac:dyDescent="0.35">
      <c r="E343" s="77"/>
    </row>
    <row r="344" spans="5:5" x14ac:dyDescent="0.35">
      <c r="E344" s="77"/>
    </row>
    <row r="345" spans="5:5" x14ac:dyDescent="0.35">
      <c r="E345" s="77"/>
    </row>
    <row r="346" spans="5:5" x14ac:dyDescent="0.35">
      <c r="E346" s="77"/>
    </row>
    <row r="347" spans="5:5" x14ac:dyDescent="0.35">
      <c r="E347" s="77"/>
    </row>
    <row r="348" spans="5:5" x14ac:dyDescent="0.35">
      <c r="E348" s="77"/>
    </row>
    <row r="349" spans="5:5" x14ac:dyDescent="0.35">
      <c r="E349" s="77"/>
    </row>
    <row r="350" spans="5:5" x14ac:dyDescent="0.35">
      <c r="E350" s="77"/>
    </row>
    <row r="351" spans="5:5" x14ac:dyDescent="0.35">
      <c r="E351" s="77"/>
    </row>
    <row r="352" spans="5:5" x14ac:dyDescent="0.35">
      <c r="E352" s="77"/>
    </row>
    <row r="353" spans="5:5" x14ac:dyDescent="0.35">
      <c r="E353" s="77"/>
    </row>
    <row r="354" spans="5:5" x14ac:dyDescent="0.35">
      <c r="E354" s="77"/>
    </row>
    <row r="355" spans="5:5" x14ac:dyDescent="0.35">
      <c r="E355" s="77"/>
    </row>
    <row r="356" spans="5:5" x14ac:dyDescent="0.35">
      <c r="E356" s="77"/>
    </row>
    <row r="357" spans="5:5" x14ac:dyDescent="0.35">
      <c r="E357" s="77"/>
    </row>
    <row r="358" spans="5:5" x14ac:dyDescent="0.35">
      <c r="E358" s="77"/>
    </row>
    <row r="359" spans="5:5" x14ac:dyDescent="0.35">
      <c r="E359" s="77"/>
    </row>
    <row r="360" spans="5:5" x14ac:dyDescent="0.35">
      <c r="E360" s="77"/>
    </row>
    <row r="361" spans="5:5" x14ac:dyDescent="0.35">
      <c r="E361" s="77"/>
    </row>
    <row r="362" spans="5:5" x14ac:dyDescent="0.35">
      <c r="E362" s="77"/>
    </row>
    <row r="363" spans="5:5" x14ac:dyDescent="0.35">
      <c r="E363" s="77"/>
    </row>
    <row r="364" spans="5:5" x14ac:dyDescent="0.35">
      <c r="E364" s="77"/>
    </row>
    <row r="365" spans="5:5" x14ac:dyDescent="0.35">
      <c r="E365" s="77"/>
    </row>
    <row r="366" spans="5:5" x14ac:dyDescent="0.35">
      <c r="E366" s="77"/>
    </row>
    <row r="367" spans="5:5" x14ac:dyDescent="0.35">
      <c r="E367" s="77"/>
    </row>
    <row r="368" spans="5:5" x14ac:dyDescent="0.35">
      <c r="E368" s="77"/>
    </row>
    <row r="369" spans="5:5" x14ac:dyDescent="0.35">
      <c r="E369" s="77"/>
    </row>
    <row r="370" spans="5:5" x14ac:dyDescent="0.35">
      <c r="E370" s="77"/>
    </row>
    <row r="371" spans="5:5" x14ac:dyDescent="0.35">
      <c r="E371" s="77"/>
    </row>
    <row r="372" spans="5:5" x14ac:dyDescent="0.35">
      <c r="E372" s="77"/>
    </row>
    <row r="373" spans="5:5" x14ac:dyDescent="0.35">
      <c r="E373" s="77"/>
    </row>
    <row r="374" spans="5:5" x14ac:dyDescent="0.35">
      <c r="E374" s="77"/>
    </row>
    <row r="375" spans="5:5" x14ac:dyDescent="0.35">
      <c r="E375" s="77"/>
    </row>
    <row r="376" spans="5:5" x14ac:dyDescent="0.35">
      <c r="E376" s="77"/>
    </row>
    <row r="377" spans="5:5" x14ac:dyDescent="0.35">
      <c r="E377" s="77"/>
    </row>
    <row r="378" spans="5:5" x14ac:dyDescent="0.35">
      <c r="E378" s="77"/>
    </row>
    <row r="379" spans="5:5" x14ac:dyDescent="0.35">
      <c r="E379" s="77"/>
    </row>
    <row r="380" spans="5:5" x14ac:dyDescent="0.35">
      <c r="E380" s="77"/>
    </row>
    <row r="381" spans="5:5" x14ac:dyDescent="0.35">
      <c r="E381" s="77"/>
    </row>
    <row r="382" spans="5:5" x14ac:dyDescent="0.35">
      <c r="E382" s="77"/>
    </row>
    <row r="383" spans="5:5" x14ac:dyDescent="0.35">
      <c r="E383" s="77"/>
    </row>
    <row r="384" spans="5:5" x14ac:dyDescent="0.35">
      <c r="E384" s="77"/>
    </row>
    <row r="385" spans="5:5" x14ac:dyDescent="0.35">
      <c r="E385" s="77"/>
    </row>
    <row r="386" spans="5:5" x14ac:dyDescent="0.35">
      <c r="E386" s="77"/>
    </row>
    <row r="387" spans="5:5" x14ac:dyDescent="0.35">
      <c r="E387" s="77"/>
    </row>
    <row r="388" spans="5:5" x14ac:dyDescent="0.35">
      <c r="E388" s="77"/>
    </row>
    <row r="389" spans="5:5" x14ac:dyDescent="0.35">
      <c r="E389" s="77"/>
    </row>
    <row r="390" spans="5:5" x14ac:dyDescent="0.35">
      <c r="E390" s="77"/>
    </row>
    <row r="391" spans="5:5" x14ac:dyDescent="0.35">
      <c r="E391" s="77"/>
    </row>
    <row r="392" spans="5:5" x14ac:dyDescent="0.35">
      <c r="E392" s="77"/>
    </row>
    <row r="393" spans="5:5" x14ac:dyDescent="0.35">
      <c r="E393" s="77"/>
    </row>
    <row r="394" spans="5:5" x14ac:dyDescent="0.35">
      <c r="E394" s="77"/>
    </row>
    <row r="395" spans="5:5" x14ac:dyDescent="0.35">
      <c r="E395" s="77"/>
    </row>
    <row r="396" spans="5:5" x14ac:dyDescent="0.35">
      <c r="E396" s="77"/>
    </row>
    <row r="397" spans="5:5" x14ac:dyDescent="0.35">
      <c r="E397" s="77"/>
    </row>
    <row r="398" spans="5:5" x14ac:dyDescent="0.35">
      <c r="E398" s="77"/>
    </row>
    <row r="399" spans="5:5" x14ac:dyDescent="0.35">
      <c r="E399" s="77"/>
    </row>
    <row r="400" spans="5:5" x14ac:dyDescent="0.35">
      <c r="E400" s="77"/>
    </row>
    <row r="401" spans="5:5" x14ac:dyDescent="0.35">
      <c r="E401" s="77"/>
    </row>
    <row r="402" spans="5:5" x14ac:dyDescent="0.35">
      <c r="E402" s="77"/>
    </row>
    <row r="403" spans="5:5" x14ac:dyDescent="0.35">
      <c r="E403" s="77"/>
    </row>
    <row r="404" spans="5:5" x14ac:dyDescent="0.35">
      <c r="E404" s="77"/>
    </row>
    <row r="405" spans="5:5" x14ac:dyDescent="0.35">
      <c r="E405" s="77"/>
    </row>
    <row r="406" spans="5:5" x14ac:dyDescent="0.35">
      <c r="E406" s="77"/>
    </row>
    <row r="407" spans="5:5" x14ac:dyDescent="0.35">
      <c r="E407" s="77"/>
    </row>
    <row r="408" spans="5:5" x14ac:dyDescent="0.35">
      <c r="E408" s="77"/>
    </row>
    <row r="409" spans="5:5" x14ac:dyDescent="0.35">
      <c r="E409" s="77"/>
    </row>
    <row r="410" spans="5:5" x14ac:dyDescent="0.35">
      <c r="E410" s="77"/>
    </row>
    <row r="411" spans="5:5" x14ac:dyDescent="0.35">
      <c r="E411" s="77"/>
    </row>
    <row r="412" spans="5:5" x14ac:dyDescent="0.35">
      <c r="E412" s="77"/>
    </row>
    <row r="413" spans="5:5" x14ac:dyDescent="0.35">
      <c r="E413" s="77"/>
    </row>
    <row r="414" spans="5:5" x14ac:dyDescent="0.35">
      <c r="E414" s="77"/>
    </row>
    <row r="415" spans="5:5" x14ac:dyDescent="0.35">
      <c r="E415" s="77"/>
    </row>
    <row r="416" spans="5:5" x14ac:dyDescent="0.35">
      <c r="E416" s="77"/>
    </row>
    <row r="417" spans="5:5" x14ac:dyDescent="0.35">
      <c r="E417" s="77"/>
    </row>
    <row r="418" spans="5:5" x14ac:dyDescent="0.35">
      <c r="E418" s="77"/>
    </row>
    <row r="419" spans="5:5" x14ac:dyDescent="0.35">
      <c r="E419" s="77"/>
    </row>
    <row r="420" spans="5:5" x14ac:dyDescent="0.35">
      <c r="E420" s="77"/>
    </row>
    <row r="421" spans="5:5" x14ac:dyDescent="0.35">
      <c r="E421" s="77"/>
    </row>
    <row r="422" spans="5:5" x14ac:dyDescent="0.35">
      <c r="E422" s="77"/>
    </row>
    <row r="423" spans="5:5" x14ac:dyDescent="0.35">
      <c r="E423" s="77"/>
    </row>
    <row r="424" spans="5:5" x14ac:dyDescent="0.35">
      <c r="E424" s="77"/>
    </row>
    <row r="425" spans="5:5" x14ac:dyDescent="0.35">
      <c r="E425" s="77"/>
    </row>
    <row r="426" spans="5:5" x14ac:dyDescent="0.35">
      <c r="E426" s="77"/>
    </row>
    <row r="427" spans="5:5" x14ac:dyDescent="0.35">
      <c r="E427" s="77"/>
    </row>
    <row r="428" spans="5:5" x14ac:dyDescent="0.35">
      <c r="E428" s="77"/>
    </row>
    <row r="429" spans="5:5" x14ac:dyDescent="0.35">
      <c r="E429" s="77"/>
    </row>
    <row r="430" spans="5:5" x14ac:dyDescent="0.35">
      <c r="E430" s="77"/>
    </row>
    <row r="431" spans="5:5" x14ac:dyDescent="0.35">
      <c r="E431" s="77"/>
    </row>
    <row r="432" spans="5:5" x14ac:dyDescent="0.35">
      <c r="E432" s="77"/>
    </row>
    <row r="433" spans="5:5" x14ac:dyDescent="0.35">
      <c r="E433" s="77"/>
    </row>
    <row r="434" spans="5:5" x14ac:dyDescent="0.35">
      <c r="E434" s="77"/>
    </row>
    <row r="435" spans="5:5" x14ac:dyDescent="0.35">
      <c r="E435" s="77"/>
    </row>
    <row r="436" spans="5:5" x14ac:dyDescent="0.35">
      <c r="E436" s="77"/>
    </row>
    <row r="437" spans="5:5" x14ac:dyDescent="0.35">
      <c r="E437" s="77"/>
    </row>
    <row r="438" spans="5:5" x14ac:dyDescent="0.35">
      <c r="E438" s="77"/>
    </row>
    <row r="439" spans="5:5" x14ac:dyDescent="0.35">
      <c r="E439" s="77"/>
    </row>
    <row r="440" spans="5:5" x14ac:dyDescent="0.35">
      <c r="E440" s="77"/>
    </row>
    <row r="441" spans="5:5" x14ac:dyDescent="0.35">
      <c r="E441" s="77"/>
    </row>
    <row r="442" spans="5:5" x14ac:dyDescent="0.35">
      <c r="E442" s="77"/>
    </row>
    <row r="443" spans="5:5" x14ac:dyDescent="0.35">
      <c r="E443" s="77"/>
    </row>
    <row r="444" spans="5:5" x14ac:dyDescent="0.35">
      <c r="E444" s="77"/>
    </row>
    <row r="445" spans="5:5" x14ac:dyDescent="0.35">
      <c r="E445" s="77"/>
    </row>
    <row r="446" spans="5:5" x14ac:dyDescent="0.35">
      <c r="E446" s="77"/>
    </row>
    <row r="447" spans="5:5" x14ac:dyDescent="0.35">
      <c r="E447" s="77"/>
    </row>
    <row r="448" spans="5:5" x14ac:dyDescent="0.35">
      <c r="E448" s="77"/>
    </row>
    <row r="449" spans="5:5" x14ac:dyDescent="0.35">
      <c r="E449" s="77"/>
    </row>
    <row r="450" spans="5:5" x14ac:dyDescent="0.35">
      <c r="E450" s="77"/>
    </row>
    <row r="451" spans="5:5" x14ac:dyDescent="0.35">
      <c r="E451" s="77"/>
    </row>
    <row r="452" spans="5:5" x14ac:dyDescent="0.35">
      <c r="E452" s="77"/>
    </row>
    <row r="453" spans="5:5" x14ac:dyDescent="0.35">
      <c r="E453" s="77"/>
    </row>
    <row r="454" spans="5:5" x14ac:dyDescent="0.35">
      <c r="E454" s="77"/>
    </row>
    <row r="455" spans="5:5" x14ac:dyDescent="0.35">
      <c r="E455" s="77"/>
    </row>
    <row r="456" spans="5:5" x14ac:dyDescent="0.35">
      <c r="E456" s="77"/>
    </row>
    <row r="457" spans="5:5" x14ac:dyDescent="0.35">
      <c r="E457" s="77"/>
    </row>
    <row r="458" spans="5:5" x14ac:dyDescent="0.35">
      <c r="E458" s="77"/>
    </row>
    <row r="459" spans="5:5" x14ac:dyDescent="0.35">
      <c r="E459" s="77"/>
    </row>
    <row r="460" spans="5:5" x14ac:dyDescent="0.35">
      <c r="E460" s="77"/>
    </row>
    <row r="461" spans="5:5" x14ac:dyDescent="0.35">
      <c r="E461" s="77"/>
    </row>
    <row r="462" spans="5:5" x14ac:dyDescent="0.35">
      <c r="E462" s="77"/>
    </row>
    <row r="463" spans="5:5" x14ac:dyDescent="0.35">
      <c r="E463" s="77"/>
    </row>
    <row r="464" spans="5:5" x14ac:dyDescent="0.35">
      <c r="E464" s="77"/>
    </row>
    <row r="465" spans="5:5" x14ac:dyDescent="0.35">
      <c r="E465" s="77"/>
    </row>
    <row r="466" spans="5:5" x14ac:dyDescent="0.35">
      <c r="E466" s="77"/>
    </row>
    <row r="467" spans="5:5" x14ac:dyDescent="0.35">
      <c r="E467" s="77"/>
    </row>
    <row r="468" spans="5:5" x14ac:dyDescent="0.35">
      <c r="E468" s="77"/>
    </row>
    <row r="469" spans="5:5" x14ac:dyDescent="0.35">
      <c r="E469" s="77"/>
    </row>
    <row r="470" spans="5:5" x14ac:dyDescent="0.35">
      <c r="E470" s="77"/>
    </row>
    <row r="471" spans="5:5" x14ac:dyDescent="0.35">
      <c r="E471" s="77"/>
    </row>
    <row r="472" spans="5:5" x14ac:dyDescent="0.35">
      <c r="E472" s="77"/>
    </row>
    <row r="473" spans="5:5" x14ac:dyDescent="0.35">
      <c r="E473" s="77"/>
    </row>
    <row r="474" spans="5:5" x14ac:dyDescent="0.35">
      <c r="E474" s="77"/>
    </row>
    <row r="475" spans="5:5" x14ac:dyDescent="0.35">
      <c r="E475" s="77"/>
    </row>
    <row r="476" spans="5:5" x14ac:dyDescent="0.35">
      <c r="E476" s="77"/>
    </row>
    <row r="477" spans="5:5" x14ac:dyDescent="0.35">
      <c r="E477" s="77"/>
    </row>
    <row r="478" spans="5:5" x14ac:dyDescent="0.35">
      <c r="E478" s="77"/>
    </row>
    <row r="479" spans="5:5" x14ac:dyDescent="0.35">
      <c r="E479" s="77"/>
    </row>
    <row r="480" spans="5:5" x14ac:dyDescent="0.35">
      <c r="E480" s="77"/>
    </row>
    <row r="481" spans="5:5" x14ac:dyDescent="0.35">
      <c r="E481" s="77"/>
    </row>
    <row r="482" spans="5:5" x14ac:dyDescent="0.35">
      <c r="E482" s="77"/>
    </row>
    <row r="483" spans="5:5" x14ac:dyDescent="0.35">
      <c r="E483" s="77"/>
    </row>
    <row r="484" spans="5:5" x14ac:dyDescent="0.35">
      <c r="E484" s="77"/>
    </row>
    <row r="485" spans="5:5" x14ac:dyDescent="0.35">
      <c r="E485" s="77"/>
    </row>
    <row r="486" spans="5:5" x14ac:dyDescent="0.35">
      <c r="E486" s="77"/>
    </row>
    <row r="487" spans="5:5" x14ac:dyDescent="0.35">
      <c r="E487" s="77"/>
    </row>
    <row r="488" spans="5:5" x14ac:dyDescent="0.35">
      <c r="E488" s="77"/>
    </row>
    <row r="489" spans="5:5" x14ac:dyDescent="0.35">
      <c r="E489" s="77"/>
    </row>
    <row r="490" spans="5:5" x14ac:dyDescent="0.35">
      <c r="E490" s="77"/>
    </row>
    <row r="491" spans="5:5" x14ac:dyDescent="0.35">
      <c r="E491" s="77"/>
    </row>
    <row r="492" spans="5:5" x14ac:dyDescent="0.35">
      <c r="E492" s="77"/>
    </row>
    <row r="493" spans="5:5" x14ac:dyDescent="0.35">
      <c r="E493" s="77"/>
    </row>
    <row r="494" spans="5:5" x14ac:dyDescent="0.35">
      <c r="E494" s="77"/>
    </row>
    <row r="495" spans="5:5" x14ac:dyDescent="0.35">
      <c r="E495" s="77"/>
    </row>
    <row r="496" spans="5:5" x14ac:dyDescent="0.35">
      <c r="E496" s="77"/>
    </row>
    <row r="497" spans="5:5" x14ac:dyDescent="0.35">
      <c r="E497" s="77"/>
    </row>
    <row r="498" spans="5:5" x14ac:dyDescent="0.35">
      <c r="E498" s="77"/>
    </row>
    <row r="499" spans="5:5" x14ac:dyDescent="0.35">
      <c r="E499" s="77"/>
    </row>
    <row r="500" spans="5:5" x14ac:dyDescent="0.35">
      <c r="E500" s="77"/>
    </row>
    <row r="501" spans="5:5" x14ac:dyDescent="0.35">
      <c r="E501" s="77"/>
    </row>
    <row r="502" spans="5:5" x14ac:dyDescent="0.35">
      <c r="E502" s="77"/>
    </row>
    <row r="503" spans="5:5" x14ac:dyDescent="0.35">
      <c r="E503" s="77"/>
    </row>
    <row r="504" spans="5:5" x14ac:dyDescent="0.35">
      <c r="E504" s="77"/>
    </row>
    <row r="505" spans="5:5" x14ac:dyDescent="0.35">
      <c r="E505" s="77"/>
    </row>
    <row r="506" spans="5:5" x14ac:dyDescent="0.35">
      <c r="E506" s="77"/>
    </row>
    <row r="507" spans="5:5" x14ac:dyDescent="0.35">
      <c r="E507" s="77"/>
    </row>
    <row r="508" spans="5:5" x14ac:dyDescent="0.35">
      <c r="E508" s="77"/>
    </row>
    <row r="509" spans="5:5" x14ac:dyDescent="0.35">
      <c r="E509" s="77"/>
    </row>
    <row r="510" spans="5:5" x14ac:dyDescent="0.35">
      <c r="E510" s="77"/>
    </row>
    <row r="511" spans="5:5" x14ac:dyDescent="0.35">
      <c r="E511" s="77"/>
    </row>
    <row r="512" spans="5:5" x14ac:dyDescent="0.35">
      <c r="E512" s="77"/>
    </row>
    <row r="513" spans="5:5" x14ac:dyDescent="0.35">
      <c r="E513" s="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3AC8-AA8B-42A4-828C-72B492A7F977}">
  <dimension ref="B1:E197"/>
  <sheetViews>
    <sheetView workbookViewId="0">
      <selection activeCell="L22" sqref="L22"/>
    </sheetView>
  </sheetViews>
  <sheetFormatPr baseColWidth="10" defaultRowHeight="14.5" x14ac:dyDescent="0.35"/>
  <sheetData>
    <row r="1" spans="2:5" x14ac:dyDescent="0.35">
      <c r="B1" t="s">
        <v>304</v>
      </c>
      <c r="C1" t="s">
        <v>305</v>
      </c>
      <c r="D1" t="s">
        <v>306</v>
      </c>
      <c r="E1" t="s">
        <v>307</v>
      </c>
    </row>
    <row r="2" spans="2:5" x14ac:dyDescent="0.35">
      <c r="C2" t="s">
        <v>308</v>
      </c>
      <c r="D2" t="s">
        <v>309</v>
      </c>
      <c r="E2" t="s">
        <v>309</v>
      </c>
    </row>
    <row r="3" spans="2:5" x14ac:dyDescent="0.35">
      <c r="C3" t="s">
        <v>309</v>
      </c>
      <c r="D3" t="s">
        <v>136</v>
      </c>
      <c r="E3" t="s">
        <v>310</v>
      </c>
    </row>
    <row r="4" spans="2:5" x14ac:dyDescent="0.35">
      <c r="C4" t="s">
        <v>309</v>
      </c>
      <c r="D4" t="s">
        <v>141</v>
      </c>
      <c r="E4" t="s">
        <v>311</v>
      </c>
    </row>
    <row r="5" spans="2:5" x14ac:dyDescent="0.35">
      <c r="C5" t="s">
        <v>309</v>
      </c>
      <c r="D5" t="s">
        <v>144</v>
      </c>
      <c r="E5" t="s">
        <v>312</v>
      </c>
    </row>
    <row r="6" spans="2:5" x14ac:dyDescent="0.35">
      <c r="C6" t="s">
        <v>309</v>
      </c>
      <c r="D6" t="s">
        <v>146</v>
      </c>
      <c r="E6" t="s">
        <v>313</v>
      </c>
    </row>
    <row r="7" spans="2:5" x14ac:dyDescent="0.35">
      <c r="C7" t="s">
        <v>309</v>
      </c>
      <c r="D7" t="s">
        <v>147</v>
      </c>
      <c r="E7" t="s">
        <v>314</v>
      </c>
    </row>
    <row r="8" spans="2:5" x14ac:dyDescent="0.35">
      <c r="C8" t="s">
        <v>315</v>
      </c>
      <c r="E8" t="s">
        <v>316</v>
      </c>
    </row>
    <row r="9" spans="2:5" x14ac:dyDescent="0.35">
      <c r="C9" t="s">
        <v>309</v>
      </c>
      <c r="D9" t="s">
        <v>136</v>
      </c>
      <c r="E9" t="s">
        <v>310</v>
      </c>
    </row>
    <row r="10" spans="2:5" x14ac:dyDescent="0.35">
      <c r="C10" t="s">
        <v>309</v>
      </c>
      <c r="D10" t="s">
        <v>150</v>
      </c>
      <c r="E10" t="s">
        <v>317</v>
      </c>
    </row>
    <row r="11" spans="2:5" x14ac:dyDescent="0.35">
      <c r="C11" t="s">
        <v>309</v>
      </c>
      <c r="D11" t="s">
        <v>224</v>
      </c>
      <c r="E11" t="s">
        <v>318</v>
      </c>
    </row>
    <row r="12" spans="2:5" x14ac:dyDescent="0.35">
      <c r="C12" t="s">
        <v>309</v>
      </c>
      <c r="D12" t="s">
        <v>146</v>
      </c>
      <c r="E12" t="s">
        <v>383</v>
      </c>
    </row>
    <row r="13" spans="2:5" x14ac:dyDescent="0.35">
      <c r="C13" t="s">
        <v>309</v>
      </c>
      <c r="D13" t="s">
        <v>147</v>
      </c>
      <c r="E13" t="s">
        <v>314</v>
      </c>
    </row>
    <row r="14" spans="2:5" x14ac:dyDescent="0.35">
      <c r="C14" t="s">
        <v>319</v>
      </c>
      <c r="E14" t="s">
        <v>316</v>
      </c>
    </row>
    <row r="15" spans="2:5" x14ac:dyDescent="0.35">
      <c r="C15" t="s">
        <v>309</v>
      </c>
      <c r="D15" t="s">
        <v>136</v>
      </c>
      <c r="E15" t="s">
        <v>310</v>
      </c>
    </row>
    <row r="16" spans="2:5" x14ac:dyDescent="0.35">
      <c r="C16" t="s">
        <v>309</v>
      </c>
      <c r="D16" t="s">
        <v>150</v>
      </c>
      <c r="E16" t="s">
        <v>317</v>
      </c>
    </row>
    <row r="17" spans="3:5" x14ac:dyDescent="0.35">
      <c r="C17" t="s">
        <v>309</v>
      </c>
      <c r="D17" t="s">
        <v>224</v>
      </c>
      <c r="E17" t="s">
        <v>318</v>
      </c>
    </row>
    <row r="18" spans="3:5" x14ac:dyDescent="0.35">
      <c r="C18" t="s">
        <v>309</v>
      </c>
      <c r="D18" t="s">
        <v>146</v>
      </c>
      <c r="E18" t="s">
        <v>384</v>
      </c>
    </row>
    <row r="19" spans="3:5" x14ac:dyDescent="0.35">
      <c r="C19" t="s">
        <v>309</v>
      </c>
      <c r="D19" t="s">
        <v>147</v>
      </c>
      <c r="E19" t="s">
        <v>314</v>
      </c>
    </row>
    <row r="20" spans="3:5" x14ac:dyDescent="0.35">
      <c r="C20" t="s">
        <v>320</v>
      </c>
      <c r="E20" t="s">
        <v>316</v>
      </c>
    </row>
    <row r="21" spans="3:5" x14ac:dyDescent="0.35">
      <c r="C21" t="s">
        <v>309</v>
      </c>
      <c r="D21" t="s">
        <v>136</v>
      </c>
      <c r="E21" t="s">
        <v>310</v>
      </c>
    </row>
    <row r="22" spans="3:5" x14ac:dyDescent="0.35">
      <c r="C22" t="s">
        <v>309</v>
      </c>
      <c r="D22" t="s">
        <v>150</v>
      </c>
      <c r="E22" t="s">
        <v>317</v>
      </c>
    </row>
    <row r="23" spans="3:5" x14ac:dyDescent="0.35">
      <c r="C23" t="s">
        <v>309</v>
      </c>
      <c r="D23" t="s">
        <v>224</v>
      </c>
      <c r="E23" t="s">
        <v>318</v>
      </c>
    </row>
    <row r="24" spans="3:5" x14ac:dyDescent="0.35">
      <c r="C24" t="s">
        <v>309</v>
      </c>
      <c r="D24" t="s">
        <v>146</v>
      </c>
      <c r="E24" t="s">
        <v>384</v>
      </c>
    </row>
    <row r="25" spans="3:5" x14ac:dyDescent="0.35">
      <c r="C25" t="s">
        <v>309</v>
      </c>
      <c r="D25" t="s">
        <v>147</v>
      </c>
      <c r="E25" t="s">
        <v>314</v>
      </c>
    </row>
    <row r="26" spans="3:5" x14ac:dyDescent="0.35">
      <c r="C26" t="s">
        <v>321</v>
      </c>
      <c r="E26" t="s">
        <v>316</v>
      </c>
    </row>
    <row r="27" spans="3:5" x14ac:dyDescent="0.35">
      <c r="C27" t="s">
        <v>309</v>
      </c>
      <c r="D27" t="s">
        <v>161</v>
      </c>
      <c r="E27" t="s">
        <v>322</v>
      </c>
    </row>
    <row r="28" spans="3:5" x14ac:dyDescent="0.35">
      <c r="C28" t="s">
        <v>309</v>
      </c>
      <c r="D28" t="s">
        <v>147</v>
      </c>
      <c r="E28" t="s">
        <v>314</v>
      </c>
    </row>
    <row r="29" spans="3:5" x14ac:dyDescent="0.35">
      <c r="C29" t="s">
        <v>323</v>
      </c>
      <c r="E29" t="s">
        <v>316</v>
      </c>
    </row>
    <row r="30" spans="3:5" x14ac:dyDescent="0.35">
      <c r="C30" t="s">
        <v>309</v>
      </c>
      <c r="D30" t="s">
        <v>136</v>
      </c>
      <c r="E30" t="s">
        <v>310</v>
      </c>
    </row>
    <row r="31" spans="3:5" x14ac:dyDescent="0.35">
      <c r="C31" t="s">
        <v>309</v>
      </c>
      <c r="D31" t="s">
        <v>324</v>
      </c>
      <c r="E31" t="s">
        <v>325</v>
      </c>
    </row>
    <row r="32" spans="3:5" x14ac:dyDescent="0.35">
      <c r="C32" t="s">
        <v>309</v>
      </c>
      <c r="D32" t="s">
        <v>167</v>
      </c>
      <c r="E32" t="s">
        <v>326</v>
      </c>
    </row>
    <row r="33" spans="3:5" x14ac:dyDescent="0.35">
      <c r="C33" t="s">
        <v>309</v>
      </c>
      <c r="D33" t="s">
        <v>170</v>
      </c>
      <c r="E33" t="s">
        <v>385</v>
      </c>
    </row>
    <row r="34" spans="3:5" x14ac:dyDescent="0.35">
      <c r="C34" t="s">
        <v>309</v>
      </c>
      <c r="D34" t="s">
        <v>171</v>
      </c>
      <c r="E34" t="s">
        <v>314</v>
      </c>
    </row>
    <row r="35" spans="3:5" x14ac:dyDescent="0.35">
      <c r="C35" t="s">
        <v>327</v>
      </c>
      <c r="E35" t="s">
        <v>316</v>
      </c>
    </row>
    <row r="36" spans="3:5" x14ac:dyDescent="0.35">
      <c r="C36" t="s">
        <v>309</v>
      </c>
      <c r="D36" t="s">
        <v>136</v>
      </c>
      <c r="E36" t="s">
        <v>310</v>
      </c>
    </row>
    <row r="37" spans="3:5" x14ac:dyDescent="0.35">
      <c r="C37" t="s">
        <v>309</v>
      </c>
      <c r="D37" t="s">
        <v>141</v>
      </c>
      <c r="E37" t="s">
        <v>311</v>
      </c>
    </row>
    <row r="38" spans="3:5" x14ac:dyDescent="0.35">
      <c r="C38" t="s">
        <v>309</v>
      </c>
      <c r="D38" t="s">
        <v>144</v>
      </c>
      <c r="E38" t="s">
        <v>312</v>
      </c>
    </row>
    <row r="39" spans="3:5" x14ac:dyDescent="0.35">
      <c r="C39" t="s">
        <v>309</v>
      </c>
      <c r="D39" t="s">
        <v>146</v>
      </c>
      <c r="E39" t="s">
        <v>328</v>
      </c>
    </row>
    <row r="40" spans="3:5" x14ac:dyDescent="0.35">
      <c r="C40" t="s">
        <v>309</v>
      </c>
      <c r="D40" t="s">
        <v>175</v>
      </c>
      <c r="E40" t="s">
        <v>329</v>
      </c>
    </row>
    <row r="41" spans="3:5" x14ac:dyDescent="0.35">
      <c r="C41" t="s">
        <v>309</v>
      </c>
      <c r="D41" t="s">
        <v>147</v>
      </c>
      <c r="E41" t="s">
        <v>314</v>
      </c>
    </row>
    <row r="42" spans="3:5" x14ac:dyDescent="0.35">
      <c r="C42" t="s">
        <v>330</v>
      </c>
      <c r="E42" t="s">
        <v>316</v>
      </c>
    </row>
    <row r="43" spans="3:5" x14ac:dyDescent="0.35">
      <c r="C43" t="s">
        <v>309</v>
      </c>
      <c r="D43" t="s">
        <v>136</v>
      </c>
      <c r="E43" t="s">
        <v>310</v>
      </c>
    </row>
    <row r="44" spans="3:5" x14ac:dyDescent="0.35">
      <c r="C44" t="s">
        <v>309</v>
      </c>
      <c r="D44" t="s">
        <v>150</v>
      </c>
      <c r="E44" t="s">
        <v>317</v>
      </c>
    </row>
    <row r="45" spans="3:5" x14ac:dyDescent="0.35">
      <c r="C45" t="s">
        <v>309</v>
      </c>
      <c r="D45" t="s">
        <v>224</v>
      </c>
      <c r="E45" t="s">
        <v>318</v>
      </c>
    </row>
    <row r="46" spans="3:5" x14ac:dyDescent="0.35">
      <c r="C46" t="s">
        <v>309</v>
      </c>
      <c r="D46" t="s">
        <v>146</v>
      </c>
      <c r="E46" t="s">
        <v>386</v>
      </c>
    </row>
    <row r="47" spans="3:5" x14ac:dyDescent="0.35">
      <c r="C47" t="s">
        <v>309</v>
      </c>
      <c r="D47" t="s">
        <v>175</v>
      </c>
      <c r="E47" t="s">
        <v>329</v>
      </c>
    </row>
    <row r="48" spans="3:5" x14ac:dyDescent="0.35">
      <c r="C48" t="s">
        <v>309</v>
      </c>
      <c r="D48" t="s">
        <v>147</v>
      </c>
      <c r="E48" t="s">
        <v>314</v>
      </c>
    </row>
    <row r="49" spans="3:5" x14ac:dyDescent="0.35">
      <c r="C49" t="s">
        <v>331</v>
      </c>
      <c r="E49" t="s">
        <v>316</v>
      </c>
    </row>
    <row r="50" spans="3:5" x14ac:dyDescent="0.35">
      <c r="C50" t="s">
        <v>309</v>
      </c>
      <c r="D50" t="s">
        <v>136</v>
      </c>
      <c r="E50" t="s">
        <v>310</v>
      </c>
    </row>
    <row r="51" spans="3:5" x14ac:dyDescent="0.35">
      <c r="C51" t="s">
        <v>309</v>
      </c>
      <c r="D51" t="s">
        <v>150</v>
      </c>
      <c r="E51" t="s">
        <v>317</v>
      </c>
    </row>
    <row r="52" spans="3:5" x14ac:dyDescent="0.35">
      <c r="C52" t="s">
        <v>309</v>
      </c>
      <c r="D52" t="s">
        <v>224</v>
      </c>
      <c r="E52" t="s">
        <v>318</v>
      </c>
    </row>
    <row r="53" spans="3:5" x14ac:dyDescent="0.35">
      <c r="C53" t="s">
        <v>309</v>
      </c>
      <c r="D53" t="s">
        <v>146</v>
      </c>
      <c r="E53" t="s">
        <v>384</v>
      </c>
    </row>
    <row r="54" spans="3:5" x14ac:dyDescent="0.35">
      <c r="C54" t="s">
        <v>309</v>
      </c>
      <c r="D54" t="s">
        <v>175</v>
      </c>
      <c r="E54" t="s">
        <v>329</v>
      </c>
    </row>
    <row r="55" spans="3:5" x14ac:dyDescent="0.35">
      <c r="C55" t="s">
        <v>309</v>
      </c>
      <c r="D55" t="s">
        <v>147</v>
      </c>
      <c r="E55" t="s">
        <v>314</v>
      </c>
    </row>
    <row r="56" spans="3:5" x14ac:dyDescent="0.35">
      <c r="C56" t="s">
        <v>332</v>
      </c>
      <c r="E56" t="s">
        <v>316</v>
      </c>
    </row>
    <row r="57" spans="3:5" x14ac:dyDescent="0.35">
      <c r="C57" t="s">
        <v>309</v>
      </c>
      <c r="D57" t="s">
        <v>136</v>
      </c>
      <c r="E57" t="s">
        <v>310</v>
      </c>
    </row>
    <row r="58" spans="3:5" x14ac:dyDescent="0.35">
      <c r="C58" t="s">
        <v>309</v>
      </c>
      <c r="D58" t="s">
        <v>324</v>
      </c>
      <c r="E58" t="s">
        <v>325</v>
      </c>
    </row>
    <row r="59" spans="3:5" x14ac:dyDescent="0.35">
      <c r="C59" t="s">
        <v>309</v>
      </c>
      <c r="D59" t="s">
        <v>167</v>
      </c>
      <c r="E59" t="s">
        <v>326</v>
      </c>
    </row>
    <row r="60" spans="3:5" x14ac:dyDescent="0.35">
      <c r="C60" t="s">
        <v>309</v>
      </c>
      <c r="D60" t="s">
        <v>170</v>
      </c>
      <c r="E60" t="s">
        <v>385</v>
      </c>
    </row>
    <row r="61" spans="3:5" x14ac:dyDescent="0.35">
      <c r="C61" t="s">
        <v>309</v>
      </c>
      <c r="D61" t="s">
        <v>175</v>
      </c>
      <c r="E61" t="s">
        <v>329</v>
      </c>
    </row>
    <row r="62" spans="3:5" x14ac:dyDescent="0.35">
      <c r="C62" t="s">
        <v>309</v>
      </c>
      <c r="D62" t="s">
        <v>147</v>
      </c>
      <c r="E62" t="s">
        <v>314</v>
      </c>
    </row>
    <row r="63" spans="3:5" x14ac:dyDescent="0.35">
      <c r="C63" t="s">
        <v>333</v>
      </c>
      <c r="E63" t="s">
        <v>316</v>
      </c>
    </row>
    <row r="64" spans="3:5" x14ac:dyDescent="0.35">
      <c r="C64" t="s">
        <v>309</v>
      </c>
      <c r="D64" t="s">
        <v>136</v>
      </c>
      <c r="E64" t="s">
        <v>310</v>
      </c>
    </row>
    <row r="65" spans="3:5" x14ac:dyDescent="0.35">
      <c r="C65" t="s">
        <v>309</v>
      </c>
      <c r="D65" t="s">
        <v>141</v>
      </c>
      <c r="E65" t="s">
        <v>311</v>
      </c>
    </row>
    <row r="66" spans="3:5" x14ac:dyDescent="0.35">
      <c r="C66" t="s">
        <v>309</v>
      </c>
      <c r="D66" t="s">
        <v>144</v>
      </c>
      <c r="E66" t="s">
        <v>312</v>
      </c>
    </row>
    <row r="67" spans="3:5" x14ac:dyDescent="0.35">
      <c r="C67" t="s">
        <v>309</v>
      </c>
      <c r="D67" t="s">
        <v>146</v>
      </c>
      <c r="E67" t="s">
        <v>313</v>
      </c>
    </row>
    <row r="68" spans="3:5" x14ac:dyDescent="0.35">
      <c r="C68" t="s">
        <v>309</v>
      </c>
      <c r="D68" t="s">
        <v>181</v>
      </c>
      <c r="E68" t="s">
        <v>334</v>
      </c>
    </row>
    <row r="69" spans="3:5" x14ac:dyDescent="0.35">
      <c r="C69" t="s">
        <v>309</v>
      </c>
      <c r="D69" t="s">
        <v>182</v>
      </c>
      <c r="E69" t="s">
        <v>335</v>
      </c>
    </row>
    <row r="70" spans="3:5" x14ac:dyDescent="0.35">
      <c r="C70" t="s">
        <v>309</v>
      </c>
      <c r="D70" t="s">
        <v>147</v>
      </c>
      <c r="E70" t="s">
        <v>314</v>
      </c>
    </row>
    <row r="71" spans="3:5" x14ac:dyDescent="0.35">
      <c r="C71" t="s">
        <v>336</v>
      </c>
      <c r="E71" t="s">
        <v>316</v>
      </c>
    </row>
    <row r="72" spans="3:5" x14ac:dyDescent="0.35">
      <c r="C72" t="s">
        <v>309</v>
      </c>
      <c r="D72" t="s">
        <v>136</v>
      </c>
      <c r="E72" t="s">
        <v>310</v>
      </c>
    </row>
    <row r="73" spans="3:5" x14ac:dyDescent="0.35">
      <c r="C73" t="s">
        <v>309</v>
      </c>
      <c r="D73" t="s">
        <v>150</v>
      </c>
      <c r="E73" t="s">
        <v>317</v>
      </c>
    </row>
    <row r="74" spans="3:5" x14ac:dyDescent="0.35">
      <c r="C74" t="s">
        <v>309</v>
      </c>
      <c r="D74" t="s">
        <v>224</v>
      </c>
      <c r="E74" t="s">
        <v>318</v>
      </c>
    </row>
    <row r="75" spans="3:5" x14ac:dyDescent="0.35">
      <c r="C75" t="s">
        <v>309</v>
      </c>
      <c r="D75" t="s">
        <v>146</v>
      </c>
      <c r="E75" t="s">
        <v>387</v>
      </c>
    </row>
    <row r="76" spans="3:5" x14ac:dyDescent="0.35">
      <c r="C76" t="s">
        <v>309</v>
      </c>
      <c r="D76" t="s">
        <v>181</v>
      </c>
      <c r="E76" t="s">
        <v>334</v>
      </c>
    </row>
    <row r="77" spans="3:5" x14ac:dyDescent="0.35">
      <c r="C77" t="s">
        <v>309</v>
      </c>
      <c r="D77" t="s">
        <v>182</v>
      </c>
      <c r="E77" t="s">
        <v>335</v>
      </c>
    </row>
    <row r="78" spans="3:5" x14ac:dyDescent="0.35">
      <c r="C78" t="s">
        <v>309</v>
      </c>
      <c r="D78" t="s">
        <v>147</v>
      </c>
      <c r="E78" t="s">
        <v>314</v>
      </c>
    </row>
    <row r="79" spans="3:5" x14ac:dyDescent="0.35">
      <c r="C79" t="s">
        <v>337</v>
      </c>
      <c r="E79" t="s">
        <v>316</v>
      </c>
    </row>
    <row r="80" spans="3:5" x14ac:dyDescent="0.35">
      <c r="C80" t="s">
        <v>309</v>
      </c>
      <c r="D80" t="s">
        <v>136</v>
      </c>
      <c r="E80" t="s">
        <v>310</v>
      </c>
    </row>
    <row r="81" spans="3:5" x14ac:dyDescent="0.35">
      <c r="C81" t="s">
        <v>309</v>
      </c>
      <c r="D81" t="s">
        <v>150</v>
      </c>
      <c r="E81" t="s">
        <v>317</v>
      </c>
    </row>
    <row r="82" spans="3:5" x14ac:dyDescent="0.35">
      <c r="C82" t="s">
        <v>309</v>
      </c>
      <c r="D82" t="s">
        <v>224</v>
      </c>
      <c r="E82" t="s">
        <v>318</v>
      </c>
    </row>
    <row r="83" spans="3:5" x14ac:dyDescent="0.35">
      <c r="C83" t="s">
        <v>309</v>
      </c>
      <c r="D83" t="s">
        <v>146</v>
      </c>
      <c r="E83" t="s">
        <v>384</v>
      </c>
    </row>
    <row r="84" spans="3:5" x14ac:dyDescent="0.35">
      <c r="C84" t="s">
        <v>309</v>
      </c>
      <c r="D84" t="s">
        <v>181</v>
      </c>
      <c r="E84" t="s">
        <v>334</v>
      </c>
    </row>
    <row r="85" spans="3:5" x14ac:dyDescent="0.35">
      <c r="C85" t="s">
        <v>309</v>
      </c>
      <c r="D85" t="s">
        <v>182</v>
      </c>
      <c r="E85" t="s">
        <v>335</v>
      </c>
    </row>
    <row r="86" spans="3:5" x14ac:dyDescent="0.35">
      <c r="C86" t="s">
        <v>309</v>
      </c>
      <c r="D86" t="s">
        <v>147</v>
      </c>
      <c r="E86" t="s">
        <v>314</v>
      </c>
    </row>
    <row r="87" spans="3:5" x14ac:dyDescent="0.35">
      <c r="C87" t="s">
        <v>338</v>
      </c>
      <c r="E87" t="s">
        <v>316</v>
      </c>
    </row>
    <row r="88" spans="3:5" x14ac:dyDescent="0.35">
      <c r="C88" t="s">
        <v>309</v>
      </c>
      <c r="D88" t="s">
        <v>136</v>
      </c>
      <c r="E88" t="s">
        <v>310</v>
      </c>
    </row>
    <row r="89" spans="3:5" x14ac:dyDescent="0.35">
      <c r="C89" t="s">
        <v>309</v>
      </c>
      <c r="D89" t="s">
        <v>324</v>
      </c>
      <c r="E89" t="s">
        <v>325</v>
      </c>
    </row>
    <row r="90" spans="3:5" x14ac:dyDescent="0.35">
      <c r="C90" t="s">
        <v>309</v>
      </c>
      <c r="D90" t="s">
        <v>167</v>
      </c>
      <c r="E90" t="s">
        <v>326</v>
      </c>
    </row>
    <row r="91" spans="3:5" x14ac:dyDescent="0.35">
      <c r="C91" t="s">
        <v>309</v>
      </c>
      <c r="D91" t="s">
        <v>170</v>
      </c>
      <c r="E91" t="s">
        <v>385</v>
      </c>
    </row>
    <row r="92" spans="3:5" x14ac:dyDescent="0.35">
      <c r="C92" t="s">
        <v>309</v>
      </c>
      <c r="D92" t="s">
        <v>181</v>
      </c>
      <c r="E92" t="s">
        <v>334</v>
      </c>
    </row>
    <row r="93" spans="3:5" x14ac:dyDescent="0.35">
      <c r="C93" t="s">
        <v>309</v>
      </c>
      <c r="D93" t="s">
        <v>182</v>
      </c>
      <c r="E93" t="s">
        <v>335</v>
      </c>
    </row>
    <row r="94" spans="3:5" x14ac:dyDescent="0.35">
      <c r="C94" t="s">
        <v>309</v>
      </c>
      <c r="D94" t="s">
        <v>171</v>
      </c>
      <c r="E94" t="s">
        <v>314</v>
      </c>
    </row>
    <row r="95" spans="3:5" x14ac:dyDescent="0.35">
      <c r="C95" t="s">
        <v>339</v>
      </c>
      <c r="E95" t="s">
        <v>316</v>
      </c>
    </row>
    <row r="96" spans="3:5" x14ac:dyDescent="0.35">
      <c r="C96" t="s">
        <v>309</v>
      </c>
      <c r="D96" t="s">
        <v>136</v>
      </c>
      <c r="E96" t="s">
        <v>310</v>
      </c>
    </row>
    <row r="97" spans="3:5" x14ac:dyDescent="0.35">
      <c r="C97" t="s">
        <v>309</v>
      </c>
      <c r="D97" t="s">
        <v>141</v>
      </c>
      <c r="E97" t="s">
        <v>311</v>
      </c>
    </row>
    <row r="98" spans="3:5" x14ac:dyDescent="0.35">
      <c r="C98" t="s">
        <v>309</v>
      </c>
      <c r="D98" t="s">
        <v>144</v>
      </c>
      <c r="E98" t="s">
        <v>312</v>
      </c>
    </row>
    <row r="99" spans="3:5" x14ac:dyDescent="0.35">
      <c r="C99" t="s">
        <v>309</v>
      </c>
      <c r="D99" t="s">
        <v>146</v>
      </c>
      <c r="E99" t="s">
        <v>328</v>
      </c>
    </row>
    <row r="100" spans="3:5" x14ac:dyDescent="0.35">
      <c r="C100" t="s">
        <v>309</v>
      </c>
      <c r="D100" t="s">
        <v>340</v>
      </c>
      <c r="E100" t="s">
        <v>341</v>
      </c>
    </row>
    <row r="101" spans="3:5" x14ac:dyDescent="0.35">
      <c r="C101" t="s">
        <v>309</v>
      </c>
      <c r="D101" t="s">
        <v>147</v>
      </c>
      <c r="E101" t="s">
        <v>314</v>
      </c>
    </row>
    <row r="102" spans="3:5" x14ac:dyDescent="0.35">
      <c r="C102" t="s">
        <v>342</v>
      </c>
      <c r="E102" t="s">
        <v>316</v>
      </c>
    </row>
    <row r="103" spans="3:5" x14ac:dyDescent="0.35">
      <c r="C103" t="s">
        <v>309</v>
      </c>
      <c r="D103" t="s">
        <v>136</v>
      </c>
      <c r="E103" t="s">
        <v>310</v>
      </c>
    </row>
    <row r="104" spans="3:5" x14ac:dyDescent="0.35">
      <c r="C104" t="s">
        <v>309</v>
      </c>
      <c r="D104" t="s">
        <v>141</v>
      </c>
      <c r="E104" t="s">
        <v>311</v>
      </c>
    </row>
    <row r="105" spans="3:5" x14ac:dyDescent="0.35">
      <c r="C105" t="s">
        <v>309</v>
      </c>
      <c r="D105" t="s">
        <v>144</v>
      </c>
      <c r="E105" t="s">
        <v>312</v>
      </c>
    </row>
    <row r="106" spans="3:5" x14ac:dyDescent="0.35">
      <c r="C106" t="s">
        <v>309</v>
      </c>
      <c r="D106" t="s">
        <v>146</v>
      </c>
      <c r="E106" t="s">
        <v>313</v>
      </c>
    </row>
    <row r="107" spans="3:5" x14ac:dyDescent="0.35">
      <c r="C107" t="s">
        <v>309</v>
      </c>
      <c r="D107" t="s">
        <v>181</v>
      </c>
      <c r="E107" t="s">
        <v>334</v>
      </c>
    </row>
    <row r="108" spans="3:5" x14ac:dyDescent="0.35">
      <c r="C108" t="s">
        <v>309</v>
      </c>
      <c r="D108" t="s">
        <v>192</v>
      </c>
      <c r="E108" t="s">
        <v>343</v>
      </c>
    </row>
    <row r="109" spans="3:5" x14ac:dyDescent="0.35">
      <c r="C109" t="s">
        <v>309</v>
      </c>
      <c r="D109" t="s">
        <v>147</v>
      </c>
      <c r="E109" t="s">
        <v>314</v>
      </c>
    </row>
    <row r="110" spans="3:5" x14ac:dyDescent="0.35">
      <c r="C110" t="s">
        <v>344</v>
      </c>
      <c r="E110" t="s">
        <v>316</v>
      </c>
    </row>
    <row r="111" spans="3:5" x14ac:dyDescent="0.35">
      <c r="C111" t="s">
        <v>309</v>
      </c>
      <c r="D111" t="s">
        <v>136</v>
      </c>
      <c r="E111" t="s">
        <v>310</v>
      </c>
    </row>
    <row r="112" spans="3:5" x14ac:dyDescent="0.35">
      <c r="C112" t="s">
        <v>309</v>
      </c>
      <c r="D112" t="s">
        <v>150</v>
      </c>
      <c r="E112" t="s">
        <v>317</v>
      </c>
    </row>
    <row r="113" spans="3:5" x14ac:dyDescent="0.35">
      <c r="C113" t="s">
        <v>309</v>
      </c>
      <c r="D113" t="s">
        <v>224</v>
      </c>
      <c r="E113" t="s">
        <v>318</v>
      </c>
    </row>
    <row r="114" spans="3:5" x14ac:dyDescent="0.35">
      <c r="C114" t="s">
        <v>309</v>
      </c>
      <c r="D114" t="s">
        <v>146</v>
      </c>
      <c r="E114" t="s">
        <v>386</v>
      </c>
    </row>
    <row r="115" spans="3:5" x14ac:dyDescent="0.35">
      <c r="C115" t="s">
        <v>309</v>
      </c>
      <c r="D115" t="s">
        <v>181</v>
      </c>
      <c r="E115" t="s">
        <v>334</v>
      </c>
    </row>
    <row r="116" spans="3:5" x14ac:dyDescent="0.35">
      <c r="C116" t="s">
        <v>309</v>
      </c>
      <c r="D116" t="s">
        <v>192</v>
      </c>
      <c r="E116" t="s">
        <v>343</v>
      </c>
    </row>
    <row r="117" spans="3:5" x14ac:dyDescent="0.35">
      <c r="C117" t="s">
        <v>309</v>
      </c>
      <c r="D117" t="s">
        <v>147</v>
      </c>
      <c r="E117" t="s">
        <v>314</v>
      </c>
    </row>
    <row r="118" spans="3:5" x14ac:dyDescent="0.35">
      <c r="C118" t="s">
        <v>345</v>
      </c>
      <c r="E118" t="s">
        <v>316</v>
      </c>
    </row>
    <row r="119" spans="3:5" x14ac:dyDescent="0.35">
      <c r="C119" t="s">
        <v>309</v>
      </c>
      <c r="D119" t="s">
        <v>136</v>
      </c>
      <c r="E119" t="s">
        <v>310</v>
      </c>
    </row>
    <row r="120" spans="3:5" x14ac:dyDescent="0.35">
      <c r="C120" t="s">
        <v>309</v>
      </c>
      <c r="D120" t="s">
        <v>150</v>
      </c>
      <c r="E120" t="s">
        <v>317</v>
      </c>
    </row>
    <row r="121" spans="3:5" x14ac:dyDescent="0.35">
      <c r="C121" t="s">
        <v>309</v>
      </c>
      <c r="D121" t="s">
        <v>224</v>
      </c>
      <c r="E121" t="s">
        <v>318</v>
      </c>
    </row>
    <row r="122" spans="3:5" x14ac:dyDescent="0.35">
      <c r="C122" t="s">
        <v>309</v>
      </c>
      <c r="D122" t="s">
        <v>146</v>
      </c>
      <c r="E122" t="s">
        <v>384</v>
      </c>
    </row>
    <row r="123" spans="3:5" x14ac:dyDescent="0.35">
      <c r="C123" t="s">
        <v>309</v>
      </c>
      <c r="D123" t="s">
        <v>181</v>
      </c>
      <c r="E123" t="s">
        <v>334</v>
      </c>
    </row>
    <row r="124" spans="3:5" x14ac:dyDescent="0.35">
      <c r="C124" t="s">
        <v>309</v>
      </c>
      <c r="D124" t="s">
        <v>192</v>
      </c>
      <c r="E124" t="s">
        <v>343</v>
      </c>
    </row>
    <row r="125" spans="3:5" x14ac:dyDescent="0.35">
      <c r="C125" t="s">
        <v>309</v>
      </c>
      <c r="D125" t="s">
        <v>147</v>
      </c>
      <c r="E125" t="s">
        <v>314</v>
      </c>
    </row>
    <row r="126" spans="3:5" x14ac:dyDescent="0.35">
      <c r="C126" t="s">
        <v>346</v>
      </c>
      <c r="E126" t="s">
        <v>316</v>
      </c>
    </row>
    <row r="127" spans="3:5" x14ac:dyDescent="0.35">
      <c r="C127" t="s">
        <v>309</v>
      </c>
      <c r="D127" t="s">
        <v>136</v>
      </c>
      <c r="E127" t="s">
        <v>310</v>
      </c>
    </row>
    <row r="128" spans="3:5" x14ac:dyDescent="0.35">
      <c r="C128" t="s">
        <v>309</v>
      </c>
      <c r="D128" t="s">
        <v>324</v>
      </c>
      <c r="E128" t="s">
        <v>325</v>
      </c>
    </row>
    <row r="129" spans="3:5" x14ac:dyDescent="0.35">
      <c r="C129" t="s">
        <v>309</v>
      </c>
      <c r="D129" t="s">
        <v>167</v>
      </c>
      <c r="E129" t="s">
        <v>326</v>
      </c>
    </row>
    <row r="130" spans="3:5" x14ac:dyDescent="0.35">
      <c r="C130" t="s">
        <v>309</v>
      </c>
      <c r="D130" t="s">
        <v>170</v>
      </c>
      <c r="E130" t="s">
        <v>385</v>
      </c>
    </row>
    <row r="131" spans="3:5" x14ac:dyDescent="0.35">
      <c r="C131" t="s">
        <v>309</v>
      </c>
      <c r="D131" t="s">
        <v>181</v>
      </c>
      <c r="E131" t="s">
        <v>334</v>
      </c>
    </row>
    <row r="132" spans="3:5" x14ac:dyDescent="0.35">
      <c r="C132" t="s">
        <v>309</v>
      </c>
      <c r="D132" t="s">
        <v>192</v>
      </c>
      <c r="E132" t="s">
        <v>343</v>
      </c>
    </row>
    <row r="133" spans="3:5" x14ac:dyDescent="0.35">
      <c r="C133" t="s">
        <v>309</v>
      </c>
      <c r="D133" t="s">
        <v>147</v>
      </c>
      <c r="E133" t="s">
        <v>314</v>
      </c>
    </row>
    <row r="134" spans="3:5" x14ac:dyDescent="0.35">
      <c r="C134" t="s">
        <v>347</v>
      </c>
      <c r="E134" t="s">
        <v>316</v>
      </c>
    </row>
    <row r="135" spans="3:5" x14ac:dyDescent="0.35">
      <c r="C135" t="s">
        <v>309</v>
      </c>
      <c r="D135" t="s">
        <v>196</v>
      </c>
      <c r="E135" t="s">
        <v>348</v>
      </c>
    </row>
    <row r="136" spans="3:5" x14ac:dyDescent="0.35">
      <c r="C136" t="s">
        <v>309</v>
      </c>
      <c r="D136" t="s">
        <v>200</v>
      </c>
      <c r="E136" t="s">
        <v>349</v>
      </c>
    </row>
    <row r="137" spans="3:5" x14ac:dyDescent="0.35">
      <c r="C137" t="s">
        <v>309</v>
      </c>
      <c r="D137" t="s">
        <v>147</v>
      </c>
      <c r="E137" t="s">
        <v>314</v>
      </c>
    </row>
    <row r="138" spans="3:5" x14ac:dyDescent="0.35">
      <c r="C138" t="s">
        <v>350</v>
      </c>
      <c r="E138" t="s">
        <v>316</v>
      </c>
    </row>
    <row r="139" spans="3:5" x14ac:dyDescent="0.35">
      <c r="C139" t="s">
        <v>309</v>
      </c>
      <c r="D139" t="s">
        <v>196</v>
      </c>
      <c r="E139" t="s">
        <v>348</v>
      </c>
    </row>
    <row r="140" spans="3:5" x14ac:dyDescent="0.35">
      <c r="C140" t="s">
        <v>309</v>
      </c>
      <c r="D140" t="s">
        <v>203</v>
      </c>
      <c r="E140" t="s">
        <v>388</v>
      </c>
    </row>
    <row r="141" spans="3:5" x14ac:dyDescent="0.35">
      <c r="C141" t="s">
        <v>309</v>
      </c>
      <c r="D141" t="s">
        <v>147</v>
      </c>
      <c r="E141" t="s">
        <v>314</v>
      </c>
    </row>
    <row r="142" spans="3:5" x14ac:dyDescent="0.35">
      <c r="C142" t="s">
        <v>351</v>
      </c>
      <c r="E142" t="s">
        <v>316</v>
      </c>
    </row>
    <row r="143" spans="3:5" x14ac:dyDescent="0.35">
      <c r="C143" t="s">
        <v>309</v>
      </c>
      <c r="D143" t="s">
        <v>146</v>
      </c>
      <c r="E143" t="s">
        <v>389</v>
      </c>
    </row>
    <row r="144" spans="3:5" x14ac:dyDescent="0.35">
      <c r="C144" t="s">
        <v>309</v>
      </c>
      <c r="D144" t="s">
        <v>206</v>
      </c>
      <c r="E144" t="s">
        <v>390</v>
      </c>
    </row>
    <row r="145" spans="3:5" x14ac:dyDescent="0.35">
      <c r="C145" t="s">
        <v>352</v>
      </c>
      <c r="E145" t="s">
        <v>316</v>
      </c>
    </row>
    <row r="146" spans="3:5" x14ac:dyDescent="0.35">
      <c r="C146" t="s">
        <v>309</v>
      </c>
      <c r="D146" t="s">
        <v>209</v>
      </c>
      <c r="E146" t="s">
        <v>353</v>
      </c>
    </row>
    <row r="147" spans="3:5" x14ac:dyDescent="0.35">
      <c r="C147" t="s">
        <v>309</v>
      </c>
      <c r="D147" t="s">
        <v>147</v>
      </c>
      <c r="E147" t="s">
        <v>314</v>
      </c>
    </row>
    <row r="148" spans="3:5" x14ac:dyDescent="0.35">
      <c r="C148" t="s">
        <v>354</v>
      </c>
      <c r="E148" t="s">
        <v>316</v>
      </c>
    </row>
    <row r="149" spans="3:5" x14ac:dyDescent="0.35">
      <c r="C149" t="s">
        <v>309</v>
      </c>
      <c r="D149" t="s">
        <v>213</v>
      </c>
      <c r="E149" t="s">
        <v>355</v>
      </c>
    </row>
    <row r="150" spans="3:5" x14ac:dyDescent="0.35">
      <c r="C150" t="s">
        <v>309</v>
      </c>
      <c r="D150" t="s">
        <v>147</v>
      </c>
      <c r="E150" t="s">
        <v>314</v>
      </c>
    </row>
    <row r="151" spans="3:5" x14ac:dyDescent="0.35">
      <c r="C151" t="s">
        <v>356</v>
      </c>
      <c r="E151" t="s">
        <v>316</v>
      </c>
    </row>
    <row r="152" spans="3:5" x14ac:dyDescent="0.35">
      <c r="C152" t="s">
        <v>309</v>
      </c>
      <c r="D152" t="s">
        <v>217</v>
      </c>
      <c r="E152" t="s">
        <v>357</v>
      </c>
    </row>
    <row r="153" spans="3:5" x14ac:dyDescent="0.35">
      <c r="C153" t="s">
        <v>309</v>
      </c>
      <c r="D153" t="s">
        <v>219</v>
      </c>
      <c r="E153" t="s">
        <v>358</v>
      </c>
    </row>
    <row r="154" spans="3:5" x14ac:dyDescent="0.35">
      <c r="C154" t="s">
        <v>309</v>
      </c>
      <c r="D154" t="s">
        <v>147</v>
      </c>
      <c r="E154" t="s">
        <v>314</v>
      </c>
    </row>
    <row r="155" spans="3:5" x14ac:dyDescent="0.35">
      <c r="C155" t="s">
        <v>359</v>
      </c>
      <c r="E155" t="s">
        <v>316</v>
      </c>
    </row>
    <row r="156" spans="3:5" x14ac:dyDescent="0.35">
      <c r="C156" t="s">
        <v>309</v>
      </c>
      <c r="D156" t="s">
        <v>136</v>
      </c>
      <c r="E156" t="s">
        <v>310</v>
      </c>
    </row>
    <row r="157" spans="3:5" x14ac:dyDescent="0.35">
      <c r="C157" t="s">
        <v>309</v>
      </c>
      <c r="D157" t="s">
        <v>150</v>
      </c>
      <c r="E157" t="s">
        <v>317</v>
      </c>
    </row>
    <row r="158" spans="3:5" x14ac:dyDescent="0.35">
      <c r="C158" t="s">
        <v>309</v>
      </c>
      <c r="D158" t="s">
        <v>224</v>
      </c>
      <c r="E158" t="s">
        <v>318</v>
      </c>
    </row>
    <row r="159" spans="3:5" x14ac:dyDescent="0.35">
      <c r="C159" t="s">
        <v>309</v>
      </c>
      <c r="D159" t="s">
        <v>146</v>
      </c>
      <c r="E159" t="s">
        <v>360</v>
      </c>
    </row>
    <row r="160" spans="3:5" x14ac:dyDescent="0.35">
      <c r="C160" t="s">
        <v>309</v>
      </c>
      <c r="D160" t="s">
        <v>226</v>
      </c>
      <c r="E160" t="s">
        <v>361</v>
      </c>
    </row>
    <row r="161" spans="3:5" x14ac:dyDescent="0.35">
      <c r="C161" t="s">
        <v>309</v>
      </c>
      <c r="D161" t="s">
        <v>171</v>
      </c>
      <c r="E161" t="s">
        <v>314</v>
      </c>
    </row>
    <row r="162" spans="3:5" x14ac:dyDescent="0.35">
      <c r="C162" t="s">
        <v>362</v>
      </c>
      <c r="E162" t="s">
        <v>316</v>
      </c>
    </row>
    <row r="163" spans="3:5" x14ac:dyDescent="0.35">
      <c r="C163" t="s">
        <v>309</v>
      </c>
      <c r="D163" t="s">
        <v>228</v>
      </c>
      <c r="E163" t="s">
        <v>316</v>
      </c>
    </row>
    <row r="164" spans="3:5" x14ac:dyDescent="0.35">
      <c r="C164" t="s">
        <v>309</v>
      </c>
      <c r="D164" t="s">
        <v>230</v>
      </c>
      <c r="E164" t="s">
        <v>363</v>
      </c>
    </row>
    <row r="165" spans="3:5" x14ac:dyDescent="0.35">
      <c r="C165" t="s">
        <v>309</v>
      </c>
      <c r="D165" t="s">
        <v>232</v>
      </c>
      <c r="E165" t="s">
        <v>364</v>
      </c>
    </row>
    <row r="166" spans="3:5" x14ac:dyDescent="0.35">
      <c r="C166" t="s">
        <v>309</v>
      </c>
      <c r="D166" t="s">
        <v>234</v>
      </c>
      <c r="E166" t="s">
        <v>365</v>
      </c>
    </row>
    <row r="167" spans="3:5" x14ac:dyDescent="0.35">
      <c r="C167" t="s">
        <v>309</v>
      </c>
      <c r="D167" t="s">
        <v>236</v>
      </c>
      <c r="E167" t="s">
        <v>366</v>
      </c>
    </row>
    <row r="168" spans="3:5" x14ac:dyDescent="0.35">
      <c r="C168" t="s">
        <v>309</v>
      </c>
      <c r="D168" t="s">
        <v>238</v>
      </c>
      <c r="E168" t="s">
        <v>367</v>
      </c>
    </row>
    <row r="169" spans="3:5" x14ac:dyDescent="0.35">
      <c r="C169" t="s">
        <v>368</v>
      </c>
      <c r="E169" t="s">
        <v>316</v>
      </c>
    </row>
    <row r="170" spans="3:5" x14ac:dyDescent="0.35">
      <c r="C170" t="s">
        <v>309</v>
      </c>
      <c r="D170" t="s">
        <v>136</v>
      </c>
      <c r="E170" t="s">
        <v>369</v>
      </c>
    </row>
    <row r="171" spans="3:5" x14ac:dyDescent="0.35">
      <c r="C171" t="s">
        <v>309</v>
      </c>
      <c r="D171" t="s">
        <v>242</v>
      </c>
      <c r="E171" t="s">
        <v>370</v>
      </c>
    </row>
    <row r="172" spans="3:5" x14ac:dyDescent="0.35">
      <c r="C172" t="s">
        <v>309</v>
      </c>
      <c r="D172" t="s">
        <v>243</v>
      </c>
      <c r="E172" t="s">
        <v>371</v>
      </c>
    </row>
    <row r="173" spans="3:5" x14ac:dyDescent="0.35">
      <c r="C173" t="s">
        <v>309</v>
      </c>
      <c r="D173" t="s">
        <v>171</v>
      </c>
      <c r="E173" t="s">
        <v>314</v>
      </c>
    </row>
    <row r="174" spans="3:5" x14ac:dyDescent="0.35">
      <c r="C174" t="s">
        <v>372</v>
      </c>
      <c r="E174" t="s">
        <v>316</v>
      </c>
    </row>
    <row r="175" spans="3:5" x14ac:dyDescent="0.35">
      <c r="C175" t="s">
        <v>309</v>
      </c>
      <c r="D175" t="s">
        <v>136</v>
      </c>
      <c r="E175" t="s">
        <v>310</v>
      </c>
    </row>
    <row r="176" spans="3:5" x14ac:dyDescent="0.35">
      <c r="C176" t="s">
        <v>309</v>
      </c>
      <c r="D176" t="s">
        <v>324</v>
      </c>
      <c r="E176" t="s">
        <v>325</v>
      </c>
    </row>
    <row r="177" spans="3:5" x14ac:dyDescent="0.35">
      <c r="C177" t="s">
        <v>309</v>
      </c>
      <c r="D177" t="s">
        <v>167</v>
      </c>
      <c r="E177" t="s">
        <v>326</v>
      </c>
    </row>
    <row r="178" spans="3:5" x14ac:dyDescent="0.35">
      <c r="C178" t="s">
        <v>309</v>
      </c>
      <c r="D178" t="s">
        <v>170</v>
      </c>
      <c r="E178" t="s">
        <v>391</v>
      </c>
    </row>
    <row r="179" spans="3:5" x14ac:dyDescent="0.35">
      <c r="C179" t="s">
        <v>309</v>
      </c>
      <c r="D179" t="s">
        <v>247</v>
      </c>
      <c r="E179" t="s">
        <v>373</v>
      </c>
    </row>
    <row r="180" spans="3:5" x14ac:dyDescent="0.35">
      <c r="C180" t="s">
        <v>309</v>
      </c>
      <c r="D180" t="s">
        <v>248</v>
      </c>
      <c r="E180" t="s">
        <v>374</v>
      </c>
    </row>
    <row r="181" spans="3:5" x14ac:dyDescent="0.35">
      <c r="C181" t="s">
        <v>309</v>
      </c>
      <c r="D181" t="s">
        <v>171</v>
      </c>
      <c r="E181" t="s">
        <v>314</v>
      </c>
    </row>
    <row r="182" spans="3:5" x14ac:dyDescent="0.35">
      <c r="C182" t="s">
        <v>375</v>
      </c>
      <c r="E182" t="s">
        <v>316</v>
      </c>
    </row>
    <row r="183" spans="3:5" x14ac:dyDescent="0.35">
      <c r="C183" t="s">
        <v>309</v>
      </c>
      <c r="D183" t="s">
        <v>136</v>
      </c>
      <c r="E183" t="s">
        <v>310</v>
      </c>
    </row>
    <row r="184" spans="3:5" x14ac:dyDescent="0.35">
      <c r="C184" t="s">
        <v>309</v>
      </c>
      <c r="D184" t="s">
        <v>150</v>
      </c>
      <c r="E184" t="s">
        <v>317</v>
      </c>
    </row>
    <row r="185" spans="3:5" x14ac:dyDescent="0.35">
      <c r="C185" t="s">
        <v>309</v>
      </c>
      <c r="D185" t="s">
        <v>224</v>
      </c>
      <c r="E185" t="s">
        <v>318</v>
      </c>
    </row>
    <row r="186" spans="3:5" x14ac:dyDescent="0.35">
      <c r="C186" t="s">
        <v>309</v>
      </c>
      <c r="D186" t="s">
        <v>146</v>
      </c>
      <c r="E186" t="s">
        <v>392</v>
      </c>
    </row>
    <row r="187" spans="3:5" x14ac:dyDescent="0.35">
      <c r="C187" t="s">
        <v>309</v>
      </c>
      <c r="D187" t="s">
        <v>252</v>
      </c>
      <c r="E187" t="s">
        <v>376</v>
      </c>
    </row>
    <row r="188" spans="3:5" x14ac:dyDescent="0.35">
      <c r="C188" t="s">
        <v>309</v>
      </c>
      <c r="D188" t="s">
        <v>254</v>
      </c>
      <c r="E188" t="s">
        <v>377</v>
      </c>
    </row>
    <row r="189" spans="3:5" x14ac:dyDescent="0.35">
      <c r="C189" t="s">
        <v>309</v>
      </c>
      <c r="D189" t="s">
        <v>147</v>
      </c>
      <c r="E189" t="s">
        <v>314</v>
      </c>
    </row>
    <row r="190" spans="3:5" x14ac:dyDescent="0.35">
      <c r="C190" t="s">
        <v>378</v>
      </c>
      <c r="E190" t="s">
        <v>316</v>
      </c>
    </row>
    <row r="191" spans="3:5" x14ac:dyDescent="0.35">
      <c r="C191" t="s">
        <v>309</v>
      </c>
      <c r="D191" t="s">
        <v>136</v>
      </c>
      <c r="E191" t="s">
        <v>310</v>
      </c>
    </row>
    <row r="192" spans="3:5" x14ac:dyDescent="0.35">
      <c r="C192" t="s">
        <v>309</v>
      </c>
      <c r="D192" t="s">
        <v>150</v>
      </c>
      <c r="E192" t="s">
        <v>317</v>
      </c>
    </row>
    <row r="193" spans="3:5" x14ac:dyDescent="0.35">
      <c r="C193" t="s">
        <v>309</v>
      </c>
      <c r="D193" t="s">
        <v>224</v>
      </c>
      <c r="E193" t="s">
        <v>318</v>
      </c>
    </row>
    <row r="194" spans="3:5" x14ac:dyDescent="0.35">
      <c r="C194" t="s">
        <v>309</v>
      </c>
      <c r="D194" t="s">
        <v>146</v>
      </c>
      <c r="E194" t="s">
        <v>386</v>
      </c>
    </row>
    <row r="195" spans="3:5" x14ac:dyDescent="0.35">
      <c r="C195" t="s">
        <v>309</v>
      </c>
      <c r="D195" t="s">
        <v>181</v>
      </c>
      <c r="E195" t="s">
        <v>334</v>
      </c>
    </row>
    <row r="196" spans="3:5" x14ac:dyDescent="0.35">
      <c r="C196" t="s">
        <v>309</v>
      </c>
      <c r="D196" t="s">
        <v>259</v>
      </c>
      <c r="E196" t="s">
        <v>379</v>
      </c>
    </row>
    <row r="197" spans="3:5" x14ac:dyDescent="0.35">
      <c r="C197" t="s">
        <v>309</v>
      </c>
      <c r="D197" t="s">
        <v>147</v>
      </c>
      <c r="E197" t="s">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35"/>
  <sheetViews>
    <sheetView showGridLines="0" zoomScale="90" zoomScaleNormal="90" workbookViewId="0"/>
  </sheetViews>
  <sheetFormatPr baseColWidth="10" defaultColWidth="11.453125" defaultRowHeight="16.5" x14ac:dyDescent="0.45"/>
  <cols>
    <col min="1" max="1" width="5.453125" style="18" customWidth="1"/>
    <col min="2" max="2" width="51.36328125" style="18" customWidth="1"/>
    <col min="3" max="3" width="57.54296875" style="18" customWidth="1"/>
    <col min="4" max="4" width="19.81640625" style="18" customWidth="1"/>
    <col min="5" max="5" width="12.453125" style="18" customWidth="1"/>
    <col min="6" max="7" width="17.7265625" style="18" customWidth="1"/>
    <col min="8" max="9" width="11.453125" style="18"/>
    <col min="10" max="10" width="16.1796875" style="18" customWidth="1"/>
    <col min="11" max="11" width="18.453125" style="18" customWidth="1"/>
    <col min="12" max="12" width="59.1796875" style="18" customWidth="1"/>
    <col min="13" max="13" width="3.81640625" style="18" customWidth="1"/>
    <col min="14" max="14" width="3.453125" style="18" customWidth="1"/>
    <col min="15" max="15" width="8.453125" style="18" customWidth="1"/>
    <col min="16" max="17" width="15.7265625" style="18" customWidth="1"/>
    <col min="18" max="18" width="8.453125" style="18" customWidth="1"/>
    <col min="19" max="20" width="15.7265625" style="18" customWidth="1"/>
    <col min="21" max="21" width="7.7265625" style="18" customWidth="1"/>
    <col min="22" max="22" width="15.453125" style="18" customWidth="1"/>
    <col min="23" max="23" width="62.1796875" style="18" customWidth="1"/>
    <col min="24" max="1024" width="11.453125" style="18"/>
  </cols>
  <sheetData>
    <row r="2" spans="2:12" s="20" customFormat="1" ht="14.5" x14ac:dyDescent="0.4">
      <c r="B2" s="54" t="s">
        <v>262</v>
      </c>
    </row>
    <row r="3" spans="2:12" s="20" customFormat="1" ht="14.5" x14ac:dyDescent="0.4">
      <c r="B3" s="55" t="s">
        <v>263</v>
      </c>
    </row>
    <row r="4" spans="2:12" s="20" customFormat="1" ht="16.5" customHeight="1" x14ac:dyDescent="0.4">
      <c r="B4" s="55" t="s">
        <v>264</v>
      </c>
      <c r="K4" s="56"/>
      <c r="L4" s="57"/>
    </row>
    <row r="5" spans="2:12" s="20" customFormat="1" ht="12" customHeight="1" x14ac:dyDescent="0.4">
      <c r="K5" s="58"/>
      <c r="L5" s="59"/>
    </row>
    <row r="6" spans="2:12" s="20" customFormat="1" ht="14.5" x14ac:dyDescent="0.4"/>
    <row r="11" spans="2:12" ht="15" customHeight="1" x14ac:dyDescent="0.45">
      <c r="B11" s="112" t="s">
        <v>265</v>
      </c>
      <c r="C11" s="112"/>
    </row>
    <row r="12" spans="2:12" x14ac:dyDescent="0.45">
      <c r="B12" s="60" t="s">
        <v>266</v>
      </c>
      <c r="C12" s="60" t="s">
        <v>266</v>
      </c>
    </row>
    <row r="13" spans="2:12" x14ac:dyDescent="0.45">
      <c r="B13" s="61" t="s">
        <v>267</v>
      </c>
      <c r="C13" s="62" t="s">
        <v>268</v>
      </c>
    </row>
    <row r="14" spans="2:12" ht="29" x14ac:dyDescent="0.45">
      <c r="B14" s="61" t="s">
        <v>269</v>
      </c>
      <c r="C14" s="62" t="s">
        <v>270</v>
      </c>
    </row>
    <row r="15" spans="2:12" x14ac:dyDescent="0.45">
      <c r="B15" s="61" t="s">
        <v>271</v>
      </c>
      <c r="C15" s="62" t="s">
        <v>272</v>
      </c>
    </row>
    <row r="16" spans="2:12" x14ac:dyDescent="0.45">
      <c r="B16" s="111"/>
      <c r="C16" s="111"/>
    </row>
    <row r="17" spans="2:3" x14ac:dyDescent="0.45">
      <c r="B17" s="111"/>
      <c r="C17" s="111"/>
    </row>
    <row r="18" spans="2:3" x14ac:dyDescent="0.45">
      <c r="B18" s="111"/>
      <c r="C18" s="111"/>
    </row>
    <row r="19" spans="2:3" x14ac:dyDescent="0.45">
      <c r="B19" s="111"/>
      <c r="C19" s="111"/>
    </row>
    <row r="20" spans="2:3" x14ac:dyDescent="0.45">
      <c r="B20" s="63" t="s">
        <v>273</v>
      </c>
      <c r="C20" s="64" t="s">
        <v>273</v>
      </c>
    </row>
    <row r="21" spans="2:3" x14ac:dyDescent="0.45">
      <c r="B21" s="61" t="s">
        <v>274</v>
      </c>
      <c r="C21" s="62" t="s">
        <v>275</v>
      </c>
    </row>
    <row r="22" spans="2:3" ht="29" x14ac:dyDescent="0.45">
      <c r="B22" s="61" t="s">
        <v>276</v>
      </c>
      <c r="C22" s="62" t="s">
        <v>277</v>
      </c>
    </row>
    <row r="23" spans="2:3" x14ac:dyDescent="0.45">
      <c r="B23" s="61" t="s">
        <v>271</v>
      </c>
      <c r="C23" s="62" t="s">
        <v>278</v>
      </c>
    </row>
    <row r="24" spans="2:3" x14ac:dyDescent="0.45">
      <c r="B24" s="111"/>
      <c r="C24" s="113"/>
    </row>
    <row r="25" spans="2:3" x14ac:dyDescent="0.45">
      <c r="B25" s="111"/>
      <c r="C25" s="113"/>
    </row>
    <row r="26" spans="2:3" x14ac:dyDescent="0.45">
      <c r="B26" s="111"/>
      <c r="C26" s="113"/>
    </row>
    <row r="27" spans="2:3" x14ac:dyDescent="0.45">
      <c r="B27" s="111"/>
      <c r="C27" s="113"/>
    </row>
    <row r="28" spans="2:3" x14ac:dyDescent="0.45">
      <c r="B28" s="63" t="s">
        <v>279</v>
      </c>
      <c r="C28" s="64" t="s">
        <v>279</v>
      </c>
    </row>
    <row r="29" spans="2:3" x14ac:dyDescent="0.45">
      <c r="B29" s="61" t="s">
        <v>280</v>
      </c>
      <c r="C29" s="62" t="s">
        <v>281</v>
      </c>
    </row>
    <row r="30" spans="2:3" ht="29" x14ac:dyDescent="0.45">
      <c r="B30" s="61" t="s">
        <v>282</v>
      </c>
      <c r="C30" s="62" t="s">
        <v>283</v>
      </c>
    </row>
    <row r="31" spans="2:3" x14ac:dyDescent="0.45">
      <c r="B31" s="61" t="s">
        <v>271</v>
      </c>
      <c r="C31" s="62" t="s">
        <v>272</v>
      </c>
    </row>
    <row r="32" spans="2:3" x14ac:dyDescent="0.45">
      <c r="B32" s="111"/>
      <c r="C32" s="111"/>
    </row>
    <row r="33" spans="2:3" x14ac:dyDescent="0.45">
      <c r="B33" s="111"/>
      <c r="C33" s="111"/>
    </row>
    <row r="34" spans="2:3" x14ac:dyDescent="0.45">
      <c r="B34" s="111"/>
      <c r="C34" s="111"/>
    </row>
    <row r="35" spans="2:3" x14ac:dyDescent="0.45">
      <c r="B35" s="111"/>
      <c r="C35" s="111"/>
    </row>
  </sheetData>
  <mergeCells count="7">
    <mergeCell ref="B32:B35"/>
    <mergeCell ref="C32:C35"/>
    <mergeCell ref="B11:C11"/>
    <mergeCell ref="B16:B19"/>
    <mergeCell ref="C16:C19"/>
    <mergeCell ref="B24:B27"/>
    <mergeCell ref="C24:C27"/>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4"/>
  <sheetViews>
    <sheetView showGridLines="0" topLeftCell="A7" zoomScale="110" zoomScaleNormal="110" workbookViewId="0">
      <selection activeCell="H13" sqref="H13"/>
    </sheetView>
  </sheetViews>
  <sheetFormatPr baseColWidth="10" defaultColWidth="11.453125" defaultRowHeight="16.5" x14ac:dyDescent="0.45"/>
  <cols>
    <col min="1" max="1" width="3.453125" style="18" customWidth="1"/>
    <col min="2" max="2" width="2.453125" style="18" customWidth="1"/>
    <col min="3" max="4" width="11.453125" style="18"/>
    <col min="5" max="5" width="14" style="18" customWidth="1"/>
    <col min="6" max="6" width="13.7265625" style="18" customWidth="1"/>
    <col min="7" max="7" width="13.26953125" style="18" customWidth="1"/>
    <col min="8" max="8" width="13.453125" style="18" customWidth="1"/>
    <col min="9" max="9" width="12.1796875" style="18" customWidth="1"/>
    <col min="10" max="14" width="11.453125" style="18"/>
    <col min="15" max="15" width="9.81640625" style="18" customWidth="1"/>
    <col min="16" max="16" width="2.1796875" style="18" customWidth="1"/>
    <col min="17" max="1024" width="11.453125" style="18"/>
  </cols>
  <sheetData>
    <row r="1" spans="3:11" ht="41.25" customHeight="1" x14ac:dyDescent="0.45">
      <c r="C1" s="65" t="s">
        <v>284</v>
      </c>
    </row>
    <row r="3" spans="3:11" s="66" customFormat="1" ht="12" customHeight="1" x14ac:dyDescent="0.4"/>
    <row r="4" spans="3:11" s="66" customFormat="1" ht="16.5" customHeight="1" x14ac:dyDescent="0.4">
      <c r="H4" s="114" t="s">
        <v>285</v>
      </c>
      <c r="I4" s="114"/>
      <c r="J4" s="114"/>
      <c r="K4" s="114"/>
    </row>
    <row r="5" spans="3:11" s="66" customFormat="1" ht="14.5" x14ac:dyDescent="0.4">
      <c r="H5" s="114"/>
      <c r="I5" s="114"/>
      <c r="J5" s="114"/>
      <c r="K5" s="114"/>
    </row>
    <row r="6" spans="3:11" s="66" customFormat="1" ht="14.5" x14ac:dyDescent="0.4">
      <c r="H6" s="115" t="s">
        <v>286</v>
      </c>
      <c r="I6" s="115"/>
      <c r="J6" s="115"/>
      <c r="K6" s="115"/>
    </row>
    <row r="7" spans="3:11" s="66" customFormat="1" ht="99.75" customHeight="1" x14ac:dyDescent="0.4">
      <c r="C7" s="116" t="s">
        <v>287</v>
      </c>
      <c r="D7" s="116"/>
      <c r="E7" s="117" t="s">
        <v>288</v>
      </c>
      <c r="F7" s="117"/>
      <c r="G7" s="117"/>
      <c r="H7" s="117"/>
      <c r="I7" s="117"/>
      <c r="J7" s="116" t="s">
        <v>289</v>
      </c>
      <c r="K7" s="116"/>
    </row>
    <row r="8" spans="3:11" s="66" customFormat="1" ht="14.5" x14ac:dyDescent="0.4"/>
    <row r="9" spans="3:11" s="66" customFormat="1" ht="14.5" x14ac:dyDescent="0.4"/>
    <row r="10" spans="3:11" s="66" customFormat="1" ht="14.5" x14ac:dyDescent="0.4"/>
    <row r="11" spans="3:11" s="66" customFormat="1" ht="14.5" x14ac:dyDescent="0.4"/>
    <row r="12" spans="3:11" s="66" customFormat="1" ht="14.5" x14ac:dyDescent="0.4"/>
    <row r="13" spans="3:11" s="66" customFormat="1" ht="16.5" customHeight="1" x14ac:dyDescent="0.4">
      <c r="H13" s="114" t="s">
        <v>285</v>
      </c>
      <c r="I13" s="114"/>
      <c r="J13" s="114"/>
      <c r="K13" s="114"/>
    </row>
    <row r="14" spans="3:11" s="66" customFormat="1" ht="14.5" x14ac:dyDescent="0.4">
      <c r="H14" s="114"/>
      <c r="I14" s="114"/>
      <c r="J14" s="114"/>
      <c r="K14" s="114"/>
    </row>
    <row r="15" spans="3:11" s="66" customFormat="1" ht="14.5" x14ac:dyDescent="0.4">
      <c r="H15" s="115" t="s">
        <v>286</v>
      </c>
      <c r="I15" s="115"/>
      <c r="J15" s="115"/>
      <c r="K15" s="115"/>
    </row>
    <row r="16" spans="3:11" s="66" customFormat="1" ht="51.75" customHeight="1" x14ac:dyDescent="0.4">
      <c r="C16" s="118" t="s">
        <v>287</v>
      </c>
      <c r="D16" s="118"/>
      <c r="E16" s="117" t="s">
        <v>290</v>
      </c>
      <c r="F16" s="117"/>
      <c r="G16" s="117"/>
      <c r="H16" s="117"/>
      <c r="I16" s="117"/>
      <c r="J16" s="116" t="s">
        <v>289</v>
      </c>
      <c r="K16" s="116"/>
    </row>
    <row r="24" spans="16:16" x14ac:dyDescent="0.45">
      <c r="P24" s="67"/>
    </row>
  </sheetData>
  <mergeCells count="10">
    <mergeCell ref="H13:K14"/>
    <mergeCell ref="H15:K15"/>
    <mergeCell ref="C16:D16"/>
    <mergeCell ref="E16:I16"/>
    <mergeCell ref="J16:K16"/>
    <mergeCell ref="H4:K5"/>
    <mergeCell ref="H6:K6"/>
    <mergeCell ref="C7:D7"/>
    <mergeCell ref="E7:I7"/>
    <mergeCell ref="J7:K7"/>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Instrucciones</vt:lpstr>
      <vt:lpstr>Versionamiento</vt:lpstr>
      <vt:lpstr>ListadoCP</vt:lpstr>
      <vt:lpstr>Casos de Prueba</vt:lpstr>
      <vt:lpstr>Devops</vt:lpstr>
      <vt:lpstr>Devops_Carga</vt:lpstr>
      <vt:lpstr>Firmas Conformidad</vt:lpstr>
      <vt:lpstr>Encabezado</vt:lpstr>
      <vt:lpstr>Instrucciones!Área_de_impresión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1</cp:revision>
  <cp:lastPrinted>2022-02-12T03:15:24Z</cp:lastPrinted>
  <dcterms:created xsi:type="dcterms:W3CDTF">2010-09-30T14:54:59Z</dcterms:created>
  <dcterms:modified xsi:type="dcterms:W3CDTF">2026-02-13T18:12:41Z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