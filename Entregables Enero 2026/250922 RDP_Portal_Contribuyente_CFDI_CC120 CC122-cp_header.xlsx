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aniel Robles\Documents\RDP Devops\250922 RDP_Portal_Contribuyente_CFDI_CC120 CC122-cp_header\"/>
    </mc:Choice>
  </mc:AlternateContent>
  <xr:revisionPtr revIDLastSave="0" documentId="13_ncr:1_{741C0968-C6F4-44B1-8DE1-7FD56D263C2C}" xr6:coauthVersionLast="47" xr6:coauthVersionMax="47" xr10:uidLastSave="{00000000-0000-0000-0000-000000000000}"/>
  <bookViews>
    <workbookView xWindow="1140" yWindow="0" windowWidth="17690" windowHeight="10080" tabRatio="500" firstSheet="2" activeTab="3" xr2:uid="{00000000-000D-0000-FFFF-FFFF00000000}"/>
  </bookViews>
  <sheets>
    <sheet name="Instrucciones" sheetId="1" r:id="rId1"/>
    <sheet name="Versionamiento" sheetId="2" r:id="rId2"/>
    <sheet name="ListadoCP" sheetId="3" r:id="rId3"/>
    <sheet name="Casos de Prueba" sheetId="4" r:id="rId4"/>
    <sheet name="Devops" sheetId="7" r:id="rId5"/>
    <sheet name="Devops_Carga" sheetId="8" r:id="rId6"/>
    <sheet name="Firmas Conformidad" sheetId="5" r:id="rId7"/>
    <sheet name="Encabezado" sheetId="6" r:id="rId8"/>
  </sheets>
  <definedNames>
    <definedName name="_xlnm._FilterDatabase" localSheetId="3" hidden="1">'Casos de Prueba'!$M$20:$M$499</definedName>
    <definedName name="_Hlk170121364" localSheetId="3">'Casos de Prueba'!$F$53</definedName>
    <definedName name="_Toc153985143" localSheetId="6">'Firmas Conformidad'!#REF!</definedName>
    <definedName name="_Toc180680970" localSheetId="6">'Firmas Conformidad'!$B$6</definedName>
    <definedName name="_xlnm.Print_Area" localSheetId="3">'Casos de Prueba'!$A:$I</definedName>
    <definedName name="_xlnm.Print_Area" localSheetId="0">Instrucciones!$A$13:$N$30</definedName>
    <definedName name="_xlnm.Print_Area" localSheetId="2">ListadoCP!$A:$D</definedName>
    <definedName name="_xlnm.Print_Area" localSheetId="1">Versionamiento!$A:$H</definedName>
    <definedName name="_xlnm.Print_Titles" localSheetId="3">'Casos de Prueba'!$1:$11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21" i="4" l="1"/>
  <c r="K21" i="4"/>
  <c r="J22" i="4"/>
  <c r="K22" i="4"/>
  <c r="L22" i="4"/>
  <c r="M22" i="4" s="1"/>
  <c r="J23" i="4"/>
  <c r="K23" i="4"/>
  <c r="L23" i="4"/>
  <c r="M23" i="4" s="1"/>
  <c r="J24" i="4"/>
  <c r="K24" i="4"/>
  <c r="L24" i="4"/>
  <c r="M24" i="4" s="1"/>
  <c r="J25" i="4"/>
  <c r="K25" i="4"/>
  <c r="J26" i="4"/>
  <c r="K26" i="4"/>
  <c r="J27" i="4"/>
  <c r="K27" i="4"/>
  <c r="J28" i="4"/>
  <c r="K28" i="4"/>
  <c r="J29" i="4"/>
  <c r="K29" i="4"/>
  <c r="J30" i="4"/>
  <c r="K30" i="4"/>
  <c r="J31" i="4"/>
  <c r="K31" i="4"/>
  <c r="J32" i="4"/>
  <c r="K32" i="4"/>
  <c r="L32" i="4"/>
  <c r="M32" i="4" s="1"/>
  <c r="J33" i="4"/>
  <c r="K33" i="4"/>
  <c r="J34" i="4"/>
  <c r="K34" i="4"/>
  <c r="L34" i="4"/>
  <c r="M34" i="4" s="1"/>
  <c r="J35" i="4"/>
  <c r="K35" i="4"/>
  <c r="J36" i="4"/>
  <c r="K36" i="4"/>
  <c r="J37" i="4"/>
  <c r="K37" i="4"/>
  <c r="J38" i="4"/>
  <c r="K38" i="4"/>
  <c r="J39" i="4"/>
  <c r="K39" i="4"/>
  <c r="J40" i="4"/>
  <c r="K40" i="4"/>
  <c r="J41" i="4"/>
  <c r="K41" i="4"/>
  <c r="J42" i="4"/>
  <c r="K42" i="4"/>
  <c r="J43" i="4"/>
  <c r="K43" i="4"/>
  <c r="J44" i="4"/>
  <c r="K44" i="4"/>
  <c r="J45" i="4"/>
  <c r="K45" i="4"/>
  <c r="J46" i="4"/>
  <c r="K46" i="4"/>
  <c r="J47" i="4"/>
  <c r="K47" i="4"/>
  <c r="J48" i="4"/>
  <c r="K48" i="4"/>
  <c r="J49" i="4"/>
  <c r="K49" i="4"/>
  <c r="J50" i="4"/>
  <c r="K50" i="4"/>
  <c r="L50" i="4"/>
  <c r="M50" i="4" s="1"/>
  <c r="J51" i="4"/>
  <c r="K51" i="4"/>
  <c r="J52" i="4"/>
  <c r="K52" i="4"/>
  <c r="J53" i="4"/>
  <c r="K53" i="4"/>
  <c r="J54" i="4"/>
  <c r="K54" i="4"/>
  <c r="J55" i="4"/>
  <c r="K55" i="4"/>
  <c r="J56" i="4"/>
  <c r="K56" i="4"/>
  <c r="L56" i="4"/>
  <c r="M56" i="4" s="1"/>
  <c r="J57" i="4"/>
  <c r="K57" i="4"/>
  <c r="J58" i="4"/>
  <c r="K58" i="4"/>
  <c r="L58" i="4"/>
  <c r="J59" i="4"/>
  <c r="K59" i="4"/>
  <c r="J60" i="4"/>
  <c r="K60" i="4"/>
  <c r="J61" i="4"/>
  <c r="K61" i="4"/>
  <c r="J62" i="4"/>
  <c r="K62" i="4"/>
  <c r="J63" i="4"/>
  <c r="K63" i="4"/>
  <c r="J64" i="4"/>
  <c r="K64" i="4"/>
  <c r="J65" i="4"/>
  <c r="K65" i="4"/>
  <c r="J66" i="4"/>
  <c r="K66" i="4"/>
  <c r="J67" i="4"/>
  <c r="K67" i="4"/>
  <c r="L67" i="4" s="1"/>
  <c r="M67" i="4" s="1"/>
  <c r="J68" i="4"/>
  <c r="K68" i="4"/>
  <c r="J69" i="4"/>
  <c r="K69" i="4"/>
  <c r="J70" i="4"/>
  <c r="K70" i="4"/>
  <c r="J71" i="4"/>
  <c r="K71" i="4"/>
  <c r="J72" i="4"/>
  <c r="K72" i="4"/>
  <c r="L72" i="4"/>
  <c r="M72" i="4" s="1"/>
  <c r="J73" i="4"/>
  <c r="K73" i="4"/>
  <c r="J74" i="4"/>
  <c r="K74" i="4"/>
  <c r="L74" i="4"/>
  <c r="J75" i="4"/>
  <c r="K75" i="4"/>
  <c r="J76" i="4"/>
  <c r="K76" i="4"/>
  <c r="J77" i="4"/>
  <c r="K77" i="4"/>
  <c r="J78" i="4"/>
  <c r="K78" i="4"/>
  <c r="J79" i="4"/>
  <c r="K79" i="4"/>
  <c r="J80" i="4"/>
  <c r="K80" i="4"/>
  <c r="J81" i="4"/>
  <c r="K81" i="4"/>
  <c r="J82" i="4"/>
  <c r="K82" i="4"/>
  <c r="J83" i="4"/>
  <c r="K83" i="4"/>
  <c r="J84" i="4"/>
  <c r="K84" i="4"/>
  <c r="L84" i="4"/>
  <c r="M84" i="4" s="1"/>
  <c r="J85" i="4"/>
  <c r="K85" i="4"/>
  <c r="J86" i="4"/>
  <c r="K86" i="4"/>
  <c r="J87" i="4"/>
  <c r="K87" i="4"/>
  <c r="J88" i="4"/>
  <c r="K88" i="4"/>
  <c r="J89" i="4"/>
  <c r="K89" i="4"/>
  <c r="J90" i="4"/>
  <c r="K90" i="4"/>
  <c r="J91" i="4"/>
  <c r="K91" i="4"/>
  <c r="L91" i="4" s="1"/>
  <c r="M91" i="4" s="1"/>
  <c r="J92" i="4"/>
  <c r="K92" i="4"/>
  <c r="J93" i="4"/>
  <c r="K93" i="4"/>
  <c r="J94" i="4"/>
  <c r="K94" i="4"/>
  <c r="J95" i="4"/>
  <c r="K95" i="4"/>
  <c r="J96" i="4"/>
  <c r="K96" i="4"/>
  <c r="J97" i="4"/>
  <c r="K97" i="4"/>
  <c r="J98" i="4"/>
  <c r="K98" i="4"/>
  <c r="J99" i="4"/>
  <c r="K99" i="4"/>
  <c r="J100" i="4"/>
  <c r="K100" i="4"/>
  <c r="J101" i="4"/>
  <c r="K101" i="4"/>
  <c r="J102" i="4"/>
  <c r="K102" i="4"/>
  <c r="J103" i="4"/>
  <c r="K103" i="4"/>
  <c r="J104" i="4"/>
  <c r="K104" i="4"/>
  <c r="J105" i="4"/>
  <c r="K105" i="4"/>
  <c r="J106" i="4"/>
  <c r="K106" i="4"/>
  <c r="J107" i="4"/>
  <c r="K107" i="4"/>
  <c r="L107" i="4"/>
  <c r="M107" i="4" s="1"/>
  <c r="J108" i="4"/>
  <c r="K108" i="4"/>
  <c r="J109" i="4"/>
  <c r="K109" i="4"/>
  <c r="J110" i="4"/>
  <c r="K110" i="4"/>
  <c r="L110" i="4"/>
  <c r="J111" i="4"/>
  <c r="K111" i="4"/>
  <c r="J112" i="4"/>
  <c r="K112" i="4"/>
  <c r="J113" i="4"/>
  <c r="K113" i="4"/>
  <c r="J114" i="4"/>
  <c r="K114" i="4"/>
  <c r="J115" i="4"/>
  <c r="L115" i="4" s="1"/>
  <c r="M115" i="4" s="1"/>
  <c r="K115" i="4"/>
  <c r="J116" i="4"/>
  <c r="K116" i="4"/>
  <c r="J117" i="4"/>
  <c r="K117" i="4"/>
  <c r="J118" i="4"/>
  <c r="K118" i="4"/>
  <c r="L118" i="4"/>
  <c r="J119" i="4"/>
  <c r="L119" i="4" s="1"/>
  <c r="M119" i="4" s="1"/>
  <c r="K119" i="4"/>
  <c r="J120" i="4"/>
  <c r="K120" i="4"/>
  <c r="J121" i="4"/>
  <c r="K121" i="4"/>
  <c r="J122" i="4"/>
  <c r="K122" i="4"/>
  <c r="J123" i="4"/>
  <c r="K123" i="4"/>
  <c r="J124" i="4"/>
  <c r="K124" i="4"/>
  <c r="L124" i="4"/>
  <c r="M124" i="4" s="1"/>
  <c r="J125" i="4"/>
  <c r="K125" i="4"/>
  <c r="J126" i="4"/>
  <c r="K126" i="4"/>
  <c r="J127" i="4"/>
  <c r="K127" i="4"/>
  <c r="J128" i="4"/>
  <c r="K128" i="4"/>
  <c r="L128" i="4" s="1"/>
  <c r="M128" i="4" s="1"/>
  <c r="J129" i="4"/>
  <c r="K129" i="4"/>
  <c r="J130" i="4"/>
  <c r="K130" i="4"/>
  <c r="J131" i="4"/>
  <c r="K131" i="4"/>
  <c r="J132" i="4"/>
  <c r="K132" i="4"/>
  <c r="J133" i="4"/>
  <c r="K133" i="4"/>
  <c r="J134" i="4"/>
  <c r="K134" i="4"/>
  <c r="L134" i="4"/>
  <c r="J135" i="4"/>
  <c r="K135" i="4"/>
  <c r="J136" i="4"/>
  <c r="K136" i="4"/>
  <c r="J137" i="4"/>
  <c r="K137" i="4"/>
  <c r="J138" i="4"/>
  <c r="K138" i="4"/>
  <c r="J139" i="4"/>
  <c r="K139" i="4"/>
  <c r="L139" i="4"/>
  <c r="M139" i="4" s="1"/>
  <c r="J140" i="4"/>
  <c r="K140" i="4"/>
  <c r="J141" i="4"/>
  <c r="K141" i="4"/>
  <c r="J142" i="4"/>
  <c r="K142" i="4"/>
  <c r="L142" i="4"/>
  <c r="J143" i="4"/>
  <c r="K143" i="4"/>
  <c r="J144" i="4"/>
  <c r="K144" i="4"/>
  <c r="L144" i="4"/>
  <c r="M144" i="4" s="1"/>
  <c r="J145" i="4"/>
  <c r="K145" i="4"/>
  <c r="J146" i="4"/>
  <c r="K146" i="4"/>
  <c r="J147" i="4"/>
  <c r="K147" i="4"/>
  <c r="J148" i="4"/>
  <c r="K148" i="4"/>
  <c r="L148" i="4"/>
  <c r="M148" i="4" s="1"/>
  <c r="J149" i="4"/>
  <c r="K149" i="4"/>
  <c r="J150" i="4"/>
  <c r="K150" i="4"/>
  <c r="J151" i="4"/>
  <c r="K151" i="4"/>
  <c r="J152" i="4"/>
  <c r="K152" i="4"/>
  <c r="J153" i="4"/>
  <c r="K153" i="4"/>
  <c r="J154" i="4"/>
  <c r="K154" i="4"/>
  <c r="J155" i="4"/>
  <c r="K155" i="4"/>
  <c r="L155" i="4"/>
  <c r="M155" i="4" s="1"/>
  <c r="J156" i="4"/>
  <c r="K156" i="4"/>
  <c r="J157" i="4"/>
  <c r="K157" i="4"/>
  <c r="J158" i="4"/>
  <c r="K158" i="4"/>
  <c r="J159" i="4"/>
  <c r="K159" i="4"/>
  <c r="J160" i="4"/>
  <c r="K160" i="4"/>
  <c r="J161" i="4"/>
  <c r="K161" i="4"/>
  <c r="J162" i="4"/>
  <c r="K162" i="4"/>
  <c r="J163" i="4"/>
  <c r="K163" i="4"/>
  <c r="J164" i="4"/>
  <c r="K164" i="4"/>
  <c r="L164" i="4" s="1"/>
  <c r="M164" i="4" s="1"/>
  <c r="J165" i="4"/>
  <c r="K165" i="4"/>
  <c r="J166" i="4"/>
  <c r="K166" i="4"/>
  <c r="J167" i="4"/>
  <c r="K167" i="4"/>
  <c r="J168" i="4"/>
  <c r="K168" i="4"/>
  <c r="J169" i="4"/>
  <c r="K169" i="4"/>
  <c r="J170" i="4"/>
  <c r="K170" i="4"/>
  <c r="L170" i="4"/>
  <c r="J171" i="4"/>
  <c r="K171" i="4"/>
  <c r="J172" i="4"/>
  <c r="K172" i="4"/>
  <c r="J173" i="4"/>
  <c r="K173" i="4"/>
  <c r="J174" i="4"/>
  <c r="K174" i="4"/>
  <c r="J175" i="4"/>
  <c r="K175" i="4"/>
  <c r="J176" i="4"/>
  <c r="K176" i="4"/>
  <c r="L176" i="4" s="1"/>
  <c r="M176" i="4" s="1"/>
  <c r="J177" i="4"/>
  <c r="K177" i="4"/>
  <c r="J178" i="4"/>
  <c r="K178" i="4"/>
  <c r="J179" i="4"/>
  <c r="K179" i="4"/>
  <c r="J180" i="4"/>
  <c r="K180" i="4"/>
  <c r="J181" i="4"/>
  <c r="K181" i="4"/>
  <c r="J182" i="4"/>
  <c r="K182" i="4"/>
  <c r="J183" i="4"/>
  <c r="K183" i="4"/>
  <c r="L183" i="4" s="1"/>
  <c r="M183" i="4" s="1"/>
  <c r="J184" i="4"/>
  <c r="K184" i="4"/>
  <c r="J185" i="4"/>
  <c r="K185" i="4"/>
  <c r="J186" i="4"/>
  <c r="K186" i="4"/>
  <c r="J187" i="4"/>
  <c r="K187" i="4"/>
  <c r="J188" i="4"/>
  <c r="K188" i="4"/>
  <c r="J189" i="4"/>
  <c r="K189" i="4"/>
  <c r="J190" i="4"/>
  <c r="K190" i="4"/>
  <c r="J191" i="4"/>
  <c r="K191" i="4"/>
  <c r="J192" i="4"/>
  <c r="K192" i="4"/>
  <c r="J193" i="4"/>
  <c r="K193" i="4"/>
  <c r="J194" i="4"/>
  <c r="K194" i="4"/>
  <c r="L194" i="4" s="1"/>
  <c r="J195" i="4"/>
  <c r="K195" i="4"/>
  <c r="J196" i="4"/>
  <c r="K196" i="4"/>
  <c r="L196" i="4"/>
  <c r="M196" i="4" s="1"/>
  <c r="J197" i="4"/>
  <c r="K197" i="4"/>
  <c r="J198" i="4"/>
  <c r="K198" i="4"/>
  <c r="J199" i="4"/>
  <c r="K199" i="4"/>
  <c r="L199" i="4"/>
  <c r="M199" i="4" s="1"/>
  <c r="J200" i="4"/>
  <c r="K200" i="4"/>
  <c r="J201" i="4"/>
  <c r="K201" i="4"/>
  <c r="J202" i="4"/>
  <c r="K202" i="4"/>
  <c r="J203" i="4"/>
  <c r="K203" i="4"/>
  <c r="J204" i="4"/>
  <c r="K204" i="4"/>
  <c r="J205" i="4"/>
  <c r="K205" i="4"/>
  <c r="J206" i="4"/>
  <c r="K206" i="4"/>
  <c r="J207" i="4"/>
  <c r="K207" i="4"/>
  <c r="J208" i="4"/>
  <c r="K208" i="4"/>
  <c r="J209" i="4"/>
  <c r="K209" i="4"/>
  <c r="J210" i="4"/>
  <c r="K210" i="4"/>
  <c r="J211" i="4"/>
  <c r="K211" i="4"/>
  <c r="J212" i="4"/>
  <c r="K212" i="4"/>
  <c r="J213" i="4"/>
  <c r="K213" i="4"/>
  <c r="J214" i="4"/>
  <c r="K214" i="4"/>
  <c r="J215" i="4"/>
  <c r="K215" i="4"/>
  <c r="J216" i="4"/>
  <c r="K216" i="4"/>
  <c r="J217" i="4"/>
  <c r="K217" i="4"/>
  <c r="J218" i="4"/>
  <c r="K218" i="4"/>
  <c r="L218" i="4"/>
  <c r="M218" i="4" s="1"/>
  <c r="J219" i="4"/>
  <c r="K219" i="4"/>
  <c r="J220" i="4"/>
  <c r="L220" i="4" s="1"/>
  <c r="M220" i="4" s="1"/>
  <c r="K220" i="4"/>
  <c r="J221" i="4"/>
  <c r="K221" i="4"/>
  <c r="J222" i="4"/>
  <c r="K222" i="4"/>
  <c r="L222" i="4"/>
  <c r="M222" i="4" s="1"/>
  <c r="J223" i="4"/>
  <c r="K223" i="4"/>
  <c r="J224" i="4"/>
  <c r="K224" i="4"/>
  <c r="J225" i="4"/>
  <c r="K225" i="4"/>
  <c r="J226" i="4"/>
  <c r="K226" i="4"/>
  <c r="J227" i="4"/>
  <c r="K227" i="4"/>
  <c r="L227" i="4"/>
  <c r="J228" i="4"/>
  <c r="K228" i="4"/>
  <c r="J229" i="4"/>
  <c r="K229" i="4"/>
  <c r="J230" i="4"/>
  <c r="K230" i="4"/>
  <c r="J231" i="4"/>
  <c r="K231" i="4"/>
  <c r="J232" i="4"/>
  <c r="K232" i="4"/>
  <c r="J233" i="4"/>
  <c r="K233" i="4"/>
  <c r="J234" i="4"/>
  <c r="K234" i="4"/>
  <c r="L234" i="4"/>
  <c r="M234" i="4" s="1"/>
  <c r="J235" i="4"/>
  <c r="K235" i="4"/>
  <c r="J236" i="4"/>
  <c r="K236" i="4"/>
  <c r="J237" i="4"/>
  <c r="K237" i="4"/>
  <c r="J238" i="4"/>
  <c r="K238" i="4"/>
  <c r="J239" i="4"/>
  <c r="K239" i="4"/>
  <c r="J240" i="4"/>
  <c r="K240" i="4"/>
  <c r="J241" i="4"/>
  <c r="K241" i="4"/>
  <c r="J242" i="4"/>
  <c r="K242" i="4"/>
  <c r="J243" i="4"/>
  <c r="K243" i="4"/>
  <c r="J244" i="4"/>
  <c r="K244" i="4"/>
  <c r="L244" i="4"/>
  <c r="M244" i="4" s="1"/>
  <c r="J245" i="4"/>
  <c r="K245" i="4"/>
  <c r="J246" i="4"/>
  <c r="K246" i="4"/>
  <c r="J247" i="4"/>
  <c r="K247" i="4"/>
  <c r="J248" i="4"/>
  <c r="K248" i="4"/>
  <c r="L248" i="4"/>
  <c r="M248" i="4" s="1"/>
  <c r="J249" i="4"/>
  <c r="K249" i="4"/>
  <c r="J250" i="4"/>
  <c r="K250" i="4"/>
  <c r="J251" i="4"/>
  <c r="K251" i="4"/>
  <c r="J252" i="4"/>
  <c r="K252" i="4"/>
  <c r="J253" i="4"/>
  <c r="K253" i="4"/>
  <c r="J254" i="4"/>
  <c r="K254" i="4"/>
  <c r="J255" i="4"/>
  <c r="K255" i="4"/>
  <c r="L255" i="4"/>
  <c r="M255" i="4" s="1"/>
  <c r="J256" i="4"/>
  <c r="K256" i="4"/>
  <c r="J257" i="4"/>
  <c r="K257" i="4"/>
  <c r="J258" i="4"/>
  <c r="K258" i="4"/>
  <c r="J259" i="4"/>
  <c r="K259" i="4"/>
  <c r="J260" i="4"/>
  <c r="K260" i="4"/>
  <c r="L260" i="4"/>
  <c r="M260" i="4" s="1"/>
  <c r="J261" i="4"/>
  <c r="K261" i="4"/>
  <c r="J262" i="4"/>
  <c r="K262" i="4"/>
  <c r="J263" i="4"/>
  <c r="K263" i="4"/>
  <c r="J264" i="4"/>
  <c r="K264" i="4"/>
  <c r="J265" i="4"/>
  <c r="K265" i="4"/>
  <c r="J266" i="4"/>
  <c r="K266" i="4"/>
  <c r="J267" i="4"/>
  <c r="K267" i="4"/>
  <c r="J268" i="4"/>
  <c r="K268" i="4"/>
  <c r="J269" i="4"/>
  <c r="K269" i="4"/>
  <c r="J270" i="4"/>
  <c r="K270" i="4"/>
  <c r="L270" i="4"/>
  <c r="M270" i="4" s="1"/>
  <c r="J271" i="4"/>
  <c r="K271" i="4"/>
  <c r="J272" i="4"/>
  <c r="K272" i="4"/>
  <c r="J273" i="4"/>
  <c r="K273" i="4"/>
  <c r="J274" i="4"/>
  <c r="K274" i="4"/>
  <c r="J275" i="4"/>
  <c r="K275" i="4"/>
  <c r="J276" i="4"/>
  <c r="K276" i="4"/>
  <c r="J277" i="4"/>
  <c r="K277" i="4"/>
  <c r="J278" i="4"/>
  <c r="K278" i="4"/>
  <c r="J279" i="4"/>
  <c r="K279" i="4"/>
  <c r="J280" i="4"/>
  <c r="K280" i="4"/>
  <c r="J281" i="4"/>
  <c r="K281" i="4"/>
  <c r="J282" i="4"/>
  <c r="K282" i="4"/>
  <c r="J283" i="4"/>
  <c r="K283" i="4"/>
  <c r="J284" i="4"/>
  <c r="K284" i="4"/>
  <c r="J285" i="4"/>
  <c r="K285" i="4"/>
  <c r="J286" i="4"/>
  <c r="K286" i="4"/>
  <c r="J287" i="4"/>
  <c r="K287" i="4"/>
  <c r="J288" i="4"/>
  <c r="K288" i="4"/>
  <c r="J289" i="4"/>
  <c r="K289" i="4"/>
  <c r="J290" i="4"/>
  <c r="K290" i="4"/>
  <c r="J291" i="4"/>
  <c r="K291" i="4"/>
  <c r="J292" i="4"/>
  <c r="K292" i="4"/>
  <c r="J293" i="4"/>
  <c r="K293" i="4"/>
  <c r="J294" i="4"/>
  <c r="K294" i="4"/>
  <c r="L294" i="4"/>
  <c r="M294" i="4" s="1"/>
  <c r="J295" i="4"/>
  <c r="K295" i="4"/>
  <c r="J296" i="4"/>
  <c r="K296" i="4"/>
  <c r="J297" i="4"/>
  <c r="K297" i="4"/>
  <c r="J298" i="4"/>
  <c r="K298" i="4"/>
  <c r="J299" i="4"/>
  <c r="K299" i="4"/>
  <c r="L299" i="4"/>
  <c r="M299" i="4" s="1"/>
  <c r="J300" i="4"/>
  <c r="K300" i="4"/>
  <c r="J301" i="4"/>
  <c r="K301" i="4"/>
  <c r="J302" i="4"/>
  <c r="K302" i="4"/>
  <c r="J303" i="4"/>
  <c r="K303" i="4"/>
  <c r="J304" i="4"/>
  <c r="K304" i="4"/>
  <c r="J305" i="4"/>
  <c r="K305" i="4"/>
  <c r="J306" i="4"/>
  <c r="K306" i="4"/>
  <c r="L306" i="4" s="1"/>
  <c r="M306" i="4" s="1"/>
  <c r="J307" i="4"/>
  <c r="K307" i="4"/>
  <c r="J308" i="4"/>
  <c r="K308" i="4"/>
  <c r="J309" i="4"/>
  <c r="K309" i="4"/>
  <c r="J310" i="4"/>
  <c r="K310" i="4"/>
  <c r="J311" i="4"/>
  <c r="K311" i="4"/>
  <c r="J312" i="4"/>
  <c r="K312" i="4"/>
  <c r="L312" i="4"/>
  <c r="M312" i="4" s="1"/>
  <c r="J313" i="4"/>
  <c r="K313" i="4"/>
  <c r="J314" i="4"/>
  <c r="K314" i="4"/>
  <c r="J315" i="4"/>
  <c r="K315" i="4"/>
  <c r="J316" i="4"/>
  <c r="K316" i="4"/>
  <c r="J317" i="4"/>
  <c r="K317" i="4"/>
  <c r="J318" i="4"/>
  <c r="K318" i="4"/>
  <c r="L318" i="4" s="1"/>
  <c r="M318" i="4" s="1"/>
  <c r="J319" i="4"/>
  <c r="K319" i="4"/>
  <c r="J320" i="4"/>
  <c r="K320" i="4"/>
  <c r="J321" i="4"/>
  <c r="K321" i="4"/>
  <c r="J322" i="4"/>
  <c r="K322" i="4"/>
  <c r="J323" i="4"/>
  <c r="K323" i="4"/>
  <c r="L323" i="4"/>
  <c r="J324" i="4"/>
  <c r="K324" i="4"/>
  <c r="J325" i="4"/>
  <c r="K325" i="4"/>
  <c r="J326" i="4"/>
  <c r="K326" i="4"/>
  <c r="J327" i="4"/>
  <c r="K327" i="4"/>
  <c r="J328" i="4"/>
  <c r="K328" i="4"/>
  <c r="J329" i="4"/>
  <c r="K329" i="4"/>
  <c r="J330" i="4"/>
  <c r="K330" i="4"/>
  <c r="J331" i="4"/>
  <c r="K331" i="4"/>
  <c r="J332" i="4"/>
  <c r="K332" i="4"/>
  <c r="J333" i="4"/>
  <c r="K333" i="4"/>
  <c r="J334" i="4"/>
  <c r="K334" i="4"/>
  <c r="J335" i="4"/>
  <c r="K335" i="4"/>
  <c r="J336" i="4"/>
  <c r="K336" i="4"/>
  <c r="J337" i="4"/>
  <c r="K337" i="4"/>
  <c r="J338" i="4"/>
  <c r="K338" i="4"/>
  <c r="J339" i="4"/>
  <c r="K339" i="4"/>
  <c r="J340" i="4"/>
  <c r="K340" i="4"/>
  <c r="L340" i="4"/>
  <c r="M340" i="4" s="1"/>
  <c r="J341" i="4"/>
  <c r="K341" i="4"/>
  <c r="J342" i="4"/>
  <c r="K342" i="4"/>
  <c r="J343" i="4"/>
  <c r="K343" i="4"/>
  <c r="L343" i="4"/>
  <c r="M343" i="4" s="1"/>
  <c r="J344" i="4"/>
  <c r="K344" i="4"/>
  <c r="J345" i="4"/>
  <c r="K345" i="4"/>
  <c r="J346" i="4"/>
  <c r="K346" i="4"/>
  <c r="J347" i="4"/>
  <c r="K347" i="4"/>
  <c r="J348" i="4"/>
  <c r="K348" i="4"/>
  <c r="J349" i="4"/>
  <c r="K349" i="4"/>
  <c r="J350" i="4"/>
  <c r="K350" i="4"/>
  <c r="J351" i="4"/>
  <c r="K351" i="4"/>
  <c r="J352" i="4"/>
  <c r="K352" i="4"/>
  <c r="J353" i="4"/>
  <c r="K353" i="4"/>
  <c r="J354" i="4"/>
  <c r="K354" i="4"/>
  <c r="J355" i="4"/>
  <c r="K355" i="4"/>
  <c r="L355" i="4"/>
  <c r="M355" i="4" s="1"/>
  <c r="J356" i="4"/>
  <c r="K356" i="4"/>
  <c r="J357" i="4"/>
  <c r="K357" i="4"/>
  <c r="J358" i="4"/>
  <c r="K358" i="4"/>
  <c r="J359" i="4"/>
  <c r="K359" i="4"/>
  <c r="J360" i="4"/>
  <c r="K360" i="4"/>
  <c r="L360" i="4"/>
  <c r="M360" i="4" s="1"/>
  <c r="J361" i="4"/>
  <c r="K361" i="4"/>
  <c r="J362" i="4"/>
  <c r="K362" i="4"/>
  <c r="J363" i="4"/>
  <c r="K363" i="4"/>
  <c r="J364" i="4"/>
  <c r="K364" i="4"/>
  <c r="J365" i="4"/>
  <c r="K365" i="4"/>
  <c r="J366" i="4"/>
  <c r="K366" i="4"/>
  <c r="J367" i="4"/>
  <c r="K367" i="4"/>
  <c r="L367" i="4"/>
  <c r="M367" i="4" s="1"/>
  <c r="J368" i="4"/>
  <c r="K368" i="4"/>
  <c r="J369" i="4"/>
  <c r="K369" i="4"/>
  <c r="J370" i="4"/>
  <c r="K370" i="4"/>
  <c r="J371" i="4"/>
  <c r="K371" i="4"/>
  <c r="J372" i="4"/>
  <c r="K372" i="4"/>
  <c r="J373" i="4"/>
  <c r="K373" i="4"/>
  <c r="J374" i="4"/>
  <c r="K374" i="4"/>
  <c r="J375" i="4"/>
  <c r="K375" i="4"/>
  <c r="J376" i="4"/>
  <c r="K376" i="4"/>
  <c r="J377" i="4"/>
  <c r="K377" i="4"/>
  <c r="J378" i="4"/>
  <c r="K378" i="4"/>
  <c r="L378" i="4" s="1"/>
  <c r="M378" i="4" s="1"/>
  <c r="J379" i="4"/>
  <c r="L379" i="4" s="1"/>
  <c r="M379" i="4" s="1"/>
  <c r="K379" i="4"/>
  <c r="J380" i="4"/>
  <c r="K380" i="4"/>
  <c r="L380" i="4" s="1"/>
  <c r="M380" i="4" s="1"/>
  <c r="J381" i="4"/>
  <c r="K381" i="4"/>
  <c r="J382" i="4"/>
  <c r="K382" i="4"/>
  <c r="J383" i="4"/>
  <c r="K383" i="4"/>
  <c r="L383" i="4"/>
  <c r="M383" i="4" s="1"/>
  <c r="J384" i="4"/>
  <c r="K384" i="4"/>
  <c r="J385" i="4"/>
  <c r="K385" i="4"/>
  <c r="J386" i="4"/>
  <c r="K386" i="4"/>
  <c r="J387" i="4"/>
  <c r="K387" i="4"/>
  <c r="J388" i="4"/>
  <c r="K388" i="4"/>
  <c r="J389" i="4"/>
  <c r="K389" i="4"/>
  <c r="J390" i="4"/>
  <c r="L390" i="4" s="1"/>
  <c r="M390" i="4" s="1"/>
  <c r="K390" i="4"/>
  <c r="J391" i="4"/>
  <c r="K391" i="4"/>
  <c r="L391" i="4"/>
  <c r="M391" i="4" s="1"/>
  <c r="J392" i="4"/>
  <c r="K392" i="4"/>
  <c r="J393" i="4"/>
  <c r="K393" i="4"/>
  <c r="J394" i="4"/>
  <c r="K394" i="4"/>
  <c r="J395" i="4"/>
  <c r="K395" i="4"/>
  <c r="J396" i="4"/>
  <c r="L396" i="4" s="1"/>
  <c r="K396" i="4"/>
  <c r="J397" i="4"/>
  <c r="K397" i="4"/>
  <c r="J398" i="4"/>
  <c r="K398" i="4"/>
  <c r="L398" i="4"/>
  <c r="M398" i="4" s="1"/>
  <c r="J399" i="4"/>
  <c r="K399" i="4"/>
  <c r="J400" i="4"/>
  <c r="K400" i="4"/>
  <c r="J401" i="4"/>
  <c r="K401" i="4"/>
  <c r="J402" i="4"/>
  <c r="K402" i="4"/>
  <c r="J403" i="4"/>
  <c r="K403" i="4"/>
  <c r="J404" i="4"/>
  <c r="K404" i="4"/>
  <c r="J405" i="4"/>
  <c r="K405" i="4"/>
  <c r="J406" i="4"/>
  <c r="K406" i="4"/>
  <c r="J407" i="4"/>
  <c r="L407" i="4" s="1"/>
  <c r="M407" i="4" s="1"/>
  <c r="K407" i="4"/>
  <c r="J408" i="4"/>
  <c r="K408" i="4"/>
  <c r="J409" i="4"/>
  <c r="K409" i="4"/>
  <c r="J410" i="4"/>
  <c r="K410" i="4"/>
  <c r="J411" i="4"/>
  <c r="L411" i="4" s="1"/>
  <c r="M411" i="4" s="1"/>
  <c r="K411" i="4"/>
  <c r="J412" i="4"/>
  <c r="K412" i="4"/>
  <c r="J413" i="4"/>
  <c r="K413" i="4"/>
  <c r="J414" i="4"/>
  <c r="K414" i="4"/>
  <c r="L414" i="4" s="1"/>
  <c r="M414" i="4" s="1"/>
  <c r="J415" i="4"/>
  <c r="K415" i="4"/>
  <c r="J416" i="4"/>
  <c r="K416" i="4"/>
  <c r="J417" i="4"/>
  <c r="K417" i="4"/>
  <c r="J418" i="4"/>
  <c r="K418" i="4"/>
  <c r="J419" i="4"/>
  <c r="K419" i="4"/>
  <c r="J420" i="4"/>
  <c r="K420" i="4"/>
  <c r="J421" i="4"/>
  <c r="K421" i="4"/>
  <c r="J422" i="4"/>
  <c r="K422" i="4"/>
  <c r="J423" i="4"/>
  <c r="K423" i="4"/>
  <c r="L423" i="4"/>
  <c r="M423" i="4" s="1"/>
  <c r="J424" i="4"/>
  <c r="K424" i="4"/>
  <c r="J425" i="4"/>
  <c r="K425" i="4"/>
  <c r="J426" i="4"/>
  <c r="K426" i="4"/>
  <c r="L426" i="4"/>
  <c r="M426" i="4" s="1"/>
  <c r="J427" i="4"/>
  <c r="K427" i="4"/>
  <c r="J428" i="4"/>
  <c r="K428" i="4"/>
  <c r="J429" i="4"/>
  <c r="K429" i="4"/>
  <c r="J430" i="4"/>
  <c r="K430" i="4"/>
  <c r="L430" i="4"/>
  <c r="M430" i="4" s="1"/>
  <c r="J431" i="4"/>
  <c r="K431" i="4"/>
  <c r="J432" i="4"/>
  <c r="K432" i="4"/>
  <c r="J433" i="4"/>
  <c r="K433" i="4"/>
  <c r="J434" i="4"/>
  <c r="K434" i="4"/>
  <c r="J435" i="4"/>
  <c r="K435" i="4"/>
  <c r="J436" i="4"/>
  <c r="K436" i="4"/>
  <c r="J437" i="4"/>
  <c r="K437" i="4"/>
  <c r="J438" i="4"/>
  <c r="K438" i="4"/>
  <c r="J439" i="4"/>
  <c r="K439" i="4"/>
  <c r="J440" i="4"/>
  <c r="K440" i="4"/>
  <c r="L440" i="4"/>
  <c r="M440" i="4" s="1"/>
  <c r="J441" i="4"/>
  <c r="K441" i="4"/>
  <c r="J442" i="4"/>
  <c r="K442" i="4"/>
  <c r="J443" i="4"/>
  <c r="K443" i="4"/>
  <c r="J444" i="4"/>
  <c r="K444" i="4"/>
  <c r="J445" i="4"/>
  <c r="K445" i="4"/>
  <c r="J446" i="4"/>
  <c r="K446" i="4"/>
  <c r="J447" i="4"/>
  <c r="K447" i="4"/>
  <c r="L447" i="4"/>
  <c r="M447" i="4" s="1"/>
  <c r="J448" i="4"/>
  <c r="K448" i="4"/>
  <c r="J449" i="4"/>
  <c r="K449" i="4"/>
  <c r="J450" i="4"/>
  <c r="K450" i="4"/>
  <c r="J451" i="4"/>
  <c r="K451" i="4"/>
  <c r="J452" i="4"/>
  <c r="K452" i="4"/>
  <c r="J453" i="4"/>
  <c r="K453" i="4"/>
  <c r="J454" i="4"/>
  <c r="K454" i="4"/>
  <c r="L454" i="4"/>
  <c r="M454" i="4" s="1"/>
  <c r="J455" i="4"/>
  <c r="K455" i="4"/>
  <c r="J456" i="4"/>
  <c r="K456" i="4"/>
  <c r="J457" i="4"/>
  <c r="K457" i="4"/>
  <c r="J458" i="4"/>
  <c r="K458" i="4"/>
  <c r="J459" i="4"/>
  <c r="K459" i="4"/>
  <c r="J460" i="4"/>
  <c r="K460" i="4"/>
  <c r="J461" i="4"/>
  <c r="K461" i="4"/>
  <c r="J462" i="4"/>
  <c r="K462" i="4"/>
  <c r="J463" i="4"/>
  <c r="K463" i="4"/>
  <c r="J464" i="4"/>
  <c r="K464" i="4"/>
  <c r="J465" i="4"/>
  <c r="K465" i="4"/>
  <c r="J466" i="4"/>
  <c r="K466" i="4"/>
  <c r="J467" i="4"/>
  <c r="K467" i="4"/>
  <c r="J468" i="4"/>
  <c r="K468" i="4"/>
  <c r="J469" i="4"/>
  <c r="K469" i="4"/>
  <c r="J470" i="4"/>
  <c r="K470" i="4"/>
  <c r="L470" i="4"/>
  <c r="M470" i="4" s="1"/>
  <c r="J471" i="4"/>
  <c r="K471" i="4"/>
  <c r="J472" i="4"/>
  <c r="K472" i="4"/>
  <c r="J473" i="4"/>
  <c r="K473" i="4"/>
  <c r="J474" i="4"/>
  <c r="K474" i="4"/>
  <c r="J475" i="4"/>
  <c r="K475" i="4"/>
  <c r="L475" i="4"/>
  <c r="M475" i="4" s="1"/>
  <c r="J476" i="4"/>
  <c r="K476" i="4"/>
  <c r="J477" i="4"/>
  <c r="K477" i="4"/>
  <c r="J478" i="4"/>
  <c r="K478" i="4"/>
  <c r="J479" i="4"/>
  <c r="K479" i="4"/>
  <c r="L479" i="4"/>
  <c r="M479" i="4" s="1"/>
  <c r="J480" i="4"/>
  <c r="K480" i="4"/>
  <c r="J481" i="4"/>
  <c r="K481" i="4"/>
  <c r="J482" i="4"/>
  <c r="K482" i="4"/>
  <c r="J483" i="4"/>
  <c r="L483" i="4" s="1"/>
  <c r="M483" i="4" s="1"/>
  <c r="K483" i="4"/>
  <c r="J484" i="4"/>
  <c r="K484" i="4"/>
  <c r="J485" i="4"/>
  <c r="K485" i="4"/>
  <c r="J486" i="4"/>
  <c r="K486" i="4"/>
  <c r="J487" i="4"/>
  <c r="K487" i="4"/>
  <c r="J488" i="4"/>
  <c r="L488" i="4" s="1"/>
  <c r="M488" i="4" s="1"/>
  <c r="K488" i="4"/>
  <c r="J489" i="4"/>
  <c r="K489" i="4"/>
  <c r="J490" i="4"/>
  <c r="K490" i="4"/>
  <c r="L490" i="4"/>
  <c r="M490" i="4" s="1"/>
  <c r="J491" i="4"/>
  <c r="K491" i="4"/>
  <c r="J492" i="4"/>
  <c r="K492" i="4"/>
  <c r="J493" i="4"/>
  <c r="K493" i="4"/>
  <c r="J494" i="4"/>
  <c r="K494" i="4"/>
  <c r="J495" i="4"/>
  <c r="K495" i="4"/>
  <c r="J496" i="4"/>
  <c r="K496" i="4"/>
  <c r="J497" i="4"/>
  <c r="K497" i="4"/>
  <c r="J498" i="4"/>
  <c r="K498" i="4"/>
  <c r="J499" i="4"/>
  <c r="K499" i="4"/>
  <c r="K20" i="4"/>
  <c r="J20" i="4"/>
  <c r="L20" i="4"/>
  <c r="M20" i="4" s="1"/>
  <c r="G499" i="7"/>
  <c r="F499" i="7"/>
  <c r="E499" i="7"/>
  <c r="D493" i="7"/>
  <c r="D494" i="7"/>
  <c r="D495" i="7"/>
  <c r="D496" i="7"/>
  <c r="D497" i="7"/>
  <c r="D498" i="7"/>
  <c r="D499" i="7"/>
  <c r="D500" i="7"/>
  <c r="G21" i="7"/>
  <c r="G22" i="7"/>
  <c r="G23" i="7"/>
  <c r="G24" i="7"/>
  <c r="G25" i="7"/>
  <c r="G27" i="7"/>
  <c r="G28" i="7"/>
  <c r="G29" i="7"/>
  <c r="G30" i="7"/>
  <c r="G31" i="7"/>
  <c r="G32" i="7"/>
  <c r="G34" i="7"/>
  <c r="G35" i="7"/>
  <c r="G36" i="7"/>
  <c r="G38" i="7"/>
  <c r="G39" i="7"/>
  <c r="G40" i="7"/>
  <c r="G42" i="7"/>
  <c r="G43" i="7"/>
  <c r="G45" i="7"/>
  <c r="G46" i="7"/>
  <c r="G48" i="7"/>
  <c r="G49" i="7"/>
  <c r="G50" i="7"/>
  <c r="G51" i="7"/>
  <c r="G52" i="7"/>
  <c r="G53" i="7"/>
  <c r="G54" i="7"/>
  <c r="G56" i="7"/>
  <c r="G57" i="7"/>
  <c r="G58" i="7"/>
  <c r="G59" i="7"/>
  <c r="G60" i="7"/>
  <c r="G61" i="7"/>
  <c r="G62" i="7"/>
  <c r="G64" i="7"/>
  <c r="G65" i="7"/>
  <c r="G66" i="7"/>
  <c r="G67" i="7"/>
  <c r="G68" i="7"/>
  <c r="G69" i="7"/>
  <c r="G70" i="7"/>
  <c r="G71" i="7"/>
  <c r="G73" i="7"/>
  <c r="G74" i="7"/>
  <c r="G75" i="7"/>
  <c r="G76" i="7"/>
  <c r="G77" i="7"/>
  <c r="G78" i="7"/>
  <c r="G79" i="7"/>
  <c r="G80" i="7"/>
  <c r="G82" i="7"/>
  <c r="G83" i="7"/>
  <c r="G84" i="7"/>
  <c r="G85" i="7"/>
  <c r="G86" i="7"/>
  <c r="G87" i="7"/>
  <c r="G88" i="7"/>
  <c r="G89" i="7"/>
  <c r="G91" i="7"/>
  <c r="G92" i="7"/>
  <c r="G93" i="7"/>
  <c r="G94" i="7"/>
  <c r="G95" i="7"/>
  <c r="G96" i="7"/>
  <c r="G97" i="7"/>
  <c r="G98" i="7"/>
  <c r="G100" i="7"/>
  <c r="G101" i="7"/>
  <c r="G102" i="7"/>
  <c r="G103" i="7"/>
  <c r="G104" i="7"/>
  <c r="G105" i="7"/>
  <c r="G106" i="7"/>
  <c r="G107" i="7"/>
  <c r="G109" i="7"/>
  <c r="G110" i="7"/>
  <c r="G111" i="7"/>
  <c r="G112" i="7"/>
  <c r="G113" i="7"/>
  <c r="G114" i="7"/>
  <c r="G115" i="7"/>
  <c r="G116" i="7"/>
  <c r="G118" i="7"/>
  <c r="G119" i="7"/>
  <c r="G120" i="7"/>
  <c r="G121" i="7"/>
  <c r="G122" i="7"/>
  <c r="G123" i="7"/>
  <c r="G124" i="7"/>
  <c r="G125" i="7"/>
  <c r="G127" i="7"/>
  <c r="G128" i="7"/>
  <c r="G129" i="7"/>
  <c r="G130" i="7"/>
  <c r="G131" i="7"/>
  <c r="G132" i="7"/>
  <c r="G133" i="7"/>
  <c r="G134" i="7"/>
  <c r="G136" i="7"/>
  <c r="G137" i="7"/>
  <c r="G138" i="7"/>
  <c r="G139" i="7"/>
  <c r="G140" i="7"/>
  <c r="G141" i="7"/>
  <c r="G142" i="7"/>
  <c r="G143" i="7"/>
  <c r="G145" i="7"/>
  <c r="G146" i="7"/>
  <c r="G147" i="7"/>
  <c r="G148" i="7"/>
  <c r="G149" i="7"/>
  <c r="G150" i="7"/>
  <c r="G151" i="7"/>
  <c r="G152" i="7"/>
  <c r="G154" i="7"/>
  <c r="G155" i="7"/>
  <c r="G156" i="7"/>
  <c r="G157" i="7"/>
  <c r="G158" i="7"/>
  <c r="G159" i="7"/>
  <c r="G160" i="7"/>
  <c r="G161" i="7"/>
  <c r="G163" i="7"/>
  <c r="G164" i="7"/>
  <c r="G165" i="7"/>
  <c r="G166" i="7"/>
  <c r="G167" i="7"/>
  <c r="G168" i="7"/>
  <c r="G169" i="7"/>
  <c r="G170" i="7"/>
  <c r="G172" i="7"/>
  <c r="G173" i="7"/>
  <c r="G174" i="7"/>
  <c r="G175" i="7"/>
  <c r="G176" i="7"/>
  <c r="G177" i="7"/>
  <c r="G178" i="7"/>
  <c r="G179" i="7"/>
  <c r="G180" i="7"/>
  <c r="G182" i="7"/>
  <c r="G183" i="7"/>
  <c r="G184" i="7"/>
  <c r="G185" i="7"/>
  <c r="G186" i="7"/>
  <c r="G187" i="7"/>
  <c r="G188" i="7"/>
  <c r="G189" i="7"/>
  <c r="G190" i="7"/>
  <c r="G192" i="7"/>
  <c r="G193" i="7"/>
  <c r="G194" i="7"/>
  <c r="G195" i="7"/>
  <c r="G196" i="7"/>
  <c r="G197" i="7"/>
  <c r="G198" i="7"/>
  <c r="G199" i="7"/>
  <c r="G200" i="7"/>
  <c r="G202" i="7"/>
  <c r="G203" i="7"/>
  <c r="G204" i="7"/>
  <c r="G205" i="7"/>
  <c r="G206" i="7"/>
  <c r="G207" i="7"/>
  <c r="G208" i="7"/>
  <c r="G209" i="7"/>
  <c r="G210" i="7"/>
  <c r="G212" i="7"/>
  <c r="G213" i="7"/>
  <c r="G214" i="7"/>
  <c r="G215" i="7"/>
  <c r="G216" i="7"/>
  <c r="G217" i="7"/>
  <c r="G218" i="7"/>
  <c r="G219" i="7"/>
  <c r="G220" i="7"/>
  <c r="G222" i="7"/>
  <c r="G223" i="7"/>
  <c r="G224" i="7"/>
  <c r="G225" i="7"/>
  <c r="G226" i="7"/>
  <c r="G227" i="7"/>
  <c r="G228" i="7"/>
  <c r="G229" i="7"/>
  <c r="G230" i="7"/>
  <c r="G232" i="7"/>
  <c r="G233" i="7"/>
  <c r="G234" i="7"/>
  <c r="G235" i="7"/>
  <c r="G236" i="7"/>
  <c r="G237" i="7"/>
  <c r="G238" i="7"/>
  <c r="G239" i="7"/>
  <c r="G240" i="7"/>
  <c r="G242" i="7"/>
  <c r="G243" i="7"/>
  <c r="G244" i="7"/>
  <c r="G245" i="7"/>
  <c r="G246" i="7"/>
  <c r="G247" i="7"/>
  <c r="G248" i="7"/>
  <c r="G249" i="7"/>
  <c r="G251" i="7"/>
  <c r="G252" i="7"/>
  <c r="G253" i="7"/>
  <c r="G254" i="7"/>
  <c r="G255" i="7"/>
  <c r="G256" i="7"/>
  <c r="G257" i="7"/>
  <c r="G258" i="7"/>
  <c r="G260" i="7"/>
  <c r="G261" i="7"/>
  <c r="G262" i="7"/>
  <c r="G263" i="7"/>
  <c r="G264" i="7"/>
  <c r="G265" i="7"/>
  <c r="G266" i="7"/>
  <c r="G267" i="7"/>
  <c r="G268" i="7"/>
  <c r="G269" i="7"/>
  <c r="G270" i="7"/>
  <c r="G271" i="7"/>
  <c r="G273" i="7"/>
  <c r="G274" i="7"/>
  <c r="G275" i="7"/>
  <c r="G276" i="7"/>
  <c r="G277" i="7"/>
  <c r="G278" i="7"/>
  <c r="G279" i="7"/>
  <c r="G280" i="7"/>
  <c r="G281" i="7"/>
  <c r="G282" i="7"/>
  <c r="G283" i="7"/>
  <c r="G284" i="7"/>
  <c r="G286" i="7"/>
  <c r="G287" i="7"/>
  <c r="G288" i="7"/>
  <c r="G289" i="7"/>
  <c r="G290" i="7"/>
  <c r="G291" i="7"/>
  <c r="G292" i="7"/>
  <c r="G294" i="7"/>
  <c r="G295" i="7"/>
  <c r="G296" i="7"/>
  <c r="G297" i="7"/>
  <c r="G298" i="7"/>
  <c r="G299" i="7"/>
  <c r="G300" i="7"/>
  <c r="G302" i="7"/>
  <c r="G303" i="7"/>
  <c r="G304" i="7"/>
  <c r="G305" i="7"/>
  <c r="G306" i="7"/>
  <c r="G307" i="7"/>
  <c r="G308" i="7"/>
  <c r="G309" i="7"/>
  <c r="G311" i="7"/>
  <c r="G312" i="7"/>
  <c r="G313" i="7"/>
  <c r="G314" i="7"/>
  <c r="G315" i="7"/>
  <c r="G316" i="7"/>
  <c r="G317" i="7"/>
  <c r="G318" i="7"/>
  <c r="G320" i="7"/>
  <c r="G321" i="7"/>
  <c r="G322" i="7"/>
  <c r="G323" i="7"/>
  <c r="G324" i="7"/>
  <c r="G325" i="7"/>
  <c r="G326" i="7"/>
  <c r="G327" i="7"/>
  <c r="G329" i="7"/>
  <c r="G330" i="7"/>
  <c r="G331" i="7"/>
  <c r="G332" i="7"/>
  <c r="G333" i="7"/>
  <c r="G334" i="7"/>
  <c r="G335" i="7"/>
  <c r="G336" i="7"/>
  <c r="G338" i="7"/>
  <c r="G339" i="7"/>
  <c r="G340" i="7"/>
  <c r="G341" i="7"/>
  <c r="G342" i="7"/>
  <c r="G343" i="7"/>
  <c r="G344" i="7"/>
  <c r="G345" i="7"/>
  <c r="G347" i="7"/>
  <c r="G348" i="7"/>
  <c r="G349" i="7"/>
  <c r="G350" i="7"/>
  <c r="G351" i="7"/>
  <c r="G352" i="7"/>
  <c r="G353" i="7"/>
  <c r="G354" i="7"/>
  <c r="G356" i="7"/>
  <c r="G357" i="7"/>
  <c r="G358" i="7"/>
  <c r="G359" i="7"/>
  <c r="G360" i="7"/>
  <c r="G361" i="7"/>
  <c r="G362" i="7"/>
  <c r="G363" i="7"/>
  <c r="G365" i="7"/>
  <c r="G366" i="7"/>
  <c r="G367" i="7"/>
  <c r="G368" i="7"/>
  <c r="G369" i="7"/>
  <c r="G370" i="7"/>
  <c r="G371" i="7"/>
  <c r="G372" i="7"/>
  <c r="G374" i="7"/>
  <c r="G375" i="7"/>
  <c r="G376" i="7"/>
  <c r="G377" i="7"/>
  <c r="G378" i="7"/>
  <c r="G379" i="7"/>
  <c r="G380" i="7"/>
  <c r="G381" i="7"/>
  <c r="G383" i="7"/>
  <c r="G384" i="7"/>
  <c r="G385" i="7"/>
  <c r="G386" i="7"/>
  <c r="G387" i="7"/>
  <c r="G388" i="7"/>
  <c r="G389" i="7"/>
  <c r="G390" i="7"/>
  <c r="G392" i="7"/>
  <c r="G393" i="7"/>
  <c r="G394" i="7"/>
  <c r="G395" i="7"/>
  <c r="G396" i="7"/>
  <c r="G397" i="7"/>
  <c r="G398" i="7"/>
  <c r="G399" i="7"/>
  <c r="G401" i="7"/>
  <c r="G402" i="7"/>
  <c r="G403" i="7"/>
  <c r="G404" i="7"/>
  <c r="G405" i="7"/>
  <c r="G406" i="7"/>
  <c r="G407" i="7"/>
  <c r="G408" i="7"/>
  <c r="G410" i="7"/>
  <c r="G411" i="7"/>
  <c r="G412" i="7"/>
  <c r="G413" i="7"/>
  <c r="G414" i="7"/>
  <c r="G415" i="7"/>
  <c r="G416" i="7"/>
  <c r="G417" i="7"/>
  <c r="G418" i="7"/>
  <c r="G420" i="7"/>
  <c r="G421" i="7"/>
  <c r="G422" i="7"/>
  <c r="G423" i="7"/>
  <c r="G424" i="7"/>
  <c r="G425" i="7"/>
  <c r="G426" i="7"/>
  <c r="G427" i="7"/>
  <c r="G428" i="7"/>
  <c r="G430" i="7"/>
  <c r="G431" i="7"/>
  <c r="G432" i="7"/>
  <c r="G433" i="7"/>
  <c r="G434" i="7"/>
  <c r="G435" i="7"/>
  <c r="G436" i="7"/>
  <c r="G437" i="7"/>
  <c r="G438" i="7"/>
  <c r="G440" i="7"/>
  <c r="G441" i="7"/>
  <c r="G442" i="7"/>
  <c r="G443" i="7"/>
  <c r="G444" i="7"/>
  <c r="G445" i="7"/>
  <c r="G446" i="7"/>
  <c r="G447" i="7"/>
  <c r="G448" i="7"/>
  <c r="G450" i="7"/>
  <c r="G451" i="7"/>
  <c r="G452" i="7"/>
  <c r="G453" i="7"/>
  <c r="G454" i="7"/>
  <c r="G455" i="7"/>
  <c r="G456" i="7"/>
  <c r="G457" i="7"/>
  <c r="G458" i="7"/>
  <c r="G460" i="7"/>
  <c r="G461" i="7"/>
  <c r="G462" i="7"/>
  <c r="G463" i="7"/>
  <c r="G464" i="7"/>
  <c r="G465" i="7"/>
  <c r="G466" i="7"/>
  <c r="G468" i="7"/>
  <c r="G469" i="7"/>
  <c r="G470" i="7"/>
  <c r="G471" i="7"/>
  <c r="G472" i="7"/>
  <c r="G473" i="7"/>
  <c r="G474" i="7"/>
  <c r="G475" i="7"/>
  <c r="G477" i="7"/>
  <c r="G478" i="7"/>
  <c r="G479" i="7"/>
  <c r="G480" i="7"/>
  <c r="G481" i="7"/>
  <c r="G483" i="7"/>
  <c r="G484" i="7"/>
  <c r="G485" i="7"/>
  <c r="G486" i="7"/>
  <c r="G488" i="7"/>
  <c r="G489" i="7"/>
  <c r="G490" i="7"/>
  <c r="G491" i="7"/>
  <c r="G493" i="7"/>
  <c r="G494" i="7"/>
  <c r="G495" i="7"/>
  <c r="G496" i="7"/>
  <c r="G497" i="7"/>
  <c r="G498" i="7"/>
  <c r="F21" i="7"/>
  <c r="F22" i="7"/>
  <c r="F23" i="7"/>
  <c r="F24" i="7"/>
  <c r="F25" i="7"/>
  <c r="F27" i="7"/>
  <c r="F28" i="7"/>
  <c r="F29" i="7"/>
  <c r="F30" i="7"/>
  <c r="F31" i="7"/>
  <c r="F32" i="7"/>
  <c r="F34" i="7"/>
  <c r="F35" i="7"/>
  <c r="F36" i="7"/>
  <c r="F38" i="7"/>
  <c r="F39" i="7"/>
  <c r="F40" i="7"/>
  <c r="F42" i="7"/>
  <c r="F43" i="7"/>
  <c r="F45" i="7"/>
  <c r="F46" i="7"/>
  <c r="F48" i="7"/>
  <c r="F49" i="7"/>
  <c r="F50" i="7"/>
  <c r="F51" i="7"/>
  <c r="F52" i="7"/>
  <c r="F53" i="7"/>
  <c r="F54" i="7"/>
  <c r="F56" i="7"/>
  <c r="F57" i="7"/>
  <c r="F58" i="7"/>
  <c r="F59" i="7"/>
  <c r="F60" i="7"/>
  <c r="F61" i="7"/>
  <c r="F62" i="7"/>
  <c r="F64" i="7"/>
  <c r="F65" i="7"/>
  <c r="F66" i="7"/>
  <c r="F67" i="7"/>
  <c r="F68" i="7"/>
  <c r="F69" i="7"/>
  <c r="F70" i="7"/>
  <c r="F71" i="7"/>
  <c r="F73" i="7"/>
  <c r="F74" i="7"/>
  <c r="F75" i="7"/>
  <c r="F76" i="7"/>
  <c r="F77" i="7"/>
  <c r="F78" i="7"/>
  <c r="F79" i="7"/>
  <c r="F80" i="7"/>
  <c r="F82" i="7"/>
  <c r="F83" i="7"/>
  <c r="F84" i="7"/>
  <c r="F85" i="7"/>
  <c r="F86" i="7"/>
  <c r="F87" i="7"/>
  <c r="F88" i="7"/>
  <c r="F89" i="7"/>
  <c r="F91" i="7"/>
  <c r="F92" i="7"/>
  <c r="F93" i="7"/>
  <c r="F94" i="7"/>
  <c r="F95" i="7"/>
  <c r="F96" i="7"/>
  <c r="F97" i="7"/>
  <c r="F98" i="7"/>
  <c r="F100" i="7"/>
  <c r="F101" i="7"/>
  <c r="F102" i="7"/>
  <c r="F103" i="7"/>
  <c r="F104" i="7"/>
  <c r="F105" i="7"/>
  <c r="F106" i="7"/>
  <c r="F107" i="7"/>
  <c r="F109" i="7"/>
  <c r="F110" i="7"/>
  <c r="F111" i="7"/>
  <c r="F112" i="7"/>
  <c r="F113" i="7"/>
  <c r="F114" i="7"/>
  <c r="F115" i="7"/>
  <c r="F116" i="7"/>
  <c r="F118" i="7"/>
  <c r="F119" i="7"/>
  <c r="F120" i="7"/>
  <c r="F121" i="7"/>
  <c r="F122" i="7"/>
  <c r="F123" i="7"/>
  <c r="F124" i="7"/>
  <c r="F125" i="7"/>
  <c r="F127" i="7"/>
  <c r="F128" i="7"/>
  <c r="F129" i="7"/>
  <c r="F130" i="7"/>
  <c r="F131" i="7"/>
  <c r="F132" i="7"/>
  <c r="F133" i="7"/>
  <c r="F134" i="7"/>
  <c r="F136" i="7"/>
  <c r="F137" i="7"/>
  <c r="F138" i="7"/>
  <c r="F139" i="7"/>
  <c r="F140" i="7"/>
  <c r="F141" i="7"/>
  <c r="F142" i="7"/>
  <c r="F143" i="7"/>
  <c r="F145" i="7"/>
  <c r="F146" i="7"/>
  <c r="F147" i="7"/>
  <c r="F148" i="7"/>
  <c r="F149" i="7"/>
  <c r="F150" i="7"/>
  <c r="F151" i="7"/>
  <c r="F152" i="7"/>
  <c r="F154" i="7"/>
  <c r="F155" i="7"/>
  <c r="F156" i="7"/>
  <c r="F157" i="7"/>
  <c r="F158" i="7"/>
  <c r="F159" i="7"/>
  <c r="F160" i="7"/>
  <c r="F161" i="7"/>
  <c r="F163" i="7"/>
  <c r="F164" i="7"/>
  <c r="F165" i="7"/>
  <c r="F166" i="7"/>
  <c r="F167" i="7"/>
  <c r="F168" i="7"/>
  <c r="F169" i="7"/>
  <c r="F170" i="7"/>
  <c r="F172" i="7"/>
  <c r="F173" i="7"/>
  <c r="F174" i="7"/>
  <c r="F175" i="7"/>
  <c r="F176" i="7"/>
  <c r="F177" i="7"/>
  <c r="F178" i="7"/>
  <c r="F179" i="7"/>
  <c r="F180" i="7"/>
  <c r="F182" i="7"/>
  <c r="F183" i="7"/>
  <c r="F184" i="7"/>
  <c r="F185" i="7"/>
  <c r="F186" i="7"/>
  <c r="F187" i="7"/>
  <c r="F188" i="7"/>
  <c r="F189" i="7"/>
  <c r="F190" i="7"/>
  <c r="F192" i="7"/>
  <c r="F193" i="7"/>
  <c r="F194" i="7"/>
  <c r="F195" i="7"/>
  <c r="F196" i="7"/>
  <c r="F197" i="7"/>
  <c r="F198" i="7"/>
  <c r="F199" i="7"/>
  <c r="F200" i="7"/>
  <c r="F202" i="7"/>
  <c r="F203" i="7"/>
  <c r="F204" i="7"/>
  <c r="F205" i="7"/>
  <c r="F206" i="7"/>
  <c r="F207" i="7"/>
  <c r="F208" i="7"/>
  <c r="F209" i="7"/>
  <c r="F210" i="7"/>
  <c r="F212" i="7"/>
  <c r="F213" i="7"/>
  <c r="F214" i="7"/>
  <c r="F215" i="7"/>
  <c r="F216" i="7"/>
  <c r="F217" i="7"/>
  <c r="F218" i="7"/>
  <c r="F219" i="7"/>
  <c r="F220" i="7"/>
  <c r="F222" i="7"/>
  <c r="F223" i="7"/>
  <c r="F224" i="7"/>
  <c r="F225" i="7"/>
  <c r="F226" i="7"/>
  <c r="F227" i="7"/>
  <c r="F228" i="7"/>
  <c r="F229" i="7"/>
  <c r="F230" i="7"/>
  <c r="F232" i="7"/>
  <c r="F233" i="7"/>
  <c r="F234" i="7"/>
  <c r="F235" i="7"/>
  <c r="F236" i="7"/>
  <c r="F237" i="7"/>
  <c r="F238" i="7"/>
  <c r="F239" i="7"/>
  <c r="F240" i="7"/>
  <c r="F242" i="7"/>
  <c r="F243" i="7"/>
  <c r="F244" i="7"/>
  <c r="F245" i="7"/>
  <c r="F246" i="7"/>
  <c r="F247" i="7"/>
  <c r="F248" i="7"/>
  <c r="F249" i="7"/>
  <c r="F251" i="7"/>
  <c r="F252" i="7"/>
  <c r="F253" i="7"/>
  <c r="F254" i="7"/>
  <c r="F255" i="7"/>
  <c r="F256" i="7"/>
  <c r="F257" i="7"/>
  <c r="F258" i="7"/>
  <c r="F260" i="7"/>
  <c r="F261" i="7"/>
  <c r="F262" i="7"/>
  <c r="F263" i="7"/>
  <c r="F264" i="7"/>
  <c r="F265" i="7"/>
  <c r="F266" i="7"/>
  <c r="F267" i="7"/>
  <c r="F268" i="7"/>
  <c r="F269" i="7"/>
  <c r="F270" i="7"/>
  <c r="F271" i="7"/>
  <c r="F273" i="7"/>
  <c r="F274" i="7"/>
  <c r="F275" i="7"/>
  <c r="F276" i="7"/>
  <c r="F277" i="7"/>
  <c r="F278" i="7"/>
  <c r="F279" i="7"/>
  <c r="F280" i="7"/>
  <c r="F281" i="7"/>
  <c r="F282" i="7"/>
  <c r="F283" i="7"/>
  <c r="F284" i="7"/>
  <c r="F286" i="7"/>
  <c r="F287" i="7"/>
  <c r="F288" i="7"/>
  <c r="F289" i="7"/>
  <c r="F290" i="7"/>
  <c r="F291" i="7"/>
  <c r="F292" i="7"/>
  <c r="F294" i="7"/>
  <c r="F295" i="7"/>
  <c r="F296" i="7"/>
  <c r="F297" i="7"/>
  <c r="F298" i="7"/>
  <c r="F299" i="7"/>
  <c r="F300" i="7"/>
  <c r="F302" i="7"/>
  <c r="F303" i="7"/>
  <c r="F304" i="7"/>
  <c r="F305" i="7"/>
  <c r="F306" i="7"/>
  <c r="F307" i="7"/>
  <c r="F308" i="7"/>
  <c r="F309" i="7"/>
  <c r="F311" i="7"/>
  <c r="F312" i="7"/>
  <c r="F313" i="7"/>
  <c r="F314" i="7"/>
  <c r="F315" i="7"/>
  <c r="F316" i="7"/>
  <c r="F317" i="7"/>
  <c r="F318" i="7"/>
  <c r="F320" i="7"/>
  <c r="F321" i="7"/>
  <c r="F322" i="7"/>
  <c r="F323" i="7"/>
  <c r="F324" i="7"/>
  <c r="F325" i="7"/>
  <c r="F326" i="7"/>
  <c r="F327" i="7"/>
  <c r="F329" i="7"/>
  <c r="F330" i="7"/>
  <c r="F331" i="7"/>
  <c r="F332" i="7"/>
  <c r="F333" i="7"/>
  <c r="F334" i="7"/>
  <c r="F335" i="7"/>
  <c r="F336" i="7"/>
  <c r="F338" i="7"/>
  <c r="F339" i="7"/>
  <c r="F340" i="7"/>
  <c r="F341" i="7"/>
  <c r="F342" i="7"/>
  <c r="F343" i="7"/>
  <c r="F344" i="7"/>
  <c r="F345" i="7"/>
  <c r="F347" i="7"/>
  <c r="F348" i="7"/>
  <c r="F349" i="7"/>
  <c r="F350" i="7"/>
  <c r="F351" i="7"/>
  <c r="F352" i="7"/>
  <c r="F353" i="7"/>
  <c r="F354" i="7"/>
  <c r="F356" i="7"/>
  <c r="F357" i="7"/>
  <c r="F358" i="7"/>
  <c r="F359" i="7"/>
  <c r="F360" i="7"/>
  <c r="F361" i="7"/>
  <c r="F362" i="7"/>
  <c r="F363" i="7"/>
  <c r="F365" i="7"/>
  <c r="F366" i="7"/>
  <c r="F367" i="7"/>
  <c r="F368" i="7"/>
  <c r="F369" i="7"/>
  <c r="F370" i="7"/>
  <c r="F371" i="7"/>
  <c r="F372" i="7"/>
  <c r="F374" i="7"/>
  <c r="F375" i="7"/>
  <c r="F376" i="7"/>
  <c r="F377" i="7"/>
  <c r="F378" i="7"/>
  <c r="F379" i="7"/>
  <c r="F380" i="7"/>
  <c r="F381" i="7"/>
  <c r="F383" i="7"/>
  <c r="F384" i="7"/>
  <c r="F385" i="7"/>
  <c r="F386" i="7"/>
  <c r="F387" i="7"/>
  <c r="F388" i="7"/>
  <c r="F389" i="7"/>
  <c r="F390" i="7"/>
  <c r="F392" i="7"/>
  <c r="F393" i="7"/>
  <c r="F394" i="7"/>
  <c r="F395" i="7"/>
  <c r="F396" i="7"/>
  <c r="F397" i="7"/>
  <c r="F398" i="7"/>
  <c r="F399" i="7"/>
  <c r="F401" i="7"/>
  <c r="F402" i="7"/>
  <c r="F403" i="7"/>
  <c r="F404" i="7"/>
  <c r="F405" i="7"/>
  <c r="F406" i="7"/>
  <c r="F407" i="7"/>
  <c r="F408" i="7"/>
  <c r="F410" i="7"/>
  <c r="F411" i="7"/>
  <c r="F412" i="7"/>
  <c r="F413" i="7"/>
  <c r="F414" i="7"/>
  <c r="F415" i="7"/>
  <c r="F416" i="7"/>
  <c r="F417" i="7"/>
  <c r="F418" i="7"/>
  <c r="F420" i="7"/>
  <c r="F421" i="7"/>
  <c r="F422" i="7"/>
  <c r="F423" i="7"/>
  <c r="F424" i="7"/>
  <c r="F425" i="7"/>
  <c r="F426" i="7"/>
  <c r="F427" i="7"/>
  <c r="F428" i="7"/>
  <c r="F430" i="7"/>
  <c r="F431" i="7"/>
  <c r="F432" i="7"/>
  <c r="F433" i="7"/>
  <c r="F434" i="7"/>
  <c r="F435" i="7"/>
  <c r="F436" i="7"/>
  <c r="F437" i="7"/>
  <c r="F438" i="7"/>
  <c r="F440" i="7"/>
  <c r="F441" i="7"/>
  <c r="F442" i="7"/>
  <c r="F443" i="7"/>
  <c r="F444" i="7"/>
  <c r="F445" i="7"/>
  <c r="F446" i="7"/>
  <c r="F447" i="7"/>
  <c r="F448" i="7"/>
  <c r="F450" i="7"/>
  <c r="F451" i="7"/>
  <c r="F452" i="7"/>
  <c r="F453" i="7"/>
  <c r="F454" i="7"/>
  <c r="F455" i="7"/>
  <c r="F456" i="7"/>
  <c r="F457" i="7"/>
  <c r="F458" i="7"/>
  <c r="F460" i="7"/>
  <c r="F461" i="7"/>
  <c r="F462" i="7"/>
  <c r="F463" i="7"/>
  <c r="F464" i="7"/>
  <c r="F465" i="7"/>
  <c r="F466" i="7"/>
  <c r="F468" i="7"/>
  <c r="F469" i="7"/>
  <c r="F470" i="7"/>
  <c r="F471" i="7"/>
  <c r="F472" i="7"/>
  <c r="F473" i="7"/>
  <c r="F474" i="7"/>
  <c r="F475" i="7"/>
  <c r="F477" i="7"/>
  <c r="F478" i="7"/>
  <c r="F479" i="7"/>
  <c r="F480" i="7"/>
  <c r="F481" i="7"/>
  <c r="F483" i="7"/>
  <c r="F484" i="7"/>
  <c r="F485" i="7"/>
  <c r="F486" i="7"/>
  <c r="F488" i="7"/>
  <c r="F489" i="7"/>
  <c r="F490" i="7"/>
  <c r="F491" i="7"/>
  <c r="F493" i="7"/>
  <c r="F494" i="7"/>
  <c r="F495" i="7"/>
  <c r="F496" i="7"/>
  <c r="F497" i="7"/>
  <c r="F498" i="7"/>
  <c r="E21" i="7"/>
  <c r="E22" i="7"/>
  <c r="E23" i="7"/>
  <c r="E24" i="7"/>
  <c r="E25" i="7"/>
  <c r="E27" i="7"/>
  <c r="E28" i="7"/>
  <c r="E29" i="7"/>
  <c r="E30" i="7"/>
  <c r="E31" i="7"/>
  <c r="E32" i="7"/>
  <c r="E34" i="7"/>
  <c r="E35" i="7"/>
  <c r="E36" i="7"/>
  <c r="E38" i="7"/>
  <c r="E39" i="7"/>
  <c r="E40" i="7"/>
  <c r="E42" i="7"/>
  <c r="E43" i="7"/>
  <c r="E45" i="7"/>
  <c r="E46" i="7"/>
  <c r="E48" i="7"/>
  <c r="E49" i="7"/>
  <c r="E50" i="7"/>
  <c r="E51" i="7"/>
  <c r="E52" i="7"/>
  <c r="E53" i="7"/>
  <c r="E54" i="7"/>
  <c r="E56" i="7"/>
  <c r="E57" i="7"/>
  <c r="E58" i="7"/>
  <c r="E59" i="7"/>
  <c r="E60" i="7"/>
  <c r="E61" i="7"/>
  <c r="E62" i="7"/>
  <c r="E64" i="7"/>
  <c r="E65" i="7"/>
  <c r="E66" i="7"/>
  <c r="E67" i="7"/>
  <c r="E68" i="7"/>
  <c r="E69" i="7"/>
  <c r="E70" i="7"/>
  <c r="E71" i="7"/>
  <c r="E73" i="7"/>
  <c r="E74" i="7"/>
  <c r="E75" i="7"/>
  <c r="E76" i="7"/>
  <c r="E77" i="7"/>
  <c r="E78" i="7"/>
  <c r="E79" i="7"/>
  <c r="E80" i="7"/>
  <c r="E82" i="7"/>
  <c r="E83" i="7"/>
  <c r="E84" i="7"/>
  <c r="E85" i="7"/>
  <c r="E86" i="7"/>
  <c r="E87" i="7"/>
  <c r="E88" i="7"/>
  <c r="E89" i="7"/>
  <c r="E91" i="7"/>
  <c r="E92" i="7"/>
  <c r="E93" i="7"/>
  <c r="E94" i="7"/>
  <c r="E95" i="7"/>
  <c r="E96" i="7"/>
  <c r="E97" i="7"/>
  <c r="E98" i="7"/>
  <c r="E100" i="7"/>
  <c r="E101" i="7"/>
  <c r="E102" i="7"/>
  <c r="E103" i="7"/>
  <c r="E104" i="7"/>
  <c r="E105" i="7"/>
  <c r="E106" i="7"/>
  <c r="E107" i="7"/>
  <c r="E109" i="7"/>
  <c r="E110" i="7"/>
  <c r="E111" i="7"/>
  <c r="E112" i="7"/>
  <c r="E113" i="7"/>
  <c r="E114" i="7"/>
  <c r="E115" i="7"/>
  <c r="E116" i="7"/>
  <c r="E118" i="7"/>
  <c r="E119" i="7"/>
  <c r="E120" i="7"/>
  <c r="E121" i="7"/>
  <c r="E122" i="7"/>
  <c r="E123" i="7"/>
  <c r="E124" i="7"/>
  <c r="E125" i="7"/>
  <c r="E127" i="7"/>
  <c r="E128" i="7"/>
  <c r="E129" i="7"/>
  <c r="E130" i="7"/>
  <c r="E131" i="7"/>
  <c r="E132" i="7"/>
  <c r="E133" i="7"/>
  <c r="E134" i="7"/>
  <c r="E136" i="7"/>
  <c r="E137" i="7"/>
  <c r="E138" i="7"/>
  <c r="E139" i="7"/>
  <c r="E140" i="7"/>
  <c r="E141" i="7"/>
  <c r="E142" i="7"/>
  <c r="E143" i="7"/>
  <c r="E145" i="7"/>
  <c r="E146" i="7"/>
  <c r="E147" i="7"/>
  <c r="E148" i="7"/>
  <c r="E149" i="7"/>
  <c r="E150" i="7"/>
  <c r="E151" i="7"/>
  <c r="E152" i="7"/>
  <c r="E154" i="7"/>
  <c r="E155" i="7"/>
  <c r="E156" i="7"/>
  <c r="E157" i="7"/>
  <c r="E158" i="7"/>
  <c r="E159" i="7"/>
  <c r="E160" i="7"/>
  <c r="E161" i="7"/>
  <c r="E163" i="7"/>
  <c r="E164" i="7"/>
  <c r="E165" i="7"/>
  <c r="E166" i="7"/>
  <c r="E167" i="7"/>
  <c r="E168" i="7"/>
  <c r="E169" i="7"/>
  <c r="E170" i="7"/>
  <c r="E172" i="7"/>
  <c r="E173" i="7"/>
  <c r="E174" i="7"/>
  <c r="E175" i="7"/>
  <c r="E176" i="7"/>
  <c r="E177" i="7"/>
  <c r="E178" i="7"/>
  <c r="E179" i="7"/>
  <c r="E180" i="7"/>
  <c r="E182" i="7"/>
  <c r="E183" i="7"/>
  <c r="E184" i="7"/>
  <c r="E185" i="7"/>
  <c r="E186" i="7"/>
  <c r="E187" i="7"/>
  <c r="E188" i="7"/>
  <c r="E189" i="7"/>
  <c r="E190" i="7"/>
  <c r="E192" i="7"/>
  <c r="E193" i="7"/>
  <c r="E194" i="7"/>
  <c r="E195" i="7"/>
  <c r="E196" i="7"/>
  <c r="E197" i="7"/>
  <c r="E198" i="7"/>
  <c r="E199" i="7"/>
  <c r="E200" i="7"/>
  <c r="E202" i="7"/>
  <c r="E203" i="7"/>
  <c r="E204" i="7"/>
  <c r="E205" i="7"/>
  <c r="E206" i="7"/>
  <c r="E207" i="7"/>
  <c r="E208" i="7"/>
  <c r="E209" i="7"/>
  <c r="E210" i="7"/>
  <c r="E212" i="7"/>
  <c r="E213" i="7"/>
  <c r="E214" i="7"/>
  <c r="E215" i="7"/>
  <c r="E216" i="7"/>
  <c r="E217" i="7"/>
  <c r="E218" i="7"/>
  <c r="E219" i="7"/>
  <c r="E220" i="7"/>
  <c r="E222" i="7"/>
  <c r="E223" i="7"/>
  <c r="E224" i="7"/>
  <c r="E225" i="7"/>
  <c r="E226" i="7"/>
  <c r="E227" i="7"/>
  <c r="E228" i="7"/>
  <c r="E229" i="7"/>
  <c r="E230" i="7"/>
  <c r="E232" i="7"/>
  <c r="E233" i="7"/>
  <c r="E234" i="7"/>
  <c r="E235" i="7"/>
  <c r="E236" i="7"/>
  <c r="E237" i="7"/>
  <c r="E238" i="7"/>
  <c r="E239" i="7"/>
  <c r="E240" i="7"/>
  <c r="E242" i="7"/>
  <c r="E243" i="7"/>
  <c r="E244" i="7"/>
  <c r="E245" i="7"/>
  <c r="E246" i="7"/>
  <c r="E247" i="7"/>
  <c r="E248" i="7"/>
  <c r="E249" i="7"/>
  <c r="E251" i="7"/>
  <c r="E252" i="7"/>
  <c r="E253" i="7"/>
  <c r="E254" i="7"/>
  <c r="E255" i="7"/>
  <c r="E256" i="7"/>
  <c r="E257" i="7"/>
  <c r="E258" i="7"/>
  <c r="E260" i="7"/>
  <c r="E261" i="7"/>
  <c r="E262" i="7"/>
  <c r="E263" i="7"/>
  <c r="E264" i="7"/>
  <c r="E265" i="7"/>
  <c r="E266" i="7"/>
  <c r="E267" i="7"/>
  <c r="E268" i="7"/>
  <c r="E269" i="7"/>
  <c r="E270" i="7"/>
  <c r="E271" i="7"/>
  <c r="E273" i="7"/>
  <c r="E274" i="7"/>
  <c r="E275" i="7"/>
  <c r="E276" i="7"/>
  <c r="E277" i="7"/>
  <c r="E278" i="7"/>
  <c r="E279" i="7"/>
  <c r="E280" i="7"/>
  <c r="E281" i="7"/>
  <c r="E282" i="7"/>
  <c r="E283" i="7"/>
  <c r="E284" i="7"/>
  <c r="E286" i="7"/>
  <c r="E287" i="7"/>
  <c r="E288" i="7"/>
  <c r="E289" i="7"/>
  <c r="E290" i="7"/>
  <c r="E291" i="7"/>
  <c r="E292" i="7"/>
  <c r="E294" i="7"/>
  <c r="E295" i="7"/>
  <c r="E296" i="7"/>
  <c r="E297" i="7"/>
  <c r="E298" i="7"/>
  <c r="E299" i="7"/>
  <c r="E300" i="7"/>
  <c r="E302" i="7"/>
  <c r="E303" i="7"/>
  <c r="E304" i="7"/>
  <c r="E305" i="7"/>
  <c r="E306" i="7"/>
  <c r="E307" i="7"/>
  <c r="E308" i="7"/>
  <c r="E309" i="7"/>
  <c r="E311" i="7"/>
  <c r="E312" i="7"/>
  <c r="E313" i="7"/>
  <c r="E314" i="7"/>
  <c r="E315" i="7"/>
  <c r="E316" i="7"/>
  <c r="E317" i="7"/>
  <c r="E318" i="7"/>
  <c r="E320" i="7"/>
  <c r="E321" i="7"/>
  <c r="E322" i="7"/>
  <c r="E323" i="7"/>
  <c r="E324" i="7"/>
  <c r="E325" i="7"/>
  <c r="E326" i="7"/>
  <c r="E327" i="7"/>
  <c r="E329" i="7"/>
  <c r="E330" i="7"/>
  <c r="E331" i="7"/>
  <c r="E332" i="7"/>
  <c r="E333" i="7"/>
  <c r="E334" i="7"/>
  <c r="E335" i="7"/>
  <c r="E336" i="7"/>
  <c r="E338" i="7"/>
  <c r="E339" i="7"/>
  <c r="E340" i="7"/>
  <c r="E341" i="7"/>
  <c r="E342" i="7"/>
  <c r="E343" i="7"/>
  <c r="E344" i="7"/>
  <c r="E345" i="7"/>
  <c r="E347" i="7"/>
  <c r="E348" i="7"/>
  <c r="E349" i="7"/>
  <c r="E350" i="7"/>
  <c r="E351" i="7"/>
  <c r="E352" i="7"/>
  <c r="E353" i="7"/>
  <c r="E354" i="7"/>
  <c r="E356" i="7"/>
  <c r="E357" i="7"/>
  <c r="E358" i="7"/>
  <c r="E359" i="7"/>
  <c r="E360" i="7"/>
  <c r="E361" i="7"/>
  <c r="E362" i="7"/>
  <c r="E363" i="7"/>
  <c r="E365" i="7"/>
  <c r="E366" i="7"/>
  <c r="E367" i="7"/>
  <c r="E368" i="7"/>
  <c r="E369" i="7"/>
  <c r="E370" i="7"/>
  <c r="E371" i="7"/>
  <c r="E372" i="7"/>
  <c r="E374" i="7"/>
  <c r="E375" i="7"/>
  <c r="E376" i="7"/>
  <c r="E377" i="7"/>
  <c r="E378" i="7"/>
  <c r="E379" i="7"/>
  <c r="E380" i="7"/>
  <c r="E381" i="7"/>
  <c r="E383" i="7"/>
  <c r="E384" i="7"/>
  <c r="E385" i="7"/>
  <c r="E386" i="7"/>
  <c r="E387" i="7"/>
  <c r="E388" i="7"/>
  <c r="E389" i="7"/>
  <c r="E390" i="7"/>
  <c r="E392" i="7"/>
  <c r="E393" i="7"/>
  <c r="E394" i="7"/>
  <c r="E395" i="7"/>
  <c r="E396" i="7"/>
  <c r="E397" i="7"/>
  <c r="E398" i="7"/>
  <c r="E399" i="7"/>
  <c r="E401" i="7"/>
  <c r="E402" i="7"/>
  <c r="E403" i="7"/>
  <c r="E404" i="7"/>
  <c r="E405" i="7"/>
  <c r="E406" i="7"/>
  <c r="E407" i="7"/>
  <c r="E408" i="7"/>
  <c r="E410" i="7"/>
  <c r="E411" i="7"/>
  <c r="E412" i="7"/>
  <c r="E413" i="7"/>
  <c r="E414" i="7"/>
  <c r="E415" i="7"/>
  <c r="E416" i="7"/>
  <c r="E417" i="7"/>
  <c r="E418" i="7"/>
  <c r="E420" i="7"/>
  <c r="E421" i="7"/>
  <c r="E422" i="7"/>
  <c r="E423" i="7"/>
  <c r="E424" i="7"/>
  <c r="E425" i="7"/>
  <c r="E426" i="7"/>
  <c r="E427" i="7"/>
  <c r="E428" i="7"/>
  <c r="E430" i="7"/>
  <c r="E431" i="7"/>
  <c r="E432" i="7"/>
  <c r="E433" i="7"/>
  <c r="E434" i="7"/>
  <c r="E435" i="7"/>
  <c r="E436" i="7"/>
  <c r="E437" i="7"/>
  <c r="E438" i="7"/>
  <c r="E440" i="7"/>
  <c r="E441" i="7"/>
  <c r="E442" i="7"/>
  <c r="E443" i="7"/>
  <c r="E444" i="7"/>
  <c r="E445" i="7"/>
  <c r="E446" i="7"/>
  <c r="E447" i="7"/>
  <c r="E448" i="7"/>
  <c r="E450" i="7"/>
  <c r="E451" i="7"/>
  <c r="E452" i="7"/>
  <c r="E453" i="7"/>
  <c r="E454" i="7"/>
  <c r="E455" i="7"/>
  <c r="E456" i="7"/>
  <c r="E457" i="7"/>
  <c r="E458" i="7"/>
  <c r="E460" i="7"/>
  <c r="E461" i="7"/>
  <c r="E462" i="7"/>
  <c r="E463" i="7"/>
  <c r="E464" i="7"/>
  <c r="E465" i="7"/>
  <c r="E466" i="7"/>
  <c r="E468" i="7"/>
  <c r="E469" i="7"/>
  <c r="E470" i="7"/>
  <c r="E471" i="7"/>
  <c r="E472" i="7"/>
  <c r="E473" i="7"/>
  <c r="E474" i="7"/>
  <c r="E475" i="7"/>
  <c r="E477" i="7"/>
  <c r="E478" i="7"/>
  <c r="E479" i="7"/>
  <c r="E480" i="7"/>
  <c r="E481" i="7"/>
  <c r="E483" i="7"/>
  <c r="E484" i="7"/>
  <c r="E485" i="7"/>
  <c r="E486" i="7"/>
  <c r="E488" i="7"/>
  <c r="E489" i="7"/>
  <c r="E490" i="7"/>
  <c r="E491" i="7"/>
  <c r="E493" i="7"/>
  <c r="E494" i="7"/>
  <c r="E495" i="7"/>
  <c r="E496" i="7"/>
  <c r="E497" i="7"/>
  <c r="E498" i="7"/>
  <c r="D481" i="7"/>
  <c r="D482" i="7"/>
  <c r="D483" i="7"/>
  <c r="D484" i="7"/>
  <c r="D485" i="7"/>
  <c r="D486" i="7"/>
  <c r="D487" i="7"/>
  <c r="D488" i="7"/>
  <c r="D489" i="7"/>
  <c r="D490" i="7"/>
  <c r="D491" i="7"/>
  <c r="D492" i="7"/>
  <c r="D464" i="7"/>
  <c r="D465" i="7"/>
  <c r="D466" i="7"/>
  <c r="D467" i="7"/>
  <c r="D468" i="7"/>
  <c r="D469" i="7"/>
  <c r="D470" i="7"/>
  <c r="D471" i="7"/>
  <c r="D472" i="7"/>
  <c r="D473" i="7"/>
  <c r="D474" i="7"/>
  <c r="D475" i="7"/>
  <c r="D476" i="7"/>
  <c r="D477" i="7"/>
  <c r="D478" i="7"/>
  <c r="D479" i="7"/>
  <c r="D480"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20" i="7"/>
  <c r="D21" i="7"/>
  <c r="D22" i="7"/>
  <c r="D23" i="7"/>
  <c r="D24" i="7"/>
  <c r="D25" i="7"/>
  <c r="D26" i="7"/>
  <c r="D27" i="7"/>
  <c r="D28" i="7"/>
  <c r="D29" i="7"/>
  <c r="D30" i="7"/>
  <c r="D31" i="7"/>
  <c r="D32" i="7"/>
  <c r="D33" i="7"/>
  <c r="D34" i="7"/>
  <c r="D35" i="7"/>
  <c r="D36" i="7"/>
  <c r="G20" i="7"/>
  <c r="F20" i="7"/>
  <c r="E20" i="7"/>
  <c r="D19" i="7"/>
  <c r="L21" i="4" l="1"/>
  <c r="L31" i="4"/>
  <c r="M31" i="4" s="1"/>
  <c r="L36" i="4"/>
  <c r="M36" i="4" s="1"/>
  <c r="L43" i="4"/>
  <c r="M43" i="4" s="1"/>
  <c r="L48" i="4"/>
  <c r="M48" i="4" s="1"/>
  <c r="L82" i="4"/>
  <c r="M82" i="4" s="1"/>
  <c r="L86" i="4"/>
  <c r="L98" i="4"/>
  <c r="L103" i="4"/>
  <c r="M103" i="4" s="1"/>
  <c r="L104" i="4"/>
  <c r="M104" i="4" s="1"/>
  <c r="L374" i="4"/>
  <c r="M374" i="4" s="1"/>
  <c r="L132" i="4"/>
  <c r="M132" i="4" s="1"/>
  <c r="L146" i="4"/>
  <c r="L158" i="4"/>
  <c r="L163" i="4"/>
  <c r="L174" i="4"/>
  <c r="M174" i="4" s="1"/>
  <c r="L186" i="4"/>
  <c r="M186" i="4" s="1"/>
  <c r="L210" i="4"/>
  <c r="M210" i="4" s="1"/>
  <c r="L215" i="4"/>
  <c r="M215" i="4" s="1"/>
  <c r="L242" i="4"/>
  <c r="M242" i="4" s="1"/>
  <c r="L246" i="4"/>
  <c r="M246" i="4" s="1"/>
  <c r="L258" i="4"/>
  <c r="M258" i="4" s="1"/>
  <c r="L263" i="4"/>
  <c r="M263" i="4" s="1"/>
  <c r="L275" i="4"/>
  <c r="L292" i="4"/>
  <c r="M292" i="4" s="1"/>
  <c r="L296" i="4"/>
  <c r="M296" i="4" s="1"/>
  <c r="L303" i="4"/>
  <c r="M303" i="4" s="1"/>
  <c r="L314" i="4"/>
  <c r="M314" i="4" s="1"/>
  <c r="L319" i="4"/>
  <c r="M319" i="4" s="1"/>
  <c r="L384" i="4"/>
  <c r="L400" i="4"/>
  <c r="L494" i="4"/>
  <c r="M494" i="4" s="1"/>
  <c r="L231" i="4"/>
  <c r="M231" i="4" s="1"/>
  <c r="L332" i="4"/>
  <c r="M332" i="4" s="1"/>
  <c r="L338" i="4"/>
  <c r="M338" i="4" s="1"/>
  <c r="L342" i="4"/>
  <c r="M342" i="4" s="1"/>
  <c r="L347" i="4"/>
  <c r="M347" i="4" s="1"/>
  <c r="L358" i="4"/>
  <c r="L359" i="4"/>
  <c r="M359" i="4" s="1"/>
  <c r="L363" i="4"/>
  <c r="M363" i="4" s="1"/>
  <c r="L364" i="4"/>
  <c r="M364" i="4" s="1"/>
  <c r="L368" i="4"/>
  <c r="M368" i="4" s="1"/>
  <c r="L417" i="4"/>
  <c r="M417" i="4" s="1"/>
  <c r="L418" i="4"/>
  <c r="M418" i="4" s="1"/>
  <c r="L429" i="4"/>
  <c r="M429" i="4" s="1"/>
  <c r="L434" i="4"/>
  <c r="M434" i="4" s="1"/>
  <c r="L439" i="4"/>
  <c r="M439" i="4" s="1"/>
  <c r="L460" i="4"/>
  <c r="M460" i="4" s="1"/>
  <c r="L467" i="4"/>
  <c r="M467" i="4" s="1"/>
  <c r="L498" i="4"/>
  <c r="M498" i="4" s="1"/>
  <c r="L427" i="4"/>
  <c r="M427" i="4" s="1"/>
  <c r="L279" i="4"/>
  <c r="M279" i="4" s="1"/>
  <c r="L219" i="4"/>
  <c r="M219" i="4" s="1"/>
  <c r="L214" i="4"/>
  <c r="L130" i="4"/>
  <c r="M130" i="4" s="1"/>
  <c r="L70" i="4"/>
  <c r="M70" i="4" s="1"/>
  <c r="L492" i="4"/>
  <c r="M492" i="4" s="1"/>
  <c r="L432" i="4"/>
  <c r="M432" i="4" s="1"/>
  <c r="L394" i="4"/>
  <c r="M394" i="4" s="1"/>
  <c r="L162" i="4"/>
  <c r="M162" i="4" s="1"/>
  <c r="L135" i="4"/>
  <c r="M135" i="4" s="1"/>
  <c r="L290" i="4"/>
  <c r="M290" i="4" s="1"/>
  <c r="L172" i="4"/>
  <c r="M172" i="4" s="1"/>
  <c r="L458" i="4"/>
  <c r="M458" i="4" s="1"/>
  <c r="L436" i="4"/>
  <c r="M436" i="4" s="1"/>
  <c r="L206" i="4"/>
  <c r="M206" i="4" s="1"/>
  <c r="L469" i="4"/>
  <c r="M469" i="4" s="1"/>
  <c r="L387" i="4"/>
  <c r="M387" i="4" s="1"/>
  <c r="L288" i="4"/>
  <c r="M288" i="4" s="1"/>
  <c r="L211" i="4"/>
  <c r="M211" i="4" s="1"/>
  <c r="L484" i="4"/>
  <c r="M484" i="4" s="1"/>
  <c r="L462" i="4"/>
  <c r="M462" i="4" s="1"/>
  <c r="L451" i="4"/>
  <c r="M451" i="4" s="1"/>
  <c r="L298" i="4"/>
  <c r="M298" i="4" s="1"/>
  <c r="L216" i="4"/>
  <c r="M216" i="4" s="1"/>
  <c r="L94" i="4"/>
  <c r="L83" i="4"/>
  <c r="M83" i="4" s="1"/>
  <c r="L38" i="4"/>
  <c r="M38" i="4" s="1"/>
  <c r="L438" i="4"/>
  <c r="M438" i="4" s="1"/>
  <c r="L416" i="4"/>
  <c r="L487" i="4"/>
  <c r="M487" i="4" s="1"/>
  <c r="L362" i="4"/>
  <c r="M362" i="4" s="1"/>
  <c r="L179" i="4"/>
  <c r="M179" i="4" s="1"/>
  <c r="L437" i="4"/>
  <c r="M437" i="4" s="1"/>
  <c r="L351" i="4"/>
  <c r="M351" i="4" s="1"/>
  <c r="L295" i="4"/>
  <c r="M295" i="4" s="1"/>
  <c r="L250" i="4"/>
  <c r="M250" i="4" s="1"/>
  <c r="L167" i="4"/>
  <c r="M167" i="4" s="1"/>
  <c r="L80" i="4"/>
  <c r="M80" i="4" s="1"/>
  <c r="L96" i="4"/>
  <c r="M96" i="4" s="1"/>
  <c r="L46" i="4"/>
  <c r="M46" i="4" s="1"/>
  <c r="L496" i="4"/>
  <c r="M496" i="4" s="1"/>
  <c r="L403" i="4"/>
  <c r="M403" i="4" s="1"/>
  <c r="L366" i="4"/>
  <c r="M366" i="4" s="1"/>
  <c r="L62" i="4"/>
  <c r="M62" i="4" s="1"/>
  <c r="L463" i="4"/>
  <c r="M463" i="4" s="1"/>
  <c r="L371" i="4"/>
  <c r="M371" i="4" s="1"/>
  <c r="L122" i="4"/>
  <c r="L310" i="4"/>
  <c r="L78" i="4"/>
  <c r="M78" i="4" s="1"/>
  <c r="L456" i="4"/>
  <c r="M456" i="4" s="1"/>
  <c r="L443" i="4"/>
  <c r="M443" i="4" s="1"/>
  <c r="L330" i="4"/>
  <c r="M330" i="4" s="1"/>
  <c r="L224" i="4"/>
  <c r="M224" i="4" s="1"/>
  <c r="L476" i="4"/>
  <c r="M476" i="4" s="1"/>
  <c r="L448" i="4"/>
  <c r="M448" i="4" s="1"/>
  <c r="L399" i="4"/>
  <c r="M399" i="4" s="1"/>
  <c r="L190" i="4"/>
  <c r="M190" i="4" s="1"/>
  <c r="L272" i="4"/>
  <c r="M272" i="4" s="1"/>
  <c r="L266" i="4"/>
  <c r="M266" i="4" s="1"/>
  <c r="L474" i="4"/>
  <c r="M474" i="4" s="1"/>
  <c r="L446" i="4"/>
  <c r="M446" i="4" s="1"/>
  <c r="L402" i="4"/>
  <c r="M402" i="4" s="1"/>
  <c r="L327" i="4"/>
  <c r="M327" i="4" s="1"/>
  <c r="L33" i="4"/>
  <c r="M33" i="4" s="1"/>
  <c r="L412" i="4"/>
  <c r="M412" i="4" s="1"/>
  <c r="L198" i="4"/>
  <c r="M198" i="4" s="1"/>
  <c r="L308" i="4"/>
  <c r="M308" i="4" s="1"/>
  <c r="L480" i="4"/>
  <c r="M480" i="4" s="1"/>
  <c r="L455" i="4"/>
  <c r="M455" i="4" s="1"/>
  <c r="L415" i="4"/>
  <c r="M415" i="4" s="1"/>
  <c r="L370" i="4"/>
  <c r="M370" i="4" s="1"/>
  <c r="L334" i="4"/>
  <c r="M334" i="4" s="1"/>
  <c r="L307" i="4"/>
  <c r="M307" i="4" s="1"/>
  <c r="L202" i="4"/>
  <c r="M202" i="4" s="1"/>
  <c r="L192" i="4"/>
  <c r="M192" i="4" s="1"/>
  <c r="L45" i="4"/>
  <c r="M45" i="4" s="1"/>
  <c r="L444" i="4"/>
  <c r="M444" i="4" s="1"/>
  <c r="L410" i="4"/>
  <c r="M410" i="4" s="1"/>
  <c r="L395" i="4"/>
  <c r="M395" i="4" s="1"/>
  <c r="L264" i="4"/>
  <c r="M264" i="4" s="1"/>
  <c r="L254" i="4"/>
  <c r="M254" i="4" s="1"/>
  <c r="L207" i="4"/>
  <c r="M207" i="4" s="1"/>
  <c r="L499" i="4"/>
  <c r="M499" i="4" s="1"/>
  <c r="L464" i="4"/>
  <c r="M464" i="4" s="1"/>
  <c r="L459" i="4"/>
  <c r="M459" i="4" s="1"/>
  <c r="L419" i="4"/>
  <c r="L311" i="4"/>
  <c r="M311" i="4" s="1"/>
  <c r="L238" i="4"/>
  <c r="M238" i="4" s="1"/>
  <c r="L217" i="4"/>
  <c r="M217" i="4" s="1"/>
  <c r="L180" i="4"/>
  <c r="M180" i="4" s="1"/>
  <c r="L159" i="4"/>
  <c r="M159" i="4" s="1"/>
  <c r="L154" i="4"/>
  <c r="M154" i="4" s="1"/>
  <c r="L102" i="4"/>
  <c r="M102" i="4" s="1"/>
  <c r="L49" i="4"/>
  <c r="M49" i="4" s="1"/>
  <c r="L44" i="4"/>
  <c r="M44" i="4" s="1"/>
  <c r="L40" i="4"/>
  <c r="M40" i="4" s="1"/>
  <c r="L495" i="4"/>
  <c r="M495" i="4" s="1"/>
  <c r="L450" i="4"/>
  <c r="M450" i="4" s="1"/>
  <c r="L435" i="4"/>
  <c r="M435" i="4" s="1"/>
  <c r="L375" i="4"/>
  <c r="M375" i="4" s="1"/>
  <c r="L228" i="4"/>
  <c r="M228" i="4" s="1"/>
  <c r="L197" i="4"/>
  <c r="M197" i="4" s="1"/>
  <c r="L66" i="4"/>
  <c r="M66" i="4" s="1"/>
  <c r="L286" i="4"/>
  <c r="M286" i="4" s="1"/>
  <c r="L92" i="4"/>
  <c r="M92" i="4" s="1"/>
  <c r="L71" i="4"/>
  <c r="M71" i="4" s="1"/>
  <c r="L39" i="4"/>
  <c r="M39" i="4" s="1"/>
  <c r="L322" i="4"/>
  <c r="M322" i="4" s="1"/>
  <c r="L316" i="4"/>
  <c r="M316" i="4" s="1"/>
  <c r="L274" i="4"/>
  <c r="M274" i="4" s="1"/>
  <c r="L200" i="4"/>
  <c r="M200" i="4" s="1"/>
  <c r="L138" i="4"/>
  <c r="M138" i="4" s="1"/>
  <c r="L59" i="4"/>
  <c r="M59" i="4" s="1"/>
  <c r="L54" i="4"/>
  <c r="M54" i="4" s="1"/>
  <c r="L28" i="4"/>
  <c r="M28" i="4" s="1"/>
  <c r="L471" i="4"/>
  <c r="M471" i="4" s="1"/>
  <c r="L401" i="4"/>
  <c r="M401" i="4" s="1"/>
  <c r="L324" i="4"/>
  <c r="M324" i="4" s="1"/>
  <c r="L240" i="4"/>
  <c r="M240" i="4" s="1"/>
  <c r="L182" i="4"/>
  <c r="M182" i="4" s="1"/>
  <c r="L150" i="4"/>
  <c r="M150" i="4" s="1"/>
  <c r="L302" i="4"/>
  <c r="M302" i="4" s="1"/>
  <c r="L166" i="4"/>
  <c r="L114" i="4"/>
  <c r="M114" i="4" s="1"/>
  <c r="L453" i="4"/>
  <c r="M453" i="4" s="1"/>
  <c r="L428" i="4"/>
  <c r="M428" i="4" s="1"/>
  <c r="L408" i="4"/>
  <c r="M408" i="4" s="1"/>
  <c r="L247" i="4"/>
  <c r="M247" i="4" s="1"/>
  <c r="L106" i="4"/>
  <c r="M106" i="4" s="1"/>
  <c r="L90" i="4"/>
  <c r="M90" i="4" s="1"/>
  <c r="L473" i="4"/>
  <c r="M473" i="4" s="1"/>
  <c r="L442" i="4"/>
  <c r="M442" i="4" s="1"/>
  <c r="L393" i="4"/>
  <c r="M393" i="4" s="1"/>
  <c r="L388" i="4"/>
  <c r="L320" i="4"/>
  <c r="M320" i="4" s="1"/>
  <c r="L278" i="4"/>
  <c r="M278" i="4" s="1"/>
  <c r="L262" i="4"/>
  <c r="M262" i="4" s="1"/>
  <c r="L168" i="4"/>
  <c r="M168" i="4" s="1"/>
  <c r="L152" i="4"/>
  <c r="M152" i="4" s="1"/>
  <c r="L126" i="4"/>
  <c r="M126" i="4" s="1"/>
  <c r="L116" i="4"/>
  <c r="M116" i="4" s="1"/>
  <c r="L100" i="4"/>
  <c r="M100" i="4" s="1"/>
  <c r="L95" i="4"/>
  <c r="L63" i="4"/>
  <c r="M63" i="4" s="1"/>
  <c r="L491" i="4"/>
  <c r="M491" i="4" s="1"/>
  <c r="L466" i="4"/>
  <c r="M466" i="4" s="1"/>
  <c r="L431" i="4"/>
  <c r="M431" i="4" s="1"/>
  <c r="L406" i="4"/>
  <c r="M406" i="4" s="1"/>
  <c r="L35" i="4"/>
  <c r="M35" i="4" s="1"/>
  <c r="L478" i="4"/>
  <c r="M478" i="4" s="1"/>
  <c r="L111" i="4"/>
  <c r="M111" i="4" s="1"/>
  <c r="L283" i="4"/>
  <c r="M283" i="4" s="1"/>
  <c r="L178" i="4"/>
  <c r="M178" i="4" s="1"/>
  <c r="L131" i="4"/>
  <c r="M131" i="4" s="1"/>
  <c r="L52" i="4"/>
  <c r="M52" i="4" s="1"/>
  <c r="L47" i="4"/>
  <c r="L42" i="4"/>
  <c r="M42" i="4" s="1"/>
  <c r="L26" i="4"/>
  <c r="M26" i="4" s="1"/>
  <c r="L361" i="4"/>
  <c r="M361" i="4" s="1"/>
  <c r="L276" i="4"/>
  <c r="M276" i="4" s="1"/>
  <c r="L486" i="4"/>
  <c r="M486" i="4" s="1"/>
  <c r="L386" i="4"/>
  <c r="M386" i="4" s="1"/>
  <c r="L87" i="4"/>
  <c r="M87" i="4" s="1"/>
  <c r="L30" i="4"/>
  <c r="M30" i="4" s="1"/>
  <c r="L493" i="4"/>
  <c r="M493" i="4" s="1"/>
  <c r="L468" i="4"/>
  <c r="M468" i="4" s="1"/>
  <c r="L252" i="4"/>
  <c r="M252" i="4" s="1"/>
  <c r="L226" i="4"/>
  <c r="M226" i="4" s="1"/>
  <c r="L482" i="4"/>
  <c r="M482" i="4" s="1"/>
  <c r="L422" i="4"/>
  <c r="M422" i="4" s="1"/>
  <c r="L392" i="4"/>
  <c r="M392" i="4" s="1"/>
  <c r="L382" i="4"/>
  <c r="M382" i="4" s="1"/>
  <c r="L346" i="4"/>
  <c r="M346" i="4" s="1"/>
  <c r="L341" i="4"/>
  <c r="M341" i="4" s="1"/>
  <c r="L336" i="4"/>
  <c r="M336" i="4" s="1"/>
  <c r="L282" i="4"/>
  <c r="M282" i="4" s="1"/>
  <c r="L235" i="4"/>
  <c r="M235" i="4" s="1"/>
  <c r="L230" i="4"/>
  <c r="M230" i="4" s="1"/>
  <c r="L188" i="4"/>
  <c r="M188" i="4" s="1"/>
  <c r="L68" i="4"/>
  <c r="M68" i="4" s="1"/>
  <c r="L481" i="4"/>
  <c r="M481" i="4" s="1"/>
  <c r="L472" i="4"/>
  <c r="M472" i="4" s="1"/>
  <c r="L445" i="4"/>
  <c r="M445" i="4" s="1"/>
  <c r="L405" i="4"/>
  <c r="M405" i="4" s="1"/>
  <c r="L369" i="4"/>
  <c r="M369" i="4" s="1"/>
  <c r="L350" i="4"/>
  <c r="M350" i="4" s="1"/>
  <c r="L315" i="4"/>
  <c r="M315" i="4" s="1"/>
  <c r="L287" i="4"/>
  <c r="M287" i="4" s="1"/>
  <c r="L277" i="4"/>
  <c r="M277" i="4" s="1"/>
  <c r="L239" i="4"/>
  <c r="M239" i="4" s="1"/>
  <c r="L101" i="4"/>
  <c r="M101" i="4" s="1"/>
  <c r="L53" i="4"/>
  <c r="M53" i="4" s="1"/>
  <c r="L485" i="4"/>
  <c r="M485" i="4" s="1"/>
  <c r="L449" i="4"/>
  <c r="M449" i="4" s="1"/>
  <c r="L409" i="4"/>
  <c r="M409" i="4" s="1"/>
  <c r="L335" i="4"/>
  <c r="M335" i="4" s="1"/>
  <c r="L267" i="4"/>
  <c r="M267" i="4" s="1"/>
  <c r="L191" i="4"/>
  <c r="M191" i="4" s="1"/>
  <c r="L29" i="4"/>
  <c r="M29" i="4" s="1"/>
  <c r="L489" i="4"/>
  <c r="M489" i="4" s="1"/>
  <c r="L413" i="4"/>
  <c r="M413" i="4" s="1"/>
  <c r="L404" i="4"/>
  <c r="M404" i="4" s="1"/>
  <c r="L373" i="4"/>
  <c r="M373" i="4" s="1"/>
  <c r="L344" i="4"/>
  <c r="M344" i="4" s="1"/>
  <c r="L300" i="4"/>
  <c r="M300" i="4" s="1"/>
  <c r="L171" i="4"/>
  <c r="M171" i="4" s="1"/>
  <c r="L143" i="4"/>
  <c r="M143" i="4" s="1"/>
  <c r="L81" i="4"/>
  <c r="M81" i="4" s="1"/>
  <c r="L76" i="4"/>
  <c r="M76" i="4" s="1"/>
  <c r="L57" i="4"/>
  <c r="M57" i="4" s="1"/>
  <c r="L441" i="4"/>
  <c r="M441" i="4" s="1"/>
  <c r="L273" i="4"/>
  <c r="M273" i="4" s="1"/>
  <c r="L497" i="4"/>
  <c r="M497" i="4" s="1"/>
  <c r="L421" i="4"/>
  <c r="M421" i="4" s="1"/>
  <c r="L381" i="4"/>
  <c r="M381" i="4" s="1"/>
  <c r="L465" i="4"/>
  <c r="M465" i="4" s="1"/>
  <c r="L385" i="4"/>
  <c r="M385" i="4" s="1"/>
  <c r="L265" i="4"/>
  <c r="M265" i="4" s="1"/>
  <c r="L27" i="4"/>
  <c r="M27" i="4" s="1"/>
  <c r="L425" i="4"/>
  <c r="M425" i="4" s="1"/>
  <c r="L420" i="4"/>
  <c r="M420" i="4" s="1"/>
  <c r="L389" i="4"/>
  <c r="M389" i="4" s="1"/>
  <c r="L284" i="4"/>
  <c r="M284" i="4" s="1"/>
  <c r="L236" i="4"/>
  <c r="M236" i="4" s="1"/>
  <c r="L208" i="4"/>
  <c r="M208" i="4" s="1"/>
  <c r="L203" i="4"/>
  <c r="M203" i="4" s="1"/>
  <c r="L169" i="4"/>
  <c r="M169" i="4" s="1"/>
  <c r="L136" i="4"/>
  <c r="M136" i="4" s="1"/>
  <c r="L88" i="4"/>
  <c r="M88" i="4" s="1"/>
  <c r="L79" i="4"/>
  <c r="M79" i="4" s="1"/>
  <c r="L55" i="4"/>
  <c r="M55" i="4" s="1"/>
  <c r="L477" i="4"/>
  <c r="M477" i="4" s="1"/>
  <c r="L365" i="4"/>
  <c r="M365" i="4" s="1"/>
  <c r="L268" i="4"/>
  <c r="M268" i="4" s="1"/>
  <c r="L149" i="4"/>
  <c r="M149" i="4" s="1"/>
  <c r="L125" i="4"/>
  <c r="M125" i="4" s="1"/>
  <c r="L25" i="4"/>
  <c r="M25" i="4" s="1"/>
  <c r="L457" i="4"/>
  <c r="M457" i="4" s="1"/>
  <c r="L372" i="4"/>
  <c r="M372" i="4" s="1"/>
  <c r="L354" i="4"/>
  <c r="M354" i="4" s="1"/>
  <c r="L280" i="4"/>
  <c r="M280" i="4" s="1"/>
  <c r="L271" i="4"/>
  <c r="M271" i="4" s="1"/>
  <c r="L175" i="4"/>
  <c r="M175" i="4" s="1"/>
  <c r="L147" i="4"/>
  <c r="M147" i="4" s="1"/>
  <c r="L75" i="4"/>
  <c r="M75" i="4" s="1"/>
  <c r="L37" i="4"/>
  <c r="M37" i="4" s="1"/>
  <c r="L461" i="4"/>
  <c r="M461" i="4" s="1"/>
  <c r="L328" i="4"/>
  <c r="M328" i="4" s="1"/>
  <c r="L256" i="4"/>
  <c r="M256" i="4" s="1"/>
  <c r="L223" i="4"/>
  <c r="M223" i="4" s="1"/>
  <c r="L184" i="4"/>
  <c r="M184" i="4" s="1"/>
  <c r="L108" i="4"/>
  <c r="M108" i="4" s="1"/>
  <c r="L376" i="4"/>
  <c r="M376" i="4" s="1"/>
  <c r="L151" i="4"/>
  <c r="M151" i="4" s="1"/>
  <c r="L41" i="4"/>
  <c r="M41" i="4" s="1"/>
  <c r="L356" i="4"/>
  <c r="M356" i="4" s="1"/>
  <c r="L120" i="4"/>
  <c r="M120" i="4" s="1"/>
  <c r="L377" i="4"/>
  <c r="M377" i="4" s="1"/>
  <c r="L348" i="4"/>
  <c r="M348" i="4" s="1"/>
  <c r="L123" i="4"/>
  <c r="M123" i="4" s="1"/>
  <c r="L61" i="4"/>
  <c r="M61" i="4" s="1"/>
  <c r="L452" i="4"/>
  <c r="M452" i="4" s="1"/>
  <c r="L313" i="4"/>
  <c r="M313" i="4" s="1"/>
  <c r="L251" i="4"/>
  <c r="M251" i="4" s="1"/>
  <c r="L232" i="4"/>
  <c r="M232" i="4" s="1"/>
  <c r="L204" i="4"/>
  <c r="M204" i="4" s="1"/>
  <c r="L156" i="4"/>
  <c r="M156" i="4" s="1"/>
  <c r="L137" i="4"/>
  <c r="M137" i="4" s="1"/>
  <c r="L127" i="4"/>
  <c r="M127" i="4" s="1"/>
  <c r="L60" i="4"/>
  <c r="M60" i="4" s="1"/>
  <c r="L433" i="4"/>
  <c r="M433" i="4" s="1"/>
  <c r="L424" i="4"/>
  <c r="M424" i="4" s="1"/>
  <c r="L397" i="4"/>
  <c r="M397" i="4" s="1"/>
  <c r="L357" i="4"/>
  <c r="M357" i="4" s="1"/>
  <c r="L331" i="4"/>
  <c r="M331" i="4" s="1"/>
  <c r="L326" i="4"/>
  <c r="M326" i="4" s="1"/>
  <c r="L293" i="4"/>
  <c r="M293" i="4" s="1"/>
  <c r="L259" i="4"/>
  <c r="M259" i="4" s="1"/>
  <c r="L245" i="4"/>
  <c r="M245" i="4" s="1"/>
  <c r="L212" i="4"/>
  <c r="M212" i="4" s="1"/>
  <c r="L187" i="4"/>
  <c r="M187" i="4" s="1"/>
  <c r="L140" i="4"/>
  <c r="M140" i="4" s="1"/>
  <c r="L121" i="4"/>
  <c r="M121" i="4" s="1"/>
  <c r="L73" i="4"/>
  <c r="M73" i="4" s="1"/>
  <c r="L352" i="4"/>
  <c r="M352" i="4" s="1"/>
  <c r="L243" i="4"/>
  <c r="M243" i="4" s="1"/>
  <c r="L177" i="4"/>
  <c r="M177" i="4" s="1"/>
  <c r="L112" i="4"/>
  <c r="M112" i="4" s="1"/>
  <c r="L317" i="4"/>
  <c r="M317" i="4" s="1"/>
  <c r="L233" i="4"/>
  <c r="M233" i="4" s="1"/>
  <c r="L181" i="4"/>
  <c r="M181" i="4" s="1"/>
  <c r="L51" i="4"/>
  <c r="M51" i="4" s="1"/>
  <c r="L173" i="4"/>
  <c r="M173" i="4" s="1"/>
  <c r="L229" i="4"/>
  <c r="M229" i="4" s="1"/>
  <c r="L321" i="4"/>
  <c r="M321" i="4" s="1"/>
  <c r="L269" i="4"/>
  <c r="M269" i="4" s="1"/>
  <c r="L129" i="4"/>
  <c r="M129" i="4" s="1"/>
  <c r="L291" i="4"/>
  <c r="M291" i="4" s="1"/>
  <c r="L221" i="4"/>
  <c r="M221" i="4" s="1"/>
  <c r="L281" i="4"/>
  <c r="M281" i="4" s="1"/>
  <c r="L304" i="4"/>
  <c r="M304" i="4" s="1"/>
  <c r="L89" i="4"/>
  <c r="M89" i="4" s="1"/>
  <c r="L325" i="4"/>
  <c r="M325" i="4" s="1"/>
  <c r="L133" i="4"/>
  <c r="M133" i="4" s="1"/>
  <c r="L77" i="4"/>
  <c r="M77" i="4" s="1"/>
  <c r="L339" i="4"/>
  <c r="M339" i="4" s="1"/>
  <c r="L329" i="4"/>
  <c r="M329" i="4" s="1"/>
  <c r="L160" i="4"/>
  <c r="M160" i="4" s="1"/>
  <c r="L85" i="4"/>
  <c r="M85" i="4" s="1"/>
  <c r="L225" i="4"/>
  <c r="M225" i="4" s="1"/>
  <c r="L99" i="4"/>
  <c r="M99" i="4" s="1"/>
  <c r="L195" i="4"/>
  <c r="M195" i="4" s="1"/>
  <c r="L185" i="4"/>
  <c r="M185" i="4" s="1"/>
  <c r="L64" i="4"/>
  <c r="M64" i="4" s="1"/>
  <c r="L333" i="4"/>
  <c r="M333" i="4" s="1"/>
  <c r="L285" i="4"/>
  <c r="M285" i="4" s="1"/>
  <c r="L237" i="4"/>
  <c r="M237" i="4" s="1"/>
  <c r="L189" i="4"/>
  <c r="M189" i="4" s="1"/>
  <c r="L141" i="4"/>
  <c r="M141" i="4" s="1"/>
  <c r="L93" i="4"/>
  <c r="M93" i="4" s="1"/>
  <c r="L337" i="4"/>
  <c r="M337" i="4" s="1"/>
  <c r="L289" i="4"/>
  <c r="M289" i="4" s="1"/>
  <c r="L241" i="4"/>
  <c r="M241" i="4" s="1"/>
  <c r="L193" i="4"/>
  <c r="M193" i="4" s="1"/>
  <c r="L145" i="4"/>
  <c r="M145" i="4" s="1"/>
  <c r="L97" i="4"/>
  <c r="M97" i="4" s="1"/>
  <c r="L297" i="4"/>
  <c r="M297" i="4" s="1"/>
  <c r="L105" i="4"/>
  <c r="M105" i="4" s="1"/>
  <c r="L349" i="4"/>
  <c r="M349" i="4" s="1"/>
  <c r="L301" i="4"/>
  <c r="M301" i="4" s="1"/>
  <c r="L253" i="4"/>
  <c r="M253" i="4" s="1"/>
  <c r="L205" i="4"/>
  <c r="M205" i="4" s="1"/>
  <c r="L157" i="4"/>
  <c r="M157" i="4" s="1"/>
  <c r="L109" i="4"/>
  <c r="M109" i="4" s="1"/>
  <c r="L345" i="4"/>
  <c r="M345" i="4" s="1"/>
  <c r="L249" i="4"/>
  <c r="M249" i="4" s="1"/>
  <c r="L201" i="4"/>
  <c r="M201" i="4" s="1"/>
  <c r="L153" i="4"/>
  <c r="M153" i="4" s="1"/>
  <c r="L353" i="4"/>
  <c r="M353" i="4" s="1"/>
  <c r="L305" i="4"/>
  <c r="M305" i="4" s="1"/>
  <c r="L257" i="4"/>
  <c r="M257" i="4" s="1"/>
  <c r="L209" i="4"/>
  <c r="M209" i="4" s="1"/>
  <c r="L161" i="4"/>
  <c r="M161" i="4" s="1"/>
  <c r="L113" i="4"/>
  <c r="M113" i="4" s="1"/>
  <c r="L65" i="4"/>
  <c r="M65" i="4" s="1"/>
  <c r="L309" i="4"/>
  <c r="M309" i="4" s="1"/>
  <c r="L261" i="4"/>
  <c r="M261" i="4" s="1"/>
  <c r="L213" i="4"/>
  <c r="M213" i="4" s="1"/>
  <c r="L165" i="4"/>
  <c r="M165" i="4" s="1"/>
  <c r="L117" i="4"/>
  <c r="M117" i="4" s="1"/>
  <c r="L69" i="4"/>
  <c r="M69" i="4" s="1"/>
  <c r="M227" i="4"/>
  <c r="M384" i="4"/>
  <c r="M310" i="4"/>
  <c r="M163" i="4"/>
  <c r="M86" i="4"/>
  <c r="M275" i="4"/>
  <c r="M358" i="4"/>
  <c r="M158" i="4"/>
  <c r="M110" i="4"/>
  <c r="M419" i="4"/>
  <c r="M323" i="4"/>
  <c r="M214" i="4"/>
  <c r="M194" i="4"/>
  <c r="M146" i="4"/>
  <c r="M58" i="4"/>
  <c r="M396" i="4"/>
  <c r="M94" i="4"/>
  <c r="M47" i="4"/>
  <c r="M98" i="4"/>
  <c r="M416" i="4"/>
  <c r="M21" i="4"/>
  <c r="M388" i="4"/>
  <c r="M142" i="4"/>
  <c r="M95" i="4"/>
  <c r="M400" i="4"/>
  <c r="M134" i="4"/>
  <c r="M166" i="4"/>
  <c r="M118" i="4"/>
  <c r="M170" i="4"/>
  <c r="M122" i="4"/>
  <c r="M74" i="4"/>
</calcChain>
</file>

<file path=xl/sharedStrings.xml><?xml version="1.0" encoding="utf-8"?>
<sst xmlns="http://schemas.openxmlformats.org/spreadsheetml/2006/main" count="3685" uniqueCount="784">
  <si>
    <r>
      <rPr>
        <b/>
        <i/>
        <sz val="10"/>
        <color rgb="FF1403EF"/>
        <rFont val="Montserrat"/>
      </rPr>
      <t xml:space="preserve">Objetivo: </t>
    </r>
    <r>
      <rPr>
        <i/>
        <sz val="10"/>
        <color rgb="FF1403EF"/>
        <rFont val="Montserrat"/>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</si>
  <si>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r>
      <rPr>
        <b/>
        <i/>
        <sz val="10"/>
        <color rgb="FF0000FF"/>
        <rFont val="Montserrat"/>
      </rPr>
      <t xml:space="preserve">Guía de Uso:
</t>
    </r>
    <r>
      <rPr>
        <i/>
        <sz val="10"/>
        <color rgb="FF0000FF"/>
        <rFont val="Montserrat"/>
      </rPr>
      <t xml:space="preserve">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técnicas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
        <color rgb="FF0000FF"/>
        <rFont val="Montserrat"/>
      </rPr>
      <t>reservar</t>
    </r>
    <r>
      <rPr>
        <i/>
        <sz val="10"/>
        <color rgb="FF0000FF"/>
        <rFont val="Montserrat"/>
      </rPr>
      <t xml:space="preserve"> información generada en esta plantilla, se hará bajo lo estipulado en la Ley General de Transparencia y Acceso a la Información Pública vigente (LGTAIP), pudiendo consultar a la ACPPI para su aplicación. (Ver abajo "Nota acerca de Información Reservada").
6.- La aplicación de la sección de Firmas es opcional, dependiendo de las necesidades del consumidor, pero al contener temas de usuario de Negocio es importante la firma de éste.</t>
    </r>
  </si>
  <si>
    <r>
      <rPr>
        <b/>
        <i/>
        <sz val="10"/>
        <color rgb="FF0000FF"/>
        <rFont val="Montserrat"/>
      </rPr>
      <t xml:space="preserve">Nota acerca de Información Reservada
</t>
    </r>
    <r>
      <rPr>
        <i/>
        <sz val="10"/>
        <color rgb="FF0000FF"/>
        <rFont val="Montserrat"/>
      </rPr>
      <t xml:space="preserve">Es responsabilidad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Montserrat"/>
      </rPr>
      <t>XX</t>
    </r>
    <r>
      <rPr>
        <i/>
        <sz val="10"/>
        <color rgb="FF0000FF"/>
        <rFont val="Montserrat"/>
      </rPr>
      <t xml:space="preserve">, clasificada como Reservada con Fundamento Legal </t>
    </r>
    <r>
      <rPr>
        <b/>
        <i/>
        <sz val="10"/>
        <color rgb="FF0000FF"/>
        <rFont val="Montserrat"/>
      </rPr>
      <t>XX</t>
    </r>
    <r>
      <rPr>
        <i/>
        <sz val="10"/>
        <color rgb="FF0000FF"/>
        <rFont val="Montserrat"/>
      </rPr>
      <t xml:space="preserve">, Motivación </t>
    </r>
    <r>
      <rPr>
        <b/>
        <i/>
        <sz val="10"/>
        <color rgb="FF0000FF"/>
        <rFont val="Montserrat"/>
      </rPr>
      <t>XX</t>
    </r>
    <r>
      <rPr>
        <i/>
        <sz val="10"/>
        <color rgb="FF0000FF"/>
        <rFont val="Montserrat"/>
      </rPr>
      <t xml:space="preserve">, Fecha de clasificación </t>
    </r>
    <r>
      <rPr>
        <b/>
        <i/>
        <sz val="10"/>
        <color rgb="FF0000FF"/>
        <rFont val="Montserrat"/>
      </rPr>
      <t>XX</t>
    </r>
    <r>
      <rPr>
        <i/>
        <sz val="10"/>
        <color rgb="FF0000FF"/>
        <rFont val="Montserrat"/>
      </rPr>
      <t xml:space="preserve"> y Periodo de la reserva </t>
    </r>
    <r>
      <rPr>
        <b/>
        <i/>
        <sz val="10"/>
        <color rgb="FF0000FF"/>
        <rFont val="Montserrat"/>
      </rPr>
      <t>XX</t>
    </r>
    <r>
      <rPr>
        <i/>
        <sz val="10"/>
        <color rgb="FF0000FF"/>
        <rFont val="Montserrat"/>
      </rPr>
      <t xml:space="preserve">].
</t>
    </r>
    <r>
      <rPr>
        <b/>
        <i/>
        <sz val="10"/>
        <color rgb="FF0000FF"/>
        <rFont val="Montserrat"/>
      </rPr>
      <t>Ejemplo</t>
    </r>
    <r>
      <rPr>
        <i/>
        <sz val="10"/>
        <color rgb="FF0000FF"/>
        <rFont val="Montserrat"/>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</si>
  <si>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</si>
  <si>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</si>
  <si>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Casos de Prueba</t>
  </si>
  <si>
    <t xml:space="preserve">Esta hoja se utiliza para la documentación detallada de los casos de pruebas que serán utilizados en la ejecución de pruebas. </t>
  </si>
  <si>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</si>
  <si>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t>Criterios de Aceptación</t>
  </si>
  <si>
    <r>
      <rPr>
        <i/>
        <sz val="10"/>
        <color rgb="FF0000FF"/>
        <rFont val="Montserrat"/>
      </rP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rgb="FF0000FF"/>
        <rFont val="Montserrat"/>
      </rPr>
      <t>●</t>
    </r>
    <r>
      <rPr>
        <i/>
        <sz val="10"/>
        <color rgb="FF0000FF"/>
        <rFont val="Montserrat"/>
      </rPr>
      <t xml:space="preserve">No se combinan celdas (exceptuando la sección de firmas)
</t>
    </r>
    <r>
      <rPr>
        <sz val="10"/>
        <color rgb="FF0000FF"/>
        <rFont val="Montserrat"/>
      </rPr>
      <t>●</t>
    </r>
    <r>
      <rPr>
        <i/>
        <sz val="10"/>
        <color rgb="FF0000FF"/>
        <rFont val="Montserrat"/>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</si>
  <si>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Ambientes Requeridos</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</si>
  <si>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</si>
  <si>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</si>
  <si>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Interfaz de Usuario</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</si>
  <si>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</si>
  <si>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</si>
  <si>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</si>
  <si>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Cobertura</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</si>
  <si>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</si>
  <si>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</si>
  <si>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t>Encabezado_Imagen</t>
  </si>
  <si>
    <r>
      <rPr>
        <sz val="10"/>
        <rFont val="Montserrat"/>
      </rPr>
      <t xml:space="preserve">En artefactos </t>
    </r>
    <r>
      <rPr>
        <b/>
        <sz val="10"/>
        <rFont val="Montserrat"/>
      </rPr>
      <t>tipo Excel</t>
    </r>
    <r>
      <rPr>
        <sz val="10"/>
        <rFont val="Montserrat"/>
      </rPr>
      <t xml:space="preserve">, la inserción del </t>
    </r>
    <r>
      <rPr>
        <b/>
        <sz val="10"/>
        <rFont val="Montserrat"/>
      </rPr>
      <t>Encabezado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</si>
  <si>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t>Firmas Conformidad_Imagen</t>
  </si>
  <si>
    <r>
      <rPr>
        <sz val="10"/>
        <rFont val="Montserrat"/>
      </rPr>
      <t xml:space="preserve">En artefactos </t>
    </r>
    <r>
      <rPr>
        <b/>
        <sz val="10"/>
        <rFont val="Montserrat"/>
      </rPr>
      <t>tipo</t>
    </r>
    <r>
      <rPr>
        <sz val="10"/>
        <rFont val="Montserrat"/>
      </rPr>
      <t xml:space="preserve"> </t>
    </r>
    <r>
      <rPr>
        <b/>
        <sz val="10"/>
        <rFont val="Montserrat"/>
      </rPr>
      <t>Excel</t>
    </r>
    <r>
      <rPr>
        <sz val="10"/>
        <rFont val="Montserrat"/>
      </rPr>
      <t>, la inserción de la</t>
    </r>
    <r>
      <rPr>
        <b/>
        <sz val="10"/>
        <rFont val="Montserrat"/>
      </rPr>
      <t xml:space="preserve"> Sección</t>
    </r>
    <r>
      <rPr>
        <sz val="10"/>
        <rFont val="Montserrat"/>
      </rPr>
      <t xml:space="preserve"> </t>
    </r>
    <r>
      <rPr>
        <b/>
        <sz val="10"/>
        <rFont val="Montserrat"/>
      </rPr>
      <t>FIRMAS DE CONFORMIDAD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</si>
  <si>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</si>
  <si>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</si>
  <si>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</si>
  <si>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</si>
  <si>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</si>
  <si>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</si>
  <si>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</si>
  <si>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</si>
  <si>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0.1</t>
  </si>
  <si>
    <t xml:space="preserve">Creación del documento. </t>
  </si>
  <si>
    <t xml:space="preserve">Alma Quetzabeth Torres González </t>
  </si>
  <si>
    <t>0.2</t>
  </si>
  <si>
    <t xml:space="preserve">Ajuste:
Aplicar CC104, CC116, CC117
</t>
  </si>
  <si>
    <t>Alma Quetzabeth Torres González</t>
  </si>
  <si>
    <t>1.0</t>
  </si>
  <si>
    <t>Versión aprobada para firma</t>
  </si>
  <si>
    <t>Alma Quetzabeth Torres González 
Mario Alberto Huerta Velazquez 
Roberto Benjamín Monroy Vargas</t>
  </si>
  <si>
    <t>1.1</t>
  </si>
  <si>
    <t xml:space="preserve">Ajuste:
-Se agrega prueba CP14, CP28 RI Complemento Carta Porte relacionado al CC121.
-Se incorpora CP23, CP24.
-Actualizar CP20 para incluir RN22 – Servicio de firmado en el proceso de cancelaciones.
-Se actualiza númeración.
-Ajustes CC120 - Actualizar Acuse y Solicitud de Cancelación
</t>
  </si>
  <si>
    <t>1.2</t>
  </si>
  <si>
    <t xml:space="preserve">Negocio comparte observaciones:
•	Se incorpora una funcionalidad cuando se “Da clic en el botón buscar CFDI”
•	Se elimina palabra “RESICO”
•	Se incorpora la palabra “Estatus de cancelación” 
•	Se incorpora la palabra “Total de Impuestos retenidos” en la CP11 numeral 7 </t>
  </si>
  <si>
    <t xml:space="preserve">Mario Alberto Huerta Velazquez </t>
  </si>
  <si>
    <t>1.3</t>
  </si>
  <si>
    <t>Ajustes:
Se agrega CP36 y CP37</t>
  </si>
  <si>
    <t>1.4</t>
  </si>
  <si>
    <t>Ajustes:
Se actualiza numeración y se agregan casos de prueba:
CP10, CP12, CP14, CP16, CP18, CP20, CP22, CP24, CP27, CP29, CP31, CP35, CP37, CP39, CP41, CP43, CP45, CP47, CP50, CP52</t>
  </si>
  <si>
    <t>1.5</t>
  </si>
  <si>
    <t>Se revisan jbobservaciones</t>
  </si>
  <si>
    <t>2.0</t>
  </si>
  <si>
    <t>Portal Privado Contribuyente CFDI - Fecha Cancelación RI</t>
  </si>
  <si>
    <t>Portal Privado Contribuyente CFDI</t>
  </si>
  <si>
    <t>CASOS DE PRUEBA</t>
  </si>
  <si>
    <t>CP01</t>
  </si>
  <si>
    <t>/Autenticación_e.firma</t>
  </si>
  <si>
    <t>CP02</t>
  </si>
  <si>
    <t>/Autenticación_contraseña</t>
  </si>
  <si>
    <t>CP03</t>
  </si>
  <si>
    <t xml:space="preserve">/Inactividad </t>
  </si>
  <si>
    <t>CP04</t>
  </si>
  <si>
    <t>/Salir</t>
  </si>
  <si>
    <t>CP05</t>
  </si>
  <si>
    <t>/Menu - Contribuyente</t>
  </si>
  <si>
    <t>CP06</t>
  </si>
  <si>
    <t>/Menu - PAC</t>
  </si>
  <si>
    <t>Facturas Emitidas</t>
  </si>
  <si>
    <t>CP07</t>
  </si>
  <si>
    <t>/Facturas Emitidas/FolioFiscal</t>
  </si>
  <si>
    <t>CP08</t>
  </si>
  <si>
    <t>/Facturas Emitidas/PeriodoFechas</t>
  </si>
  <si>
    <t>CP09</t>
  </si>
  <si>
    <t>/Facturas Emitidas/FolioFiscal/Acciones/ Recuperar Acuse Estatus Final</t>
  </si>
  <si>
    <t>CP10</t>
  </si>
  <si>
    <t>/Facturas Emitidas/Fechas/Acciones/ Recuperar Acuse Estatus Final</t>
  </si>
  <si>
    <t>CP11</t>
  </si>
  <si>
    <t>/Facturas Emitidas/FolioFiscal/Acciones/Recuperar Acuse Solicitud Cancelación</t>
  </si>
  <si>
    <t>CP12</t>
  </si>
  <si>
    <t>/Facturas Emitidas/Fechas/Acciones/Recuperar Acuse Solicitud Cancelación</t>
  </si>
  <si>
    <t>CP13</t>
  </si>
  <si>
    <t xml:space="preserve">/Facturas Emitidas/FolioFiscal/Acciones/Detalle CFDI (Ver detalle) </t>
  </si>
  <si>
    <t>CP14</t>
  </si>
  <si>
    <t xml:space="preserve">/Facturas Emitidas/Fechas/Acciones/Detalle CFDI (Ver detalle) </t>
  </si>
  <si>
    <t>CP15</t>
  </si>
  <si>
    <t>/Facturas Emitidas/FolioFiscal/Acciones/Descargar</t>
  </si>
  <si>
    <t>CP16</t>
  </si>
  <si>
    <t>/Facturas Emitidas/Fechas/Acciones/Descargar</t>
  </si>
  <si>
    <t>CP17</t>
  </si>
  <si>
    <t>/Facturas Emitidas/FolioFiscal/Acciones/Recuperar Representación Impresa</t>
  </si>
  <si>
    <t>CP18</t>
  </si>
  <si>
    <t>/Facturas Emitidas/Fechas/Acciones/Recuperar Representación Impresa</t>
  </si>
  <si>
    <t>CP19</t>
  </si>
  <si>
    <t>/Facturas Emitidas/Folio_Fiscal/Acciones/Recuperar Representación Impresa Complemento Carta Porte</t>
  </si>
  <si>
    <t>CP20</t>
  </si>
  <si>
    <t xml:space="preserve">/Facturas Emitidas/Fechas/Accion/Recuperar Representación Impresa Complemento Carta Porte </t>
  </si>
  <si>
    <t>CP21</t>
  </si>
  <si>
    <t>/Facturas Emitidas/FolioFiscal/Acciones/Integrar Addenda</t>
  </si>
  <si>
    <t>CP22</t>
  </si>
  <si>
    <t>/Facturas Emitidas/Fechas/Acciones/Integrar Addenda</t>
  </si>
  <si>
    <t>CP23</t>
  </si>
  <si>
    <t>/Facturas Emitidas/Fechas/Botón/Descargar Seleccionados</t>
  </si>
  <si>
    <t>CP24</t>
  </si>
  <si>
    <t>/Facturas Emitidas/FolioFiscal/Botón/Descargar Seleccionados</t>
  </si>
  <si>
    <t>CP25</t>
  </si>
  <si>
    <t>/Facturas Emitidas/Fechas/Botón/Descargar Seleccionados RI</t>
  </si>
  <si>
    <t>CP26</t>
  </si>
  <si>
    <t>/Facturas Emitidas/Fechas/Botón/Descargar Metadata</t>
  </si>
  <si>
    <t>CP27</t>
  </si>
  <si>
    <t>/Facturas Emitidas/FolioFiscal/Botón/Descargar Metadata</t>
  </si>
  <si>
    <t>CP28</t>
  </si>
  <si>
    <t xml:space="preserve">/Facturas Emitidas/Fechas/Botón/Exportar Resultados a PDF </t>
  </si>
  <si>
    <t>CP29</t>
  </si>
  <si>
    <t xml:space="preserve">/Facturas Emitidas/FolioFiscal/Botón/Exportar Resultados a PDF </t>
  </si>
  <si>
    <t>CP30</t>
  </si>
  <si>
    <t>/Facturas Emitidas/Fechas/Botón/Cancelar seleccionados - Servicio de firmado en el proceso de cancelaciones.</t>
  </si>
  <si>
    <t>CP31</t>
  </si>
  <si>
    <t>/Facturas Emitidas/FolioFiscal/Botón/Cancelar seleccionados - Servicio de firmado en el proceso de cancelaciones.</t>
  </si>
  <si>
    <t>Facturas Recibidas</t>
  </si>
  <si>
    <t>CP32</t>
  </si>
  <si>
    <t>/Facturas Recibidas/FolioFiscal</t>
  </si>
  <si>
    <t>CP33</t>
  </si>
  <si>
    <t>/Facturas Recibidas/PeriodoFechas</t>
  </si>
  <si>
    <t>CP34</t>
  </si>
  <si>
    <t xml:space="preserve">/Facturas Recibidas/FolioFiscal/Acción/Recuperar acuse estatus final </t>
  </si>
  <si>
    <t>CP35</t>
  </si>
  <si>
    <t xml:space="preserve">/Facturas Recibidas/Fechas/Acción/Recuperar acuse estatus final </t>
  </si>
  <si>
    <t>CP36</t>
  </si>
  <si>
    <t xml:space="preserve">/Facturas Recibidas/FolioFiscal/Acción/Recuperar acuse de solicitud de cancelación  </t>
  </si>
  <si>
    <t>CP37</t>
  </si>
  <si>
    <t xml:space="preserve">/Facturas Recibidas/Fechas/Acción/Recuperar acuse de solicitud de cancelación  </t>
  </si>
  <si>
    <t>CP38</t>
  </si>
  <si>
    <t xml:space="preserve">/Facturas Recibidas/FolioFiscal/Acción/Detalle CFDI (Ver detalle) </t>
  </si>
  <si>
    <t>CP39</t>
  </si>
  <si>
    <t xml:space="preserve">/Facturas Recibidas/Fechas/Acción/Detalle CFDI (Ver detalle) </t>
  </si>
  <si>
    <t>CP40</t>
  </si>
  <si>
    <t>/Facturas Recibidas/FolioFiscal/Acción/Descargar</t>
  </si>
  <si>
    <t>CP41</t>
  </si>
  <si>
    <t>/Facturas Recibidas/Fechas/Acción/Descargar</t>
  </si>
  <si>
    <t>CP42</t>
  </si>
  <si>
    <t>/Facturas Recibidas/FolioFiscal/Acción/RecuperarRepresentaciónImpresa</t>
  </si>
  <si>
    <t>CP43</t>
  </si>
  <si>
    <t>/Facturas Recibidas/Fechas/Acción/RecuperarRepresentaciónImpresa</t>
  </si>
  <si>
    <t>CP44</t>
  </si>
  <si>
    <t xml:space="preserve">/Facturas Recibidas/FolioFiscal/Acción/Recuperar Representación Impresa Complemento Carta Porte </t>
  </si>
  <si>
    <t>CP45</t>
  </si>
  <si>
    <t xml:space="preserve">/Facturas Recibidas/Fechas/Acción/Recuperar Representación Impresa Complemento Carta Porte </t>
  </si>
  <si>
    <t>CP46</t>
  </si>
  <si>
    <t>/Facturas Recibidas/Fechas/Botón/Descargar Seleccionados</t>
  </si>
  <si>
    <t>CP47</t>
  </si>
  <si>
    <t>/Facturas Recibidas/FolioFiscal/Botón/Descargar Seleccionados</t>
  </si>
  <si>
    <t>CP48</t>
  </si>
  <si>
    <t>/Facturas Recibidas/Fechas/Botón/Descargar Seleccionados RI</t>
  </si>
  <si>
    <t>CP49</t>
  </si>
  <si>
    <t>/Facturas Recibidas/Fechas/Botón/DescargarMetadata</t>
  </si>
  <si>
    <t>CP50</t>
  </si>
  <si>
    <t>/Facturas Recibidas/FolioFiscal/Botón/DescargarMetadata</t>
  </si>
  <si>
    <t>CP51</t>
  </si>
  <si>
    <t>/Facturas Recibidas/FolioFiscal/Botón/Exportar Resultados a PDF</t>
  </si>
  <si>
    <t>CP52</t>
  </si>
  <si>
    <t>/Facturas Recibidas/Fechas/Botón/Exportar Resultados a PDF</t>
  </si>
  <si>
    <t>Recuperar descargas CFDI</t>
  </si>
  <si>
    <t>CP53</t>
  </si>
  <si>
    <t>/Recuperar Descargas de CFDI/Con registros</t>
  </si>
  <si>
    <t>CP54</t>
  </si>
  <si>
    <t>/Recuperar Descargas de CFDI/Sin registros</t>
  </si>
  <si>
    <t>Chatbot</t>
  </si>
  <si>
    <t>CP55</t>
  </si>
  <si>
    <t>/Chatbot/Interactuar</t>
  </si>
  <si>
    <t>Código del Aplicativo:</t>
  </si>
  <si>
    <t>ID de Requerimiento:</t>
  </si>
  <si>
    <t xml:space="preserve">POL 2770 </t>
  </si>
  <si>
    <t>Nombre de Requerimiento:</t>
  </si>
  <si>
    <t>Portal Privado de Contribuyente CFDI</t>
  </si>
  <si>
    <t>[Fase: Análisis] [Etapa: Especificación Funcional] (ACSN)</t>
  </si>
  <si>
    <t>ID del Caso</t>
  </si>
  <si>
    <t>CP</t>
  </si>
  <si>
    <t xml:space="preserve">Nombre del Caso </t>
  </si>
  <si>
    <t xml:space="preserve">Paso </t>
  </si>
  <si>
    <t>Descripción de Paso</t>
  </si>
  <si>
    <t>Resultado Esperado</t>
  </si>
  <si>
    <t xml:space="preserve">Comentarios </t>
  </si>
  <si>
    <t>Perfil de usuario para su ejecución</t>
  </si>
  <si>
    <t>Datos de Prueba</t>
  </si>
  <si>
    <r>
      <rPr>
        <i/>
        <sz val="10"/>
        <rFont val="Noto Sans"/>
        <family val="2"/>
        <charset val="1"/>
      </rPr>
      <t xml:space="preserve">Identificador del caso de prueba que se integrará en Quality Center (QC).
</t>
    </r>
    <r>
      <rPr>
        <i/>
        <u/>
        <sz val="10"/>
        <rFont val="Noto Sans"/>
        <family val="2"/>
        <charset val="1"/>
      </rPr>
      <t xml:space="preserve">El ID del caso NO debe contener espacios en blanco. La diagonal debe ser “\”. La nomenclatura estándar es: </t>
    </r>
    <r>
      <rPr>
        <b/>
        <i/>
        <sz val="10"/>
        <rFont val="Noto Sans"/>
        <family val="2"/>
        <charset val="1"/>
      </rPr>
      <t>PPMC_Número\Componente Tecnológico o Aplicativo</t>
    </r>
    <r>
      <rPr>
        <i/>
        <sz val="10"/>
        <rFont val="Noto Sans"/>
        <family val="2"/>
        <charset val="1"/>
      </rPr>
      <t xml:space="preserve">(ya que ésta es la estructura o ruta de carpetas para almacenar y agrupar los objetos creados para contener la información de los Casos de Prueba y Escenarios de Pruebas).
</t>
    </r>
    <r>
      <rPr>
        <i/>
        <u/>
        <sz val="10"/>
        <rFont val="Noto Sans"/>
        <family val="2"/>
        <charset val="1"/>
      </rPr>
      <t>(Ejemplo:</t>
    </r>
    <r>
      <rPr>
        <i/>
        <sz val="10"/>
        <rFont val="Noto Sans"/>
        <family val="2"/>
        <charset val="1"/>
      </rPr>
      <t xml:space="preserve"> PPMC_56124\Juicios de Nulidad)</t>
    </r>
  </si>
  <si>
    <t>Identificador secuencial de los pasos que sigue el caso de prueba.
La información de todos los pasos de un Caso de Prueba debe ser consistente.</t>
  </si>
  <si>
    <t>Narración detallada del paso a ejecutar. Se deben evitar paréntesis y/o corchetes seguidos "{{..[[..((…))..]]..]]". No dejar en blanco, escribir N/A en caso de que no aplique.</t>
  </si>
  <si>
    <t>Narración detallada del resultado esperado, dada la ejecución del paso. Se deben evitar paréntesis y/o corchetes seguidos "{{..[[..((…))..]]..]]".  No dejar en blanco, escribir N/A en caso de que no aplique.</t>
  </si>
  <si>
    <t>Anotaciones sobre lo que deba considerarse en forma adicional para la ejecución del Caso (descripción de los pre-requisitos que deben ser cubiertos para la ejecución del caso de prueba, identificación de las entradas requeridas del caso de prueba ).  Se deben evitar paréntesis y/o corchetes seguidos "{{..[[..((…))..]]..]]". No dejar en blanco, escribir N/A en caso de que no aplique.</t>
  </si>
  <si>
    <t>Descripción del Perfil de usuario que se utilizará para la ejecución del Caso de Prueba. No dejar en blanco, escribir N/A en caso de que no aplique</t>
  </si>
  <si>
    <r>
      <rPr>
        <i/>
        <sz val="10"/>
        <rFont val="Noto Sans"/>
        <family val="2"/>
        <charset val="1"/>
      </rPr>
      <t xml:space="preserve">Para indicar los casos prueba y descripción de los elementos donde se emplearán los datos.
</t>
    </r>
    <r>
      <rPr>
        <b/>
        <i/>
        <sz val="10"/>
        <rFont val="Noto Sans"/>
        <family val="2"/>
        <charset val="1"/>
      </rPr>
      <t xml:space="preserve">
</t>
    </r>
    <r>
      <rPr>
        <i/>
        <sz val="10"/>
        <rFont val="Noto Sans"/>
        <family val="2"/>
        <charset val="1"/>
      </rPr>
      <t xml:space="preserve">Indicar el nombre del Dato  de Prueba (RFC, Periodo,…)
</t>
    </r>
    <r>
      <rPr>
        <sz val="10"/>
        <rFont val="Noto Sans"/>
        <family val="2"/>
        <charset val="1"/>
      </rPr>
      <t>Ejemplos:
Indicar el contenido del dato (AAAA790909JN6, 2010-01, …)
Indicar el contenido del dato (AAAA790909JN6, 2010-02, …)</t>
    </r>
  </si>
  <si>
    <t>Autenticación - e.Firma</t>
  </si>
  <si>
    <t>POL_2770 /PortalContribuyenteCFDI</t>
  </si>
  <si>
    <t>Usuario abre explorador</t>
  </si>
  <si>
    <r>
      <rPr>
        <sz val="10"/>
        <rFont val="Noto Sans"/>
        <family val="2"/>
        <charset val="1"/>
      </rPr>
      <t xml:space="preserve">PF: Firma Electrónica vigente
</t>
    </r>
    <r>
      <rPr>
        <sz val="10"/>
        <color rgb="FF000000"/>
        <rFont val="Noto Sans"/>
        <family val="2"/>
        <charset val="1"/>
      </rPr>
      <t xml:space="preserve">PM: Firma Electrónica vigente
</t>
    </r>
    <r>
      <rPr>
        <strike/>
        <sz val="10"/>
        <color rgb="FFFF0000"/>
        <rFont val="Noto Sans"/>
        <family val="2"/>
        <charset val="1"/>
      </rPr>
      <t xml:space="preserve">
</t>
    </r>
    <r>
      <rPr>
        <sz val="10"/>
        <rFont val="Noto Sans"/>
        <family val="2"/>
        <charset val="1"/>
      </rPr>
      <t xml:space="preserve">
Tipo de usuario: Contribuyente</t>
    </r>
  </si>
  <si>
    <t>Usuario ingresa a la URL correspondiente del Portal Privado Contribuyente CFDI .
-Selecciona la opción por e.firma</t>
  </si>
  <si>
    <t>Se muestran los datos para ingresar:
Certificado (.cer)
Clave privada (.Key)
Contraseña de clave privada: 
Se muestra el campo RFC</t>
  </si>
  <si>
    <t xml:space="preserve">Se requiere que el usuario al ingresar al aplicativo cuente con una opción que le permita autenticarse mediante su firma electrónica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Contribuyente conforme a los lineamientos institucionales vigentes por el área de Seguridad del SAT. </t>
  </si>
  <si>
    <t>Usuario da clic en buscar y selecciona el archivo correspondiente a su certificado</t>
  </si>
  <si>
    <t>Se muestra el dato en el  campo certificado y en el campo RFC el dato del RFC del Contribuyente</t>
  </si>
  <si>
    <t>Usuario da clic en buscar y selecciona el archivo correspondiente a su clave privada</t>
  </si>
  <si>
    <t>Se muestra el dato en el campo clave privada</t>
  </si>
  <si>
    <t>Usuario ingresa su contraseña</t>
  </si>
  <si>
    <t>Se muestra oculto el dato en el campo contraseña</t>
  </si>
  <si>
    <t>Da clic en enviar</t>
  </si>
  <si>
    <t>Si la autenticación es correcta, el aplicativo abre la página principal del Portal Privado Contribuyente CFDI .</t>
  </si>
  <si>
    <t xml:space="preserve">En caso de que el Contribuyente no cuente con los permisos, el aplicativo mostrará el mensaje: “El Usuario no cuenta con los privilegios de acceso” y no va a permitir su acceso. </t>
  </si>
  <si>
    <t>Autenticación - Contraseña</t>
  </si>
  <si>
    <r>
      <rPr>
        <sz val="10"/>
        <color rgb="FF000000"/>
        <rFont val="Noto Sans"/>
        <family val="2"/>
        <charset val="1"/>
      </rPr>
      <t xml:space="preserve">Contraseña y RFC 
</t>
    </r>
    <r>
      <rPr>
        <sz val="10"/>
        <color rgb="FF333F50"/>
        <rFont val="Noto Sans"/>
        <family val="2"/>
        <charset val="1"/>
      </rPr>
      <t>Tipo de usuario: Contribuyente</t>
    </r>
  </si>
  <si>
    <t>Usuario ingresa a la URL correspondiente del Portal Privado Contribuyente CFDI .
-Selecciona la opción por contraseña (Default)</t>
  </si>
  <si>
    <r>
      <rPr>
        <sz val="10"/>
        <rFont val="Noto Sans"/>
        <family val="2"/>
        <charset val="1"/>
      </rPr>
      <t xml:space="preserve">Se muestran los datos para ingresar:
.RFC
.Contraseña
</t>
    </r>
    <r>
      <rPr>
        <sz val="10"/>
        <color rgb="FF000000"/>
        <rFont val="Noto Sans"/>
        <family val="2"/>
        <charset val="1"/>
      </rPr>
      <t xml:space="preserve">.e.firma portable 
</t>
    </r>
    <r>
      <rPr>
        <sz val="10"/>
        <rFont val="Noto Sans"/>
        <family val="2"/>
        <charset val="1"/>
      </rPr>
      <t xml:space="preserve">.Captcha
</t>
    </r>
  </si>
  <si>
    <t xml:space="preserve">Se mostrarán los mensajes de validación de los campos proporcionados por el Contribuyente conforme a los lineamientos institucionales vigentes por el área de Seguridad del SAT. </t>
  </si>
  <si>
    <t>Usuario ingresa los datos requeridos
.RFC</t>
  </si>
  <si>
    <t>Usuario ingresa el valor del la imagen Captcha</t>
  </si>
  <si>
    <t>La imagen del campo captcha es dinámico por lo que cambia cada que se actualice la página. Y debe coincidir con los valores ingresados por el usuario</t>
  </si>
  <si>
    <t>Inactividad</t>
  </si>
  <si>
    <t xml:space="preserve">Usuario ingresa al Portal Privado Contribuyente CFDI 
</t>
  </si>
  <si>
    <t>El sistema muestra las siguientes opciones:
-Consultar Facturas Emitidas
-Consulta Facturas Recibidas
-Recuperar Descargas de CFDI
-Consultar Solicitudes de Cancelación</t>
  </si>
  <si>
    <t>El Usuario previamente se autenticó  y accedió al Portal Privado Contribuyente CFDI</t>
  </si>
  <si>
    <t xml:space="preserve">RFC Autenticado
</t>
  </si>
  <si>
    <t xml:space="preserve">
CFDI ver 3.3, 4.0
Tipo de usuario: Contribuyente</t>
  </si>
  <si>
    <t>Da clic en "Consultar Facturas Emitidas"</t>
  </si>
  <si>
    <t xml:space="preserve">El sistema muestra las siguientes opciones de búsqueda:
- Folio Fiscal
- Periodo de Fechas
</t>
  </si>
  <si>
    <t xml:space="preserve">Dejar la sesión abierta </t>
  </si>
  <si>
    <t>Después de 15 minutos de inactividad, se cerrará la sesión en automático.</t>
  </si>
  <si>
    <t>Salir</t>
  </si>
  <si>
    <t xml:space="preserve">Usuario ingresa al Portal de Contribuyente - Servicio de Factura Electrónica 
</t>
  </si>
  <si>
    <t>Da clic en Salir</t>
  </si>
  <si>
    <t>Cierra la sesión del RFC</t>
  </si>
  <si>
    <t>Menú - Contribuyente</t>
  </si>
  <si>
    <t>/Menú - Contribuyente</t>
  </si>
  <si>
    <t>El Usuario previamente se autenticó como un contribuyente y accedió al Portal Privado Contribuyente CFDI</t>
  </si>
  <si>
    <t>Menú - PAC</t>
  </si>
  <si>
    <t>/Menú - PAC</t>
  </si>
  <si>
    <r>
      <rPr>
        <sz val="10"/>
        <rFont val="Noto Sans"/>
        <family val="2"/>
        <charset val="1"/>
      </rPr>
      <t xml:space="preserve">El Usuario previamente se autenticó como un </t>
    </r>
    <r>
      <rPr>
        <b/>
        <sz val="10"/>
        <rFont val="Noto Sans"/>
        <family val="2"/>
        <charset val="1"/>
      </rPr>
      <t>PAC</t>
    </r>
    <r>
      <rPr>
        <sz val="10"/>
        <rFont val="Noto Sans"/>
        <family val="2"/>
        <charset val="1"/>
      </rPr>
      <t xml:space="preserve"> y accedió al Portal Privado Contribuyente CFDI</t>
    </r>
  </si>
  <si>
    <r>
      <rPr>
        <sz val="10"/>
        <rFont val="Noto Sans"/>
        <family val="2"/>
        <charset val="1"/>
      </rPr>
      <t xml:space="preserve">
CFDI ver 3.3, 4.0
Tipo de usuario: </t>
    </r>
    <r>
      <rPr>
        <b/>
        <sz val="10"/>
        <rFont val="Noto Sans"/>
        <family val="2"/>
        <charset val="1"/>
      </rPr>
      <t>PAC</t>
    </r>
  </si>
  <si>
    <t>Facturas Emitidas - Por Folio Fiscal</t>
  </si>
  <si>
    <t>Seleccionar la opción Consulta CFDI</t>
  </si>
  <si>
    <t>El sistema muestra las opciones:
 - Factura Electrónica
 - Retenciones e Inf. de Pagos</t>
  </si>
  <si>
    <t xml:space="preserve">El Usuario previamente se autenticó  y accedió al Portal Privado Contribuyente CFDI
</t>
  </si>
  <si>
    <t>RFC Autenticado
RFC Emisor</t>
  </si>
  <si>
    <r>
      <rPr>
        <sz val="10"/>
        <rFont val="Noto Sans"/>
        <family val="2"/>
        <charset val="1"/>
      </rPr>
      <t xml:space="preserve">PF: Firma Electrónica vigente
</t>
    </r>
    <r>
      <rPr>
        <sz val="10"/>
        <color rgb="FFFF0000"/>
        <rFont val="Noto Sans"/>
        <family val="2"/>
        <charset val="1"/>
      </rPr>
      <t xml:space="preserve">
</t>
    </r>
    <r>
      <rPr>
        <sz val="10"/>
        <color rgb="FF000000"/>
        <rFont val="Noto Sans"/>
        <family val="2"/>
        <charset val="1"/>
      </rPr>
      <t xml:space="preserve">PM: Firma Electrónica vigente
</t>
    </r>
    <r>
      <rPr>
        <strike/>
        <sz val="10"/>
        <color rgb="FFFF0000"/>
        <rFont val="Noto Sans"/>
        <family val="2"/>
        <charset val="1"/>
      </rPr>
      <t xml:space="preserve">
</t>
    </r>
    <r>
      <rPr>
        <sz val="10"/>
        <rFont val="Noto Sans"/>
        <family val="2"/>
        <charset val="1"/>
      </rPr>
      <t>El Usuario ingresa el folio fiscal de tipo:
.Nómina
.Ingreso
.Egreso
.Pago
.Traslado
CFDI versión 3.3 o 4.0</t>
    </r>
  </si>
  <si>
    <t>Selecciona la opción Factura Electrónica</t>
  </si>
  <si>
    <r>
      <rPr>
        <sz val="10"/>
        <rFont val="Noto Sans"/>
        <family val="2"/>
        <charset val="1"/>
      </rPr>
      <t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t>
    </r>
    <r>
      <rPr>
        <sz val="10"/>
        <color rgb="FF000000"/>
        <rFont val="Noto Sans"/>
        <family val="2"/>
        <charset val="1"/>
      </rPr>
      <t xml:space="preserve">- Estatus cancelación 
</t>
    </r>
    <r>
      <rPr>
        <sz val="10"/>
        <rFont val="Noto Sans"/>
        <family val="2"/>
        <charset val="1"/>
      </rPr>
      <t>*campos obligatorios
Opción: Buscar CFDI (RN08 - Inciso a, d).</t>
    </r>
  </si>
  <si>
    <t>Selecciona la opción Folio Fiscal</t>
  </si>
  <si>
    <t>El sistema habilita el campo de FOLIO FISCAL</t>
  </si>
  <si>
    <t xml:space="preserve">Aplica las Reglas de Negocio: (RN02) 
</t>
  </si>
  <si>
    <t>Ingresa los datos del número de Folio Fiscal a buscar</t>
  </si>
  <si>
    <t>El sistema muestra los datos que se van ingresando</t>
  </si>
  <si>
    <t xml:space="preserve">Da clic en el botón Buscar CFDI
</t>
  </si>
  <si>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t>
    </r>
    <r>
      <rPr>
        <sz val="10"/>
        <color rgb="FF000000"/>
        <rFont val="Noto Sans"/>
        <family val="2"/>
        <charset val="1"/>
      </rPr>
      <t xml:space="preserve">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</si>
  <si>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t>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</si>
  <si>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Facturas Emitidas -Periodo Fechas</t>
  </si>
  <si>
    <r>
      <rPr>
        <sz val="10"/>
        <rFont val="Noto Sans"/>
        <family val="2"/>
        <charset val="1"/>
      </rPr>
      <t xml:space="preserve">PF: Firma Electrónica vigente
</t>
    </r>
    <r>
      <rPr>
        <sz val="10"/>
        <color rgb="FF000000"/>
        <rFont val="Noto Sans"/>
        <family val="2"/>
        <charset val="1"/>
      </rPr>
      <t xml:space="preserve">PM Firma Electrónica vigente
</t>
    </r>
    <r>
      <rPr>
        <sz val="10"/>
        <rFont val="Noto Sans"/>
        <family val="2"/>
        <charset val="1"/>
      </rPr>
      <t xml:space="preserve">
Se pueden incluir comprobantes de tipo:
.Nómina
.Ingreso
.Egreso
.Pago
.Traslado
 CFDI versión 3.3 o 4.0</t>
    </r>
  </si>
  <si>
    <t>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t>
  </si>
  <si>
    <t>Selecciona la opción de Periodo de Fechas</t>
  </si>
  <si>
    <t>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t>
  </si>
  <si>
    <r>
      <rPr>
        <sz val="10"/>
        <rFont val="Noto Sans"/>
        <family val="2"/>
        <charset val="1"/>
      </rPr>
      <t xml:space="preserve">Ingresa los datos:
Obligatorios
•	Fecha Inicial de Emisión (*)
•	Fecha Final de Emisión (*)
Opcionales
•	RFC Receptor.
•	RFC a cuenta terceros 
•	Estado del Comprobante 
•	Tipo de Comprobante(Complemento)
</t>
    </r>
    <r>
      <rPr>
        <sz val="10"/>
        <color rgb="FF000000"/>
        <rFont val="Noto Sans"/>
        <family val="2"/>
        <charset val="1"/>
      </rPr>
      <t xml:space="preserve">•Estatus cancelación </t>
    </r>
  </si>
  <si>
    <t xml:space="preserve">El sistema muestra los datos que se van ingresando </t>
  </si>
  <si>
    <t>Da clic en el botón Buscar CFDI 
Aplica (RN08).</t>
  </si>
  <si>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t>
    </r>
    <r>
      <rPr>
        <sz val="10"/>
        <color rgb="FF000000"/>
        <rFont val="Noto Sans"/>
        <family val="2"/>
        <charset val="1"/>
      </rPr>
      <t xml:space="preserve">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</si>
  <si>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t>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t>
  </si>
  <si>
    <t>Acciones Recuperar Acuse Estatus Final</t>
  </si>
  <si>
    <t xml:space="preserve">El Usuario previamente se autenticó  y accedió al Portal Privado Contribuyente CFDI
</t>
  </si>
  <si>
    <r>
      <rPr>
        <sz val="10"/>
        <rFont val="Noto Sans"/>
        <family val="2"/>
        <charset val="1"/>
      </rPr>
      <t xml:space="preserve">PF: Firma Electrónica vigente
</t>
    </r>
    <r>
      <rPr>
        <sz val="10"/>
        <color rgb="FF000000"/>
        <rFont val="Noto Sans"/>
        <family val="2"/>
        <charset val="1"/>
      </rPr>
      <t xml:space="preserve">PM:  Certificado de Sello Digital (CSD) vigentes
Para las personas físicas se podrá utilizar de manera indistinta el CSD o la firma electrónica vigentes
</t>
    </r>
    <r>
      <rPr>
        <sz val="10"/>
        <rFont val="Noto Sans"/>
        <family val="2"/>
        <charset val="1"/>
      </rPr>
      <t xml:space="preserve">
Folio Fiscal de tipo:
.Nomina
.Ingreso
.Egreso 
.Pago 
.Traslado  
CFDI versión 3.3 o 4.0
Para este caso de prueba el comprobante debe estar Cancelado</t>
    </r>
  </si>
  <si>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t>
    </r>
    <r>
      <rPr>
        <sz val="10"/>
        <color rgb="FF000000"/>
        <rFont val="Noto Sans"/>
        <family val="2"/>
        <charset val="1"/>
      </rPr>
      <t xml:space="preserve">
2.	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</si>
  <si>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 xml:space="preserve">1.- Dar clic en la imagen 
</t>
    </r>
    <r>
      <rPr>
        <b/>
        <sz val="10"/>
        <rFont val="Noto Sans"/>
        <family val="2"/>
        <charset val="1"/>
      </rPr>
      <t xml:space="preserve">Recuperar acuse estatus final </t>
    </r>
  </si>
  <si>
    <t>Se descarga el PDF que contendrá la siguiente información:
•	Folio Fiscal
•	RFC Receptor
•	RFC Emisor
•	Estado CFDI
•	Estado de Cancelación
•	Motivo de Cancelación
•	Número de serie de la e.firma o CSD
•	Fecha de solicitud de la cancelación
•	Mensaje de Error
•	Fecha
•	Sello digital SAT</t>
  </si>
  <si>
    <r>
      <rPr>
        <sz val="10"/>
        <rFont val="Noto Sans"/>
        <family val="2"/>
        <charset val="1"/>
      </rPr>
      <t>Esta opción solo será visible en la barra de acciones, cuando exista un acuse de</t>
    </r>
    <r>
      <rPr>
        <strike/>
        <sz val="10"/>
        <color rgb="FFFF0000"/>
        <rFont val="Noto Sans"/>
        <family val="2"/>
        <charset val="1"/>
      </rPr>
      <t xml:space="preserve"> </t>
    </r>
    <r>
      <rPr>
        <sz val="10"/>
        <color rgb="FF000000"/>
        <rFont val="Noto Sans"/>
        <family val="2"/>
        <charset val="1"/>
      </rPr>
      <t xml:space="preserve">solicitud </t>
    </r>
    <r>
      <rPr>
        <sz val="10"/>
        <rFont val="Noto Sans"/>
        <family val="2"/>
        <charset val="1"/>
      </rPr>
      <t>de cancelación CFDI y se podrá realizar la descarga</t>
    </r>
    <r>
      <rPr>
        <strike/>
        <sz val="10"/>
        <color rgb="FFFF0000"/>
        <rFont val="Noto Sans"/>
        <family val="2"/>
        <charset val="1"/>
      </rPr>
      <t>r</t>
    </r>
    <r>
      <rPr>
        <sz val="10"/>
        <rFont val="Noto Sans"/>
        <family val="2"/>
        <charset val="1"/>
      </rPr>
      <t xml:space="preserve"> en formato PDF para recuperar el acuse estatus final. (RN12). 
</t>
    </r>
  </si>
  <si>
    <t>PF: Firma Electrónica vigente
PM:  Certificado de Sello Digital (CSD) vigentes
Para las personas físicas se podrá utilizar de manera indistinta el CSD o la firma electrónica vigentes
Folio Fiscal de tipo:
.Nomina
.Ingreso
.Egreso 
.Pago 
.Traslado 
CFDI versión 3.3 o 4.0
Para este caso de prueba el comprobante debe estar Cancelado</t>
  </si>
  <si>
    <r>
      <rPr>
        <sz val="10"/>
        <rFont val="Noto Sans"/>
        <family val="2"/>
        <charset val="1"/>
      </rPr>
      <t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t>
    </r>
    <r>
      <rPr>
        <sz val="10"/>
        <color rgb="FF000000"/>
        <rFont val="Noto Sans"/>
        <family val="2"/>
        <charset val="1"/>
      </rPr>
      <t xml:space="preserve">con las diversas opciones
- Estatus Cancelación
</t>
    </r>
    <r>
      <rPr>
        <sz val="10"/>
        <rFont val="Noto Sans"/>
        <family val="2"/>
        <charset val="1"/>
      </rPr>
      <t xml:space="preserve">
*campos obligatorios
Opción: Buscar CFDI</t>
    </r>
  </si>
  <si>
    <t xml:space="preserve">Ingresa los datos:
Obligatorios
•	Fecha Inicial de Emisión (*)
•	Fecha Final de Emisión (*)
Opcionales
•	RFC Receptor.
•	RFC a cuenta terceros 
•	Estado del Comprobante 
•	Tipo de Comprobante(Complemento)
•	Estatus  cancelación </t>
  </si>
  <si>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t>
    </r>
    <r>
      <rPr>
        <sz val="10"/>
        <color rgb="FF000000"/>
        <rFont val="Noto Sans"/>
        <family val="2"/>
        <charset val="1"/>
      </rPr>
      <t xml:space="preserve">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</si>
  <si>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 xml:space="preserve">1.-Seleccionar un registro y dar clic en la imagen 
</t>
    </r>
    <r>
      <rPr>
        <b/>
        <sz val="10"/>
        <rFont val="Noto Sans"/>
        <family val="2"/>
        <charset val="1"/>
      </rPr>
      <t>Recuperar acuse estatus final 
Para este caso de prueba, los resultados deben incluir un comprobante Cancelado</t>
    </r>
  </si>
  <si>
    <t>Se descarga el PDF que contendrá la siguiente información:
•	Folio Fiscal
•	RFC Receptor
•	RFC Emisor
•	Estado CFDI
•	Estado de Cancelación
•	Motivo de Cancelación
•	Número de serie de la e.firma o CSD 
•	Fecha de solicitud de la cancelación 
•	Mensaje de Error
•	Fecha
•	Sello digital SAT</t>
  </si>
  <si>
    <t xml:space="preserve">Esta opción solo será visible en la barra de acciones, cuando exista un acuse de solicitud de cancelación CFDI y se podrá realizar la descargar en formato PDF para recuperar el acuse estatus final. (RN12). 
</t>
  </si>
  <si>
    <t>Acciones Recuperar Acuse Solicitud Cancelación</t>
  </si>
  <si>
    <t xml:space="preserve">PF: Firma Electrónica vigente
PM:  Certificado de Sello Digital (CSD) vigentes
Para las personas físicas se podrá utilizar de manera indistinta el CSD o la firma electrónica vigentes
Folio Fiscal de tipo:
.Nomina
.Ingreso
.Egreso 
.Pago 
.Traslado
CFDI versión 3.3 o 4.0
Para este caso de prueba el comprobante debe estar Cancelado
</t>
  </si>
  <si>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t>
    </r>
    <r>
      <rPr>
        <sz val="10"/>
        <color rgb="FF000000"/>
        <rFont val="Noto Sans"/>
        <family val="2"/>
        <charset val="1"/>
      </rPr>
      <t xml:space="preserve">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</si>
  <si>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 xml:space="preserve">Dar clic en la imagen 
</t>
    </r>
    <r>
      <rPr>
        <b/>
        <sz val="10"/>
        <rFont val="Noto Sans"/>
        <family val="2"/>
        <charset val="1"/>
      </rPr>
      <t>Recuperar acuse de solicitud de cancelación</t>
    </r>
    <r>
      <rPr>
        <sz val="10"/>
        <rFont val="Noto Sans"/>
        <family val="2"/>
        <charset val="1"/>
      </rPr>
      <t xml:space="preserve"> (RN13)</t>
    </r>
  </si>
  <si>
    <t>Se descarga el PDF que contendrá la siguiente información:
•	Fecha y hora de solicitud
•	RFC Emisor
•	Folio Fiscal
•	Estatus de Proceso de Cancelación
•	Motivo de Cancelación
•	CFDI Reemplaza
•	Número de serie de la e.firma o CSD
•	Sello digital SAT</t>
  </si>
  <si>
    <t xml:space="preserve">
Esta opción solo será visible en la barra de acciones, cuando exista un acuse de solicitud de cancelación CFDI y se podrá realizar la descargar en formato PDF.
</t>
  </si>
  <si>
    <t>Ingresa los datos:
Obligatorios
•	Fecha Inicial de Emisión (*)
•	Fecha Final de Emisión (*)
Opcionales
•	RFC Receptor.
•	RFC a cuenta terceros 
•	Estado del Comprobante 
•	Tipo de Comprobante(Complemento)
• Estatus cancelación</t>
  </si>
  <si>
    <r>
      <rPr>
        <sz val="10"/>
        <rFont val="Noto Sans"/>
        <family val="2"/>
        <charset val="1"/>
      </rPr>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t>
    </r>
    <r>
      <rPr>
        <sz val="10"/>
        <color rgb="FF000000"/>
        <rFont val="Noto Sans"/>
        <family val="2"/>
        <charset val="1"/>
      </rPr>
      <t xml:space="preserve">	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</si>
  <si>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 xml:space="preserve">1.- Seleccionar un registro y dar clic en la imagen 
</t>
    </r>
    <r>
      <rPr>
        <b/>
        <sz val="10"/>
        <rFont val="Noto Sans"/>
        <family val="2"/>
        <charset val="1"/>
      </rPr>
      <t>Recuperar acuse de solicitud de cancelación</t>
    </r>
    <r>
      <rPr>
        <sz val="10"/>
        <rFont val="Noto Sans"/>
        <family val="2"/>
        <charset val="1"/>
      </rPr>
      <t xml:space="preserve"> (RN13)
</t>
    </r>
    <r>
      <rPr>
        <b/>
        <sz val="10"/>
        <rFont val="Noto Sans"/>
        <family val="2"/>
        <charset val="1"/>
      </rPr>
      <t>Para este caso de prueba, los resultados deben incluir un comprobante cuya cancelación esté en proceso</t>
    </r>
  </si>
  <si>
    <t>Se descarga el PDF que contendrá la siguiente información:
•	Fecha y hora de solicitud
•	RFC Emisor
•	Folio Fiscal
•	Estatus de Proceso de Cancelación
•	Motivo de Cancelación
•	CFDI Reemplaza
•	Número de serie de la e.firma o CSD 
•	Sello digital SAT</t>
  </si>
  <si>
    <t xml:space="preserve">
Esta opción solo será visible en la barra de acciones, cuando exista un acuse de solicitud de cancelación CFDI y se podrá realizar la descargar en formato PDF
</t>
  </si>
  <si>
    <t xml:space="preserve">Detalle CFDI (Ver detalle) </t>
  </si>
  <si>
    <r>
      <rPr>
        <sz val="10"/>
        <rFont val="Noto Sans"/>
        <family val="2"/>
        <charset val="1"/>
      </rPr>
      <t xml:space="preserve">PF: Firma Electrónica vigente
</t>
    </r>
    <r>
      <rPr>
        <sz val="10"/>
        <color rgb="FF000000"/>
        <rFont val="Noto Sans"/>
        <family val="2"/>
        <charset val="1"/>
      </rPr>
      <t xml:space="preserve">PM:  Firma Electrónica vigente
</t>
    </r>
    <r>
      <rPr>
        <sz val="10"/>
        <rFont val="Noto Sans"/>
        <family val="2"/>
        <charset val="1"/>
      </rPr>
      <t xml:space="preserve">
Folio Fiscal de tipo:
.Nomina
.Ingreso
.Egreso 
.Pago 
.Traslado 
CFDI versión 3.3 o 4.0</t>
    </r>
  </si>
  <si>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t>
    </r>
    <r>
      <rPr>
        <sz val="10"/>
        <color rgb="FF000000"/>
        <rFont val="Noto Sans"/>
        <family val="2"/>
        <charset val="1"/>
      </rPr>
      <t xml:space="preserve">2.	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t>
    </r>
    <r>
      <rPr>
        <strike/>
        <sz val="10"/>
        <color rgb="FFFF0000"/>
        <rFont val="Noto Sans"/>
        <family val="2"/>
        <charset val="1"/>
      </rPr>
      <t xml:space="preserve"> la </t>
    </r>
    <r>
      <rPr>
        <sz val="10"/>
        <rFont val="Noto Sans"/>
        <family val="2"/>
        <charset val="1"/>
      </rPr>
      <t>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</si>
  <si>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t xml:space="preserve">Dar clic en la imagen 
Detalle CFDI (Ver detalle) </t>
  </si>
  <si>
    <t>Con esta opción en la barra de acciones se podrá descargar el detalle del CFDI en formato PDF. 
El PDF contendrá la siguiente información:
•	Folio Fiscal.
•	Fecha y hora de Expedición.
•	Fecha y hora de Certificación.
•	Nombre o Razón Social del Receptor.
•	RFC del Receptor.
•	Estado del Comprobante.
•	Efecto del Comprobante.
•	Moneda.
•	Monto Total.
•	Total Impuestos Trasladados.
•Total de Impuestos retenidos.</t>
  </si>
  <si>
    <r>
      <rPr>
        <sz val="10"/>
        <rFont val="Noto Sans"/>
        <family val="2"/>
        <charset val="1"/>
      </rPr>
      <t xml:space="preserve">PF: Firma Electrónica vigente
</t>
    </r>
    <r>
      <rPr>
        <sz val="10"/>
        <color rgb="FF000000"/>
        <rFont val="Noto Sans"/>
        <family val="2"/>
        <charset val="1"/>
      </rPr>
      <t xml:space="preserve">PM: Firma Electrónica vigente
</t>
    </r>
    <r>
      <rPr>
        <strike/>
        <sz val="10"/>
        <color rgb="FF000000"/>
        <rFont val="Noto Sans"/>
        <family val="2"/>
        <charset val="1"/>
      </rPr>
      <t xml:space="preserve">
</t>
    </r>
    <r>
      <rPr>
        <sz val="10"/>
        <rFont val="Noto Sans"/>
        <family val="2"/>
        <charset val="1"/>
      </rPr>
      <t xml:space="preserve">
Folio Fiscal de tipo:
.Nomina
.Ingreso
.Egreso 
.Pago 
.Traslado 
CFDI versión 3.3 o 4.0</t>
    </r>
  </si>
  <si>
    <t>El sistema muestra las opciones:
- Folio Fiscal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t>
  </si>
  <si>
    <r>
      <rPr>
        <sz val="10"/>
        <rFont val="Noto Sans"/>
        <family val="2"/>
        <charset val="1"/>
      </rPr>
      <t xml:space="preserve">Ingresa los datos:
Obligatorios
•	Fecha Inicial de Emisión (*)
•	Fecha Final de Emisión (*)
Opcionales
•	RFC Receptor.
•	RFC a cuenta terceros 
•	Estado del Comprobante 
•	Tipo de Comprobante(Complemento)
</t>
    </r>
    <r>
      <rPr>
        <sz val="10"/>
        <color rgb="FF000000"/>
        <rFont val="Noto Sans"/>
        <family val="2"/>
        <charset val="1"/>
      </rPr>
      <t>•Estatus cancelación</t>
    </r>
  </si>
  <si>
    <t xml:space="preserve">1- Seleccionar un registro y dar clic en la imagen 
Detalle CFDI (Ver detalle) </t>
  </si>
  <si>
    <t>Descargar</t>
  </si>
  <si>
    <r>
      <rPr>
        <sz val="10"/>
        <rFont val="Noto Sans"/>
        <family val="2"/>
        <charset val="1"/>
      </rPr>
      <t xml:space="preserve">PF: Firma Electrónica vigente
</t>
    </r>
    <r>
      <rPr>
        <sz val="10"/>
        <color rgb="FF000000"/>
        <rFont val="Noto Sans"/>
        <family val="2"/>
        <charset val="1"/>
      </rPr>
      <t xml:space="preserve">
PM: Firma Electrónica vigente
</t>
    </r>
    <r>
      <rPr>
        <strike/>
        <sz val="10"/>
        <color rgb="FFFF0000"/>
        <rFont val="Noto Sans"/>
        <family val="2"/>
        <charset val="1"/>
      </rPr>
      <t xml:space="preserve">
</t>
    </r>
    <r>
      <rPr>
        <sz val="10"/>
        <rFont val="Noto Sans"/>
        <family val="2"/>
        <charset val="1"/>
      </rPr>
      <t xml:space="preserve">
Folio Fiscal de tipo:
.Nomina
.Ingreso
.Egreso 
.Pago 
.Traslado 
CFDI versión 3.3 o 4.0</t>
    </r>
  </si>
  <si>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</si>
  <si>
    <t>Dar clic en la imagen 
Descargar</t>
  </si>
  <si>
    <t>Con esta opción en la barra de acciones el usuario debe permitir la descarga del archivo XML relacionada al registro, generando una ventana emergente que indique que el XML se encuentra en proceso de descarga.
Esta descarga se realiza uno a uno, contemplando el límite diario establecido para los archivos XML (RN14).</t>
  </si>
  <si>
    <t>El sistema debe nombrar los archivos descargados de cada CFDI igual que el número de folio fiscal.</t>
  </si>
  <si>
    <r>
      <rPr>
        <sz val="10"/>
        <rFont val="Noto Sans"/>
        <family val="2"/>
        <charset val="1"/>
      </rPr>
      <t xml:space="preserve">PF: Firma Electrónica vigente
</t>
    </r>
    <r>
      <rPr>
        <sz val="10"/>
        <color rgb="FF000000"/>
        <rFont val="Noto Sans"/>
        <family val="2"/>
        <charset val="1"/>
      </rPr>
      <t xml:space="preserve">PF: Firma Electrónica vigente
</t>
    </r>
    <r>
      <rPr>
        <sz val="10"/>
        <rFont val="Noto Sans"/>
        <family val="2"/>
        <charset val="1"/>
      </rPr>
      <t xml:space="preserve">
Folio Fiscal de tipo:
.Nomina
.Ingreso
.Egreso 
.Pago 
.Traslado 
CFDI versión 3.3 o 4.0</t>
    </r>
  </si>
  <si>
    <t>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t>
  </si>
  <si>
    <r>
      <rPr>
        <sz val="10"/>
        <rFont val="Noto Sans"/>
        <family val="2"/>
        <charset val="1"/>
      </rPr>
      <t>Ingresa los datos:
Obligatorios
•	Fecha Inicial de Emisión (*)
•	Fecha Final de Emisión (*)
Opcionales
•	RFC Receptor.
•	RFC a cuenta terceros 
•	Estado del Comprobante 
•	Tipo de Comprobante(Complemento)
•</t>
    </r>
    <r>
      <rPr>
        <sz val="10"/>
        <color rgb="FF70AD47"/>
        <rFont val="Noto Sans"/>
        <family val="2"/>
        <charset val="1"/>
      </rPr>
      <t xml:space="preserve">Estatus cancelación </t>
    </r>
  </si>
  <si>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</si>
  <si>
    <t>1.- Selecciona un registro y dar clic en la imagen 
Descargar</t>
  </si>
  <si>
    <t>Recuperar Representación Impresa</t>
  </si>
  <si>
    <t>Folio Fiscal de tipo:
.Nomina
.Ingreso
.Egreso 
.Pago 
.Traslado 
CFDI versión 3.3 o 4.0</t>
  </si>
  <si>
    <t xml:space="preserve">Dar clic en la imagen 
Recuperar Representación Impresa. </t>
  </si>
  <si>
    <t>Con esta opción el usuario podrá descargar de manera individual la representación impresa del CFDI.
Esta descarga se realiza uno a uno, contemplando el límite diario establecido para los archivos PDF en su RI. (RN14, RN15).</t>
  </si>
  <si>
    <t>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t>
  </si>
  <si>
    <t xml:space="preserve">1.-Seleccionar un registro y dar clic en la imagen 
Recuperar Representación Impresa. </t>
  </si>
  <si>
    <t>Recuperar Representación Impresa Complemento Carta Porte</t>
  </si>
  <si>
    <r>
      <rPr>
        <sz val="10"/>
        <rFont val="Noto Sans"/>
        <family val="2"/>
        <charset val="1"/>
      </rPr>
      <t xml:space="preserve">
Folio Fiscal de tipo:
.Nomina
.Ingreso
.Egreso 
.Pago 
.Traslado 
CFDI versión 3.3 o 4.0
</t>
    </r>
    <r>
      <rPr>
        <b/>
        <sz val="10"/>
        <rFont val="Noto Sans"/>
        <family val="2"/>
        <charset val="1"/>
      </rPr>
      <t>Para este caso de prueba se requiere que se cuente con un Comprobante Carta  Porte</t>
    </r>
  </si>
  <si>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t>
    </r>
    <r>
      <rPr>
        <sz val="10"/>
        <color rgb="FF000000"/>
        <rFont val="Noto Sans"/>
        <family val="2"/>
        <charset val="1"/>
      </rPr>
      <t xml:space="preserve">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</si>
  <si>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t>Dar clic en la imagen 
Recuperar Representación Impresa Complemento Carta Porte</t>
  </si>
  <si>
    <t xml:space="preserve">Con esta opción el usuario podrá descargar de manera individual la representación impresa del CFDI del Complemento Carta Porte
</t>
  </si>
  <si>
    <t xml:space="preserve">Esta descarga se realiza uno a uno, </t>
  </si>
  <si>
    <t xml:space="preserve">/Facturas Emitidas/Fechas/Acción/Recuperar Representación Impresa Complemento Carta Porte </t>
  </si>
  <si>
    <r>
      <rPr>
        <sz val="10"/>
        <rFont val="Noto Sans"/>
        <family val="2"/>
        <charset val="1"/>
      </rPr>
      <t xml:space="preserve">PF: Firma Electrónica vigente
</t>
    </r>
    <r>
      <rPr>
        <strike/>
        <sz val="10"/>
        <color rgb="FFFF0000"/>
        <rFont val="Noto Sans"/>
        <family val="2"/>
        <charset val="1"/>
      </rPr>
      <t xml:space="preserve">
</t>
    </r>
    <r>
      <rPr>
        <sz val="10"/>
        <color rgb="FF000000"/>
        <rFont val="Noto Sans"/>
        <family val="2"/>
        <charset val="1"/>
      </rPr>
      <t xml:space="preserve">PM: Firma Electrónica vigente
</t>
    </r>
    <r>
      <rPr>
        <strike/>
        <sz val="10"/>
        <color rgb="FFFF0000"/>
        <rFont val="Noto Sans"/>
        <family val="2"/>
        <charset val="1"/>
      </rPr>
      <t xml:space="preserve">
</t>
    </r>
    <r>
      <rPr>
        <sz val="10"/>
        <rFont val="Noto Sans"/>
        <family val="2"/>
        <charset val="1"/>
      </rPr>
      <t>Se pueden incluir comprobantes de tipo:
.Nómina
.Ingreso
.Egreso
.Pago
.Traslado
 CFDI versión 3.3 o 4.0</t>
    </r>
  </si>
  <si>
    <t>Para este caso de prueba, los resultados deben incluir un comprobante que tenga el complemento Carta Porte</t>
  </si>
  <si>
    <t>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t>
  </si>
  <si>
    <r>
      <rPr>
        <sz val="10"/>
        <rFont val="Noto Sans"/>
        <family val="2"/>
        <charset val="1"/>
      </rPr>
      <t xml:space="preserve">Ingresa los datos:
Obligatorios
•	Fecha Inicial de Emisión (*)
•	Fecha Final de Emisión (*)
Opcionales
•	RFC Receptor.
•	RFC a cuenta terceros 
•	Estado del Comprobante 
•	Tipo de Comprobante(Complemento)
</t>
    </r>
    <r>
      <rPr>
        <sz val="10"/>
        <color rgb="FF70AD47"/>
        <rFont val="Noto Sans"/>
        <family val="2"/>
        <charset val="1"/>
      </rPr>
      <t>• Estatus cancelación</t>
    </r>
  </si>
  <si>
    <r>
      <rPr>
        <sz val="10"/>
        <rFont val="Noto Sans"/>
        <family val="2"/>
        <charset val="1"/>
      </rPr>
      <t xml:space="preserve">1.- Seleccionar un registro y dar clic en la imagen 
Recuperar Representación Impresa Complemento Carta Porte
</t>
    </r>
    <r>
      <rPr>
        <b/>
        <sz val="10"/>
        <rFont val="Noto Sans"/>
        <family val="2"/>
        <charset val="1"/>
      </rPr>
      <t>Para este caso de prueba, los resultados deben incluir un comprobante que tenga el complemento Carta Porte</t>
    </r>
  </si>
  <si>
    <t>Esta descarga se realiza uno a uno</t>
  </si>
  <si>
    <t>Integrar Addenda</t>
  </si>
  <si>
    <r>
      <rPr>
        <sz val="10"/>
        <rFont val="Noto Sans"/>
        <family val="2"/>
        <charset val="1"/>
      </rPr>
      <t xml:space="preserve">Dar clic en la imagen 
</t>
    </r>
    <r>
      <rPr>
        <b/>
        <sz val="10"/>
        <rFont val="Noto Sans"/>
        <family val="2"/>
        <charset val="1"/>
      </rPr>
      <t xml:space="preserve">Integrar Addenda </t>
    </r>
  </si>
  <si>
    <t>El sistema muestra una pantalla modal para anexar una archivo .xml.</t>
  </si>
  <si>
    <t>El sistema permite anexar un archivo XML en una pantalla modal, para adicionar información de proveedores o consumidores, como el número de orden de compra, la entrega de bienes, la fijación de precios etc. La addenda permite agregar información sin necesidad de modificar los comprobantes fiscales. (RN21)</t>
  </si>
  <si>
    <t>En la pantalla modal una vez seleccionado el archivo se da clic en el botón Integrar</t>
  </si>
  <si>
    <t>El sistema integra el archivo .xml</t>
  </si>
  <si>
    <r>
      <rPr>
        <sz val="10"/>
        <rFont val="Noto Sans"/>
        <family val="2"/>
        <charset val="1"/>
      </rPr>
      <t xml:space="preserve">Ingresa los datos:
Obligatorios
•	Fecha Inicial de Emisión (*)
•	Fecha Final de Emisión (*)
Opcionales
•	RFC Receptor.
•	RFC a cuenta terceros 
•	Estado del Comprobante 
•	</t>
    </r>
    <r>
      <rPr>
        <sz val="10"/>
        <color rgb="FF000000"/>
        <rFont val="Noto Sans"/>
        <family val="2"/>
        <charset val="1"/>
      </rPr>
      <t xml:space="preserve">Tipo de Comprobante ( Complemento) 
</t>
    </r>
    <r>
      <rPr>
        <sz val="10"/>
        <rFont val="Noto Sans"/>
        <family val="2"/>
        <charset val="1"/>
      </rPr>
      <t xml:space="preserve">•estatus cancelación </t>
    </r>
  </si>
  <si>
    <r>
      <rPr>
        <sz val="10"/>
        <rFont val="Noto Sans"/>
        <family val="2"/>
        <charset val="1"/>
      </rPr>
      <t xml:space="preserve">1.- Seleccionar un registro y dar clic en la imagen 
</t>
    </r>
    <r>
      <rPr>
        <b/>
        <sz val="10"/>
        <rFont val="Noto Sans"/>
        <family val="2"/>
        <charset val="1"/>
      </rPr>
      <t xml:space="preserve">Integrar Addenda </t>
    </r>
  </si>
  <si>
    <t>Botón Descargar Seleccionados</t>
  </si>
  <si>
    <r>
      <rPr>
        <sz val="10"/>
        <color rgb="FF70AD47"/>
        <rFont val="Noto Sans"/>
        <family val="2"/>
        <charset val="1"/>
      </rPr>
      <t xml:space="preserve"> </t>
    </r>
    <r>
      <rPr>
        <sz val="10"/>
        <rFont val="Noto Sans"/>
        <family val="2"/>
        <charset val="1"/>
      </rPr>
      <t>Folio Fiscal de tipo:
.Nomina
.Ingreso
.Egreso 
.Pago 
.Traslado 
CFDI versión 3.3 o 4.0</t>
    </r>
  </si>
  <si>
    <t>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"Estado de comprobante" es "cancelado". Los valores que muestra el estatus de cancelación son: cancelado con aceptación, cancelado sin aceptación, plazo vencido. 
•	Botón “Buscar CFDI” Al dar clic en el botón el aplicativo muestra los resultados conforme a los criterios de búsqueda seleccionados previamente (RN06, RN07, RN08, RN09, RN10, RN11).</t>
  </si>
  <si>
    <t>Aplica (RN08 – Inciso b, d)</t>
  </si>
  <si>
    <t>Ingresa los datos:
Obligatorios
•	Fecha Inicial de Emisión (*)
•	Fecha Final de Emisión (*)
Opcionales
•	RFC Receptor.
•	RFC a cuenta terceros 
•	Estado del Comprobante 
•	Tipo de Comprobante (Complemento) 
•Estatus cancelación</t>
  </si>
  <si>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t>
    </r>
    <r>
      <rPr>
        <sz val="10"/>
        <color rgb="FF000000"/>
        <rFont val="Noto Sans"/>
        <family val="2"/>
        <charset val="1"/>
      </rPr>
      <t xml:space="preserve">
2.	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</si>
  <si>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Marcar los registros que se quieren obtener  y dar clic en el botón</t>
    </r>
    <r>
      <rPr>
        <b/>
        <sz val="10"/>
        <rFont val="Noto Sans"/>
        <family val="2"/>
        <charset val="1"/>
      </rPr>
      <t xml:space="preserve"> "Descargar Seleccionados"</t>
    </r>
  </si>
  <si>
    <t>Al momento de seleccionar está opción el sistema:
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(RN16). 
2.-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t>
  </si>
  <si>
    <t>Si no se realiza una selección y se da clic en el botón “Descargar seleccionados”, el sistema presenta en pantalla un mensaje de alerta “¿Atención! Favor de seleccionar registro(s)”.
Con esta opción el Contribuyente podrá descargar de manera masiva los XML de los CFDI que previamente seleccione del resultado de la búsqueda. 
El archivo ZIP correspondiente a la descarga masiva, debe contener los archivos XML seleccionados (RN17, RN18).</t>
  </si>
  <si>
    <t>Para validar si ya se procesó la petición y descargar los archivos, dar clic en el botón “Recuperar Descarga CFDI”. Y seleccionar el icono de descarga del registro que se desea descargar.</t>
  </si>
  <si>
    <t>Se descarga un archivo zip donde vienen los archivos en formato XML que se hayan seleccionado</t>
  </si>
  <si>
    <t>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t>
  </si>
  <si>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t>
    </r>
    <r>
      <rPr>
        <sz val="10"/>
        <color rgb="FF000000"/>
        <rFont val="Noto Sans"/>
        <family val="2"/>
        <charset val="1"/>
      </rPr>
      <t xml:space="preserve">
2.	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</si>
  <si>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Selecciona el registro  y da clic en el botón</t>
    </r>
    <r>
      <rPr>
        <b/>
        <sz val="10"/>
        <rFont val="Noto Sans"/>
        <family val="2"/>
        <charset val="1"/>
      </rPr>
      <t xml:space="preserve"> "Descargar Seleccionados"</t>
    </r>
  </si>
  <si>
    <t>Botón Seleccionados RI</t>
  </si>
  <si>
    <t>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t>
  </si>
  <si>
    <r>
      <rPr>
        <sz val="10"/>
        <rFont val="Noto Sans"/>
        <family val="2"/>
        <charset val="1"/>
      </rPr>
      <t xml:space="preserve">Aplica (RN08 </t>
    </r>
    <r>
      <rPr>
        <sz val="10"/>
        <color rgb="FF70AD47"/>
        <rFont val="Noto Sans"/>
        <family val="2"/>
        <charset val="1"/>
      </rPr>
      <t>b y d</t>
    </r>
    <r>
      <rPr>
        <sz val="10"/>
        <rFont val="Noto Sans"/>
        <family val="2"/>
        <charset val="1"/>
      </rPr>
      <t>)</t>
    </r>
  </si>
  <si>
    <r>
      <rPr>
        <sz val="10"/>
        <rFont val="Noto Sans"/>
        <family val="2"/>
        <charset val="1"/>
      </rPr>
      <t>Ingresa los datos:
Obligatorios
•	Fecha Inicial de Emisión (*)
•	Fecha Final de Emisión (*)
Opcionales
•	RFC Receptor.
•	RFC a cuenta terceros 
•	Estado del Comprobante 
•	Tipo de Comprobante (Complemento) 
•</t>
    </r>
    <r>
      <rPr>
        <sz val="10"/>
        <color rgb="FF70AD47"/>
        <rFont val="Noto Sans"/>
        <family val="2"/>
        <charset val="1"/>
      </rPr>
      <t xml:space="preserve">Estatus cancelación </t>
    </r>
  </si>
  <si>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t>
    </r>
    <r>
      <rPr>
        <sz val="10"/>
        <color rgb="FF000000"/>
        <rFont val="Noto Sans"/>
        <family val="2"/>
        <charset val="1"/>
      </rPr>
      <t xml:space="preserve">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</si>
  <si>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Marcar los registros que se quieren obtener  y dar clic en el botón</t>
    </r>
    <r>
      <rPr>
        <b/>
        <sz val="10"/>
        <rFont val="Noto Sans"/>
        <family val="2"/>
        <charset val="1"/>
      </rPr>
      <t xml:space="preserve"> "Descargar Seleccionados RI"</t>
    </r>
  </si>
  <si>
    <t>Al momento de seleccionar está opción el aplicativo debe generar una petición al servicio de descarga masiva, con un identificador denominado “Folio de descarga”, el cual podrá ser consultado desde la funcionalidad del botón “Recuperar descargas de CFDI” (RN14, RN16). .
El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t>
  </si>
  <si>
    <r>
      <rPr>
        <strike/>
        <sz val="10"/>
        <color rgb="FFFF0000"/>
        <rFont val="Noto Sans"/>
        <family val="2"/>
        <charset val="1"/>
      </rPr>
      <t xml:space="preserve">
</t>
    </r>
    <r>
      <rPr>
        <sz val="10"/>
        <color rgb="FF000000"/>
        <rFont val="Noto Sans"/>
        <family val="2"/>
        <charset val="1"/>
      </rPr>
      <t>Al momento de realizar la descarga masiva de archivos RI deben ser nombrados con el folio fiscal del CFDI que le corresponda.</t>
    </r>
  </si>
  <si>
    <t>Se descarga un archivo zip donde vienen los archivos en formato PDF que se hayan seleccionado</t>
  </si>
  <si>
    <t>Botón Descargar Metadata</t>
  </si>
  <si>
    <t>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t>
  </si>
  <si>
    <t xml:space="preserve">Ingresa los datos:
Obligatorios
•	Fecha Inicial de Emisión (*)
•	Fecha Final de Emisión (*)
Opcionales
•	RFC Receptor.
•	RFC a cuenta terceros 
•	Estado del Comprobante 
•	Tipo de Comprobante (Complemento) 
•estatus cancelación  </t>
  </si>
  <si>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t>
    </r>
    <r>
      <rPr>
        <sz val="10"/>
        <color rgb="FF000000"/>
        <rFont val="Noto Sans"/>
        <family val="2"/>
        <charset val="1"/>
      </rPr>
      <t xml:space="preserve">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</si>
  <si>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Dar clic en el botón</t>
    </r>
    <r>
      <rPr>
        <b/>
        <sz val="10"/>
        <rFont val="Noto Sans"/>
        <family val="2"/>
        <charset val="1"/>
      </rPr>
      <t xml:space="preserve"> "Descargar Metadata"</t>
    </r>
  </si>
  <si>
    <t>Al seleccionar este botón se debe generar una petición al servicio de descarga masiva de la metada de los CFDI que resultaron de la consulta, a través de un archivo de texto plano comprimido en formato ZIP, este paquete contará con un identificador denominado “Folio de descarga”, el cual podrá ser consultado desde la funcionalidad del botón “Recuperar descargas de CFDI” (RN17, RN18).
El sistema mostrará el “Folio de Descarga” con el siguiente mensaje:
¡Descarga realizada con éxito!
“La descarga de metadatos se encuentra en proceso y podrás obtener el resultado con el folio de descarga: XXXXXXX-XXXX-XXXX-XXXX-XXXXXXXXXXX, en la opción: Recuperar descargas de CFDI.
Importante: el tiempo máximo para atender la solicitud es de 48 horas a partir de este momento.</t>
  </si>
  <si>
    <t>El archivo de texto plano debe de contener los datos de la metadata para los CFDI que corresponden al resultado de la consulta y que se visualizan en pantalla.
Se descarga un archivo txt donde se muestra el detalle de los 
comprobantes separados por el carácter “~”.
Uuid~RfcEmisor~NombreEmisor~RfcReceptor~NombreReceptor~RfcPac~FechaEmision~FechaCertificacionSat~Monto~EfectoComprobante~Estatus~FechaCancelacion</t>
  </si>
  <si>
    <t>Se descarga un archivo zip. (RN17,RN18)
Se descarga un archivo txt donde se muestra el detalle de los comprobantes separados por el carácter “~”.
Uuid~RfcEmisor~NombreEmisor~RfcReceptor~NombreReceptor~RfcPac~FechaEmision~FechaCertificacionSat~Monto~EfectoComprobante~Estatus~FechaCancelacion</t>
  </si>
  <si>
    <t>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t>
  </si>
  <si>
    <t xml:space="preserve">Botón Exportar Resultados a PDF </t>
  </si>
  <si>
    <t>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t>
  </si>
  <si>
    <t xml:space="preserve">Ingresa los datos:
Obligatorios
•	Fecha Inicial de Emisión (*)
•	Fecha Final de Emisión (*)
Opcionales
•	RFC Receptor.
•	RFC a cuenta terceros 
•	Estado del Comprobante 
•	Tipo de Comprobante (Complemento) 
•Estatus cancelación </t>
  </si>
  <si>
    <r>
      <rPr>
        <sz val="10"/>
        <rFont val="Noto Sans"/>
        <family val="2"/>
        <charset val="1"/>
      </rPr>
      <t>Dar clic en el botón</t>
    </r>
    <r>
      <rPr>
        <b/>
        <sz val="10"/>
        <rFont val="Noto Sans"/>
        <family val="2"/>
        <charset val="1"/>
      </rPr>
      <t xml:space="preserve"> "Exportar Resultados a PDF "</t>
    </r>
  </si>
  <si>
    <t>Al seleccionar este botón se debe abrir una ventana emergente que indique que el PDF se encuentra en proceso de descarga. 
El archivo PDF debe contener los CFDI que corresponden al resultado de la consulta y que se visualizan en pantalla
Los datos para visualizar por cada Folio Fiscal serán: 
Datos del CFDI: 
•	Folio Fiscal.
•	RFC Emisor.
•	Nombre o Razón Social.
•	RFC Receptor.
•	Nombre o Razón Social.
•	Total.
•	PAC que certificó.
•	Fecha Emisión.
•	Fecha Certificación.
•	Estado del Comprobante.
•	Efecto del Comprobante.
•	Motivo.
•	Folio de Sustitución.</t>
  </si>
  <si>
    <t>El Reporte de Resultados a PDF
Deberá contar con las siguientes características: 
•	Logos del SAT y Hacienda vigentes, con el nombre de la institución: ‘Servicio de Administración Tributaria’ y el nombre del aplicativo ‘Consulta CFDI’ al centro de la página.
La información que se muestra en el archivo pdf, será toda la relativa a cada CFDI, en caso de que en alguna columna no se tenga información no se mostrará.</t>
  </si>
  <si>
    <r>
      <rPr>
        <sz val="10"/>
        <rFont val="Noto Sans"/>
        <family val="2"/>
        <charset val="1"/>
      </rPr>
      <t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t>
    </r>
    <r>
      <rPr>
        <sz val="10"/>
        <color rgb="FF000000"/>
        <rFont val="Noto Sans"/>
        <family val="2"/>
        <charset val="1"/>
      </rPr>
      <t xml:space="preserve">-Estatus cancelación
</t>
    </r>
    <r>
      <rPr>
        <sz val="10"/>
        <rFont val="Noto Sans"/>
        <family val="2"/>
        <charset val="1"/>
      </rPr>
      <t xml:space="preserve">
*campos obligatorios
Opción: Buscar CFDI (RN08 - Inciso a, d).</t>
    </r>
  </si>
  <si>
    <t>Cancelar seleccionados - Servicio de firmado en el proceso de cancelaciones.</t>
  </si>
  <si>
    <t xml:space="preserve">Ingresa los datos:
Obligatorios
•	Fecha Inicial de Emisión (*)
•	Fecha Final de Emisión (*)
Opcionales
•	RFC Receptor.
•	RFC a cuenta terceros 
•	Estado del Comprobante 
•	Tipo de Comprobante (Complemento) 
</t>
  </si>
  <si>
    <r>
      <rPr>
        <sz val="10"/>
        <rFont val="Noto Sans"/>
        <family val="2"/>
        <charset val="1"/>
      </rPr>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t>
    </r>
    <r>
      <rPr>
        <sz val="10"/>
        <color rgb="FF000000"/>
        <rFont val="Noto Sans"/>
        <family val="2"/>
        <charset val="1"/>
      </rPr>
      <t xml:space="preserve">	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</si>
  <si>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Dar clic en el botón</t>
    </r>
    <r>
      <rPr>
        <b/>
        <sz val="10"/>
        <rFont val="Noto Sans"/>
        <family val="2"/>
        <charset val="1"/>
      </rPr>
      <t xml:space="preserve"> "Cancelar seleccionados "</t>
    </r>
  </si>
  <si>
    <t xml:space="preserve">Al momento de realizar la cancelación de un CFDI, el sistema va a mostrar una pantalla modal donde se mostrará el listado con los motivos de cancelación (RN20).
•	Clave 01 - Comprobante emitido con errores con relación
•	Clave 02 - Comprobante emitido con errores sin relación
•	Clave 03 – No se llevó a cabo la operación
•	Clave 04 – Operación nominativa relacionada en la factura global 
</t>
  </si>
  <si>
    <r>
      <rPr>
        <sz val="10"/>
        <rFont val="Noto Sans"/>
        <family val="2"/>
        <charset val="1"/>
      </rPr>
      <t xml:space="preserve">Dependiendo del motivo de cancelación seleccionado, el sistema va a aplicar un flujo diferente para cada uno de ellos. Para mayor referencia consultar el archivo anexo: </t>
    </r>
    <r>
      <rPr>
        <sz val="10"/>
        <color rgb="FF000000"/>
        <rFont val="Noto Sans"/>
        <family val="2"/>
        <charset val="1"/>
      </rPr>
      <t>NAD_PortalPrivado_Cancelaciones VF.docx”</t>
    </r>
  </si>
  <si>
    <t>En la pantalla modal se selecciona la opción:
02 Comprobantes emitidos con errores sin relación y se da clic en el botón “Cancelar Seleccionados”.</t>
  </si>
  <si>
    <t xml:space="preserve">El sistema para realizar la cancelación con el motivo “02”, solicita las credenciales de la firma electrónica o Certificado de Sello Digital (CSD). </t>
  </si>
  <si>
    <t xml:space="preserve">Para confirmar la cancelación se ingresa:
Contraseña de la clave privada
Clave privada .key
Certificado .cer
y se da clic en el botón Continuar
</t>
  </si>
  <si>
    <r>
      <rPr>
        <sz val="10"/>
        <rFont val="Noto Sans"/>
        <family val="2"/>
        <charset val="1"/>
      </rPr>
      <t xml:space="preserve"> Una vez ingresadas  las credenciales de la firma electrónica o Certificado de Sello Digital (CSD). El sistema solicita una confirmación "Seguro desea cancelar la selección"
</t>
    </r>
    <r>
      <rPr>
        <b/>
        <sz val="10"/>
        <rFont val="Noto Sans"/>
        <family val="2"/>
        <charset val="1"/>
      </rPr>
      <t xml:space="preserve">Nota: Es sistema homologa dentro del proceso de cancelación, la forma en que se obtiene el RFC desde el certificado, con el objetivo que el valor que se extrae sea el correcto y permita la cancelación y que no difiera en su implementación del lado del cliente y del servidor. </t>
    </r>
  </si>
  <si>
    <r>
      <rPr>
        <sz val="10"/>
        <rFont val="Noto Sans"/>
        <family val="2"/>
        <charset val="1"/>
      </rPr>
      <t xml:space="preserve">Aplica las Reglas de Negocio: </t>
    </r>
    <r>
      <rPr>
        <b/>
        <sz val="10"/>
        <rFont val="Noto Sans"/>
        <family val="2"/>
        <charset val="1"/>
      </rPr>
      <t xml:space="preserve">RN22 Servicio de firmado en el proceso de cancelaciones.
</t>
    </r>
  </si>
  <si>
    <t xml:space="preserve">El usuario para aceptar la cancelación del registro da clic en el botón Aceptar
</t>
  </si>
  <si>
    <t>El sistema al detectar la confirmación exitosa muestra el mensaje: “Cancelando comprobante”.
Una vez que finaliza el proceso de cancelación el sistema redirecciona a una pantalla donde se muestra el mensaje "Solicitud recibida" y se descarga el acuse de cancelación acusecancelacion.pdf</t>
  </si>
  <si>
    <t xml:space="preserve">Dependiendo del explorador con que ingreso, puede Abrir o Guardar el Acuse de Cancelación
</t>
  </si>
  <si>
    <t>Ver CP:
CP09 /Facturas Emitidas/Acciones/ Recuperar Acuse Estatus Final</t>
  </si>
  <si>
    <t>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t>
  </si>
  <si>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t>
    </r>
    <r>
      <rPr>
        <sz val="10"/>
        <color rgb="FF000000"/>
        <rFont val="Noto Sans"/>
        <family val="2"/>
        <charset val="1"/>
      </rPr>
      <t xml:space="preserve">2.	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</si>
  <si>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r>
      <rPr>
        <sz val="10"/>
        <rFont val="Noto Sans"/>
        <family val="2"/>
        <charset val="1"/>
      </rPr>
      <t>Seleccionar el registro y dar clic en el botón</t>
    </r>
    <r>
      <rPr>
        <b/>
        <sz val="10"/>
        <rFont val="Noto Sans"/>
        <family val="2"/>
        <charset val="1"/>
      </rPr>
      <t xml:space="preserve"> "Cancelar seleccionados "</t>
    </r>
  </si>
  <si>
    <t>Ver CP:
CP09 /Facturas Emitidas/FolioFiscal/Acciones/ Recuperar Acuse Estatus Final</t>
  </si>
  <si>
    <t>Facturas Recibidas - Por Folio Fiscal</t>
  </si>
  <si>
    <r>
      <rPr>
        <sz val="10"/>
        <color rgb="FF000000"/>
        <rFont val="Noto Sans"/>
        <family val="2"/>
        <charset val="1"/>
      </rPr>
      <t xml:space="preserve">PF: Firma Electrónica vigente
PM: Firma Electrónica vigente
</t>
    </r>
    <r>
      <rPr>
        <strike/>
        <sz val="10"/>
        <color rgb="FF000000"/>
        <rFont val="Noto Sans"/>
        <family val="2"/>
        <charset val="1"/>
      </rPr>
      <t xml:space="preserve">
</t>
    </r>
    <r>
      <rPr>
        <sz val="10"/>
        <color rgb="FF000000"/>
        <rFont val="Noto Sans"/>
        <family val="2"/>
        <charset val="1"/>
      </rPr>
      <t xml:space="preserve">
El Usuario ingresa el folio fiscal de tipo:
.Nómina
.Ingreso
.Egreso
.Pago
.Traslado
CFDI versión 3.3 o 4.0</t>
    </r>
  </si>
  <si>
    <t>Da clic en "Consultar Facturas Recibidas"</t>
  </si>
  <si>
    <r>
      <rPr>
        <sz val="10"/>
        <rFont val="Noto Sans"/>
        <family val="2"/>
        <charset val="1"/>
      </rPr>
      <t xml:space="preserve">El sistema muestra las opciones:
- Folio Fiscal * (está opción esta habilitada por default)
Los siguientes campos se muestran deshabilitados:
- Año*
- Mes*
- Día
-Hora Inicial
-Hora Final
-RFC Emisor (RN04)
- RFC a cuenta terceros
- Estado del Comprobante
- Tipo de Comprobante (Complemento) (RN03)
</t>
    </r>
    <r>
      <rPr>
        <sz val="10"/>
        <color rgb="FF000000"/>
        <rFont val="Noto Sans"/>
        <family val="2"/>
        <charset val="1"/>
      </rPr>
      <t xml:space="preserve">-Estatus cancelación
</t>
    </r>
    <r>
      <rPr>
        <sz val="10"/>
        <rFont val="Noto Sans"/>
        <family val="2"/>
        <charset val="1"/>
      </rPr>
      <t>*campos obligatorios
Opción: Buscar CFDI</t>
    </r>
  </si>
  <si>
    <t>Aplica las Reglas de Negocio: (RN08 – Inciso c,d).</t>
  </si>
  <si>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trike/>
        <sz val="10"/>
        <color rgb="FFFF0000"/>
        <rFont val="Noto Sans"/>
        <family val="2"/>
        <charset val="1"/>
      </rPr>
      <t xml:space="preserve">y resultados de los registros
</t>
    </r>
    <r>
      <rPr>
        <sz val="10"/>
        <rFont val="Noto Sans"/>
        <family val="2"/>
        <charset val="1"/>
      </rPr>
      <t xml:space="preserve">Algunas columnas pueden no contener información, lo cual va a depender de la situación en la que se encuentre el CFDI.
</t>
    </r>
    <r>
      <rPr>
        <sz val="10"/>
        <color rgb="FF70AD47"/>
        <rFont val="Noto Sans"/>
        <family val="2"/>
        <charset val="1"/>
      </rPr>
      <t xml:space="preserve">• Acciones 
</t>
    </r>
    <r>
      <rPr>
        <sz val="10"/>
        <rFont val="Noto Sans"/>
        <family val="2"/>
        <charset val="1"/>
      </rPr>
      <t xml:space="preserve">•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</si>
  <si>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t>Facturas Recibidas - Periodo Fechas</t>
  </si>
  <si>
    <t>PF: Firma Electrónica vigente
PM: Firma Electrónica vigente
Se pueden incluir comprobantes de tipo:
.Nómina
.Ingreso
.Egreso
.Pago
.Traslado
 CFDI versión 3.3 o 4.0</t>
  </si>
  <si>
    <r>
      <rPr>
        <sz val="10"/>
        <rFont val="Noto Sans"/>
        <family val="2"/>
        <charset val="1"/>
      </rPr>
      <t xml:space="preserve">El sistema muestra las opciones:
- Folio Fiscal * (está opción esta habilitada por default)
Los siguientes campos se muestran deshabilitados:
•	Año (*)
•	Mes (*)
•	Día.
•	Hora Inicial.
•	Hora Final.
•	RFC Emisor 
•	RFC a cuenta terceros 
•	Estado del Comprobante
•	Tipo de Comprobante </t>
    </r>
    <r>
      <rPr>
        <sz val="10"/>
        <color rgb="FF70AD47"/>
        <rFont val="Noto Sans"/>
        <family val="2"/>
        <charset val="1"/>
      </rPr>
      <t xml:space="preserve">(complemento)
</t>
    </r>
    <r>
      <rPr>
        <sz val="10"/>
        <rFont val="Noto Sans"/>
        <family val="2"/>
        <charset val="1"/>
      </rPr>
      <t>•Estatus cancelación</t>
    </r>
  </si>
  <si>
    <r>
      <rPr>
        <sz val="10"/>
        <rFont val="Noto Sans"/>
        <family val="2"/>
        <charset val="1"/>
      </rPr>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
    </r>
    <r>
      <rPr>
        <sz val="10"/>
        <color rgb="FF000000"/>
        <rFont val="Noto Sans"/>
        <family val="2"/>
        <charset val="1"/>
      </rPr>
      <t xml:space="preserve">Tipo de Comprobante (complemento) </t>
    </r>
    <r>
      <rPr>
        <sz val="10"/>
        <rFont val="Noto Sans"/>
        <family val="2"/>
        <charset val="1"/>
      </rPr>
      <t xml:space="preserve"> (RN03).
•	Estatus Cancelación </t>
    </r>
  </si>
  <si>
    <t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 </t>
  </si>
  <si>
    <t>Da clic en el botón Buscar CFDI</t>
  </si>
  <si>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</si>
  <si>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r>
      <rPr>
        <sz val="10"/>
        <rFont val="Noto Sans"/>
        <family val="2"/>
        <charset val="1"/>
      </rPr>
      <t>Si la búsqueda es correcta va a mostrar la sección de “Sección de Resultados”
En dado caso que el sistema detecta una inconsistencia cuando el contribuyente presiona el botón “Buscar CFDI” mostrará los siguientes mensajes: 
•	En caso de capturar el RFC del receptor</t>
    </r>
    <r>
      <rPr>
        <sz val="10"/>
        <color rgb="FFFF0000"/>
        <rFont val="Noto Sans"/>
        <family val="2"/>
        <charset val="1"/>
      </rPr>
      <t xml:space="preserve"> </t>
    </r>
    <r>
      <rPr>
        <sz val="10"/>
        <rFont val="Noto Sans"/>
        <family val="2"/>
        <charset val="1"/>
      </rPr>
      <t>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t>
    </r>
  </si>
  <si>
    <t>Recuperar acuse estatus final de Cancelación</t>
  </si>
  <si>
    <t>Folio Fiscal de tipo:
.Nomina
.Ingreso
.Egreso 
.Pago 
.Traslado 
CFDI versión 3.3 o 4.0
Para este caso de prueba debe estar en  estatus "Cancelado"</t>
  </si>
  <si>
    <t>El sistema muestra las siguientes opciones:
-Consultar Facturas Recibidas
-Consulta Facturas Recibidas
-Recuperar Descargas de CFDI
-Consultar Solicitudes de Cancelación</t>
  </si>
  <si>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</si>
  <si>
    <t>Dar clic en la imagen en 
Recuperar acuse estatus final.   
(Visible solo cuando contenga acuse)</t>
  </si>
  <si>
    <t xml:space="preserve">El sistema comienza la descarga del acuse de cancelación
</t>
  </si>
  <si>
    <t>El acuse de cancelación se conforma:
•	Folio Fiscal
•	RFC Receptor
•	RFC Emisor
•	Estado CFDI
•	Estado de Cancelación
•	Motivo de Cancelación
•	Número de serie de la e.firma o CSD 
•	Fecha de solicitud de la cancelación
•	Mensaje de Error
•	Fecha
•	Sello digital SAT</t>
  </si>
  <si>
    <r>
      <rPr>
        <sz val="10"/>
        <rFont val="Noto Sans"/>
        <family val="2"/>
        <charset val="1"/>
      </rPr>
      <t>Folio Fiscal de tipo:
.Nomina
.Ingreso
.Egreso 
.Pago 
.Traslado</t>
    </r>
    <r>
      <rPr>
        <sz val="10"/>
        <color rgb="FFFF0000"/>
        <rFont val="Noto Sans"/>
        <family val="2"/>
        <charset val="1"/>
      </rPr>
      <t xml:space="preserve"> 
</t>
    </r>
    <r>
      <rPr>
        <sz val="10"/>
        <rFont val="Noto Sans"/>
        <family val="2"/>
        <charset val="1"/>
      </rPr>
      <t xml:space="preserve">CFDI versión 3.3 o 4.0
</t>
    </r>
    <r>
      <rPr>
        <b/>
        <sz val="10"/>
        <rFont val="Noto Sans"/>
        <family val="2"/>
        <charset val="1"/>
      </rPr>
      <t>Para este caso de prueba, los resultados deben incluir un comprobante que tenga un acuse "Cancelado".</t>
    </r>
  </si>
  <si>
    <t>El sistema muestra las opciones:
- Folio Fiscal * (está opción esta habilitada por default)
Los siguientes campos se muestran deshabilitados:
	Año (*)
•	Mes (*)
•	Día.
•	Hora Inicial.
•	Hora Final.
•	RFC Emisor 
•	RFC a cuenta terceros 
•	Estado del Comprobante
•	Tipo de Comprobante 
•Estatus cancelación</t>
  </si>
  <si>
    <r>
      <rPr>
        <sz val="10"/>
        <rFont val="Noto Sans"/>
        <family val="2"/>
        <charset val="1"/>
      </rPr>
      <t>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t>
    </r>
    <r>
      <rPr>
        <sz val="10"/>
        <color rgb="FF000000"/>
        <rFont val="Noto Sans"/>
        <family val="2"/>
        <charset val="1"/>
      </rPr>
      <t>e (complemento)</t>
    </r>
    <r>
      <rPr>
        <sz val="10"/>
        <rFont val="Noto Sans"/>
        <family val="2"/>
        <charset val="1"/>
      </rPr>
      <t xml:space="preserve">   (RN03).
•	Estatus Cancelación </t>
    </r>
  </si>
  <si>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y resultados de los registros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</si>
  <si>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t>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t>
  </si>
  <si>
    <r>
      <rPr>
        <sz val="10"/>
        <rFont val="Noto Sans"/>
        <family val="2"/>
        <charset val="1"/>
      </rPr>
      <t xml:space="preserve">Dar clic en la imagen en 
Recuperar acuse estatus final.   
(Visible solo cuando contenga acuse)
</t>
    </r>
    <r>
      <rPr>
        <b/>
        <sz val="10"/>
        <rFont val="Noto Sans"/>
        <family val="2"/>
        <charset val="1"/>
      </rPr>
      <t>Para este caso de prueba, los resultados deben incluir un comprobante que tenga un acuse.</t>
    </r>
  </si>
  <si>
    <t xml:space="preserve">Recuperar acuse de solicitud de cancelación  </t>
  </si>
  <si>
    <t>Folio Fiscal de tipo:
.Nomina
.Ingreso
.Egreso 
.Pago 
.Traslado 
CFDI versión 3.3 o 4.0
Para este caso de prueba debe solicitar la cancelación del comprobante.</t>
  </si>
  <si>
    <r>
      <rPr>
        <sz val="10"/>
        <rFont val="Noto Sans"/>
        <family val="2"/>
        <charset val="1"/>
      </rPr>
      <t xml:space="preserve">El sistema muestra las siguientes opciones:
</t>
    </r>
    <r>
      <rPr>
        <strike/>
        <sz val="10"/>
        <color rgb="FFFF0000"/>
        <rFont val="Noto Sans"/>
        <family val="2"/>
        <charset val="1"/>
      </rPr>
      <t>-</t>
    </r>
    <r>
      <rPr>
        <sz val="10"/>
        <color rgb="FF000000"/>
        <rFont val="Noto Sans"/>
        <family val="2"/>
        <charset val="1"/>
      </rPr>
      <t xml:space="preserve">Consultar Facturas Recibidas
</t>
    </r>
    <r>
      <rPr>
        <sz val="10"/>
        <rFont val="Noto Sans"/>
        <family val="2"/>
        <charset val="1"/>
      </rPr>
      <t>-Consulta Facturas Recibidas
-Recuperar Descargas de CFDI
-Consultar Solicitudes de Cancelación</t>
    </r>
  </si>
  <si>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y resultados de los registros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</si>
  <si>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t>Dar clic en la imagen en 
Recuperar acuse de solicitud de cancelación.
(Visible solo cuando contenga acuse de solicitud)</t>
  </si>
  <si>
    <t xml:space="preserve">El sistema comienza la descarga del acuse de solicitud de cancelación
</t>
  </si>
  <si>
    <t>El acuse de solicitud de cancelación se conforma:
•	Fecha y hora de solicitud
•	RFC Emisor
•	Folio Fiscal
•	Estatus de Proceso de Cancelación
•	Motivo de Cancelación
•	CFDI Reemplaza
•	Número de serie de la e.firma o CSD 
•	Sello digital SAT</t>
  </si>
  <si>
    <r>
      <rPr>
        <sz val="10"/>
        <rFont val="Noto Sans"/>
        <family val="2"/>
        <charset val="1"/>
      </rPr>
      <t xml:space="preserve">Folio Fiscal de tipo:
.Nomina
.Ingreso
.Egreso 
.Pago 
.Traslado 
CFDI versión 3.3 o 4.0
</t>
    </r>
    <r>
      <rPr>
        <b/>
        <sz val="10"/>
        <rFont val="Noto Sans"/>
        <family val="2"/>
        <charset val="1"/>
      </rPr>
      <t>Para este caso de prueba, los resultados deben incluir un comprobante que tenga la solicitud de cancelación de un comprobante.</t>
    </r>
  </si>
  <si>
    <t>El sistema muestra las opciones:
- Folio Fiscal * (está opción esta habilitada por default)
Los siguientes campos se muestran deshabilitados:
	Año (*)
•	Mes (*)
•	Día.
•	Hora Inicial.
•	Hora Final.
•	RFC Emisor 
•	RFC a cuenta terceros 
•	Estado del Comprobante
•	Tipo de Comprobante
•Estatus cancelación</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</si>
  <si>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(RN03).
•	Estatus Cancelación </t>
  </si>
  <si>
    <t>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t>
  </si>
  <si>
    <r>
      <rPr>
        <sz val="10"/>
        <rFont val="Noto Sans"/>
        <family val="2"/>
        <charset val="1"/>
      </rPr>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t>
    </r>
    <r>
      <rPr>
        <sz val="10"/>
        <color rgb="FF000000"/>
        <rFont val="Noto Sans"/>
        <family val="2"/>
        <charset val="1"/>
      </rPr>
      <t xml:space="preserve">	Columnas y resultados de los registros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</si>
  <si>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r>
      <rPr>
        <sz val="10"/>
        <rFont val="Noto Sans"/>
        <family val="2"/>
        <charset val="1"/>
      </rPr>
      <t xml:space="preserve">Dar clic en la imagen en 
Recuperar acuse de solicitud de cancelación.
(Visible solo cuando contenga acuse de solicitud)
</t>
    </r>
    <r>
      <rPr>
        <b/>
        <sz val="10"/>
        <rFont val="Noto Sans"/>
        <family val="2"/>
        <charset val="1"/>
      </rPr>
      <t xml:space="preserve">
Para este caso de prueba, los resultados deben incluir un comprobante que tenga la solicitud de cancelación de un comprobante.</t>
    </r>
  </si>
  <si>
    <r>
      <rPr>
        <sz val="10"/>
        <color rgb="FF000000"/>
        <rFont val="Noto Sans"/>
        <family val="2"/>
        <charset val="1"/>
      </rPr>
      <t xml:space="preserve">PF: Firma Electrónica vigente
</t>
    </r>
    <r>
      <rPr>
        <strike/>
        <sz val="10"/>
        <color rgb="FF000000"/>
        <rFont val="Noto Sans"/>
        <family val="2"/>
        <charset val="1"/>
      </rPr>
      <t xml:space="preserve">
</t>
    </r>
    <r>
      <rPr>
        <sz val="10"/>
        <color rgb="FF000000"/>
        <rFont val="Noto Sans"/>
        <family val="2"/>
        <charset val="1"/>
      </rPr>
      <t>PM: Firma Electrónica vigente
Folio Fiscal de tipo:
.Nomina
.Ingreso
.Egreso 
.Pago 
.Traslado 
CFDI versión 3.3 o 4.0</t>
    </r>
  </si>
  <si>
    <r>
      <rPr>
        <sz val="10"/>
        <rFont val="Noto Sans"/>
        <family val="2"/>
        <charset val="1"/>
      </rPr>
      <t xml:space="preserve">El sistema muestra las siguientes opciones:
</t>
    </r>
    <r>
      <rPr>
        <sz val="10"/>
        <color rgb="FF000000"/>
        <rFont val="Noto Sans"/>
        <family val="2"/>
        <charset val="1"/>
      </rPr>
      <t xml:space="preserve">-Consultar Facturas Emitidas 
</t>
    </r>
    <r>
      <rPr>
        <sz val="10"/>
        <rFont val="Noto Sans"/>
        <family val="2"/>
        <charset val="1"/>
      </rPr>
      <t>-Consulta Facturas Recibidas
-Recuperar Descargas de CFDI
-Consultar Solicitudes de Cancelación</t>
    </r>
  </si>
  <si>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</si>
  <si>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r>
      <rPr>
        <sz val="10"/>
        <rFont val="Noto Sans"/>
        <family val="2"/>
        <charset val="1"/>
      </rPr>
      <t xml:space="preserve">Dar clic en la imagen 
</t>
    </r>
    <r>
      <rPr>
        <b/>
        <sz val="10"/>
        <rFont val="Noto Sans"/>
        <family val="2"/>
        <charset val="1"/>
      </rPr>
      <t xml:space="preserve">Detalle CFDI (Ver detalle) </t>
    </r>
  </si>
  <si>
    <t>Con esta opción en la barra de acciones se podrá descargar el detalle del CFDI en formato PDF. 
El PDF contendrá la siguiente información:
•	Folio Fiscal.
•	Fecha y hora de Expedición.
•	Fecha y hora de Certificación.
•	Nombre o Razón Social del Receptor.
•	RFC del Receptor.
•	Estado del Comprobante.
•	Efecto del Comprobante.
•	Moneda.
•	Monto Total.
•	Total de impuesto trasladado
•Total de impuesto retenido</t>
  </si>
  <si>
    <r>
      <rPr>
        <sz val="10"/>
        <rFont val="Noto Sans"/>
        <family val="2"/>
        <charset val="1"/>
      </rPr>
      <t xml:space="preserve">PF: Firma Electrónica vigente
</t>
    </r>
    <r>
      <rPr>
        <strike/>
        <sz val="10"/>
        <color rgb="FFFF0000"/>
        <rFont val="Noto Sans"/>
        <family val="2"/>
        <charset val="1"/>
      </rPr>
      <t xml:space="preserve">
</t>
    </r>
    <r>
      <rPr>
        <sz val="10"/>
        <color rgb="FF000000"/>
        <rFont val="Noto Sans"/>
        <family val="2"/>
        <charset val="1"/>
      </rPr>
      <t xml:space="preserve">PM: Firma Electrónica vigente
</t>
    </r>
    <r>
      <rPr>
        <sz val="10"/>
        <rFont val="Noto Sans"/>
        <family val="2"/>
        <charset val="1"/>
      </rPr>
      <t xml:space="preserve">
Folio Fiscal de tipo:
.Nomina
.Ingreso
.Egreso 
.Pago 
.Traslado 
CFDI versión 3.3 o 4.0</t>
    </r>
  </si>
  <si>
    <r>
      <rPr>
        <sz val="10"/>
        <rFont val="Noto Sans"/>
        <family val="2"/>
        <charset val="1"/>
      </rPr>
      <t>El sistema muestra las opciones:
- Folio Fiscal * (está opción esta habilitada por default)
Los siguientes campos se muestran deshabilitados:
	Año (*)
•	Mes (*)
•	Día.
•	Hora Inicial.
•	Hora Final.
•	RFC Emisor 
•	RFC a cuenta terceros 
•	Estado del Comprobante
•	Tipo de Co</t>
    </r>
    <r>
      <rPr>
        <sz val="10"/>
        <color rgb="FF000000"/>
        <rFont val="Noto Sans"/>
        <family val="2"/>
        <charset val="1"/>
      </rPr>
      <t xml:space="preserve">mprobante (complemento)
</t>
    </r>
    <r>
      <rPr>
        <sz val="10"/>
        <rFont val="Noto Sans"/>
        <family val="2"/>
        <charset val="1"/>
      </rPr>
      <t>•Estatus  cancelación</t>
    </r>
  </si>
  <si>
    <r>
      <rPr>
        <sz val="10"/>
        <rFont val="Noto Sans"/>
        <family val="2"/>
        <charset val="1"/>
      </rPr>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t>
    </r>
    <r>
      <rPr>
        <sz val="10"/>
        <color rgb="FF000000"/>
        <rFont val="Noto Sans"/>
        <family val="2"/>
        <charset val="1"/>
      </rPr>
      <t>Comprobante(complemento)</t>
    </r>
    <r>
      <rPr>
        <sz val="10"/>
        <rFont val="Noto Sans"/>
        <family val="2"/>
        <charset val="1"/>
      </rPr>
      <t xml:space="preserve">   (RN03).
•	Estatus Cancelación </t>
    </r>
  </si>
  <si>
    <r>
      <rPr>
        <sz val="10"/>
        <rFont val="Noto Sans"/>
        <family val="2"/>
        <charset val="1"/>
      </rPr>
      <t xml:space="preserve">Se selecciona un comprobante y se da clic en la imagen </t>
    </r>
    <r>
      <rPr>
        <b/>
        <sz val="10"/>
        <rFont val="Noto Sans"/>
        <family val="2"/>
        <charset val="1"/>
      </rPr>
      <t xml:space="preserve">Detalle CFDI (Ver detalle) </t>
    </r>
  </si>
  <si>
    <r>
      <rPr>
        <sz val="10"/>
        <rFont val="Noto Sans"/>
        <family val="2"/>
        <charset val="1"/>
      </rPr>
      <t xml:space="preserve">PF: Firma Electrónica vigente
</t>
    </r>
    <r>
      <rPr>
        <sz val="10"/>
        <color rgb="FFFF0000"/>
        <rFont val="Noto Sans"/>
        <family val="2"/>
        <charset val="1"/>
      </rPr>
      <t xml:space="preserve">
</t>
    </r>
    <r>
      <rPr>
        <sz val="10"/>
        <color rgb="FF000000"/>
        <rFont val="Noto Sans"/>
        <family val="2"/>
        <charset val="1"/>
      </rPr>
      <t xml:space="preserve">PM:  Firma Electrónica vigente
</t>
    </r>
    <r>
      <rPr>
        <strike/>
        <sz val="10"/>
        <color rgb="FFFF0000"/>
        <rFont val="Noto Sans"/>
        <family val="2"/>
        <charset val="1"/>
      </rPr>
      <t xml:space="preserve">
</t>
    </r>
    <r>
      <rPr>
        <sz val="10"/>
        <rFont val="Noto Sans"/>
        <family val="2"/>
        <charset val="1"/>
      </rPr>
      <t>Folio Fiscal de tipo:
.Nomina
.Ingreso
.Egreso 
.Pago 
.Traslado 
CFDI versión 3.3 o 4.0</t>
    </r>
  </si>
  <si>
    <r>
      <rPr>
        <sz val="10"/>
        <rFont val="Noto Sans"/>
        <family val="2"/>
        <charset val="1"/>
      </rPr>
      <t xml:space="preserve">El sistema muestra las siguientes opciones:
</t>
    </r>
    <r>
      <rPr>
        <sz val="10"/>
        <color rgb="FF000000"/>
        <rFont val="Noto Sans"/>
        <family val="2"/>
        <charset val="1"/>
      </rPr>
      <t xml:space="preserve">-Consulta Facturas Emitidas
</t>
    </r>
    <r>
      <rPr>
        <sz val="10"/>
        <rFont val="Noto Sans"/>
        <family val="2"/>
        <charset val="1"/>
      </rPr>
      <t>-Consulta Facturas Recibidas
-Recuperar Descargas de CFDI
-Consultar Solicitudes de Cancelación</t>
    </r>
  </si>
  <si>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lo cual va a depender de la situación en la que se encuentre el CFDI.
</t>
    </r>
    <r>
      <rPr>
        <sz val="10"/>
        <color rgb="FF000000"/>
        <rFont val="Noto Sans"/>
        <family val="2"/>
        <charset val="1"/>
      </rPr>
      <t xml:space="preserve">•Acciones 
</t>
    </r>
    <r>
      <rPr>
        <sz val="10"/>
        <rFont val="Noto Sans"/>
        <family val="2"/>
        <charset val="1"/>
      </rPr>
      <t xml:space="preserve">•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</si>
  <si>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r>
      <rPr>
        <sz val="10"/>
        <rFont val="Noto Sans"/>
        <family val="2"/>
        <charset val="1"/>
      </rPr>
      <t xml:space="preserve">Dar clic en la imagen </t>
    </r>
    <r>
      <rPr>
        <b/>
        <sz val="10"/>
        <rFont val="Noto Sans"/>
        <family val="2"/>
        <charset val="1"/>
      </rPr>
      <t>Descargar</t>
    </r>
  </si>
  <si>
    <r>
      <rPr>
        <sz val="10"/>
        <rFont val="Noto Sans"/>
        <family val="2"/>
        <charset val="1"/>
      </rPr>
      <t xml:space="preserve">PF: Firma Electrónica vigente
</t>
    </r>
    <r>
      <rPr>
        <sz val="10"/>
        <color rgb="FF000000"/>
        <rFont val="Noto Sans"/>
        <family val="2"/>
        <charset val="1"/>
      </rPr>
      <t xml:space="preserve">PM:  Firma Electrónica vigente
</t>
    </r>
    <r>
      <rPr>
        <sz val="10"/>
        <rFont val="Noto Sans"/>
        <family val="2"/>
        <charset val="1"/>
      </rPr>
      <t xml:space="preserve">
Folio Fiscal de tipo:
.Nomina
.Ingreso
.Egreso 
.Pago 
.Traslado 
CFDI versión 3.3 o 4.0</t>
    </r>
  </si>
  <si>
    <r>
      <rPr>
        <sz val="10"/>
        <rFont val="Noto Sans"/>
        <family val="2"/>
        <charset val="1"/>
      </rPr>
      <t>El sistema muestra las opciones:
- Folio Fiscal * (está opción esta habilitada por default)
Los siguientes campos se muestran deshabilitados:
•	Año (*)
•	Mes (*)
•	Día.
•	Hora Inicial.
•	Hora Final.
•	RFC Emisor 
•	RFC a cuenta terceros 
•	Estado del Comprobante 
•	Tipo de Comproba</t>
    </r>
    <r>
      <rPr>
        <sz val="10"/>
        <color rgb="FF000000"/>
        <rFont val="Noto Sans"/>
        <family val="2"/>
        <charset val="1"/>
      </rPr>
      <t>nte(complemento)
•Estatus  c</t>
    </r>
    <r>
      <rPr>
        <sz val="10"/>
        <rFont val="Noto Sans"/>
        <family val="2"/>
        <charset val="1"/>
      </rPr>
      <t>ancelación</t>
    </r>
  </si>
  <si>
    <r>
      <rPr>
        <sz val="10"/>
        <rFont val="Noto Sans"/>
        <family val="2"/>
        <charset val="1"/>
      </rPr>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t>
    </r>
    <r>
      <rPr>
        <sz val="10"/>
        <color rgb="FF000000"/>
        <rFont val="Noto Sans"/>
        <family val="2"/>
        <charset val="1"/>
      </rPr>
      <t>Estado del Comprobante 
•	Tipo de Comprobante(complemento)</t>
    </r>
    <r>
      <rPr>
        <sz val="10"/>
        <rFont val="Noto Sans"/>
        <family val="2"/>
        <charset val="1"/>
      </rPr>
      <t xml:space="preserve">   (RN03).
•	Estatus Cancelación </t>
    </r>
  </si>
  <si>
    <r>
      <rPr>
        <sz val="10"/>
        <rFont val="Noto Sans"/>
        <family val="2"/>
        <charset val="1"/>
      </rPr>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t>
    </r>
    <r>
      <rPr>
        <sz val="10"/>
        <color rgb="FF000000"/>
        <rFont val="Noto Sans"/>
        <family val="2"/>
        <charset val="1"/>
      </rPr>
      <t xml:space="preserve">	Columnas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</si>
  <si>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r>
      <rPr>
        <sz val="10"/>
        <rFont val="Noto Sans"/>
        <family val="2"/>
        <charset val="1"/>
      </rPr>
      <t xml:space="preserve">Seleccionar un comprobante y dar clic en la imagen 
</t>
    </r>
    <r>
      <rPr>
        <b/>
        <sz val="10"/>
        <rFont val="Noto Sans"/>
        <family val="2"/>
        <charset val="1"/>
      </rPr>
      <t>Descargar</t>
    </r>
  </si>
  <si>
    <r>
      <rPr>
        <sz val="10"/>
        <rFont val="Noto Sans"/>
        <family val="2"/>
        <charset val="1"/>
      </rPr>
      <t xml:space="preserve">El sistema muestra las siguientes opciones:
</t>
    </r>
    <r>
      <rPr>
        <strike/>
        <sz val="10"/>
        <color rgb="FFFF0000"/>
        <rFont val="Noto Sans"/>
        <family val="2"/>
        <charset val="1"/>
      </rPr>
      <t xml:space="preserve">
</t>
    </r>
    <r>
      <rPr>
        <sz val="10"/>
        <color rgb="FF000000"/>
        <rFont val="Noto Sans"/>
        <family val="2"/>
        <charset val="1"/>
      </rPr>
      <t xml:space="preserve">-Consulta Facturas Emitidas 
</t>
    </r>
    <r>
      <rPr>
        <sz val="10"/>
        <rFont val="Noto Sans"/>
        <family val="2"/>
        <charset val="1"/>
      </rPr>
      <t>-Consulta Facturas Recibidas
-Recuperar Descargas de CFDI
-Consultar Solicitudes de Cancelación</t>
    </r>
  </si>
  <si>
    <r>
      <rPr>
        <sz val="10"/>
        <rFont val="Noto Sans"/>
        <family val="2"/>
        <charset val="1"/>
      </rP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</si>
  <si>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r>
      <rPr>
        <sz val="10"/>
        <rFont val="Noto Sans"/>
        <family val="2"/>
        <charset val="1"/>
      </rPr>
      <t xml:space="preserve">Dar clic en la imagen 
</t>
    </r>
    <r>
      <rPr>
        <b/>
        <sz val="10"/>
        <rFont val="Noto Sans"/>
        <family val="2"/>
        <charset val="1"/>
      </rPr>
      <t xml:space="preserve">Recuperar Representación Impresa. </t>
    </r>
  </si>
  <si>
    <r>
      <rPr>
        <sz val="10"/>
        <rFont val="Noto Sans"/>
        <family val="2"/>
        <charset val="1"/>
      </rPr>
      <t>El sistema muestra las opciones:
- Folio Fiscal * (está opción esta habilitada por default)
Los siguientes campos se muestran deshabilitados:
	Año (*)
•	Mes (*)
•	Día.
•	Hora Inicial.
•	Hora Final.
•	RFC Emisor 
•	RFC a cuenta terceros 
•	Estado del Comprobante
•	Tipo de Compr</t>
    </r>
    <r>
      <rPr>
        <sz val="10"/>
        <color rgb="FF000000"/>
        <rFont val="Noto Sans"/>
        <family val="2"/>
        <charset val="1"/>
      </rPr>
      <t xml:space="preserve">obante (complemento) 
</t>
    </r>
    <r>
      <rPr>
        <sz val="10"/>
        <rFont val="Noto Sans"/>
        <family val="2"/>
        <charset val="1"/>
      </rPr>
      <t>•Estatus  cancelación</t>
    </r>
  </si>
  <si>
    <r>
      <rPr>
        <sz val="10"/>
        <rFont val="Noto Sans"/>
        <family val="2"/>
        <charset val="1"/>
      </rPr>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
    </r>
    <r>
      <rPr>
        <sz val="10"/>
        <color rgb="FF000000"/>
        <rFont val="Noto Sans"/>
        <family val="2"/>
        <charset val="1"/>
      </rPr>
      <t>Tipo de Comprobante (complemento</t>
    </r>
    <r>
      <rPr>
        <sz val="10"/>
        <rFont val="Noto Sans"/>
        <family val="2"/>
        <charset val="1"/>
      </rPr>
      <t xml:space="preserve">)   (RN03).
•	Estatus Cancelación </t>
    </r>
  </si>
  <si>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</si>
  <si>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r>
      <rPr>
        <sz val="10"/>
        <rFont val="Noto Sans"/>
        <family val="2"/>
        <charset val="1"/>
      </rPr>
      <t xml:space="preserve">Seleccionar comprobante y dar clic en la imagen 
</t>
    </r>
    <r>
      <rPr>
        <b/>
        <sz val="10"/>
        <rFont val="Noto Sans"/>
        <family val="2"/>
        <charset val="1"/>
      </rPr>
      <t xml:space="preserve">Recuperar Representación Impresa. </t>
    </r>
  </si>
  <si>
    <t xml:space="preserve">Recuperar Representación Impresa Complemento Carta Porte </t>
  </si>
  <si>
    <t>Folio Fiscal de tipo:
.Nomina
.Ingreso
.Egreso 
.Pago 
.Traslado 
CFDI versión 3.3 o 4.0
Para este caso de prueba debe tener el complemento Carta Porte</t>
  </si>
  <si>
    <r>
      <rPr>
        <sz val="10"/>
        <rFont val="Noto Sans"/>
        <family val="2"/>
        <charset val="1"/>
      </rPr>
      <t xml:space="preserve">El sistema muestra las siguientes opciones:
</t>
    </r>
    <r>
      <rPr>
        <sz val="10"/>
        <color rgb="FF000000"/>
        <rFont val="Noto Sans"/>
        <family val="2"/>
        <charset val="1"/>
      </rPr>
      <t xml:space="preserve">
-Consultar Facturas Emitidas
</t>
    </r>
    <r>
      <rPr>
        <sz val="10"/>
        <rFont val="Noto Sans"/>
        <family val="2"/>
        <charset val="1"/>
      </rPr>
      <t>-Consulta Facturas Recibidas
-Recuperar Descargas de CFDI
-Consultar Solicitudes de Cancelación</t>
    </r>
  </si>
  <si>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lo cual va a depender de la situación en la que se encuentre el CFDI.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</si>
  <si>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t>Dar clic en la imagen en 
Recuperar Representación Impresa Complemento Carta Porte 
(Visible solo cuando contenga un complemento CCP)</t>
  </si>
  <si>
    <t xml:space="preserve">El sistema comienza la descarga de la  Representación Impresa Complemento Carta Porte 
</t>
  </si>
  <si>
    <r>
      <rPr>
        <sz val="10"/>
        <color rgb="FF000000"/>
        <rFont val="Noto Sans"/>
        <family val="2"/>
        <charset val="1"/>
      </rPr>
      <t xml:space="preserve">PF: Firma Electrónica vigente
PM: Firma Electrónica vigente
</t>
    </r>
    <r>
      <rPr>
        <strike/>
        <sz val="10"/>
        <color rgb="FF000000"/>
        <rFont val="Noto Sans"/>
        <family val="2"/>
        <charset val="1"/>
      </rPr>
      <t xml:space="preserve">
</t>
    </r>
    <r>
      <rPr>
        <sz val="10"/>
        <color rgb="FF000000"/>
        <rFont val="Noto Sans"/>
        <family val="2"/>
        <charset val="1"/>
      </rPr>
      <t xml:space="preserve">
Se pueden incluir comprobantes de tipo:
.Nómina
.Ingreso
.Egreso
.Pago
.Traslado
 CFDI versión 3.3 o 4.0</t>
    </r>
  </si>
  <si>
    <t>Para este caso de prueba debe tener el complemento Carta Porte</t>
  </si>
  <si>
    <t>El sistema muestra las opciones:
- Folio Fiscal * (está opción esta habilitada por default)
Los siguientes campos se muestran deshabilitados:
	Año (*)
•	Mes (*)
•	Día.
•	Hora Inicial.
•	Hora Final.
•	RFC Emisor 
•	RFC a cuenta terceros 
•	Estado del Comprobante
•	Tipo de Comprobante (complemento) 
•Estatus cancelación</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</si>
  <si>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	Estatus Cancelación </t>
  </si>
  <si>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Columnas</t>
    </r>
    <r>
      <rPr>
        <strike/>
        <sz val="10"/>
        <color rgb="FF000000"/>
        <rFont val="Noto Sans"/>
        <family val="2"/>
        <charset val="1"/>
      </rPr>
      <t xml:space="preserve">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</si>
  <si>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r>
      <rPr>
        <sz val="10"/>
        <rFont val="Noto Sans"/>
        <family val="2"/>
        <charset val="1"/>
      </rPr>
      <t xml:space="preserve">El sistema muestra las siguientes opciones:
</t>
    </r>
    <r>
      <rPr>
        <strike/>
        <sz val="10"/>
        <color rgb="FFFF0000"/>
        <rFont val="Noto Sans"/>
        <family val="2"/>
        <charset val="1"/>
      </rPr>
      <t xml:space="preserve">
</t>
    </r>
    <r>
      <rPr>
        <sz val="10"/>
        <color rgb="FF000000"/>
        <rFont val="Noto Sans"/>
        <family val="2"/>
        <charset val="1"/>
      </rPr>
      <t xml:space="preserve">-Consulta Facturas emitidas
</t>
    </r>
    <r>
      <rPr>
        <sz val="10"/>
        <rFont val="Noto Sans"/>
        <family val="2"/>
        <charset val="1"/>
      </rPr>
      <t>-Consulta Facturas Recibidas
-Recuperar Descargas de CFDI
-Consultar Solicitudes de Cancelación</t>
    </r>
  </si>
  <si>
    <r>
      <rPr>
        <sz val="10"/>
        <rFont val="Noto Sans"/>
        <family val="2"/>
        <charset val="1"/>
      </rPr>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t>
    </r>
    <r>
      <rPr>
        <sz val="10"/>
        <color rgb="FF000000"/>
        <rFont val="Noto Sans"/>
        <family val="2"/>
        <charset val="1"/>
      </rPr>
      <t>•	Tipo de Comprobante (complemento)</t>
    </r>
    <r>
      <rPr>
        <sz val="10"/>
        <rFont val="Noto Sans"/>
        <family val="2"/>
        <charset val="1"/>
      </rPr>
      <t xml:space="preserve">  (RN03).
•Estatus cancelación </t>
    </r>
  </si>
  <si>
    <t>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•Estatus cancelación</t>
  </si>
  <si>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</si>
  <si>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t>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(RN16).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t>
  </si>
  <si>
    <t xml:space="preserve">Si no se realiza una selección y se da clic en el botón “Descargar seleccionados”, el sistema presenta en pantalla un mensaje de alerta “¿Atención! Favor de seleccionar registro(s)”.
El archivo ZIP correspondiente a la descarga masiva, debe contener los archivos XML seleccionados (RN17, RN18).
Con esta opción el Contribuyente podrá descargar de manera masiva los XML de los CFDI que previamente seleccione del resultado de la búsqueda. </t>
  </si>
  <si>
    <t>Se descarga un archivo zip donde vienen los archivos en formato XML que se hayan seleccionado. (RN17, RN18)</t>
  </si>
  <si>
    <t>El sistema muestra las opciones:
- Folio Fiscal * (está opción esta habilitada por default)
Los siguientes campos se muestran deshabilitados:
- Año*
- Mes*
- Día
-Hora Inicial
-Hora Final
- RFC a cuenta terceros
-RFC Emisor (RN04)
- Estado del Comprobante
- Tipo de Comprobante (Complemento) (RN03)
-Estatus cancelación 
*campos obligatorios
Opción: Buscar CFDI</t>
  </si>
  <si>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</si>
  <si>
    <r>
      <rPr>
        <sz val="10"/>
        <rFont val="Noto Sans"/>
        <family val="2"/>
        <charset val="1"/>
      </rPr>
      <t>Seleccionar el registro y dar clic en el botón</t>
    </r>
    <r>
      <rPr>
        <b/>
        <sz val="10"/>
        <rFont val="Noto Sans"/>
        <family val="2"/>
        <charset val="1"/>
      </rPr>
      <t xml:space="preserve"> "Descargar Seleccionados"</t>
    </r>
  </si>
  <si>
    <t>Botón Descargar Seleccionados RI</t>
  </si>
  <si>
    <r>
      <rPr>
        <sz val="10"/>
        <rFont val="Noto Sans"/>
        <family val="2"/>
        <charset val="1"/>
      </rPr>
      <t xml:space="preserve">El sistema muestra las siguientes opciones:
</t>
    </r>
    <r>
      <rPr>
        <sz val="10"/>
        <color rgb="FF000000"/>
        <rFont val="Noto Sans"/>
        <family val="2"/>
        <charset val="1"/>
      </rPr>
      <t xml:space="preserve">-Consulta Facturas Emitidas 
</t>
    </r>
    <r>
      <rPr>
        <sz val="10"/>
        <rFont val="Noto Sans"/>
        <family val="2"/>
        <charset val="1"/>
      </rPr>
      <t>-Consulta Facturas Recibidas
-Recuperar Descargas de CFDI
-Consultar Solicitudes de Cancelación</t>
    </r>
  </si>
  <si>
    <r>
      <rPr>
        <sz val="10"/>
        <rFont val="Noto Sans"/>
        <family val="2"/>
        <charset val="1"/>
      </rPr>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t>
    </r>
    <r>
      <rPr>
        <sz val="10"/>
        <color rgb="FF000000"/>
        <rFont val="Noto Sans"/>
        <family val="2"/>
        <charset val="1"/>
      </rPr>
      <t xml:space="preserve">•	Tipo de Comprobante (complemento) </t>
    </r>
    <r>
      <rPr>
        <sz val="10"/>
        <rFont val="Noto Sans"/>
        <family val="2"/>
        <charset val="1"/>
      </rPr>
      <t xml:space="preserve">  (RN03).
•Estatus cancelación </t>
    </r>
  </si>
  <si>
    <r>
      <rPr>
        <sz val="10"/>
        <rFont val="Noto Sans"/>
        <family val="2"/>
        <charset val="1"/>
      </rPr>
      <t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t>
    </r>
    <r>
      <rPr>
        <sz val="10"/>
        <color rgb="FF000000"/>
        <rFont val="Noto Sans"/>
        <family val="2"/>
        <charset val="1"/>
      </rPr>
      <t>comprobante. (RN03).
•Estatus cancelación</t>
    </r>
  </si>
  <si>
    <t>Al momento de seleccionar está opción el aplicativo debe generar una petición al servicio de descarga masiva,  con un identificador denominado “Folio de descarga”, el cual podrá ser consultado desde la funcionalidad del botón “Recuperar descargas de CFDI” (RN16). 
El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t>
  </si>
  <si>
    <r>
      <rPr>
        <sz val="10"/>
        <rFont val="Noto Sans"/>
        <family val="2"/>
        <charset val="1"/>
      </rPr>
      <t xml:space="preserve">El sistema muestra las siguientes opciones:
</t>
    </r>
    <r>
      <rPr>
        <sz val="10"/>
        <color rgb="FF000000"/>
        <rFont val="Noto Sans"/>
        <family val="2"/>
        <charset val="1"/>
      </rPr>
      <t xml:space="preserve">
-Consulta Facturas Emitidas 
</t>
    </r>
    <r>
      <rPr>
        <sz val="10"/>
        <rFont val="Noto Sans"/>
        <family val="2"/>
        <charset val="1"/>
      </rPr>
      <t>-Consultar Facturas Recibidas
-Recuperar Descargas de CFDI
-Consultar Solicitudes de Cancelación</t>
    </r>
  </si>
  <si>
    <r>
      <rPr>
        <sz val="10"/>
        <rFont val="Noto Sans"/>
        <family val="2"/>
        <charset val="1"/>
      </rPr>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t>
    </r>
    <r>
      <rPr>
        <sz val="10"/>
        <color rgb="FF000000"/>
        <rFont val="Noto Sans"/>
        <family val="2"/>
        <charset val="1"/>
      </rPr>
      <t>•	Estado del Comprobante
•	Tipo de Comprobante (complemento)</t>
    </r>
    <r>
      <rPr>
        <sz val="10"/>
        <rFont val="Noto Sans"/>
        <family val="2"/>
        <charset val="1"/>
      </rPr>
      <t xml:space="preserve">   (RN03).
•Estatus cancelación. </t>
    </r>
  </si>
  <si>
    <t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•Estatus cancelación </t>
  </si>
  <si>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</si>
  <si>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t>Al seleccionar este botón se debe generar una petición al servicio de descarga masiva de la metada de los CFDI que resultaron de la consulta, a través de un archivo de texto plano comprimido en formato ZIP, este paquete contará con un identificador denominado “Folio de descarga”, el cual podrá ser consultado desde la funcionalidad del botón “Recuperar descargas de CFDI”.(RN17, RN18)
El sistema enviara el siguiente mensaje: 
¡Descarga realizada con éxito!
“La descarga de metadatos se encuentra en proceso y podrás obtener el resultado con el folio de descarga: XXXXXXX-XXXX-XXXX-XXXX-XXXXXXXXXXX, en la opción: Recuperar descargas de CFDI.
Importante: el tiempo máximo para atender la solicitud es de 48 horas a partir de este momento.</t>
  </si>
  <si>
    <t>El archivo de texto plano debe de contener los datos de la metadata para los CFDI que corresponden al resultado de la consulta y que se visualizan en pantalla.
Se descarga un archivo txt donde se muestra el detalle de los 
comprobantes separados por el carácter “~”.
Uuid~RfcEmisor~NombreEmisor~RfcReceptor~NombreReceptor~RfcPac~FechaEmision~FechaCertificacionSat~Monto~EfectoComprobante~Estatus~FechaCancelacion</t>
  </si>
  <si>
    <t>Se descarga un archivo zip. (RN17, RN18)
Se descarga un archivo txt donde se muestra el detalle de los comprobantes separados por el carácter “~”.
Uuid~RfcEmisor~NombreEmisor~RfcReceptor~NombreReceptor~RfcPac~FechaEmision~FechaCertificacionSat~Monto~EfectoComprobante~Estatus~FechaCancelacion</t>
  </si>
  <si>
    <r>
      <rPr>
        <sz val="10"/>
        <rFont val="Noto Sans"/>
        <family val="2"/>
        <charset val="1"/>
      </rPr>
      <t xml:space="preserve">El sistema muestra las opciones:
- Folio Fiscal * (está opción esta habilitada por default)
Los siguientes campos se muestran deshabilitados:
- Año*
- Mes*
- Día
-Hora Inicial
-Hora Final
- RFC a cuenta terceros
-RFC Emisor (RN04)
</t>
    </r>
    <r>
      <rPr>
        <sz val="10"/>
        <color rgb="FF000000"/>
        <rFont val="Noto Sans"/>
        <family val="2"/>
        <charset val="1"/>
      </rPr>
      <t xml:space="preserve">- Estado del Comprobante
- Tipo de Comprobante (Complemento) (RN03)
-Estatus cancelación
</t>
    </r>
    <r>
      <rPr>
        <sz val="10"/>
        <rFont val="Noto Sans"/>
        <family val="2"/>
        <charset val="1"/>
      </rPr>
      <t>*campos obligatorios
Opción: Buscar CFDI</t>
    </r>
  </si>
  <si>
    <r>
      <rPr>
        <sz val="10"/>
        <rFont val="Noto Sans"/>
        <family val="2"/>
        <charset val="1"/>
      </rPr>
      <t xml:space="preserve">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t>
    </r>
    <r>
      <rPr>
        <sz val="10"/>
        <color rgb="FF000000"/>
        <rFont val="Noto Sans"/>
        <family val="2"/>
        <charset val="1"/>
      </rPr>
      <t xml:space="preserve">Columnas 
</t>
    </r>
    <r>
      <rPr>
        <sz val="10"/>
        <rFont val="Noto Sans"/>
        <family val="2"/>
        <charset val="1"/>
      </rPr>
      <t xml:space="preserve">Algunas columnas pueden no contener información, </t>
    </r>
    <r>
      <rPr>
        <sz val="10"/>
        <color rgb="FF000000"/>
        <rFont val="Noto Sans"/>
        <family val="2"/>
        <charset val="1"/>
      </rPr>
      <t xml:space="preserve">lo cual va a depender de la situación en la que se encuentre el CFDI.
•Acciones
</t>
    </r>
    <r>
      <rPr>
        <sz val="10"/>
        <rFont val="Noto Sans"/>
        <family val="2"/>
        <charset val="1"/>
      </rPr>
      <t xml:space="preserve">•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t>
    </r>
  </si>
  <si>
    <t>Exportar Resultados a PDF</t>
  </si>
  <si>
    <r>
      <rPr>
        <sz val="10"/>
        <rFont val="Noto Sans"/>
        <family val="2"/>
        <charset val="1"/>
      </rPr>
      <t xml:space="preserve">El sistema muestra las siguientes opciones:
</t>
    </r>
    <r>
      <rPr>
        <strike/>
        <sz val="10"/>
        <color rgb="FFFF0000"/>
        <rFont val="Noto Sans"/>
        <family val="2"/>
        <charset val="1"/>
      </rPr>
      <t xml:space="preserve">
</t>
    </r>
    <r>
      <rPr>
        <strike/>
        <sz val="10"/>
        <color rgb="FF000000"/>
        <rFont val="Noto Sans"/>
        <family val="2"/>
        <charset val="1"/>
      </rPr>
      <t>-</t>
    </r>
    <r>
      <rPr>
        <sz val="10"/>
        <color rgb="FF000000"/>
        <rFont val="Noto Sans"/>
        <family val="2"/>
        <charset val="1"/>
      </rPr>
      <t xml:space="preserve">Consulta Facturas Emitidas
-Consulta Facturas Recibidas
-Recuperar Descargas de CFDI
</t>
    </r>
    <r>
      <rPr>
        <sz val="10"/>
        <rFont val="Noto Sans"/>
        <family val="2"/>
        <charset val="1"/>
      </rPr>
      <t>-Consultar Solicitudes de Cancelación</t>
    </r>
  </si>
  <si>
    <r>
      <rPr>
        <sz val="10"/>
        <rFont val="Noto Sans"/>
        <family val="2"/>
        <charset val="1"/>
      </rPr>
      <t xml:space="preserve">El sistema muestra las siguientes opciones de búsqueda:
- Folio Fiscal
- Periodo de Fechas
</t>
    </r>
    <r>
      <rPr>
        <sz val="10"/>
        <color rgb="FF000000"/>
        <rFont val="Noto Sans"/>
        <family val="2"/>
        <charset val="1"/>
      </rPr>
      <t>la opción de Folio se habilita por default</t>
    </r>
  </si>
  <si>
    <r>
      <rPr>
        <sz val="10"/>
        <color rgb="FF000000"/>
        <rFont val="Noto Sans"/>
        <family val="2"/>
        <charset val="1"/>
      </rPr>
      <t>El sistema debe mostrar deshabilitados  los siguientes parámetros de búsqueda cuando la busqueda es por folio
 (RN05):
•	Año (*):Ca</t>
    </r>
    <r>
      <rPr>
        <sz val="10"/>
        <rFont val="Noto Sans"/>
        <family val="2"/>
        <charset val="1"/>
      </rPr>
      <t xml:space="preserve">mpo obligatorio que permite la selección del Año.
•	Mes (*).Campo obligatorio que permite la selección del Mes.
•	Día.
•	Hora Inicial.
•	Hora Final.
•	RFC Emisor (RN04).
•	RFC a cuenta terceros (RN04).
•	Estado del Comprobante
•	Tipo de Comprobante (complemento)   (RN03).
•Estatus cancelación </t>
    </r>
  </si>
  <si>
    <t>Al seleccionar este botón se debe abrir una ventana emergente que indique que el PDF se encuentra en proceso de descarga.  
El PDF contiene el siguiente formato:
Datos del CFDI: 
•	Folio Fiscal
•	RFC Emisor
•	Nombre o Razón Social
•	RFC Receptor
•	Nombre o Razón Social
•	Total
•	PAC que certificó
•	Fecha Emisión
•	Fecha Certificación
•	Estado del Comprobante
•	Efecto del Comprobante
•	Motivo
•	Folio de Sustitución.</t>
  </si>
  <si>
    <t>El Reporte de Resultados a PDF, deberá contar con las siguientes características: 
•	Logos del SAT y Hacienda vigentes, con el nombre de la institución: ‘Servicio de Administración Tributaria’ y el nombre del aplicativo ‘Consulta CFDI’ al centro de la página.</t>
  </si>
  <si>
    <r>
      <rPr>
        <sz val="10"/>
        <rFont val="Noto Sans"/>
        <family val="2"/>
        <charset val="1"/>
      </rPr>
      <t xml:space="preserve">El sistema muestra las siguientes opciones:
</t>
    </r>
    <r>
      <rPr>
        <strike/>
        <sz val="10"/>
        <color rgb="FFFF0000"/>
        <rFont val="Noto Sans"/>
        <family val="2"/>
        <charset val="1"/>
      </rPr>
      <t xml:space="preserve">
</t>
    </r>
    <r>
      <rPr>
        <sz val="10"/>
        <color rgb="FF000000"/>
        <rFont val="Noto Sans"/>
        <family val="2"/>
        <charset val="1"/>
      </rPr>
      <t xml:space="preserve">-Consultar Facturas Emitidas 
</t>
    </r>
    <r>
      <rPr>
        <sz val="10"/>
        <rFont val="Noto Sans"/>
        <family val="2"/>
        <charset val="1"/>
      </rPr>
      <t>-Consulta Facturas Recibidas
-Recuperar Descargas de CFDI
-Consultar Solicitudes de Cancelación</t>
    </r>
  </si>
  <si>
    <r>
      <rPr>
        <sz val="10"/>
        <rFont val="Noto Sans"/>
        <family val="2"/>
        <charset val="1"/>
      </rPr>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t>
    </r>
    <r>
      <rPr>
        <sz val="10"/>
        <color rgb="FF70AD47"/>
        <rFont val="Noto Sans"/>
        <family val="2"/>
        <charset val="1"/>
      </rPr>
      <t xml:space="preserve">(complemento)   </t>
    </r>
    <r>
      <rPr>
        <sz val="10"/>
        <rFont val="Noto Sans"/>
        <family val="2"/>
        <charset val="1"/>
      </rPr>
      <t xml:space="preserve">(RN03).
•Estatus cancelación </t>
    </r>
  </si>
  <si>
    <t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•Estatus cancelación: campo condicional, el sistema muestra este campo si el valor de selección del campo "Estado del comprobante" es "cancelado".
Los valores que muestran en estatus de cancelación son: cancelado con aceptación cancelado sin aceptación y plazo vencido. </t>
  </si>
  <si>
    <t>Da clic en "Recuperar Descargas de CFDI"</t>
  </si>
  <si>
    <r>
      <rPr>
        <sz val="10"/>
        <rFont val="Noto Sans"/>
        <family val="2"/>
        <charset val="1"/>
      </rPr>
      <t>En dado caso que si existan peticiones en proceso se muestran los registros de descarga con la siguiente estructura (RN19):
•	Descargar Paquete
•	Folio de Descarga
•	RFC Contribuyente
•	Tipo Descarga
•	Cantidad de Documentos
•	Fecha de la Solicitud</t>
    </r>
    <r>
      <rPr>
        <sz val="10"/>
        <color rgb="FF000000"/>
        <rFont val="Noto Sans"/>
        <family val="2"/>
        <charset val="1"/>
      </rPr>
      <t xml:space="preserve"> de descarga</t>
    </r>
  </si>
  <si>
    <t>Aplica Regla de Negocio: (RN19)
Exponiendo la nota: “En esta consulta se podrán recuperar solicitudes de descargas de CFDI y Metadata de los últimos 3 días”, con la opción Cerrar la cual cerrará dicha pantalla mostrando la pantalla de búsqueda con los datos ingresados.</t>
  </si>
  <si>
    <t>El aplicativo muestra los registros para su descarga de acuerdo con las peticiones, 
Seleccionar un registro y dar clic en la imagen "Descargar Paquete"</t>
  </si>
  <si>
    <t>El sistema inicia el proceso de descarga del archivo seleccionado en formato XML.</t>
  </si>
  <si>
    <t>El aplicativo debe permitir la descarga de los paquetes con el icono de “Descargar”  , generando una ventana emergente con un archivo ZIP con la información correspondiente.</t>
  </si>
  <si>
    <t>Recuperar descargas sin registros</t>
  </si>
  <si>
    <t>El sistema valida si hay peticiones pendientes, en caso de que nos existan peticiones en proceso muestra el siguiente mensaje “No existen registros de descargas desde los últimos 3 días a la fecha”.</t>
  </si>
  <si>
    <t>CHATBOT</t>
  </si>
  <si>
    <t>Ingresar al Portal Privado Contribuyente CFDI</t>
  </si>
  <si>
    <t xml:space="preserve">El sistema muestra las opciones en el menú principal.
 - Icono (Búho) CHATBOT OrientaSAT
 - Consulta CFDI
- Generación de CFDI
</t>
  </si>
  <si>
    <t xml:space="preserve">El Usuario previamente se autenticó  y accedió al Portal Privado Contribuyente CFDI
Servicio de Orienta SAT se activa dentro de la páginas Portal Privado Contribuyente CFDI con el objetivo de recibir asesoría para el cumplimiento de las obligaciones fiscales a través de un medio electrónico atendido por un asesor.  
</t>
  </si>
  <si>
    <t>Selecciona la opción Icono (Búho) CHATBOT OrientaSAT</t>
  </si>
  <si>
    <t xml:space="preserve">El sistema va a desplegar una sub-pantalla para que el contribuyente pueda interactuar y recibir asesoría.
</t>
  </si>
  <si>
    <t>Ingresa los datos obligatorios y dar clic en le botón "Comenzar"</t>
  </si>
  <si>
    <t>El sistema se activa para comenzar a interactuar con un asesor.</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</si>
  <si>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</si>
  <si>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</si>
  <si>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</si>
  <si>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</si>
  <si>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</si>
  <si>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r>
      <rPr>
        <b/>
        <sz val="10"/>
        <color rgb="FF000000"/>
        <rFont val="Noto Sans"/>
        <family val="2"/>
        <charset val="1"/>
      </rPr>
      <t>Nombre</t>
    </r>
    <r>
      <rPr>
        <sz val="10"/>
        <color rgb="FF000000"/>
        <rFont val="Noto Sans"/>
        <family val="2"/>
        <charset val="1"/>
      </rPr>
      <t>: Pedro López Bernal.</t>
    </r>
  </si>
  <si>
    <r>
      <rPr>
        <b/>
        <sz val="10"/>
        <color rgb="FF000000"/>
        <rFont val="Noto Sans"/>
        <family val="2"/>
        <charset val="1"/>
      </rPr>
      <t>Nombre</t>
    </r>
    <r>
      <rPr>
        <sz val="10"/>
        <color rgb="FF000000"/>
        <rFont val="Noto Sans"/>
        <family val="2"/>
        <charset val="1"/>
      </rPr>
      <t>: Diana Maribel Velazquez Barroso</t>
    </r>
  </si>
  <si>
    <r>
      <rPr>
        <b/>
        <sz val="10"/>
        <color rgb="FF000000"/>
        <rFont val="Noto Sans"/>
        <family val="2"/>
        <charset val="1"/>
      </rPr>
      <t>Puesto</t>
    </r>
    <r>
      <rPr>
        <sz val="10"/>
        <color rgb="FF000000"/>
        <rFont val="Noto Sans"/>
        <family val="2"/>
        <charset val="1"/>
      </rPr>
      <t>: Administrador de Gestión de Servicios y Trámites con Medios Electrónicos 3</t>
    </r>
  </si>
  <si>
    <r>
      <rPr>
        <b/>
        <sz val="10"/>
        <color rgb="FF000000"/>
        <rFont val="Noto Sans"/>
        <family val="2"/>
        <charset val="1"/>
      </rPr>
      <t>Puesto</t>
    </r>
    <r>
      <rPr>
        <sz val="10"/>
        <color rgb="FF000000"/>
        <rFont val="Noto Sans"/>
        <family val="2"/>
        <charset val="1"/>
      </rPr>
      <t xml:space="preserve">: Administradora de Soluciones de Negocio 3 </t>
    </r>
  </si>
  <si>
    <r>
      <rPr>
        <b/>
        <sz val="10"/>
        <color rgb="FF000000"/>
        <rFont val="Noto Sans"/>
        <family val="2"/>
        <charset val="1"/>
      </rPr>
      <t>Fecha</t>
    </r>
    <r>
      <rPr>
        <sz val="10"/>
        <color rgb="FF000000"/>
        <rFont val="Noto Sans"/>
        <family val="2"/>
        <charset val="1"/>
      </rPr>
      <t>:</t>
    </r>
  </si>
  <si>
    <t xml:space="preserve">Fecha: </t>
  </si>
  <si>
    <t>Revisó</t>
  </si>
  <si>
    <r>
      <rPr>
        <b/>
        <sz val="10"/>
        <color rgb="FF000000"/>
        <rFont val="Noto Sans"/>
        <family val="2"/>
        <charset val="1"/>
      </rPr>
      <t>Nombre</t>
    </r>
    <r>
      <rPr>
        <sz val="10"/>
        <color rgb="FF000000"/>
        <rFont val="Noto Sans"/>
        <family val="2"/>
        <charset val="1"/>
      </rPr>
      <t xml:space="preserve">: Mario Alberto Huerta Velazquez </t>
    </r>
  </si>
  <si>
    <r>
      <rPr>
        <b/>
        <sz val="10"/>
        <color rgb="FF000000"/>
        <rFont val="Noto Sans"/>
        <family val="2"/>
        <charset val="1"/>
      </rPr>
      <t xml:space="preserve">Nombre: </t>
    </r>
    <r>
      <rPr>
        <sz val="10"/>
        <color rgb="FF000000"/>
        <rFont val="Noto Sans"/>
        <family val="2"/>
        <charset val="1"/>
      </rPr>
      <t>Roberto Benjamín Monroy Vargas</t>
    </r>
  </si>
  <si>
    <r>
      <rPr>
        <b/>
        <sz val="10"/>
        <color rgb="FF000000"/>
        <rFont val="Noto Sans"/>
        <family val="2"/>
        <charset val="1"/>
      </rPr>
      <t>Puesto</t>
    </r>
    <r>
      <rPr>
        <sz val="10"/>
        <color rgb="FF000000"/>
        <rFont val="Noto Sans"/>
        <family val="2"/>
        <charset val="1"/>
      </rPr>
      <t>: Subadministrador de Gestión de Servicios y Trámites con Medios Electrónicos</t>
    </r>
  </si>
  <si>
    <r>
      <rPr>
        <b/>
        <sz val="10"/>
        <color rgb="FF000000"/>
        <rFont val="Noto Sans"/>
        <family val="2"/>
        <charset val="1"/>
      </rPr>
      <t>Puesto</t>
    </r>
    <r>
      <rPr>
        <sz val="10"/>
        <color rgb="FF000000"/>
        <rFont val="Noto Sans"/>
        <family val="2"/>
        <charset val="1"/>
      </rPr>
      <t>: Subadministrador de Soluciones de Negocio</t>
    </r>
  </si>
  <si>
    <r>
      <rPr>
        <b/>
        <sz val="10"/>
        <color rgb="FF000000"/>
        <rFont val="Noto Sans"/>
        <family val="2"/>
        <charset val="1"/>
      </rPr>
      <t>Fecha</t>
    </r>
    <r>
      <rPr>
        <sz val="10"/>
        <color rgb="FF000000"/>
        <rFont val="Noto Sans"/>
        <family val="2"/>
        <charset val="1"/>
      </rPr>
      <t xml:space="preserve">: </t>
    </r>
  </si>
  <si>
    <r>
      <rPr>
        <b/>
        <sz val="10"/>
        <color rgb="FF000000"/>
        <rFont val="Noto Sans"/>
        <family val="2"/>
        <charset val="1"/>
      </rPr>
      <t>Nombre</t>
    </r>
    <r>
      <rPr>
        <sz val="10"/>
        <color rgb="FF000000"/>
        <rFont val="Noto Sans"/>
        <family val="2"/>
        <charset val="1"/>
      </rPr>
      <t>: Maria Luisa Flores Barrón</t>
    </r>
  </si>
  <si>
    <r>
      <rPr>
        <b/>
        <sz val="10"/>
        <color rgb="FF000000"/>
        <rFont val="Noto Sans"/>
        <family val="2"/>
        <charset val="1"/>
      </rPr>
      <t>Nombre</t>
    </r>
    <r>
      <rPr>
        <sz val="10"/>
        <color rgb="FF000000"/>
        <rFont val="Noto Sans"/>
        <family val="2"/>
        <charset val="1"/>
      </rPr>
      <t>: Marlen Hernández Luna</t>
    </r>
  </si>
  <si>
    <r>
      <rPr>
        <b/>
        <sz val="10"/>
        <color rgb="FF000000"/>
        <rFont val="Noto Sans"/>
        <family val="2"/>
        <charset val="1"/>
      </rPr>
      <t>Puesto</t>
    </r>
    <r>
      <rPr>
        <sz val="10"/>
        <color rgb="FF000000"/>
        <rFont val="Noto Sans"/>
        <family val="2"/>
        <charset val="1"/>
      </rPr>
      <t>: Jefe de Departamento de Gestión de Servicios y Trámites con Medios Electrónicos</t>
    </r>
  </si>
  <si>
    <t>Elaboró</t>
  </si>
  <si>
    <r>
      <rPr>
        <b/>
        <sz val="10"/>
        <color rgb="FF000000"/>
        <rFont val="Noto Sans"/>
        <family val="2"/>
        <charset val="1"/>
      </rPr>
      <t>Nombre</t>
    </r>
    <r>
      <rPr>
        <sz val="10"/>
        <color rgb="FF000000"/>
        <rFont val="Noto Sans"/>
        <family val="2"/>
        <charset val="1"/>
      </rPr>
      <t>: Isabel Magali Cortes Trejo</t>
    </r>
  </si>
  <si>
    <r>
      <rPr>
        <b/>
        <sz val="10"/>
        <color rgb="FF000000"/>
        <rFont val="Noto Sans"/>
        <family val="2"/>
        <charset val="1"/>
      </rPr>
      <t xml:space="preserve">Nombre: </t>
    </r>
    <r>
      <rPr>
        <sz val="10"/>
        <color rgb="FF000000"/>
        <rFont val="Noto Sans"/>
        <family val="2"/>
        <charset val="1"/>
      </rPr>
      <t>Alma Quetzabeth Torres González</t>
    </r>
    <r>
      <rPr>
        <b/>
        <sz val="10"/>
        <color rgb="FF000000"/>
        <rFont val="Noto Sans"/>
        <family val="2"/>
        <charset val="1"/>
      </rPr>
      <t xml:space="preserve"> </t>
    </r>
  </si>
  <si>
    <r>
      <rPr>
        <b/>
        <sz val="10"/>
        <color rgb="FF000000"/>
        <rFont val="Noto Sans"/>
        <family val="2"/>
        <charset val="1"/>
      </rPr>
      <t xml:space="preserve">Puesto: </t>
    </r>
    <r>
      <rPr>
        <sz val="10"/>
        <color rgb="FF000000"/>
        <rFont val="Noto Sans"/>
        <family val="2"/>
        <charset val="1"/>
      </rPr>
      <t>Jefe de Departamento de Soluciones de Negocio</t>
    </r>
  </si>
  <si>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</si>
  <si>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</si>
  <si>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</si>
  <si>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</si>
  <si>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Montserrat"/>
      </rPr>
      <t xml:space="preserve">Requerimientos de Pruebas
</t>
    </r>
    <r>
      <rPr>
        <sz val="6"/>
        <color rgb="FF0000FF"/>
        <rFont val="Montserrat"/>
      </rPr>
      <t xml:space="preserve">Clave del Documento
</t>
    </r>
    <r>
      <rPr>
        <sz val="11"/>
        <color rgb="FF000000"/>
        <rFont val="Montserrat"/>
      </rPr>
      <t xml:space="preserve">XX_RDP_REQPRUEBAS.xlsx
</t>
    </r>
    <r>
      <rPr>
        <sz val="7"/>
        <color rgb="FF0000FF"/>
        <rFont val="Montserrat"/>
      </rPr>
      <t xml:space="preserve">[Nomenclatura del artefacto, punto, extensión del archivo actual]
Servicio Administración del Ciclo de Vida de Aplicaciones de TIC
</t>
    </r>
    <r>
      <rPr>
        <b/>
        <sz val="7"/>
        <color rgb="FF0000FF"/>
        <rFont val="Montserrat"/>
      </rPr>
      <t>Central Dueña</t>
    </r>
    <r>
      <rPr>
        <sz val="7"/>
        <color rgb="FF0000FF"/>
        <rFont val="Montserrat"/>
      </rPr>
      <t>:</t>
    </r>
    <r>
      <rPr>
        <b/>
        <sz val="7"/>
        <color rgb="FF0000FF"/>
        <rFont val="Montserrat"/>
      </rPr>
      <t xml:space="preserve"> Administración Central de Soluciones de Negocio (ACSN)
Central que Elabora: ACSN
Central Consumidora: ACDMA</t>
    </r>
  </si>
  <si>
    <t>Versión del template:
7.00</t>
  </si>
  <si>
    <r>
      <rPr>
        <b/>
        <sz val="11"/>
        <color rgb="FF000000"/>
        <rFont val="Montserrat"/>
      </rPr>
      <t xml:space="preserve">Requerimientos de Pruebas
</t>
    </r>
    <r>
      <rPr>
        <sz val="11"/>
        <color rgb="FF000000"/>
        <rFont val="Montserrat"/>
      </rPr>
      <t>RDP Portal_Contribuyente_CFDI.xlsx</t>
    </r>
  </si>
  <si>
    <t>CP56</t>
  </si>
  <si>
    <t>/Encabezado</t>
  </si>
  <si>
    <t>ENCABEZADO DEL APLICATIVO</t>
  </si>
  <si>
    <t xml:space="preserve">Usuario ingresa a la URL correspondiente del Portal Privado Contribuyente CFDI .
-Selecciona la opción por e.firma
</t>
  </si>
  <si>
    <t xml:space="preserve">
</t>
  </si>
  <si>
    <t xml:space="preserve">El usuario  valida que se muestren los elementos del encabezado </t>
  </si>
  <si>
    <t>Usuario da clic en buscar y  en el explorador de documentos selecciona el archivo correspondiente a su certificado</t>
  </si>
  <si>
    <t>Usuario da clic en buscar y en el explorador de documentos selecciona el archivo correspondiente a su clave privada</t>
  </si>
  <si>
    <t xml:space="preserve">Encabezado con lo siguiente:
(Fondo color guinda)
El imagotipo de "Gobierno de Mexico" -Alineado en parte superior izquierda
Link "Tramites" -Alineado a la derecha
Link "Gobierno" 
Boton lupa "Buscador"
(Fondo color ginda obscuro)
"Factura electronica" -Alineado a la izquiera
Boton desplegable "Consulta CFDI" -Alineado a la derecha
Boton desplegable "Generacion de CFDI" -Alineado a la derecha
</t>
  </si>
  <si>
    <t xml:space="preserve">Logosimbolo horizontal "Gobierno de Mexico"
Está compuesto por las palabras "Gobierno de
México" en tipografía institucional, junto al Escudo
Nacional.
En la versión horizontal, el Escudo Nacional debe
situarse a la izquierda de la frase "Gobierno
de México"
</t>
  </si>
  <si>
    <t>Test Case</t>
  </si>
  <si>
    <t>Work Item type</t>
  </si>
  <si>
    <t>Title</t>
  </si>
  <si>
    <t>Step Action</t>
  </si>
  <si>
    <t>Step expected</t>
  </si>
  <si>
    <t>CP01-Autenticación - e.Firma</t>
  </si>
  <si>
    <t/>
  </si>
  <si>
    <t xml:space="preserve">
</t>
  </si>
  <si>
    <t xml:space="preserve">Se muestran los datos para ingresar:
Certificado (.cer)
Clave privada (.Key)
Contraseña de clave privada: 
Se muestra el campo RFC
Se requiere que el usuario al ingresar al aplicativo cuente con una opción que le permita autenticarse mediante su firma electrónica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Contribuyente conforme a los lineamientos institucionales vigentes por el área de Seguridad del SAT. </t>
  </si>
  <si>
    <t xml:space="preserve">Se muestra el dato en el  campo certificado y en el campo RFC el dato del RFC del Contribuyente
</t>
  </si>
  <si>
    <t xml:space="preserve">Se muestra el dato en el campo clave privada
</t>
  </si>
  <si>
    <t xml:space="preserve">Se muestra oculto el dato en el campo contraseña
</t>
  </si>
  <si>
    <t xml:space="preserve">Si la autenticación es correcta, el aplicativo abre la página principal del Portal Privado Contribuyente CFDI .
En caso de que el Contribuyente no cuente con los permisos, el aplicativo mostrará el mensaje: “El Usuario no cuenta con los privilegios de acceso” y no va a permitir su acceso. </t>
  </si>
  <si>
    <t>CP02-Autenticación - Contraseña</t>
  </si>
  <si>
    <t xml:space="preserve">Se muestran los datos para ingresar:
.RFC
.Contraseña
.e.firma portable 
.Captcha
Se mostrarán los mensajes de validación de los campos proporcionados por el Contribuyente conforme a los lineamientos institucionales vigentes por el área de Seguridad del SAT. </t>
  </si>
  <si>
    <t xml:space="preserve">La imagen del campo captcha es dinámico por lo que cambia cada que se actualice la página. Y debe coincidir con los valores ingresados por el usuario
</t>
  </si>
  <si>
    <t>CP03-Inactividad</t>
  </si>
  <si>
    <t>El sistema muestra las siguientes opciones:
-Consultar Facturas Emitidas
-Consulta Facturas Recibidas
-Recuperar Descargas de CFDI
-Consultar Solicitudes de Cancelación
El Usuario previamente se autenticó  y accedió al Portal Privado Contribuyente CFDI</t>
  </si>
  <si>
    <t xml:space="preserve">El sistema muestra las siguientes opciones de búsqueda:
- Folio Fiscal
- Periodo de Fechas
</t>
  </si>
  <si>
    <t xml:space="preserve">Después de 15 minutos de inactividad, se cerrará la sesión en automático.
</t>
  </si>
  <si>
    <t>CP04-Salir</t>
  </si>
  <si>
    <t xml:space="preserve">Cierra la sesión del RFC
</t>
  </si>
  <si>
    <t>CP05-Menú - Contribuyente</t>
  </si>
  <si>
    <t>El sistema muestra las siguientes opciones del menú:
-Consultar Facturas Emitidas
-Consulta Facturas Recibidas
-Recuperar Descargas de CFDI
-Consultar Solicitudes de Cancelación
El Usuario previamente se autenticó como un contribuyente y accedió al Portal Privado Contribuyente CFDI</t>
  </si>
  <si>
    <t>CP06-Menú - PAC</t>
  </si>
  <si>
    <t>El sistema muestra las siguientes opciones del menú:
-Consultar Facturas Emitidas
-Consulta Facturas Recibidas
-Recuperar Descargas de CFDI
-Consultar Solicitudes de Cancelación
-Consulta Incidentes CFDI
-Consulta Incidentes CFDI de Retenciones
El Usuario previamente se autenticó como un PAC y accedió al Portal Privado Contribuyente CFDI</t>
  </si>
  <si>
    <t>CP07-Facturas Emitidas - Por Folio Fiscal</t>
  </si>
  <si>
    <t xml:space="preserve">El sistema muestra las opciones:
 - Factura Electrónica
 - Retenciones e Inf. de Pagos
El Usuario previamente se autenticó  y accedió al Portal Privado Contribuyente CFDI
</t>
  </si>
  <si>
    <t xml:space="preserve">El sistema muestra las siguientes opciones:
-Consultar Facturas Emitidas
-Consulta Facturas Recibidas
-Recuperar Descargas de CFDI
-Consultar Solicitudes de Cancelación
</t>
  </si>
  <si>
    <t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 Estatus cancelación 
*campos obligatorios
Opción: Buscar CFDI (RN08 - Inciso a, d).
</t>
  </si>
  <si>
    <t xml:space="preserve">El sistema habilita el campo de FOLIO FISCAL
Aplica las Reglas de Negocio: (RN02) 
</t>
  </si>
  <si>
    <t xml:space="preserve">El sistema muestra los datos que se van ingresando
</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</si>
  <si>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</si>
  <si>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CP08-Facturas Emitidas -Periodo Fechas</t>
  </si>
  <si>
    <t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t>
  </si>
  <si>
    <t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t>
  </si>
  <si>
    <t xml:space="preserve">Ingresa los datos:
Obligatorios
•	Fecha Inicial de Emisión (*)
•	Fecha Final de Emisión (*)
Opcionales
•	RFC Receptor.
•	RFC a cuenta terceros 
•	Estado del Comprobante 
•	Tipo de Comprobante(Complemento)
•Estatus cancelación </t>
  </si>
  <si>
    <t xml:space="preserve">El sistema muestra los datos que se van ingresando 
</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</si>
  <si>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t>
  </si>
  <si>
    <t>CP09-Acciones Recuperar Acuse Estatus Final</t>
  </si>
  <si>
    <t xml:space="preserve">El sistema muestra las opciones:
 - Factura Electrónica
 - Retenciones e Inf. de Pagos
El Usuario previamente se autenticó  y accedió al Portal Privado Contribuyente CFDI
</t>
  </si>
  <si>
    <t xml:space="preserve">El sistema habilita el campo de FOLIO FISCAL
</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</si>
  <si>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</si>
  <si>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 xml:space="preserve">1.- Dar clic en la imagen 
Recuperar acuse estatus final </t>
  </si>
  <si>
    <t xml:space="preserve">Se descarga el PDF que contendrá la siguiente información:
•	Folio Fiscal
•	RFC Receptor
•	RFC Emisor
•	Estado CFDI
•	Estado de Cancelación
•	Motivo de Cancelación
•	Número de serie de la e.firma o CSD
•	Fecha de solicitud de la cancelación
•	Mensaje de Error
•	Fecha
•	Sello digital SAT
Esta opción solo será visible en la barra de acciones, cuando exista un acuse de solicitud de cancelación CFDI y se podrá realizar la descargar en formato PDF para recuperar el acuse estatus final. (RN12). 
</t>
  </si>
  <si>
    <t>CP10-Acciones Recuperar Acuse Estatus Final</t>
  </si>
  <si>
    <t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con las diversas opciones
- Estatus Cancelación
*campos obligatorios
Opción: Buscar CFDI
</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</si>
  <si>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t>
  </si>
  <si>
    <t>1.-Seleccionar un registro y dar clic en la imagen 
Recuperar acuse estatus final 
Para este caso de prueba, los resultados deben incluir un comprobante Cancelado</t>
  </si>
  <si>
    <t xml:space="preserve">Se descarga el PDF que contendrá la siguiente información:
•	Folio Fiscal
•	RFC Receptor
•	RFC Emisor
•	Estado CFDI
•	Estado de Cancelación
•	Motivo de Cancelación
•	Número de serie de la e.firma o CSD 
•	Fecha de solicitud de la cancelación 
•	Mensaje de Error
•	Fecha
•	Sello digital SAT
Esta opción solo será visible en la barra de acciones, cuando exista un acuse de solicitud de cancelación CFDI y se podrá realizar la descargar en formato PDF para recuperar el acuse estatus final. (RN12). 
</t>
  </si>
  <si>
    <t>CP11-Acciones Recuperar Acuse Solicitud Cancelación</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</si>
  <si>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</si>
  <si>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Dar clic en la imagen 
Recuperar acuse de solicitud de cancelación (RN13)</t>
  </si>
  <si>
    <t xml:space="preserve">Se descarga el PDF que contendrá la siguiente información:
•	Fecha y hora de solicitud
•	RFC Emisor
•	Folio Fiscal
•	Estatus de Proceso de Cancelación
•	Motivo de Cancelación
•	CFDI Reemplaza
•	Número de serie de la e.firma o CSD
•	Sello digital SAT
Esta opción solo será visible en la barra de acciones, cuando exista un acuse de solicitud de cancelación CFDI y se podrá realizar la descargar en formato PDF.
</t>
  </si>
  <si>
    <t>CP12-Acciones Recuperar Acuse Solicitud Cancelación</t>
  </si>
  <si>
    <t>1.- Seleccionar un registro y dar clic en la imagen 
Recuperar acuse de solicitud de cancelación (RN13)
Para este caso de prueba, los resultados deben incluir un comprobante cuya cancelación esté en proceso</t>
  </si>
  <si>
    <t xml:space="preserve">Se descarga el PDF que contendrá la siguiente información:
•	Fecha y hora de solicitud
•	RFC Emisor
•	Folio Fiscal
•	Estatus de Proceso de Cancelación
•	Motivo de Cancelación
•	CFDI Reemplaza
•	Número de serie de la e.firma o CSD 
•	Sello digital SAT
Esta opción solo será visible en la barra de acciones, cuando exista un acuse de solicitud de cancelación CFDI y se podrá realizar la descargar en formato PDF
</t>
  </si>
  <si>
    <t xml:space="preserve">CP13-Detalle CFDI (Ver detalle) </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</si>
  <si>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</si>
  <si>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 xml:space="preserve">Con esta opción en la barra de acciones se podrá descargar el detalle del CFDI en formato PDF. 
El PDF contendrá la siguiente información:
•	Folio Fiscal.
•	Fecha y hora de Expedición.
•	Fecha y hora de Certificación.
•	Nombre o Razón Social del Receptor.
•	RFC del Receptor.
•	Estado del Comprobante.
•	Efecto del Comprobante.
•	Moneda.
•	Monto Total.
•	Total Impuestos Trasladados.
•Total de Impuestos retenidos.
</t>
  </si>
  <si>
    <t xml:space="preserve">CP14-Detalle CFDI (Ver detalle) </t>
  </si>
  <si>
    <t xml:space="preserve">El sistema muestra las opciones:
- Folio Fiscal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t>
  </si>
  <si>
    <t>Ingresa los datos:
Obligatorios
•	Fecha Inicial de Emisión (*)
•	Fecha Final de Emisión (*)
Opcionales
•	RFC Receptor.
•	RFC a cuenta terceros 
•	Estado del Comprobante 
•	Tipo de Comprobante(Complemento)
•Estatus cancelación</t>
  </si>
  <si>
    <t>CP15-Descargar</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</si>
  <si>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</si>
  <si>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Con esta opción en la barra de acciones el usuario debe permitir la descarga del archivo XML relacionada al registro, generando una ventana emergente que indique que el XML se encuentra en proceso de descarga.
Esta descarga se realiza uno a uno, contemplando el límite diario establecido para los archivos XML (RN14).
El sistema debe nombrar los archivos descargados de cada CFDI igual que el número de folio fiscal.</t>
  </si>
  <si>
    <t>CP16-Descargar</t>
  </si>
  <si>
    <t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t>
  </si>
  <si>
    <t>CP17-Recuperar Representación Impresa</t>
  </si>
  <si>
    <t xml:space="preserve">Con esta opción el usuario podrá descargar de manera individual la representación impresa del CFDI.
Esta descarga se realiza uno a uno, contemplando el límite diario establecido para los archivos PDF en su RI. (RN14, RN15).
</t>
  </si>
  <si>
    <t>CP18-Recuperar Representación Impresa</t>
  </si>
  <si>
    <t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t>
  </si>
  <si>
    <t>CP19-Recuperar Representación Impresa Complemento Carta Porte</t>
  </si>
  <si>
    <t xml:space="preserve">Con esta opción el usuario podrá descargar de manera individual la representación impresa del CFDI del Complemento Carta Porte
Esta descarga se realiza uno a uno, </t>
  </si>
  <si>
    <t>CP20-Recuperar Representación Impresa Complemento Carta Porte</t>
  </si>
  <si>
    <t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t>
  </si>
  <si>
    <t>1.- Seleccionar un registro y dar clic en la imagen 
Recuperar Representación Impresa Complemento Carta Porte
Para este caso de prueba, los resultados deben incluir un comprobante que tenga el complemento Carta Porte</t>
  </si>
  <si>
    <t>Con esta opción el usuario podrá descargar de manera individual la representación impresa del CFDI del Complemento Carta Porte
Esta descarga se realiza uno a uno</t>
  </si>
  <si>
    <t>CP21-Integrar Addenda</t>
  </si>
  <si>
    <t xml:space="preserve">Dar clic en la imagen 
Integrar Addenda </t>
  </si>
  <si>
    <t>El sistema muestra una pantalla modal para anexar una archivo .xml.
El sistema permite anexar un archivo XML en una pantalla modal, para adicionar información de proveedores o consumidores, como el número de orden de compra, la entrega de bienes, la fijación de precios etc. La addenda permite agregar información sin necesidad de modificar los comprobantes fiscales. (RN21)</t>
  </si>
  <si>
    <t xml:space="preserve">El sistema integra el archivo .xml
</t>
  </si>
  <si>
    <t>CP22-Integrar Addenda</t>
  </si>
  <si>
    <t xml:space="preserve">Ingresa los datos:
Obligatorios
•	Fecha Inicial de Emisión (*)
•	Fecha Final de Emisión (*)
Opcionales
•	RFC Receptor.
•	RFC a cuenta terceros 
•	Estado del Comprobante 
•	Tipo de Comprobante ( Complemento) 
•estatus cancelación </t>
  </si>
  <si>
    <t xml:space="preserve">1.- Seleccionar un registro y dar clic en la imagen 
Integrar Addenda </t>
  </si>
  <si>
    <t>CP23-Botón Descargar Seleccionados</t>
  </si>
  <si>
    <t>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"Estado de comprobante" es "cancelado". Los valores que muestra el estatus de cancelación son: cancelado con aceptación, cancelado sin aceptación, plazo vencido. 
•	Botón “Buscar CFDI” Al dar clic en el botón el aplicativo muestra los resultados conforme a los criterios de búsqueda seleccionados previamente (RN06, RN07, RN08, RN09, RN10, RN11).
Aplica (RN08 – Inciso b, d)</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</si>
  <si>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t>
  </si>
  <si>
    <t>Marcar los registros que se quieren obtener  y dar clic en el botón "Descargar Seleccionados"</t>
  </si>
  <si>
    <t>Al momento de seleccionar está opción el sistema:
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(RN16). 
2.-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Si no se realiza una selección y se da clic en el botón “Descargar seleccionados”, el sistema presenta en pantalla un mensaje de alerta “¿Atención! Favor de seleccionar registro(s)”.
Con esta opción el Contribuyente podrá descargar de manera masiva los XML de los CFDI que previamente seleccione del resultado de la búsqueda. 
El archivo ZIP correspondiente a la descarga masiva, debe contener los archivos XML seleccionados (RN17, RN18).</t>
  </si>
  <si>
    <t>Se descarga un archivo zip donde vienen los archivos en formato XML que se hayan seleccionado
El sistema debe nombrar los archivos descargados de cada CFDI igual que el número de folio fiscal.</t>
  </si>
  <si>
    <t>CP24-Botón Descargar Seleccionados</t>
  </si>
  <si>
    <t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
</t>
  </si>
  <si>
    <t>Selecciona el registro  y da clic en el botón "Descargar Seleccionados"</t>
  </si>
  <si>
    <t>CP25-Botón Seleccionados RI</t>
  </si>
  <si>
    <t xml:space="preserve">El sistema muestra las opciones:
 - Factura Electrónica
 - Retenciones e Inf. de Pagos
</t>
  </si>
  <si>
    <t xml:space="preserve">El sistema muestra las siguientes opciones:
-Consultar Facturas Emitidas
-Consulta Facturas Recibidas
-Recuperar Descargas de CFDI
-Consultar Solicitudes de Cancelación
El Usuario previamente se autenticó  y accedió al Portal Privado Contribuyente CFDI
</t>
  </si>
  <si>
    <t>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
Aplica (RN08 b y d)</t>
  </si>
  <si>
    <t>Marcar los registros que se quieren obtener  y dar clic en el botón "Descargar Seleccionados RI"</t>
  </si>
  <si>
    <t>Al momento de seleccionar está opción el aplicativo debe generar una petición al servicio de descarga masiva, con un identificador denominado “Folio de descarga”, el cual podrá ser consultado desde la funcionalidad del botón “Recuperar descargas de CFDI” (RN14, RN16). .
El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Al momento de realizar la descarga masiva de archivos RI deben ser nombrados con el folio fiscal del CFDI que le corresponda.</t>
  </si>
  <si>
    <t>Se descarga un archivo zip donde vienen los archivos en formato PDF que se hayan seleccionado
El sistema debe nombrar los archivos descargados de cada CFDI igual que el número de folio fiscal.</t>
  </si>
  <si>
    <t>CP26-Botón Descargar Metadata</t>
  </si>
  <si>
    <t xml:space="preserve">El sistema muestra las siguientes opciones:
-Consultar Facturas Emitidas
-Consulta Facturas Recibidas
-Recuperar Descargas de CFDI
-Consultar Solicitudes de Cancelación
El Usuario previamente se autenticó  y accedió al Portal Privado Contribuyente CFDI
</t>
  </si>
  <si>
    <t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
</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</si>
  <si>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t>
  </si>
  <si>
    <t>Dar clic en el botón "Descargar Metadata"</t>
  </si>
  <si>
    <t>Al seleccionar este botón se debe generar una petición al servicio de descarga masiva de la metada de los CFDI que resultaron de la consulta, a través de un archivo de texto plano comprimido en formato ZIP, este paquete contará con un identificador denominado “Folio de descarga”, el cual podrá ser consultado desde la funcionalidad del botón “Recuperar descargas de CFDI” (RN17, RN18).
El sistema mostrará el “Folio de Descarga” con el siguiente mensaje:
¡Descarga realizada con éxito!
“La descarga de metadatos se encuentra en proceso y podrás obtener el resultado con el folio de descarga: XXXXXXX-XXXX-XXXX-XXXX-XXXXXXXXXXX, en la opción: Recuperar descargas de CFDI.
Importante: el tiempo máximo para atender la solicitud es de 48 horas a partir de este momento.
El archivo de texto plano debe de contener los datos de la metadata para los CFDI que corresponden al resultado de la consulta y que se visualizan en pantalla.
Se descarga un archivo txt donde se muestra el detalle de los 
comprobantes separados por el carácter “~”.
Uuid~RfcEmisor~NombreEmisor~RfcReceptor~NombreReceptor~RfcPac~FechaEmision~FechaCertificacionSat~Monto~EfectoComprobante~Estatus~FechaCancelacion</t>
  </si>
  <si>
    <t xml:space="preserve">Se descarga un archivo zip. (RN17,RN18)
Se descarga un archivo txt donde se muestra el detalle de los comprobantes separados por el carácter “~”.
Uuid~RfcEmisor~NombreEmisor~RfcReceptor~NombreReceptor~RfcPac~FechaEmision~FechaCertificacionSat~Monto~EfectoComprobante~Estatus~FechaCancelacion
</t>
  </si>
  <si>
    <t>CP27-Botón Descargar Metadata</t>
  </si>
  <si>
    <t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
</t>
  </si>
  <si>
    <t xml:space="preserve">CP28-Botón Exportar Resultados a PDF </t>
  </si>
  <si>
    <t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
</t>
  </si>
  <si>
    <t>Dar clic en el botón "Exportar Resultados a PDF "</t>
  </si>
  <si>
    <t>Al seleccionar este botón se debe abrir una ventana emergente que indique que el PDF se encuentra en proceso de descarga. 
El archivo PDF debe contener los CFDI que corresponden al resultado de la consulta y que se visualizan en pantalla
Los datos para visualizar por cada Folio Fiscal serán: 
Datos del CFDI: 
•	Folio Fiscal.
•	RFC Emisor.
•	Nombre o Razón Social.
•	RFC Receptor.
•	Nombre o Razón Social.
•	Total.
•	PAC que certificó.
•	Fecha Emisión.
•	Fecha Certificación.
•	Estado del Comprobante.
•	Efecto del Comprobante.
•	Motivo.
•	Folio de Sustitución.
El Reporte de Resultados a PDF
Deberá contar con las siguientes características: 
•	Logos del SAT y Hacienda vigentes, con el nombre de la institución: ‘Servicio de Administración Tributaria’ y el nombre del aplicativo ‘Consulta CFDI’ al centro de la página.
La información que se muestra en el archivo pdf, será toda la relativa a cada CFDI, en caso de que en alguna columna no se tenga información no se mostrará.</t>
  </si>
  <si>
    <t xml:space="preserve">CP29-Botón Exportar Resultados a PDF </t>
  </si>
  <si>
    <t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
</t>
  </si>
  <si>
    <t>CP30-Cancelar seleccionados - Servicio de firmado en el proceso de cancelaciones.</t>
  </si>
  <si>
    <t>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
Aplica (RN08 – Inciso b, d)</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</si>
  <si>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t>
  </si>
  <si>
    <t>Dar clic en el botón "Cancelar seleccionados "</t>
  </si>
  <si>
    <t>Al momento de realizar la cancelación de un CFDI, el sistema va a mostrar una pantalla modal donde se mostrará el listado con los motivos de cancelación (RN20).
•	Clave 01 - Comprobante emitido con errores con relación
•	Clave 02 - Comprobante emitido con errores sin relación
•	Clave 03 – No se llevó a cabo la operación
•	Clave 04 – Operación nominativa relacionada en la factura global 
Dependiendo del motivo de cancelación seleccionado, el sistema va a aplicar un flujo diferente para cada uno de ellos. Para mayor referencia consultar el archivo anexo: NAD_PortalPrivado_Cancelaciones VF.docx”</t>
  </si>
  <si>
    <t xml:space="preserve">El sistema para realizar la cancelación con el motivo “02”, solicita las credenciales de la firma electrónica o Certificado de Sello Digital (CSD). 
</t>
  </si>
  <si>
    <t xml:space="preserve"> Una vez ingresadas  las credenciales de la firma electrónica o Certificado de Sello Digital (CSD). El sistema solicita una confirmación "Seguro desea cancelar la selección"
Nota: Es sistema homologa dentro del proceso de cancelación, la forma en que se obtiene el RFC desde el certificado, con el objetivo que el valor que se extrae sea el correcto y permita la cancelación y que no difiera en su implementación del lado del cliente y del servidor. 
Aplica las Reglas de Negocio: RN22 Servicio de firmado en el proceso de cancelaciones.
</t>
  </si>
  <si>
    <t xml:space="preserve">El sistema al detectar la confirmación exitosa muestra el mensaje: “Cancelando comprobante”.
Una vez que finaliza el proceso de cancelación el sistema redirecciona a una pantalla donde se muestra el mensaje "Solicitud recibida" y se descarga el acuse de cancelación acusecancelacion.pdf
</t>
  </si>
  <si>
    <t xml:space="preserve">
Ver CP:
CP09 /Facturas Emitidas/Acciones/ Recuperar Acuse Estatus Final</t>
  </si>
  <si>
    <t>CP31-Cancelar seleccionados - Servicio de firmado en el proceso de cancelaciones.</t>
  </si>
  <si>
    <t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
</t>
  </si>
  <si>
    <t>Seleccionar el registro y dar clic en el botón "Cancelar seleccionados "</t>
  </si>
  <si>
    <t xml:space="preserve">
Ver CP:
CP09 /Facturas Emitidas/FolioFiscal/Acciones/ Recuperar Acuse Estatus Final</t>
  </si>
  <si>
    <t>CP32-Facturas Recibidas - Por Folio Fiscal</t>
  </si>
  <si>
    <t xml:space="preserve">El sistema muestra las opciones:
- Folio Fiscal * (está opción esta habilitada por default)
Los siguientes campos se muestran deshabilitados:
- Año*
- Mes*
- Día
-Hora Inicial
-Hora Final
-RFC Emisor (RN04)
- RFC a cuenta terceros
- Estado del Comprobante
- Tipo de Comprobante (Complemento) (RN03)
-Estatus cancelación
*campos obligatorios
Opción: Buscar CFDI
</t>
  </si>
  <si>
    <t>El sistema muestra los datos que se van ingresando
Aplica las Reglas de Negocio: (RN08 – Inciso c,d).</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</si>
  <si>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</si>
  <si>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CP33-Facturas Recibidas - Periodo Fechas</t>
  </si>
  <si>
    <t xml:space="preserve">El sistema muestra las opciones:
- Folio Fiscal * (está opción esta habilitada por default)
Los siguientes campos se muestran deshabilitados:
•	Año (*)
•	Mes (*)
•	Día.
•	Hora Inicial.
•	Hora Final.
•	RFC Emisor 
•	RFC a cuenta terceros 
•	Estado del Comprobante
•	Tipo de Comprobante (complemento)
•Estatus cancelación
</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</si>
  <si>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	Estatus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</si>
  <si>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t>
  </si>
  <si>
    <t>CP34-Recuperar acuse estatus final de Cancelación</t>
  </si>
  <si>
    <t xml:space="preserve">El sistema muestra las siguientes opciones:
-Consultar Facturas Recibidas
-Consulta Facturas Recibidas
-Recuperar Descargas de CFDI
-Consultar Solicitudes de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</si>
  <si>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</si>
  <si>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El sistema comienza la descarga del acuse de cancelación
El acuse de cancelación se conforma:
•	Folio Fiscal
•	RFC Receptor
•	RFC Emisor
•	Estado CFDI
•	Estado de Cancelación
•	Motivo de Cancelación
•	Número de serie de la e.firma o CSD 
•	Fecha de solicitud de la cancelación
•	Mensaje de Error
•	Fecha
•	Sello digital SAT</t>
  </si>
  <si>
    <t>CP35-Recuperar acuse estatus final de Cancelación</t>
  </si>
  <si>
    <t xml:space="preserve">El sistema muestra las opciones:
- Folio Fiscal * (está opción esta habilitada por default)
Los siguientes campos se muestran deshabilitados:
	Año (*)
•	Mes (*)
•	Día.
•	Hora Inicial.
•	Hora Final.
•	RFC Emisor 
•	RFC a cuenta terceros 
•	Estado del Comprobante
•	Tipo de Comprobante 
•Estatus cancelación
</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</si>
  <si>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	Estatus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</si>
  <si>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t>
  </si>
  <si>
    <t>Dar clic en la imagen en 
Recuperar acuse estatus final.   
(Visible solo cuando contenga acuse)
Para este caso de prueba, los resultados deben incluir un comprobante que tenga un acuse.</t>
  </si>
  <si>
    <t xml:space="preserve">CP36-Recuperar acuse de solicitud de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</si>
  <si>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</si>
  <si>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El sistema comienza la descarga del acuse de solicitud de cancelación
El acuse de solicitud de cancelación se conforma:
•	Fecha y hora de solicitud
•	RFC Emisor
•	Folio Fiscal
•	Estatus de Proceso de Cancelación
•	Motivo de Cancelación
•	CFDI Reemplaza
•	Número de serie de la e.firma o CSD 
•	Sello digital SAT</t>
  </si>
  <si>
    <t xml:space="preserve">CP37-Recuperar acuse de solicitud de cancelación  </t>
  </si>
  <si>
    <t xml:space="preserve">El sistema muestra las opciones:
- Folio Fiscal * (está opción esta habilitada por default)
Los siguientes campos se muestran deshabilitados:
	Año (*)
•	Mes (*)
•	Día.
•	Hora Inicial.
•	Hora Final.
•	RFC Emisor 
•	RFC a cuenta terceros 
•	Estado del Comprobante
•	Tipo de Comprobante
•Estatus cancelación
</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</si>
  <si>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(RN03).
•	Estatus Cancelación 
</t>
  </si>
  <si>
    <t>Dar clic en la imagen en 
Recuperar acuse de solicitud de cancelación.
(Visible solo cuando contenga acuse de solicitud)
Para este caso de prueba, los resultados deben incluir un comprobante que tenga la solicitud de cancelación de un comprobante.</t>
  </si>
  <si>
    <t xml:space="preserve">CP38-Detalle CFDI (Ver detalle) </t>
  </si>
  <si>
    <t xml:space="preserve">El sistema muestra las siguientes opciones:
-Consultar Facturas Emitidas 
-Consulta Facturas Recibidas
-Recuperar Descargas de CFDI
-Consultar Solicitudes de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</si>
  <si>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</si>
  <si>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 xml:space="preserve">Con esta opción en la barra de acciones se podrá descargar el detalle del CFDI en formato PDF. 
El PDF contendrá la siguiente información:
•	Folio Fiscal.
•	Fecha y hora de Expedición.
•	Fecha y hora de Certificación.
•	Nombre o Razón Social del Receptor.
•	RFC del Receptor.
•	Estado del Comprobante.
•	Efecto del Comprobante.
•	Moneda.
•	Monto Total.
•	Total de impuesto trasladado
•Total de impuesto retenido
</t>
  </si>
  <si>
    <t xml:space="preserve">CP39-Detalle CFDI (Ver detalle) </t>
  </si>
  <si>
    <t xml:space="preserve">El sistema muestra las opciones:
- Folio Fiscal * (está opción esta habilitada por default)
Los siguientes campos se muestran deshabilitados:
	Año (*)
•	Mes (*)
•	Día.
•	Hora Inicial.
•	Hora Final.
•	RFC Emisor 
•	RFC a cuenta terceros 
•	Estado del Comprobante
•	Tipo de Comprobante (complemento)
•Estatus  cancelación
</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</si>
  <si>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Comprobante(complemento)   (RN03).
•	Estatus Cancelación 
</t>
  </si>
  <si>
    <t xml:space="preserve">Se selecciona un comprobante y se da clic en la imagen Detalle CFDI (Ver detalle) </t>
  </si>
  <si>
    <t>CP40-Descargar</t>
  </si>
  <si>
    <t xml:space="preserve">El sistema muestra las siguientes opciones:
-Consulta Facturas Emitidas
-Consulta Facturas Recibidas
-Recuperar Descargas de CFDI
-Consultar Solicitudes de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</si>
  <si>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</si>
  <si>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Dar clic en la imagen Descargar</t>
  </si>
  <si>
    <t>CP41-Descargar</t>
  </si>
  <si>
    <t xml:space="preserve">El sistema muestra las opciones:
- Folio Fiscal * (está opción esta habilitada por default)
Los siguientes campos se muestran deshabilitados:
•	Año (*)
•	Mes (*)
•	Día.
•	Hora Inicial.
•	Hora Final.
•	RFC Emisor 
•	RFC a cuenta terceros 
•	Estado del Comprobante 
•	Tipo de Comprobante(complemento)
•Estatus  cancelación
</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</si>
  <si>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Comprobante(complemento)   (RN03).
•	Estatus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</si>
  <si>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t>
  </si>
  <si>
    <t>Seleccionar un comprobante y dar clic en la imagen 
Descargar</t>
  </si>
  <si>
    <t>CP42-Recuperar Representación Impresa</t>
  </si>
  <si>
    <t xml:space="preserve">El sistema muestra las siguientes opciones:
-Consulta Facturas Emitidas 
-Consulta Facturas Recibidas
-Recuperar Descargas de CFDI
-Consultar Solicitudes de Cancelación
</t>
  </si>
  <si>
    <t>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</si>
  <si>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CP43-Recuperar Representación Impresa</t>
  </si>
  <si>
    <t xml:space="preserve">El sistema muestra las opciones:
- Folio Fiscal * (está opción esta habilitada por default)
Los siguientes campos se muestran deshabilitados:
	Año (*)
•	Mes (*)
•	Día.
•	Hora Inicial.
•	Hora Final.
•	RFC Emisor 
•	RFC a cuenta terceros 
•	Estado del Comprobante
•	Tipo de Comprobante (complemento) 
•Estatus  cancelación
</t>
  </si>
  <si>
    <t xml:space="preserve">Seleccionar comprobante y dar clic en la imagen 
Recuperar Representación Impresa. </t>
  </si>
  <si>
    <t xml:space="preserve">CP44-Recuperar Representación Impresa Complemento Carta Porte </t>
  </si>
  <si>
    <t xml:space="preserve">El sistema muestra las siguientes opciones:
-Consultar Facturas Emitidas
-Consulta Facturas Recibidas
-Recuperar Descargas de CFDI
-Consultar Solicitudes de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</si>
  <si>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</si>
  <si>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 xml:space="preserve">El sistema comienza la descarga de la  Representación Impresa Complemento Carta Porte 
</t>
  </si>
  <si>
    <t xml:space="preserve">CP45-Recuperar Representación Impresa Complemento Carta Porte </t>
  </si>
  <si>
    <t xml:space="preserve">El sistema muestra las opciones:
- Folio Fiscal * (está opción esta habilitada por default)
Los siguientes campos se muestran deshabilitados:
	Año (*)
•	Mes (*)
•	Día.
•	Hora Inicial.
•	Hora Final.
•	RFC Emisor 
•	RFC a cuenta terceros 
•	Estado del Comprobante
•	Tipo de Comprobante (complemento) 
•Estatus cancelación
</t>
  </si>
  <si>
    <t>CP46-Botón Descargar Seleccionados</t>
  </si>
  <si>
    <t xml:space="preserve">El sistema muestra las siguientes opciones:
-Consulta Facturas emitidas
-Consulta Facturas Recibidas
-Recuperar Descargas de CFDI
-Consultar Solicitudes de Cancelación
</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</si>
  <si>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</si>
  <si>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t>
  </si>
  <si>
    <t xml:space="preserve">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(RN16).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Si no se realiza una selección y se da clic en el botón “Descargar seleccionados”, el sistema presenta en pantalla un mensaje de alerta “¿Atención! Favor de seleccionar registro(s)”.
El archivo ZIP correspondiente a la descarga masiva, debe contener los archivos XML seleccionados (RN17, RN18).
Con esta opción el Contribuyente podrá descargar de manera masiva los XML de los CFDI que previamente seleccione del resultado de la búsqueda. </t>
  </si>
  <si>
    <t>Se descarga un archivo zip donde vienen los archivos en formato XML que se hayan seleccionado. (RN17, RN18)
El sistema debe nombrar los archivos descargados de cada CFDI igual que el número de folio fiscal.</t>
  </si>
  <si>
    <t>CP47-Botón Descargar Seleccionados</t>
  </si>
  <si>
    <t xml:space="preserve">El sistema muestra las opciones:
- Folio Fiscal * (está opción esta habilitada por default)
Los siguientes campos se muestran deshabilitados:
- Año*
- Mes*
- Día
-Hora Inicial
-Hora Final
- RFC a cuenta terceros
-RFC Emisor (RN04)
- Estado del Comprobante
- Tipo de Comprobante (Complemento) (RN03)
-Estatus cancelación 
*campos obligatorios
Opción: Buscar CFDI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</si>
  <si>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t>
  </si>
  <si>
    <t>Seleccionar el registro y dar clic en el botón "Descargar Seleccionados"</t>
  </si>
  <si>
    <t>CP48-Botón Descargar Seleccionados RI</t>
  </si>
  <si>
    <t xml:space="preserve">El sistema muestra las siguientes opciones:
-Consulta Facturas Emitidas 
-Consulta Facturas Recibidas
-Recuperar Descargas de CFDI
-Consultar Solicitudes de Cancelación
</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</si>
  <si>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t>
  </si>
  <si>
    <t xml:space="preserve">Al momento de seleccionar está opción el aplicativo debe generar una petición al servicio de descarga masiva,  con un identificador denominado “Folio de descarga”, el cual podrá ser consultado desde la funcionalidad del botón “Recuperar descargas de CFDI” (RN16). 
El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t>
  </si>
  <si>
    <t>CP49-Botón Descargar Metadata</t>
  </si>
  <si>
    <t xml:space="preserve">El sistema muestra las siguientes opciones:
-Consulta Facturas Emitidas 
-Consultar Facturas Recibidas
-Recuperar Descargas de CFDI
-Consultar Solicitudes de Cancelación
El Usuario previamente se autenticó  y accedió al Portal Privado Contribuyente CFDI
</t>
  </si>
  <si>
    <t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t>
  </si>
  <si>
    <t>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t>
  </si>
  <si>
    <t>Al seleccionar este botón se debe generar una petición al servicio de descarga masiva de la metada de los CFDI que resultaron de la consulta, a través de un archivo de texto plano comprimido en formato ZIP, este paquete contará con un identificador denominado “Folio de descarga”, el cual podrá ser consultado desde la funcionalidad del botón “Recuperar descargas de CFDI”.(RN17, RN18)
El sistema enviara el siguiente mensaje: 
¡Descarga realizada con éxito!
“La descarga de metadatos se encuentra en proceso y podrás obtener el resultado con el folio de descarga: XXXXXXX-XXXX-XXXX-XXXX-XXXXXXXXXXX, en la opción: Recuperar descargas de CFDI.
Importante: el tiempo máximo para atender la solicitud es de 48 horas a partir de este momento.
El archivo de texto plano debe de contener los datos de la metadata para los CFDI que corresponden al resultado de la consulta y que se visualizan en pantalla.
Se descarga un archivo txt donde se muestra el detalle de los 
comprobantes separados por el carácter “~”.
Uuid~RfcEmisor~NombreEmisor~RfcReceptor~NombreReceptor~RfcPac~FechaEmision~FechaCertificacionSat~Monto~EfectoComprobante~Estatus~FechaCancelacion</t>
  </si>
  <si>
    <t xml:space="preserve">Se descarga un archivo zip. (RN17, RN18)
Se descarga un archivo txt donde se muestra el detalle de los comprobantes separados por el carácter “~”.
Uuid~RfcEmisor~NombreEmisor~RfcReceptor~NombreReceptor~RfcPac~FechaEmision~FechaCertificacionSat~Monto~EfectoComprobante~Estatus~FechaCancelacion
</t>
  </si>
  <si>
    <t>CP50-Botón Descargar Metadata</t>
  </si>
  <si>
    <t xml:space="preserve">El sistema muestra las opciones:
- Folio Fiscal * (está opción esta habilitada por default)
Los siguientes campos se muestran deshabilitados:
- Año*
- Mes*
- Día
-Hora Inicial
-Hora Final
- RFC a cuenta terceros
-RFC Emisor (RN04)
- Estado del Comprobante
- Tipo de Comprobante (Complemento) (RN03)
-Estatus cancelación
*campos obligatorios
Opción: Buscar CFDI
</t>
  </si>
  <si>
    <t>CP51-Exportar Resultados a PDF</t>
  </si>
  <si>
    <t xml:space="preserve">El sistema muestra las siguientes opciones:
-Consulta Facturas Emitidas
-Consulta Facturas Recibidas
-Recuperar Descargas de CFDI
-Consultar Solicitudes de Cancelación
</t>
  </si>
  <si>
    <t xml:space="preserve">El sistema muestra las siguientes opciones de búsqueda:
- Folio Fiscal
- Periodo de Fechas
la opción de Folio se habilita por default
</t>
  </si>
  <si>
    <t xml:space="preserve">El sistema debe mostrar deshabilitados  los siguientes parámetros de búsqueda cuando la busqueda es por folio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t>
  </si>
  <si>
    <t>Al seleccionar este botón se debe abrir una ventana emergente que indique que el PDF se encuentra en proceso de descarga.  
El PDF contiene el siguiente formato:
Datos del CFDI: 
•	Folio Fiscal
•	RFC Emisor
•	Nombre o Razón Social
•	RFC Receptor
•	Nombre o Razón Social
•	Total
•	PAC que certificó
•	Fecha Emisión
•	Fecha Certificación
•	Estado del Comprobante
•	Efecto del Comprobante
•	Motivo
•	Folio de Sustitución.
El Reporte de Resultados a PDF, deberá contar con las siguientes características: 
•	Logos del SAT y Hacienda vigentes, con el nombre de la institución: ‘Servicio de Administración Tributaria’ y el nombre del aplicativo ‘Consulta CFDI’ al centro de la página.</t>
  </si>
  <si>
    <t>CP52-Exportar Resultados a PDF</t>
  </si>
  <si>
    <t>CP53-Recuperar descargas CFDI</t>
  </si>
  <si>
    <t>En dado caso que si existan peticiones en proceso se muestran los registros de descarga con la siguiente estructura (RN19):
•	Descargar Paquete
•	Folio de Descarga
•	RFC Contribuyente
•	Tipo Descarga
•	Cantidad de Documentos
•	Fecha de la Solicitud de descarga
Aplica Regla de Negocio: (RN19)
Exponiendo la nota: “En esta consulta se podrán recuperar solicitudes de descargas de CFDI y Metadata de los últimos 3 días”, con la opción Cerrar la cual cerrará dicha pantalla mostrando la pantalla de búsqueda con los datos ingresados.</t>
  </si>
  <si>
    <t>El sistema inicia el proceso de descarga del archivo seleccionado en formato XML.
El aplicativo debe permitir la descarga de los paquetes con el icono de “Descargar”  , generando una ventana emergente con un archivo ZIP con la información correspondiente.</t>
  </si>
  <si>
    <t>CP54-Recuperar descargas sin registros</t>
  </si>
  <si>
    <t xml:space="preserve">El sistema valida si hay peticiones pendientes, en caso de que nos existan peticiones en proceso muestra el siguiente mensaje “No existen registros de descargas desde los últimos 3 días a la fecha”.
</t>
  </si>
  <si>
    <t>CP55-CHATBOT</t>
  </si>
  <si>
    <t xml:space="preserve">El sistema muestra las opciones en el menú principal.
 - Icono (Búho) CHATBOT OrientaSAT
 - Consulta CFDI
- Generación de CFDI
El Usuario previamente se autenticó  y accedió al Portal Privado Contribuyente CFDI
Servicio de Orienta SAT se activa dentro de la páginas Portal Privado Contribuyente CFDI con el objetivo de recibir asesoría para el cumplimiento de las obligaciones fiscales a través de un medio electrónico atendido por un asesor.  
</t>
  </si>
  <si>
    <t xml:space="preserve">El sistema va a desplegar una sub-pantalla para que el contribuyente pueda interactuar y recibir asesoría.
</t>
  </si>
  <si>
    <t xml:space="preserve">El sistema se activa para comenzar a interactuar con un asesor.
</t>
  </si>
  <si>
    <t>CP56-ENCABEZADO DEL APLICATIVO</t>
  </si>
  <si>
    <t xml:space="preserve">Se muestran los datos para ingresar:
Certificado (.cer)
Clave privada (.Key)
Contraseña de clave privada: 
Se muestra el campo RFC
</t>
  </si>
  <si>
    <t xml:space="preserve">Encabezado con lo siguiente:
(Fondo color guinda)
El imagotipo de "Gobierno de Mexico" -Alineado en parte superior izquierda
Link "Tramites" -Alineado a la derecha
Link "Gobierno" 
Boton lupa "Buscador"
(Fondo color ginda obscuro)
"Factura electronica" -Alineado a la izquiera
Boton desplegable "Consulta CFDI" -Alineado a la derecha
Boton desplegable "Generacion de CFDI" -Alineado a la derecha
Logosimbolo horizontal "Gobierno de Mexico"
Está compuesto por las palabras "Gobierno de
México" en tipografía institucional, junto al Escudo
Nacional.
En la versión horizontal, el Escudo Nacional debe
situarse a la izquierda de la frase "Gobierno
de México"
</t>
  </si>
  <si>
    <r>
      <t xml:space="preserve">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t>
    </r>
    <r>
      <rPr>
        <sz val="10"/>
        <color rgb="FF000000"/>
        <rFont val="Noto Sans"/>
        <family val="2"/>
        <charset val="1"/>
      </rPr>
      <t xml:space="preserve">Columnas y resultados de los registros
</t>
    </r>
    <r>
      <rPr>
        <sz val="10"/>
        <rFont val="Noto Sans"/>
        <family val="2"/>
        <charset val="1"/>
      </rPr>
      <t>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t>
    </r>
  </si>
  <si>
    <t xml:space="preserve">El sistema muestra las siguientes opciones del menú:
-Consultar Facturas Emitidas
-Consultar Facturas Recibidas
-Recuperar Descargas de CFDI
-Consultar Solicitudes de Cancelación
</t>
  </si>
  <si>
    <t>El sistema muestra las siguientes opciones del menú:
-Consultar Facturas Emitidas
-Consultar Facturas Recibidas
-Recuperar Descargas de CFDI
-Consultar Solicitudes de Cancelación
-Consulta Incidentes CFDI
-Consulta Incidentes CFDI de Retenciones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</si>
</sst>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47"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Montserrat"/>
    </font>
    <font>
      <sz val="10"/>
      <color rgb="FF0070C0"/>
      <name val="Montserrat"/>
    </font>
    <font>
      <b/>
      <i/>
      <sz val="10"/>
      <color rgb="FF1403EF"/>
      <name val="Montserrat"/>
    </font>
    <font>
      <i/>
      <sz val="10"/>
      <color rgb="FF1403EF"/>
      <name val="Montserrat"/>
    </font>
    <font>
      <sz val="10"/>
      <color rgb="FF1403EF"/>
      <name val="Montserrat"/>
    </font>
    <font>
      <b/>
      <i/>
      <sz val="10"/>
      <color rgb="FF0000FF"/>
      <name val="Montserrat"/>
    </font>
    <font>
      <i/>
      <sz val="10"/>
      <color rgb="FF0000FF"/>
      <name val="Montserrat"/>
    </font>
    <font>
      <b/>
      <sz val="10"/>
      <name val="Montserrat"/>
    </font>
    <font>
      <b/>
      <sz val="10"/>
      <color rgb="FF002060"/>
      <name val="Montserrat"/>
    </font>
    <font>
      <sz val="10"/>
      <color rgb="FF0000FF"/>
      <name val="Montserrat"/>
    </font>
    <font>
      <sz val="10"/>
      <name val="Noto Sans"/>
      <family val="2"/>
      <charset val="1"/>
    </font>
    <font>
      <b/>
      <sz val="10"/>
      <name val="Noto Sans"/>
      <family val="2"/>
      <charset val="1"/>
    </font>
    <font>
      <sz val="10"/>
      <color rgb="FF0000FF"/>
      <name val="Noto Sans"/>
      <family val="2"/>
      <charset val="1"/>
    </font>
    <font>
      <b/>
      <sz val="10"/>
      <color rgb="FF000000"/>
      <name val="Noto Sans"/>
      <family val="2"/>
      <charset val="1"/>
    </font>
    <font>
      <sz val="10"/>
      <color rgb="FF000000"/>
      <name val="Noto Sans"/>
      <family val="2"/>
      <charset val="1"/>
    </font>
    <font>
      <sz val="8"/>
      <color rgb="FF000000"/>
      <name val="Noto Sans"/>
      <family val="2"/>
      <charset val="1"/>
    </font>
    <font>
      <b/>
      <sz val="8"/>
      <color rgb="FF000000"/>
      <name val="Noto Sans"/>
      <family val="2"/>
      <charset val="1"/>
    </font>
    <font>
      <sz val="8"/>
      <name val="Noto Sans"/>
      <family val="2"/>
      <charset val="1"/>
    </font>
    <font>
      <sz val="11"/>
      <name val="Calibri"/>
      <family val="2"/>
      <charset val="1"/>
    </font>
    <font>
      <i/>
      <sz val="10"/>
      <name val="Noto Sans"/>
      <family val="2"/>
      <charset val="1"/>
    </font>
    <font>
      <i/>
      <u/>
      <sz val="10"/>
      <name val="Noto Sans"/>
      <family val="2"/>
      <charset val="1"/>
    </font>
    <font>
      <b/>
      <i/>
      <sz val="10"/>
      <name val="Noto Sans"/>
      <family val="2"/>
      <charset val="1"/>
    </font>
    <font>
      <strike/>
      <sz val="10"/>
      <color rgb="FFFF0000"/>
      <name val="Noto Sans"/>
      <family val="2"/>
      <charset val="1"/>
    </font>
    <font>
      <sz val="10"/>
      <color rgb="FF333F50"/>
      <name val="Noto Sans"/>
      <family val="2"/>
      <charset val="1"/>
    </font>
    <font>
      <sz val="10"/>
      <color rgb="FF70AD47"/>
      <name val="Noto Sans"/>
      <family val="2"/>
      <charset val="1"/>
    </font>
    <font>
      <sz val="10"/>
      <color rgb="FFFF0000"/>
      <name val="Noto Sans"/>
      <family val="2"/>
      <charset val="1"/>
    </font>
    <font>
      <strike/>
      <sz val="10"/>
      <color rgb="FF000000"/>
      <name val="Noto Sans"/>
      <family val="2"/>
      <charset val="1"/>
    </font>
    <font>
      <sz val="10"/>
      <color rgb="FF000000"/>
      <name val="Montserrat"/>
    </font>
    <font>
      <b/>
      <i/>
      <sz val="10"/>
      <color rgb="FF000000"/>
      <name val="Montserrat"/>
    </font>
    <font>
      <b/>
      <sz val="10"/>
      <color rgb="FF000000"/>
      <name val="Montserrat"/>
    </font>
    <font>
      <sz val="9"/>
      <color rgb="FF000000"/>
      <name val="Noto Sans"/>
      <family val="2"/>
      <charset val="1"/>
    </font>
    <font>
      <b/>
      <i/>
      <sz val="9"/>
      <color rgb="FF1403EF"/>
      <name val="Verdana"/>
      <family val="2"/>
      <charset val="1"/>
    </font>
    <font>
      <b/>
      <sz val="8"/>
      <color rgb="FF000000"/>
      <name val="Montserrat"/>
    </font>
    <font>
      <b/>
      <sz val="9"/>
      <color rgb="FF376B48"/>
      <name val="Montserrat"/>
    </font>
    <font>
      <sz val="9"/>
      <color rgb="FF000000"/>
      <name val="Montserrat"/>
    </font>
    <font>
      <b/>
      <sz val="11"/>
      <color rgb="FF000000"/>
      <name val="Montserrat"/>
    </font>
    <font>
      <sz val="6"/>
      <color rgb="FF0000FF"/>
      <name val="Montserrat"/>
    </font>
    <font>
      <sz val="11"/>
      <color rgb="FF000000"/>
      <name val="Montserrat"/>
    </font>
    <font>
      <sz val="7"/>
      <color rgb="FF0000FF"/>
      <name val="Montserrat"/>
    </font>
    <font>
      <b/>
      <sz val="7"/>
      <color rgb="FF0000FF"/>
      <name val="Montserrat"/>
    </font>
    <font>
      <sz val="11"/>
      <color rgb="FF000000"/>
      <name val="Calibri"/>
      <family val="2"/>
      <charset val="1"/>
    </font>
    <font>
      <sz val="10"/>
      <name val="Montserrat"/>
      <charset val="1"/>
    </font>
  </fonts>
  <fills count="13">
    <fill>
      <patternFill patternType="none"/>
    </fill>
    <fill>
      <patternFill patternType="gray125"/>
    </fill>
    <fill>
      <patternFill patternType="solid">
        <fgColor rgb="FF969696"/>
        <bgColor rgb="FFA6A6A6"/>
      </patternFill>
    </fill>
    <fill>
      <patternFill patternType="solid">
        <fgColor rgb="FFC0C0C0"/>
        <bgColor rgb="FFBFBFBF"/>
      </patternFill>
    </fill>
    <fill>
      <patternFill patternType="solid">
        <fgColor rgb="FFF2F2F2"/>
        <bgColor rgb="FFFFFFFF"/>
      </patternFill>
    </fill>
    <fill>
      <patternFill patternType="solid">
        <fgColor rgb="FFFFFFFF"/>
        <bgColor rgb="FFF2F2F2"/>
      </patternFill>
    </fill>
    <fill>
      <patternFill patternType="solid">
        <fgColor rgb="FFA6A6A6"/>
        <bgColor rgb="FF969696"/>
      </patternFill>
    </fill>
    <fill>
      <patternFill patternType="solid">
        <fgColor rgb="FFD9D9D9"/>
        <bgColor rgb="FFC6D9F1"/>
      </patternFill>
    </fill>
    <fill>
      <patternFill patternType="solid">
        <fgColor rgb="FFC6D9F1"/>
        <bgColor rgb="FFD9D9D9"/>
      </patternFill>
    </fill>
    <fill>
      <patternFill patternType="solid">
        <fgColor rgb="FFBFBFBF"/>
        <bgColor rgb="FFC0C0C0"/>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20">
    <border>
      <left/>
      <right/>
      <top/>
      <bottom/>
      <diagonal/>
    </border>
    <border>
      <left/>
      <right/>
      <top style="medium">
        <color auto="1"/>
      </top>
      <bottom style="medium">
        <color auto="1"/>
      </bottom>
      <diagonal/>
    </border>
    <border>
      <left/>
      <right/>
      <top style="thin">
        <color auto="1"/>
      </top>
      <bottom style="thin">
        <color auto="1"/>
      </bottom>
      <diagonal/>
    </border>
    <border>
      <left style="thin">
        <color rgb="FF2C1CFC"/>
      </left>
      <right style="thin">
        <color rgb="FF2C1CFC"/>
      </right>
      <top style="thin">
        <color rgb="FF2C1CFC"/>
      </top>
      <bottom style="thin">
        <color rgb="FF2C1CFC"/>
      </bottom>
      <diagonal/>
    </border>
    <border>
      <left style="thin">
        <color rgb="FF2C1CFC"/>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13">
    <xf numFmtId="0" fontId="0" fillId="0" borderId="0"/>
    <xf numFmtId="0" fontId="1" fillId="0" borderId="0"/>
    <xf numFmtId="164" fontId="45" fillId="0" borderId="0" applyBorder="0" applyProtection="0"/>
    <xf numFmtId="164" fontId="45" fillId="0" borderId="0" applyBorder="0" applyProtection="0"/>
    <xf numFmtId="0" fontId="2" fillId="0" borderId="1" applyProtection="0"/>
    <xf numFmtId="0" fontId="2" fillId="0" borderId="2">
      <alignment horizontal="left" vertical="center"/>
    </xf>
    <xf numFmtId="0" fontId="3" fillId="0" borderId="0"/>
    <xf numFmtId="0" fontId="4" fillId="0" borderId="0"/>
    <xf numFmtId="0" fontId="3" fillId="0" borderId="0"/>
    <xf numFmtId="0" fontId="3" fillId="0" borderId="0"/>
    <xf numFmtId="0" fontId="45" fillId="0" borderId="0"/>
    <xf numFmtId="9" fontId="45" fillId="0" borderId="0" applyBorder="0" applyProtection="0"/>
    <xf numFmtId="9" fontId="45" fillId="0" borderId="0" applyBorder="0" applyProtection="0"/>
  </cellStyleXfs>
  <cellXfs count="124">
    <xf numFmtId="0" fontId="0" fillId="0" borderId="0" xfId="0"/>
    <xf numFmtId="0" fontId="3" fillId="0" borderId="0" xfId="8" applyAlignment="1">
      <alignment wrapText="1"/>
    </xf>
    <xf numFmtId="0" fontId="5" fillId="0" borderId="0" xfId="8" applyFont="1" applyAlignment="1">
      <alignment wrapText="1"/>
    </xf>
    <xf numFmtId="0" fontId="6" fillId="0" borderId="0" xfId="8" applyFont="1" applyAlignment="1">
      <alignment horizontal="center" vertical="center" wrapText="1"/>
    </xf>
    <xf numFmtId="0" fontId="5" fillId="0" borderId="0" xfId="8" applyFont="1" applyAlignment="1">
      <alignment horizontal="center" vertical="center" wrapText="1"/>
    </xf>
    <xf numFmtId="0" fontId="5" fillId="0" borderId="4" xfId="8" applyFont="1" applyBorder="1" applyAlignment="1">
      <alignment wrapText="1"/>
    </xf>
    <xf numFmtId="0" fontId="9" fillId="0" borderId="0" xfId="6" applyFont="1" applyAlignment="1">
      <alignment horizontal="left" wrapText="1"/>
    </xf>
    <xf numFmtId="0" fontId="11" fillId="0" borderId="0" xfId="8" applyFont="1" applyAlignment="1">
      <alignment horizontal="left" vertical="center" wrapText="1"/>
    </xf>
    <xf numFmtId="0" fontId="12" fillId="0" borderId="0" xfId="8" applyFont="1" applyAlignment="1">
      <alignment wrapText="1"/>
    </xf>
    <xf numFmtId="0" fontId="5" fillId="0" borderId="0" xfId="8" applyFont="1" applyAlignment="1">
      <alignment vertical="center" wrapText="1"/>
    </xf>
    <xf numFmtId="0" fontId="13" fillId="0" borderId="0" xfId="8" applyFont="1" applyAlignment="1">
      <alignment horizontal="center" vertical="center" wrapText="1"/>
    </xf>
    <xf numFmtId="0" fontId="15" fillId="0" borderId="0" xfId="8" applyFont="1" applyAlignment="1">
      <alignment wrapText="1"/>
    </xf>
    <xf numFmtId="0" fontId="17" fillId="0" borderId="0" xfId="0" applyFont="1" applyAlignment="1">
      <alignment vertical="center" wrapText="1"/>
    </xf>
    <xf numFmtId="0" fontId="18" fillId="4" borderId="14" xfId="0" applyFont="1" applyFill="1" applyBorder="1" applyAlignment="1">
      <alignment horizontal="center" vertical="center"/>
    </xf>
    <xf numFmtId="49" fontId="19" fillId="0" borderId="14" xfId="0" applyNumberFormat="1" applyFont="1" applyBorder="1" applyAlignment="1">
      <alignment horizontal="center" vertical="center"/>
    </xf>
    <xf numFmtId="0" fontId="19" fillId="0" borderId="14" xfId="0" applyFont="1" applyBorder="1" applyAlignment="1">
      <alignment horizontal="left" vertical="center" wrapText="1"/>
    </xf>
    <xf numFmtId="0" fontId="15" fillId="0" borderId="14" xfId="0" applyFont="1" applyBorder="1" applyAlignment="1">
      <alignment horizontal="left" vertical="center" wrapText="1"/>
    </xf>
    <xf numFmtId="165" fontId="15" fillId="0" borderId="14" xfId="0" applyNumberFormat="1" applyFont="1" applyBorder="1" applyAlignment="1">
      <alignment horizontal="center" vertical="center"/>
    </xf>
    <xf numFmtId="49" fontId="19" fillId="5" borderId="14" xfId="0" applyNumberFormat="1" applyFont="1" applyFill="1" applyBorder="1" applyAlignment="1">
      <alignment horizontal="center" vertical="center"/>
    </xf>
    <xf numFmtId="0" fontId="19" fillId="5" borderId="14" xfId="0" applyFont="1" applyFill="1" applyBorder="1" applyAlignment="1">
      <alignment horizontal="left" vertical="center" wrapText="1"/>
    </xf>
    <xf numFmtId="0" fontId="15" fillId="5" borderId="14" xfId="0" applyFont="1" applyFill="1" applyBorder="1" applyAlignment="1">
      <alignment horizontal="left" vertical="center" wrapText="1"/>
    </xf>
    <xf numFmtId="165" fontId="15" fillId="5" borderId="14" xfId="0" applyNumberFormat="1" applyFont="1" applyFill="1" applyBorder="1" applyAlignment="1">
      <alignment horizontal="center" vertical="center"/>
    </xf>
    <xf numFmtId="0" fontId="20" fillId="0" borderId="0" xfId="0" applyFont="1"/>
    <xf numFmtId="0" fontId="21" fillId="0" borderId="0" xfId="0" applyFont="1" applyAlignment="1">
      <alignment wrapText="1"/>
    </xf>
    <xf numFmtId="0" fontId="21" fillId="6" borderId="0" xfId="0" applyFont="1" applyFill="1" applyAlignment="1">
      <alignment horizontal="center" wrapText="1"/>
    </xf>
    <xf numFmtId="0" fontId="21" fillId="7" borderId="0" xfId="0" applyFont="1" applyFill="1" applyAlignment="1">
      <alignment horizontal="center"/>
    </xf>
    <xf numFmtId="0" fontId="22" fillId="0" borderId="2" xfId="0" applyFont="1" applyBorder="1" applyAlignment="1">
      <alignment wrapText="1"/>
    </xf>
    <xf numFmtId="0" fontId="21" fillId="7" borderId="0" xfId="0" applyFont="1" applyFill="1"/>
    <xf numFmtId="0" fontId="22" fillId="0" borderId="0" xfId="0" applyFont="1" applyAlignment="1">
      <alignment wrapText="1"/>
    </xf>
    <xf numFmtId="0" fontId="21" fillId="7" borderId="0" xfId="0" applyFont="1" applyFill="1" applyAlignment="1">
      <alignment horizontal="left"/>
    </xf>
    <xf numFmtId="0" fontId="23" fillId="0" borderId="0" xfId="0" applyFont="1" applyAlignment="1">
      <alignment wrapText="1"/>
    </xf>
    <xf numFmtId="0" fontId="15" fillId="0" borderId="0" xfId="0" applyFont="1" applyAlignment="1">
      <alignment wrapText="1"/>
    </xf>
    <xf numFmtId="0" fontId="5" fillId="0" borderId="0" xfId="0" applyFont="1" applyAlignment="1">
      <alignment wrapText="1"/>
    </xf>
    <xf numFmtId="0" fontId="15" fillId="0" borderId="14" xfId="0" applyFont="1" applyBorder="1" applyAlignment="1">
      <alignment vertical="center" wrapText="1"/>
    </xf>
    <xf numFmtId="0" fontId="15" fillId="0" borderId="0" xfId="0" applyFont="1" applyAlignment="1">
      <alignment vertical="center" wrapText="1"/>
    </xf>
    <xf numFmtId="0" fontId="5" fillId="0" borderId="0" xfId="0" applyFont="1" applyAlignment="1">
      <alignment vertical="center" wrapText="1"/>
    </xf>
    <xf numFmtId="0" fontId="16" fillId="0" borderId="14" xfId="0" applyFont="1" applyBorder="1" applyAlignment="1">
      <alignment vertical="center" wrapText="1"/>
    </xf>
    <xf numFmtId="0" fontId="16" fillId="0" borderId="0" xfId="0" applyFont="1" applyAlignment="1">
      <alignment vertical="center" wrapText="1"/>
    </xf>
    <xf numFmtId="0" fontId="12" fillId="0" borderId="0" xfId="0" applyFont="1" applyAlignment="1">
      <alignment vertical="center" wrapText="1"/>
    </xf>
    <xf numFmtId="0" fontId="16" fillId="5" borderId="16" xfId="0" applyFont="1" applyFill="1" applyBorder="1" applyAlignment="1">
      <alignment horizontal="left" vertical="center" wrapText="1"/>
    </xf>
    <xf numFmtId="0" fontId="16" fillId="0" borderId="0" xfId="0" applyFont="1" applyAlignment="1">
      <alignment horizontal="left" vertical="center" wrapText="1"/>
    </xf>
    <xf numFmtId="0" fontId="15" fillId="0" borderId="0" xfId="0" applyFont="1" applyAlignment="1">
      <alignment horizontal="justify" vertical="center" wrapText="1"/>
    </xf>
    <xf numFmtId="0" fontId="5" fillId="0" borderId="0" xfId="0" applyFont="1" applyAlignment="1">
      <alignment horizontal="justify" vertical="center" wrapText="1"/>
    </xf>
    <xf numFmtId="0" fontId="5" fillId="0" borderId="0" xfId="0" applyFont="1"/>
    <xf numFmtId="0" fontId="16" fillId="9"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24" fillId="0" borderId="17" xfId="0" applyFont="1" applyBorder="1" applyAlignment="1">
      <alignment vertical="top" wrapText="1"/>
    </xf>
    <xf numFmtId="0" fontId="24" fillId="0" borderId="14" xfId="0" applyFont="1" applyBorder="1" applyAlignment="1">
      <alignment vertical="top" wrapText="1"/>
    </xf>
    <xf numFmtId="0" fontId="24" fillId="4" borderId="17" xfId="0" applyFont="1" applyFill="1" applyBorder="1" applyAlignment="1">
      <alignment vertical="top" wrapText="1"/>
    </xf>
    <xf numFmtId="0" fontId="16" fillId="4" borderId="14" xfId="0" applyFont="1" applyFill="1" applyBorder="1" applyAlignment="1">
      <alignment vertical="center" wrapText="1"/>
    </xf>
    <xf numFmtId="0" fontId="24" fillId="4" borderId="14" xfId="0" applyFont="1" applyFill="1" applyBorder="1" applyAlignment="1">
      <alignment vertical="top" wrapText="1"/>
    </xf>
    <xf numFmtId="0" fontId="26" fillId="4" borderId="14" xfId="0" applyFont="1" applyFill="1" applyBorder="1" applyAlignment="1">
      <alignment vertical="top" wrapText="1"/>
    </xf>
    <xf numFmtId="0" fontId="15" fillId="0" borderId="14" xfId="0" applyFont="1" applyBorder="1" applyAlignment="1">
      <alignment horizontal="center" vertical="center" wrapText="1"/>
    </xf>
    <xf numFmtId="0" fontId="19" fillId="0" borderId="14" xfId="0" applyFont="1" applyBorder="1" applyAlignment="1">
      <alignment vertical="center" wrapText="1"/>
    </xf>
    <xf numFmtId="0" fontId="29" fillId="0" borderId="14" xfId="0" applyFont="1" applyBorder="1" applyAlignment="1">
      <alignment horizontal="center" vertical="center" wrapText="1"/>
    </xf>
    <xf numFmtId="0" fontId="15" fillId="4" borderId="14" xfId="0" applyFont="1" applyFill="1" applyBorder="1" applyAlignment="1">
      <alignment horizontal="left" vertical="center" wrapText="1"/>
    </xf>
    <xf numFmtId="0" fontId="15" fillId="4" borderId="14" xfId="0" applyFont="1" applyFill="1" applyBorder="1" applyAlignment="1">
      <alignment horizontal="justify" vertical="center" wrapText="1"/>
    </xf>
    <xf numFmtId="0" fontId="15" fillId="4" borderId="14" xfId="0" applyFont="1" applyFill="1" applyBorder="1" applyAlignment="1">
      <alignment horizontal="center" vertical="center" wrapText="1"/>
    </xf>
    <xf numFmtId="0" fontId="15" fillId="4" borderId="14" xfId="0" applyFont="1" applyFill="1" applyBorder="1" applyAlignment="1">
      <alignment vertical="center" wrapText="1"/>
    </xf>
    <xf numFmtId="0" fontId="1" fillId="0" borderId="0" xfId="0" applyFont="1" applyAlignment="1">
      <alignment wrapText="1"/>
    </xf>
    <xf numFmtId="0" fontId="15" fillId="0" borderId="14" xfId="0" applyFont="1" applyBorder="1" applyAlignment="1">
      <alignment horizontal="justify" vertical="center" wrapText="1"/>
    </xf>
    <xf numFmtId="0" fontId="15" fillId="0" borderId="0" xfId="0" applyFont="1" applyAlignment="1">
      <alignment horizontal="left" vertical="center" wrapText="1"/>
    </xf>
    <xf numFmtId="0" fontId="15" fillId="0" borderId="0" xfId="0" applyFont="1" applyAlignment="1">
      <alignment horizontal="center" vertical="center" wrapText="1"/>
    </xf>
    <xf numFmtId="0" fontId="16" fillId="4" borderId="14" xfId="0" applyFont="1" applyFill="1" applyBorder="1" applyAlignment="1">
      <alignment vertical="top" wrapText="1"/>
    </xf>
    <xf numFmtId="0" fontId="15" fillId="0" borderId="14" xfId="0" applyFont="1" applyBorder="1" applyAlignment="1">
      <alignment wrapText="1"/>
    </xf>
    <xf numFmtId="0" fontId="16" fillId="4" borderId="17" xfId="0" applyFont="1" applyFill="1" applyBorder="1" applyAlignment="1">
      <alignment vertical="top" wrapText="1"/>
    </xf>
    <xf numFmtId="0" fontId="16" fillId="4" borderId="14" xfId="0" applyFont="1" applyFill="1" applyBorder="1" applyAlignment="1">
      <alignment horizontal="left" vertical="center" wrapText="1"/>
    </xf>
    <xf numFmtId="0" fontId="16" fillId="4" borderId="14" xfId="0" applyFont="1" applyFill="1" applyBorder="1" applyAlignment="1">
      <alignment horizontal="center" vertical="center" wrapText="1"/>
    </xf>
    <xf numFmtId="0" fontId="16" fillId="4" borderId="14" xfId="0" applyFont="1" applyFill="1" applyBorder="1" applyAlignment="1">
      <alignment horizontal="justify" vertical="center" wrapText="1"/>
    </xf>
    <xf numFmtId="0" fontId="16" fillId="0" borderId="14" xfId="0" applyFont="1" applyBorder="1" applyAlignment="1">
      <alignment horizontal="left" vertical="center" wrapText="1"/>
    </xf>
    <xf numFmtId="0" fontId="16" fillId="0" borderId="14" xfId="0" applyFont="1" applyBorder="1" applyAlignment="1">
      <alignment horizontal="center" vertical="center" wrapText="1"/>
    </xf>
    <xf numFmtId="0" fontId="16" fillId="0" borderId="14" xfId="0" applyFont="1" applyBorder="1" applyAlignment="1">
      <alignment horizontal="justify" vertical="center" wrapText="1"/>
    </xf>
    <xf numFmtId="0" fontId="29" fillId="0" borderId="14" xfId="0" applyFont="1" applyBorder="1" applyAlignment="1">
      <alignment vertical="center" wrapText="1"/>
    </xf>
    <xf numFmtId="0" fontId="27" fillId="0" borderId="14" xfId="0" applyFont="1" applyBorder="1" applyAlignment="1">
      <alignment horizontal="justify" vertical="center" wrapText="1"/>
    </xf>
    <xf numFmtId="0" fontId="19" fillId="0" borderId="14" xfId="0" applyFont="1" applyBorder="1" applyAlignment="1">
      <alignment horizontal="center" vertical="center" wrapText="1"/>
    </xf>
    <xf numFmtId="0" fontId="19" fillId="0" borderId="14" xfId="0" applyFont="1" applyBorder="1" applyAlignment="1">
      <alignment horizontal="justify" vertical="center" wrapText="1"/>
    </xf>
    <xf numFmtId="0" fontId="32" fillId="0" borderId="0" xfId="0" applyFont="1"/>
    <xf numFmtId="0" fontId="11" fillId="0" borderId="0" xfId="10" applyFont="1"/>
    <xf numFmtId="0" fontId="8" fillId="0" borderId="0" xfId="10" applyFont="1" applyAlignment="1">
      <alignment vertical="center"/>
    </xf>
    <xf numFmtId="0" fontId="33" fillId="0" borderId="0" xfId="0" applyFont="1" applyAlignment="1">
      <alignment vertical="center"/>
    </xf>
    <xf numFmtId="0" fontId="7" fillId="0" borderId="0" xfId="0" applyFont="1" applyAlignment="1">
      <alignment horizontal="center" vertical="center"/>
    </xf>
    <xf numFmtId="0" fontId="34" fillId="0" borderId="0" xfId="0" applyFont="1" applyAlignment="1">
      <alignment horizontal="right" vertical="center"/>
    </xf>
    <xf numFmtId="0" fontId="32" fillId="0" borderId="0" xfId="0" applyFont="1" applyAlignment="1">
      <alignment horizontal="left" vertical="center"/>
    </xf>
    <xf numFmtId="0" fontId="18" fillId="7" borderId="18" xfId="0" applyFont="1" applyFill="1" applyBorder="1" applyAlignment="1">
      <alignment horizontal="center" vertical="center" wrapText="1"/>
    </xf>
    <xf numFmtId="0" fontId="18" fillId="7" borderId="19" xfId="0" applyFont="1" applyFill="1" applyBorder="1" applyAlignment="1">
      <alignment horizontal="center" vertical="center" wrapText="1"/>
    </xf>
    <xf numFmtId="0" fontId="18" fillId="0" borderId="18" xfId="0" applyFont="1" applyBorder="1" applyAlignment="1">
      <alignment vertical="center" wrapText="1"/>
    </xf>
    <xf numFmtId="0" fontId="18" fillId="0" borderId="19" xfId="0" applyFont="1" applyBorder="1" applyAlignment="1">
      <alignment vertical="center" wrapText="1"/>
    </xf>
    <xf numFmtId="0" fontId="35" fillId="0" borderId="18" xfId="0" applyFont="1" applyBorder="1" applyAlignment="1">
      <alignment vertical="center" wrapText="1"/>
    </xf>
    <xf numFmtId="0" fontId="35" fillId="0" borderId="19" xfId="0" applyFont="1" applyBorder="1" applyAlignment="1">
      <alignment vertical="center" wrapText="1"/>
    </xf>
    <xf numFmtId="0" fontId="19" fillId="0" borderId="18" xfId="0" applyFont="1" applyBorder="1" applyAlignment="1">
      <alignment horizontal="justify" vertical="center" wrapText="1"/>
    </xf>
    <xf numFmtId="0" fontId="36" fillId="0" borderId="0" xfId="0" applyFont="1" applyAlignment="1">
      <alignment vertical="center"/>
    </xf>
    <xf numFmtId="0" fontId="3" fillId="0" borderId="0" xfId="6"/>
    <xf numFmtId="0" fontId="45" fillId="0" borderId="0" xfId="0" applyFont="1"/>
    <xf numFmtId="0" fontId="46" fillId="0" borderId="0" xfId="0" applyFont="1" applyAlignment="1">
      <alignment wrapText="1"/>
    </xf>
    <xf numFmtId="0" fontId="46" fillId="10" borderId="0" xfId="0" applyFont="1" applyFill="1" applyAlignment="1">
      <alignment wrapText="1"/>
    </xf>
    <xf numFmtId="0" fontId="15" fillId="11" borderId="14" xfId="0" applyFont="1" applyFill="1" applyBorder="1" applyAlignment="1">
      <alignment vertical="center" wrapText="1"/>
    </xf>
    <xf numFmtId="0" fontId="15" fillId="12" borderId="14" xfId="0" applyFont="1" applyFill="1" applyBorder="1" applyAlignment="1">
      <alignment vertical="center" wrapText="1"/>
    </xf>
    <xf numFmtId="0" fontId="19" fillId="11" borderId="14" xfId="0" applyFont="1" applyFill="1" applyBorder="1" applyAlignment="1">
      <alignment vertical="center" wrapText="1"/>
    </xf>
    <xf numFmtId="0" fontId="15" fillId="11" borderId="14" xfId="0" applyFont="1" applyFill="1" applyBorder="1" applyAlignment="1">
      <alignment horizontal="left" vertical="center" wrapText="1"/>
    </xf>
    <xf numFmtId="0" fontId="16" fillId="0" borderId="0" xfId="0" applyFont="1" applyAlignment="1">
      <alignment horizontal="center" wrapText="1"/>
    </xf>
    <xf numFmtId="0" fontId="16" fillId="8" borderId="14" xfId="7" applyFont="1" applyFill="1" applyBorder="1" applyAlignment="1">
      <alignment horizontal="center" vertical="center"/>
    </xf>
    <xf numFmtId="0" fontId="7" fillId="0" borderId="3" xfId="6" applyFont="1" applyBorder="1" applyAlignment="1">
      <alignment horizontal="left" vertical="center" wrapText="1"/>
    </xf>
    <xf numFmtId="0" fontId="10" fillId="0" borderId="5" xfId="8" applyFont="1" applyBorder="1" applyAlignment="1">
      <alignment horizontal="left" vertical="center" wrapText="1"/>
    </xf>
    <xf numFmtId="0" fontId="10" fillId="0" borderId="5" xfId="8" applyFont="1" applyBorder="1" applyAlignment="1">
      <alignment horizontal="justify" vertical="center" wrapText="1"/>
    </xf>
    <xf numFmtId="0" fontId="12" fillId="2" borderId="6" xfId="8" applyFont="1" applyFill="1" applyBorder="1" applyAlignment="1">
      <alignment horizontal="center" vertical="center" wrapText="1"/>
    </xf>
    <xf numFmtId="0" fontId="12" fillId="2" borderId="7" xfId="8" applyFont="1" applyFill="1" applyBorder="1" applyAlignment="1">
      <alignment horizontal="center" vertical="center" wrapText="1"/>
    </xf>
    <xf numFmtId="0" fontId="13" fillId="3" borderId="6" xfId="8" applyFont="1" applyFill="1" applyBorder="1" applyAlignment="1">
      <alignment horizontal="center" vertical="center" wrapText="1"/>
    </xf>
    <xf numFmtId="0" fontId="5" fillId="0" borderId="8" xfId="8" applyFont="1" applyBorder="1" applyAlignment="1">
      <alignment horizontal="justify" vertical="center" wrapText="1"/>
    </xf>
    <xf numFmtId="0" fontId="5" fillId="0" borderId="9" xfId="8" applyFont="1" applyBorder="1" applyAlignment="1">
      <alignment horizontal="justify" vertical="center" wrapText="1"/>
    </xf>
    <xf numFmtId="0" fontId="12" fillId="3" borderId="10" xfId="8" applyFont="1" applyFill="1" applyBorder="1" applyAlignment="1">
      <alignment horizontal="center" vertical="center" wrapText="1"/>
    </xf>
    <xf numFmtId="0" fontId="11" fillId="0" borderId="11" xfId="8" applyFont="1" applyBorder="1" applyAlignment="1">
      <alignment horizontal="left" vertical="center" wrapText="1"/>
    </xf>
    <xf numFmtId="0" fontId="13" fillId="3" borderId="12" xfId="8" applyFont="1" applyFill="1" applyBorder="1" applyAlignment="1">
      <alignment horizontal="center" vertical="center" wrapText="1"/>
    </xf>
    <xf numFmtId="0" fontId="12" fillId="2" borderId="13" xfId="8" applyFont="1" applyFill="1" applyBorder="1" applyAlignment="1">
      <alignment horizontal="center" vertical="center" wrapText="1"/>
    </xf>
    <xf numFmtId="0" fontId="12" fillId="3" borderId="14" xfId="8" applyFont="1" applyFill="1" applyBorder="1" applyAlignment="1">
      <alignment horizontal="center" vertical="center" wrapText="1"/>
    </xf>
    <xf numFmtId="0" fontId="5" fillId="0" borderId="15" xfId="8" applyFont="1" applyBorder="1" applyAlignment="1">
      <alignment horizontal="justify" vertical="center" wrapText="1"/>
    </xf>
    <xf numFmtId="0" fontId="5" fillId="0" borderId="7" xfId="8" applyFont="1" applyBorder="1" applyAlignment="1">
      <alignment horizontal="justify" vertical="center" wrapText="1"/>
    </xf>
    <xf numFmtId="0" fontId="16" fillId="4" borderId="5" xfId="8" applyFont="1" applyFill="1" applyBorder="1" applyAlignment="1">
      <alignment horizontal="center" vertical="center" wrapText="1"/>
    </xf>
    <xf numFmtId="0" fontId="17" fillId="0" borderId="0" xfId="0" applyFont="1" applyAlignment="1">
      <alignment horizontal="justify" vertical="center" wrapText="1"/>
    </xf>
    <xf numFmtId="0" fontId="18" fillId="9" borderId="5" xfId="0" applyFont="1" applyFill="1" applyBorder="1" applyAlignment="1">
      <alignment horizontal="center" vertical="center" wrapText="1"/>
    </xf>
    <xf numFmtId="0" fontId="37" fillId="0" borderId="0" xfId="6" applyFont="1" applyAlignment="1">
      <alignment horizontal="right" vertical="center" wrapText="1"/>
    </xf>
    <xf numFmtId="0" fontId="38" fillId="0" borderId="0" xfId="6" applyFont="1" applyAlignment="1">
      <alignment horizontal="right" vertical="top"/>
    </xf>
    <xf numFmtId="0" fontId="39" fillId="0" borderId="14" xfId="6" applyFont="1" applyBorder="1" applyAlignment="1">
      <alignment horizontal="center" vertical="center" wrapText="1"/>
    </xf>
    <xf numFmtId="0" fontId="40" fillId="0" borderId="14" xfId="6" applyFont="1" applyBorder="1" applyAlignment="1">
      <alignment horizontal="center" vertical="center" wrapText="1"/>
    </xf>
    <xf numFmtId="0" fontId="39" fillId="0" borderId="14" xfId="6" applyFont="1" applyBorder="1" applyAlignment="1">
      <alignment horizontal="center" wrapText="1"/>
    </xf>
  </cellXfs>
  <cellStyles count="13">
    <cellStyle name=" 1" xfId="1" xr:uid="{00000000-0005-0000-0000-000006000000}"/>
    <cellStyle name="Comma 2" xfId="2" xr:uid="{00000000-0005-0000-0000-000007000000}"/>
    <cellStyle name="Comma 2 2" xfId="3" xr:uid="{00000000-0005-0000-0000-000008000000}"/>
    <cellStyle name="Header1" xfId="4" xr:uid="{00000000-0005-0000-0000-000009000000}"/>
    <cellStyle name="Header2" xfId="5" xr:uid="{00000000-0005-0000-0000-00000A000000}"/>
    <cellStyle name="Normal" xfId="0" builtinId="0"/>
    <cellStyle name="Normal 2" xfId="6" xr:uid="{00000000-0005-0000-0000-00000B000000}"/>
    <cellStyle name="Normal 2 2" xfId="7" xr:uid="{00000000-0005-0000-0000-00000C000000}"/>
    <cellStyle name="Normal 3" xfId="8" xr:uid="{00000000-0005-0000-0000-00000D000000}"/>
    <cellStyle name="Normal 3 2" xfId="9" xr:uid="{00000000-0005-0000-0000-00000E000000}"/>
    <cellStyle name="Normal 4 2" xfId="10" xr:uid="{00000000-0005-0000-0000-00000F000000}"/>
    <cellStyle name="Percent 2" xfId="11" xr:uid="{00000000-0005-0000-0000-000010000000}"/>
    <cellStyle name="Porcentual 2" xfId="12" xr:uid="{00000000-0005-0000-0000-00001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A6A6A6"/>
      <rgbColor rgb="FF993366"/>
      <rgbColor rgb="FFF2F2F2"/>
      <rgbColor rgb="FFCCFFFF"/>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BFBFBF"/>
      <rgbColor rgb="FFFF99CC"/>
      <rgbColor rgb="FFCC99FF"/>
      <rgbColor rgb="FFFFCC99"/>
      <rgbColor rgb="FF3366FF"/>
      <rgbColor rgb="FF33CCCC"/>
      <rgbColor rgb="FF70AD47"/>
      <rgbColor rgb="FFFFCC00"/>
      <rgbColor rgb="FFFF9900"/>
      <rgbColor rgb="FFFF6600"/>
      <rgbColor rgb="FF666699"/>
      <rgbColor rgb="FF969696"/>
      <rgbColor rgb="FF002060"/>
      <rgbColor rgb="FF376B48"/>
      <rgbColor rgb="FF003300"/>
      <rgbColor rgb="FF333300"/>
      <rgbColor rgb="FF993300"/>
      <rgbColor rgb="FF993366"/>
      <rgbColor rgb="FF2C1CFC"/>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257040</xdr:colOff>
      <xdr:row>0</xdr:row>
      <xdr:rowOff>57240</xdr:rowOff>
    </xdr:from>
    <xdr:to>
      <xdr:col>12</xdr:col>
      <xdr:colOff>550080</xdr:colOff>
      <xdr:row>12</xdr:row>
      <xdr:rowOff>7560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7653"/>
        <a:stretch/>
      </xdr:blipFill>
      <xdr:spPr>
        <a:xfrm>
          <a:off x="1687680" y="57240"/>
          <a:ext cx="9885240" cy="2140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68760</xdr:colOff>
      <xdr:row>8</xdr:row>
      <xdr:rowOff>75240</xdr:rowOff>
    </xdr:to>
    <xdr:pic>
      <xdr:nvPicPr>
        <xdr:cNvPr id="2" name="Imagen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2775680" cy="17517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220680</xdr:colOff>
      <xdr:row>6</xdr:row>
      <xdr:rowOff>189360</xdr:rowOff>
    </xdr:to>
    <xdr:pic>
      <xdr:nvPicPr>
        <xdr:cNvPr id="2" name="Imagen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9896760" cy="13323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2829600</xdr:colOff>
      <xdr:row>9</xdr:row>
      <xdr:rowOff>107280</xdr:rowOff>
    </xdr:to>
    <xdr:pic>
      <xdr:nvPicPr>
        <xdr:cNvPr id="3" name="Imagen 1">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0" y="0"/>
          <a:ext cx="11914560" cy="1735920"/>
        </a:xfrm>
        <a:prstGeom prst="rect">
          <a:avLst/>
        </a:prstGeom>
        <a:ln w="0">
          <a:noFill/>
        </a:ln>
      </xdr:spPr>
    </xdr:pic>
    <xdr:clientData/>
  </xdr:twoCellAnchor>
  <xdr:twoCellAnchor editAs="oneCell">
    <xdr:from>
      <xdr:col>2</xdr:col>
      <xdr:colOff>0</xdr:colOff>
      <xdr:row>502</xdr:row>
      <xdr:rowOff>0</xdr:rowOff>
    </xdr:from>
    <xdr:to>
      <xdr:col>4</xdr:col>
      <xdr:colOff>2599920</xdr:colOff>
      <xdr:row>545</xdr:row>
      <xdr:rowOff>105035</xdr:rowOff>
    </xdr:to>
    <xdr:pic>
      <xdr:nvPicPr>
        <xdr:cNvPr id="4" name="Imagen 4">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xdr:blipFill>
      <xdr:spPr>
        <a:xfrm>
          <a:off x="2788200" y="960110640"/>
          <a:ext cx="8896680" cy="7743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102600</xdr:colOff>
      <xdr:row>5</xdr:row>
      <xdr:rowOff>102600</xdr:rowOff>
    </xdr:to>
    <xdr:pic>
      <xdr:nvPicPr>
        <xdr:cNvPr id="5" name="Imagen 1">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554400" y="695160"/>
          <a:ext cx="5756040" cy="607680"/>
        </a:xfrm>
        <a:prstGeom prst="rect">
          <a:avLst/>
        </a:prstGeom>
        <a:ln w="0">
          <a:noFill/>
        </a:ln>
      </xdr:spPr>
    </xdr:pic>
    <xdr:clientData/>
  </xdr:twoCellAnchor>
  <xdr:twoCellAnchor editAs="oneCell">
    <xdr:from>
      <xdr:col>2</xdr:col>
      <xdr:colOff>11160</xdr:colOff>
      <xdr:row>11</xdr:row>
      <xdr:rowOff>0</xdr:rowOff>
    </xdr:from>
    <xdr:to>
      <xdr:col>7</xdr:col>
      <xdr:colOff>85320</xdr:colOff>
      <xdr:row>14</xdr:row>
      <xdr:rowOff>112320</xdr:rowOff>
    </xdr:to>
    <xdr:pic>
      <xdr:nvPicPr>
        <xdr:cNvPr id="6" name="Imagen 2">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tretch/>
      </xdr:blipFill>
      <xdr:spPr>
        <a:xfrm>
          <a:off x="537120" y="3324240"/>
          <a:ext cx="5756040" cy="6267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AMJ51"/>
  <sheetViews>
    <sheetView showGridLines="0" topLeftCell="A15" zoomScale="85" zoomScaleNormal="85" workbookViewId="0">
      <selection activeCell="B17" sqref="B17:N17"/>
    </sheetView>
  </sheetViews>
  <sheetFormatPr baseColWidth="10" defaultColWidth="10.26953125" defaultRowHeight="14.5" x14ac:dyDescent="0.35"/>
  <cols>
    <col min="1" max="1" width="5.81640625" style="1" customWidth="1"/>
    <col min="2" max="2" width="10.26953125" style="1"/>
    <col min="3" max="3" width="15.453125" style="1" customWidth="1"/>
    <col min="4" max="1024" width="10.26953125" style="1"/>
  </cols>
  <sheetData>
    <row r="11" spans="2:15" s="2" customFormat="1" ht="15" x14ac:dyDescent="0.4"/>
    <row r="12" spans="2:15" s="2" customFormat="1" ht="15" x14ac:dyDescent="0.4"/>
    <row r="13" spans="2:15" s="2" customFormat="1" ht="12" customHeight="1" x14ac:dyDescent="0.4">
      <c r="B13" s="3"/>
      <c r="C13" s="3"/>
      <c r="D13" s="3"/>
      <c r="E13" s="4"/>
      <c r="F13" s="4"/>
      <c r="G13" s="4"/>
      <c r="H13" s="4"/>
      <c r="I13" s="4"/>
      <c r="J13" s="4"/>
      <c r="K13" s="4"/>
      <c r="L13" s="4"/>
      <c r="M13" s="4"/>
      <c r="N13" s="4"/>
    </row>
    <row r="14" spans="2:15" s="2" customFormat="1" ht="12" customHeight="1" x14ac:dyDescent="0.4">
      <c r="B14" s="3"/>
      <c r="C14" s="3"/>
      <c r="D14" s="3"/>
      <c r="E14" s="4"/>
      <c r="F14" s="4"/>
      <c r="G14" s="4"/>
      <c r="H14" s="4"/>
      <c r="I14" s="4"/>
      <c r="J14" s="4"/>
      <c r="K14" s="4"/>
      <c r="L14" s="4"/>
      <c r="M14" s="4"/>
      <c r="N14" s="4"/>
    </row>
    <row r="15" spans="2:15" s="2" customFormat="1" ht="47.25" customHeight="1" x14ac:dyDescent="0.4">
      <c r="B15" s="101" t="s">
        <v>0</v>
      </c>
      <c r="C15" s="101"/>
      <c r="D15" s="101"/>
      <c r="E15" s="101"/>
      <c r="F15" s="101"/>
      <c r="G15" s="101"/>
      <c r="H15" s="101"/>
      <c r="I15" s="101"/>
      <c r="J15" s="101"/>
      <c r="K15" s="101"/>
      <c r="L15" s="101"/>
      <c r="M15" s="101"/>
      <c r="N15" s="101"/>
      <c r="O15" s="5"/>
    </row>
    <row r="16" spans="2:15" s="2" customFormat="1" ht="18.75" customHeight="1" x14ac:dyDescent="0.4">
      <c r="B16" s="6"/>
      <c r="C16" s="6"/>
      <c r="D16" s="6"/>
      <c r="E16" s="6"/>
      <c r="F16" s="6"/>
      <c r="G16" s="6"/>
      <c r="H16" s="6"/>
      <c r="I16" s="6"/>
      <c r="J16" s="6"/>
      <c r="K16" s="6"/>
      <c r="L16" s="6"/>
      <c r="M16" s="6"/>
      <c r="N16" s="6"/>
    </row>
    <row r="17" spans="2:15" s="2" customFormat="1" ht="299.25" customHeight="1" x14ac:dyDescent="0.4">
      <c r="B17" s="102" t="s">
        <v>1</v>
      </c>
      <c r="C17" s="102"/>
      <c r="D17" s="102"/>
      <c r="E17" s="102"/>
      <c r="F17" s="102"/>
      <c r="G17" s="102"/>
      <c r="H17" s="102"/>
      <c r="I17" s="102"/>
      <c r="J17" s="102"/>
      <c r="K17" s="102"/>
      <c r="L17" s="102"/>
      <c r="M17" s="102"/>
      <c r="N17" s="102"/>
    </row>
    <row r="18" spans="2:15" s="2" customFormat="1" ht="225.75" customHeight="1" x14ac:dyDescent="0.4">
      <c r="B18" s="103" t="s">
        <v>2</v>
      </c>
      <c r="C18" s="103"/>
      <c r="D18" s="103"/>
      <c r="E18" s="103"/>
      <c r="F18" s="103"/>
      <c r="G18" s="103"/>
      <c r="H18" s="103"/>
      <c r="I18" s="103"/>
      <c r="J18" s="103"/>
      <c r="K18" s="103"/>
      <c r="L18" s="103"/>
      <c r="M18" s="103"/>
      <c r="N18" s="103"/>
    </row>
    <row r="19" spans="2:15" s="2" customFormat="1" ht="17.25" customHeight="1" x14ac:dyDescent="0.4">
      <c r="B19" s="7"/>
      <c r="C19" s="7"/>
      <c r="D19" s="7"/>
      <c r="E19" s="7"/>
      <c r="F19" s="7"/>
      <c r="G19" s="7"/>
      <c r="H19" s="7"/>
      <c r="I19" s="7"/>
      <c r="J19" s="7"/>
      <c r="K19" s="7"/>
      <c r="L19" s="7"/>
      <c r="M19" s="7"/>
      <c r="N19" s="7"/>
    </row>
    <row r="20" spans="2:15" s="2" customFormat="1" ht="18" customHeight="1" x14ac:dyDescent="0.4">
      <c r="B20" s="104" t="s">
        <v>3</v>
      </c>
      <c r="C20" s="104"/>
      <c r="D20" s="105" t="s">
        <v>4</v>
      </c>
      <c r="E20" s="105"/>
      <c r="F20" s="105"/>
      <c r="G20" s="105"/>
      <c r="H20" s="105"/>
      <c r="I20" s="105"/>
      <c r="J20" s="105"/>
      <c r="K20" s="105"/>
      <c r="L20" s="105"/>
      <c r="M20" s="105"/>
      <c r="N20" s="105"/>
      <c r="O20" s="8"/>
    </row>
    <row r="21" spans="2:15" s="2" customFormat="1" ht="28.5" customHeight="1" x14ac:dyDescent="0.4">
      <c r="B21" s="106" t="s">
        <v>5</v>
      </c>
      <c r="C21" s="106"/>
      <c r="D21" s="107" t="s">
        <v>6</v>
      </c>
      <c r="E21" s="107"/>
      <c r="F21" s="107"/>
      <c r="G21" s="107"/>
      <c r="H21" s="107"/>
      <c r="I21" s="107"/>
      <c r="J21" s="107"/>
      <c r="K21" s="107"/>
      <c r="L21" s="107"/>
      <c r="M21" s="107"/>
      <c r="N21" s="107"/>
      <c r="O21" s="9"/>
    </row>
    <row r="22" spans="2:15" s="2" customFormat="1" ht="78" customHeight="1" x14ac:dyDescent="0.4">
      <c r="B22" s="106"/>
      <c r="C22" s="106"/>
      <c r="D22" s="108" t="s">
        <v>7</v>
      </c>
      <c r="E22" s="108"/>
      <c r="F22" s="108"/>
      <c r="G22" s="108"/>
      <c r="H22" s="108"/>
      <c r="I22" s="108"/>
      <c r="J22" s="108"/>
      <c r="K22" s="108"/>
      <c r="L22" s="108"/>
      <c r="M22" s="108"/>
      <c r="N22" s="108"/>
      <c r="O22" s="9"/>
    </row>
    <row r="23" spans="2:15" s="2" customFormat="1" ht="12.75" customHeight="1" x14ac:dyDescent="0.4">
      <c r="B23" s="106"/>
      <c r="C23" s="106"/>
      <c r="D23" s="109" t="s">
        <v>8</v>
      </c>
      <c r="E23" s="109"/>
      <c r="F23" s="109"/>
      <c r="G23" s="109"/>
      <c r="H23" s="109"/>
      <c r="I23" s="109"/>
      <c r="J23" s="109"/>
      <c r="K23" s="109"/>
      <c r="L23" s="109"/>
      <c r="M23" s="109"/>
      <c r="N23" s="109"/>
    </row>
    <row r="24" spans="2:15" s="2" customFormat="1" ht="176.25" customHeight="1" x14ac:dyDescent="0.4">
      <c r="B24" s="106"/>
      <c r="C24" s="106"/>
      <c r="D24" s="110" t="s">
        <v>9</v>
      </c>
      <c r="E24" s="110"/>
      <c r="F24" s="110"/>
      <c r="G24" s="110"/>
      <c r="H24" s="110"/>
      <c r="I24" s="110"/>
      <c r="J24" s="110"/>
      <c r="K24" s="110"/>
      <c r="L24" s="110"/>
      <c r="M24" s="110"/>
      <c r="N24" s="110"/>
      <c r="O24" s="9"/>
    </row>
    <row r="25" spans="2:15" s="2" customFormat="1" ht="12.75" customHeight="1" x14ac:dyDescent="0.4">
      <c r="B25" s="10"/>
      <c r="C25" s="10"/>
      <c r="D25" s="7"/>
      <c r="E25" s="7"/>
      <c r="F25" s="7"/>
      <c r="G25" s="7"/>
      <c r="H25" s="7"/>
      <c r="I25" s="7"/>
      <c r="J25" s="7"/>
      <c r="K25" s="7"/>
      <c r="L25" s="7"/>
      <c r="M25" s="7"/>
      <c r="N25" s="7"/>
      <c r="O25" s="9"/>
    </row>
    <row r="26" spans="2:15" s="2" customFormat="1" ht="18" customHeight="1" x14ac:dyDescent="0.4">
      <c r="B26" s="104" t="s">
        <v>3</v>
      </c>
      <c r="C26" s="104"/>
      <c r="D26" s="105" t="s">
        <v>4</v>
      </c>
      <c r="E26" s="105"/>
      <c r="F26" s="105"/>
      <c r="G26" s="105"/>
      <c r="H26" s="105"/>
      <c r="I26" s="105"/>
      <c r="J26" s="105"/>
      <c r="K26" s="105"/>
      <c r="L26" s="105"/>
      <c r="M26" s="105"/>
      <c r="N26" s="105"/>
      <c r="O26" s="8"/>
    </row>
    <row r="27" spans="2:15" s="2" customFormat="1" ht="63.75" customHeight="1" x14ac:dyDescent="0.4">
      <c r="B27" s="111" t="s">
        <v>10</v>
      </c>
      <c r="C27" s="111"/>
      <c r="D27" s="108" t="s">
        <v>11</v>
      </c>
      <c r="E27" s="108"/>
      <c r="F27" s="108"/>
      <c r="G27" s="108"/>
      <c r="H27" s="108"/>
      <c r="I27" s="108"/>
      <c r="J27" s="108"/>
      <c r="K27" s="108"/>
      <c r="L27" s="108"/>
      <c r="M27" s="108"/>
      <c r="N27" s="108"/>
      <c r="O27" s="9"/>
    </row>
    <row r="28" spans="2:15" s="2" customFormat="1" ht="12.75" customHeight="1" x14ac:dyDescent="0.4">
      <c r="B28" s="111"/>
      <c r="C28" s="111"/>
      <c r="D28" s="109" t="s">
        <v>8</v>
      </c>
      <c r="E28" s="109"/>
      <c r="F28" s="109"/>
      <c r="G28" s="109"/>
      <c r="H28" s="109"/>
      <c r="I28" s="109"/>
      <c r="J28" s="109"/>
      <c r="K28" s="109"/>
      <c r="L28" s="109"/>
      <c r="M28" s="109"/>
      <c r="N28" s="109"/>
    </row>
    <row r="29" spans="2:15" s="2" customFormat="1" ht="101.25" customHeight="1" x14ac:dyDescent="0.4">
      <c r="B29" s="111"/>
      <c r="C29" s="111"/>
      <c r="D29" s="110" t="s">
        <v>12</v>
      </c>
      <c r="E29" s="110"/>
      <c r="F29" s="110"/>
      <c r="G29" s="110"/>
      <c r="H29" s="110"/>
      <c r="I29" s="110"/>
      <c r="J29" s="110"/>
      <c r="K29" s="110"/>
      <c r="L29" s="110"/>
      <c r="M29" s="110"/>
      <c r="N29" s="110"/>
      <c r="O29" s="9"/>
    </row>
    <row r="30" spans="2:15" s="2" customFormat="1" ht="15" customHeight="1" x14ac:dyDescent="0.4">
      <c r="B30" s="10"/>
      <c r="C30" s="10"/>
      <c r="D30" s="7"/>
      <c r="E30" s="7"/>
      <c r="F30" s="7"/>
      <c r="G30" s="7"/>
      <c r="H30" s="7"/>
      <c r="I30" s="7"/>
      <c r="J30" s="7"/>
      <c r="K30" s="7"/>
      <c r="L30" s="7"/>
      <c r="M30" s="7"/>
      <c r="N30" s="7"/>
      <c r="O30" s="9"/>
    </row>
    <row r="31" spans="2:15" s="2" customFormat="1" ht="18" customHeight="1" x14ac:dyDescent="0.4">
      <c r="B31" s="112" t="s">
        <v>3</v>
      </c>
      <c r="C31" s="112"/>
      <c r="D31" s="105" t="s">
        <v>4</v>
      </c>
      <c r="E31" s="105"/>
      <c r="F31" s="105"/>
      <c r="G31" s="105"/>
      <c r="H31" s="105"/>
      <c r="I31" s="105"/>
      <c r="J31" s="105"/>
      <c r="K31" s="105"/>
      <c r="L31" s="105"/>
      <c r="M31" s="105"/>
      <c r="N31" s="105"/>
      <c r="O31" s="8"/>
    </row>
    <row r="32" spans="2:15" s="2" customFormat="1" ht="44.25" customHeight="1" x14ac:dyDescent="0.4">
      <c r="B32" s="106" t="s">
        <v>13</v>
      </c>
      <c r="C32" s="106"/>
      <c r="D32" s="107" t="s">
        <v>14</v>
      </c>
      <c r="E32" s="107"/>
      <c r="F32" s="107"/>
      <c r="G32" s="107"/>
      <c r="H32" s="107"/>
      <c r="I32" s="107"/>
      <c r="J32" s="107"/>
      <c r="K32" s="107"/>
      <c r="L32" s="107"/>
      <c r="M32" s="107"/>
      <c r="N32" s="107"/>
      <c r="O32" s="9"/>
    </row>
    <row r="33" spans="2:15" s="2" customFormat="1" ht="42" customHeight="1" x14ac:dyDescent="0.4">
      <c r="B33" s="106"/>
      <c r="C33" s="106"/>
      <c r="D33" s="108" t="s">
        <v>15</v>
      </c>
      <c r="E33" s="108"/>
      <c r="F33" s="108"/>
      <c r="G33" s="108"/>
      <c r="H33" s="108"/>
      <c r="I33" s="108"/>
      <c r="J33" s="108"/>
      <c r="K33" s="108"/>
      <c r="L33" s="108"/>
      <c r="M33" s="108"/>
      <c r="N33" s="108"/>
      <c r="O33" s="9"/>
    </row>
    <row r="34" spans="2:15" s="2" customFormat="1" ht="12.75" customHeight="1" x14ac:dyDescent="0.4">
      <c r="B34" s="106"/>
      <c r="C34" s="106"/>
      <c r="D34" s="113" t="s">
        <v>8</v>
      </c>
      <c r="E34" s="113"/>
      <c r="F34" s="113"/>
      <c r="G34" s="113"/>
      <c r="H34" s="113"/>
      <c r="I34" s="113"/>
      <c r="J34" s="113"/>
      <c r="K34" s="113"/>
      <c r="L34" s="113"/>
      <c r="M34" s="113"/>
      <c r="N34" s="113"/>
    </row>
    <row r="35" spans="2:15" s="2" customFormat="1" ht="115.5" customHeight="1" x14ac:dyDescent="0.4">
      <c r="B35" s="106"/>
      <c r="C35" s="106"/>
      <c r="D35" s="110" t="s">
        <v>16</v>
      </c>
      <c r="E35" s="110"/>
      <c r="F35" s="110"/>
      <c r="G35" s="110"/>
      <c r="H35" s="110"/>
      <c r="I35" s="110"/>
      <c r="J35" s="110"/>
      <c r="K35" s="110"/>
      <c r="L35" s="110"/>
      <c r="M35" s="110"/>
      <c r="N35" s="110"/>
      <c r="O35" s="9"/>
    </row>
    <row r="36" spans="2:15" s="2" customFormat="1" ht="15" x14ac:dyDescent="0.4"/>
    <row r="37" spans="2:15" s="2" customFormat="1" ht="18" customHeight="1" x14ac:dyDescent="0.4">
      <c r="B37" s="104" t="s">
        <v>3</v>
      </c>
      <c r="C37" s="104"/>
      <c r="D37" s="105" t="s">
        <v>4</v>
      </c>
      <c r="E37" s="105"/>
      <c r="F37" s="105"/>
      <c r="G37" s="105"/>
      <c r="H37" s="105"/>
      <c r="I37" s="105"/>
      <c r="J37" s="105"/>
      <c r="K37" s="105"/>
      <c r="L37" s="105"/>
      <c r="M37" s="105"/>
      <c r="N37" s="105"/>
      <c r="O37" s="8"/>
    </row>
    <row r="38" spans="2:15" s="2" customFormat="1" ht="24.75" customHeight="1" x14ac:dyDescent="0.4">
      <c r="B38" s="106" t="s">
        <v>17</v>
      </c>
      <c r="C38" s="106"/>
      <c r="D38" s="114" t="s">
        <v>18</v>
      </c>
      <c r="E38" s="114"/>
      <c r="F38" s="114"/>
      <c r="G38" s="114"/>
      <c r="H38" s="114"/>
      <c r="I38" s="114"/>
      <c r="J38" s="114"/>
      <c r="K38" s="114"/>
      <c r="L38" s="114"/>
      <c r="M38" s="114"/>
      <c r="N38" s="114"/>
      <c r="O38" s="9"/>
    </row>
    <row r="39" spans="2:15" s="2" customFormat="1" ht="41.25" customHeight="1" x14ac:dyDescent="0.4">
      <c r="B39" s="106"/>
      <c r="C39" s="106"/>
      <c r="D39" s="114"/>
      <c r="E39" s="114"/>
      <c r="F39" s="114"/>
      <c r="G39" s="114"/>
      <c r="H39" s="114"/>
      <c r="I39" s="114"/>
      <c r="J39" s="114"/>
      <c r="K39" s="114"/>
      <c r="L39" s="114"/>
      <c r="M39" s="114"/>
      <c r="N39" s="114"/>
      <c r="O39" s="9"/>
    </row>
    <row r="40" spans="2:15" s="2" customFormat="1" ht="12.75" customHeight="1" x14ac:dyDescent="0.4">
      <c r="B40" s="106"/>
      <c r="C40" s="106"/>
      <c r="D40" s="113" t="s">
        <v>8</v>
      </c>
      <c r="E40" s="113"/>
      <c r="F40" s="113"/>
      <c r="G40" s="113"/>
      <c r="H40" s="113"/>
      <c r="I40" s="113"/>
      <c r="J40" s="113"/>
      <c r="K40" s="113"/>
      <c r="L40" s="113"/>
      <c r="M40" s="113"/>
      <c r="N40" s="113"/>
    </row>
    <row r="41" spans="2:15" s="2" customFormat="1" ht="78" customHeight="1" x14ac:dyDescent="0.4">
      <c r="B41" s="106"/>
      <c r="C41" s="106"/>
      <c r="D41" s="110" t="s">
        <v>19</v>
      </c>
      <c r="E41" s="110"/>
      <c r="F41" s="110"/>
      <c r="G41" s="110"/>
      <c r="H41" s="110"/>
      <c r="I41" s="110"/>
      <c r="J41" s="110"/>
      <c r="K41" s="110"/>
      <c r="L41" s="110"/>
      <c r="M41" s="110"/>
      <c r="N41" s="110"/>
      <c r="O41" s="9"/>
    </row>
    <row r="42" spans="2:15" s="2" customFormat="1" ht="15" x14ac:dyDescent="0.4"/>
    <row r="43" spans="2:15" s="2" customFormat="1" ht="15" customHeight="1" x14ac:dyDescent="0.4">
      <c r="B43" s="112" t="s">
        <v>3</v>
      </c>
      <c r="C43" s="112"/>
      <c r="D43" s="105" t="s">
        <v>4</v>
      </c>
      <c r="E43" s="105"/>
      <c r="F43" s="105"/>
      <c r="G43" s="105"/>
      <c r="H43" s="105"/>
      <c r="I43" s="105"/>
      <c r="J43" s="105"/>
      <c r="K43" s="105"/>
      <c r="L43" s="105"/>
      <c r="M43" s="105"/>
      <c r="N43" s="105"/>
    </row>
    <row r="44" spans="2:15" s="2" customFormat="1" ht="120.75" customHeight="1" x14ac:dyDescent="0.4">
      <c r="B44" s="106" t="s">
        <v>20</v>
      </c>
      <c r="C44" s="106"/>
      <c r="D44" s="115" t="s">
        <v>21</v>
      </c>
      <c r="E44" s="115"/>
      <c r="F44" s="115"/>
      <c r="G44" s="115"/>
      <c r="H44" s="115"/>
      <c r="I44" s="115"/>
      <c r="J44" s="115"/>
      <c r="K44" s="115"/>
      <c r="L44" s="115"/>
      <c r="M44" s="115"/>
      <c r="N44" s="115"/>
    </row>
    <row r="45" spans="2:15" s="2" customFormat="1" ht="15" x14ac:dyDescent="0.4">
      <c r="B45" s="7"/>
      <c r="C45" s="7"/>
      <c r="D45" s="7"/>
      <c r="E45" s="7"/>
      <c r="F45" s="7"/>
      <c r="G45" s="7"/>
      <c r="H45" s="7"/>
      <c r="I45" s="7"/>
      <c r="J45" s="7"/>
      <c r="K45" s="7"/>
      <c r="L45" s="7"/>
      <c r="M45" s="7"/>
      <c r="N45" s="7"/>
    </row>
    <row r="46" spans="2:15" s="2" customFormat="1" ht="15" customHeight="1" x14ac:dyDescent="0.4">
      <c r="B46" s="112" t="s">
        <v>3</v>
      </c>
      <c r="C46" s="112"/>
      <c r="D46" s="105" t="s">
        <v>4</v>
      </c>
      <c r="E46" s="105"/>
      <c r="F46" s="105"/>
      <c r="G46" s="105"/>
      <c r="H46" s="105"/>
      <c r="I46" s="105"/>
      <c r="J46" s="105"/>
      <c r="K46" s="105"/>
      <c r="L46" s="105"/>
      <c r="M46" s="105"/>
      <c r="N46" s="105"/>
    </row>
    <row r="47" spans="2:15" s="2" customFormat="1" ht="155.25" customHeight="1" x14ac:dyDescent="0.4">
      <c r="B47" s="106" t="s">
        <v>22</v>
      </c>
      <c r="C47" s="106"/>
      <c r="D47" s="115" t="s">
        <v>23</v>
      </c>
      <c r="E47" s="115"/>
      <c r="F47" s="115"/>
      <c r="G47" s="115"/>
      <c r="H47" s="115"/>
      <c r="I47" s="115"/>
      <c r="J47" s="115"/>
      <c r="K47" s="115"/>
      <c r="L47" s="115"/>
      <c r="M47" s="115"/>
      <c r="N47" s="115"/>
    </row>
    <row r="48" spans="2:15" s="2" customFormat="1" ht="15" x14ac:dyDescent="0.4"/>
    <row r="49" s="2" customFormat="1" ht="15" x14ac:dyDescent="0.4"/>
    <row r="50" s="2" customFormat="1" ht="15" x14ac:dyDescent="0.4"/>
    <row r="51" s="2" customFormat="1" ht="15" x14ac:dyDescent="0.4"/>
  </sheetData>
  <mergeCells count="37">
    <mergeCell ref="B47:C47"/>
    <mergeCell ref="D47:N47"/>
    <mergeCell ref="B43:C43"/>
    <mergeCell ref="D43:N43"/>
    <mergeCell ref="B44:C44"/>
    <mergeCell ref="D44:N44"/>
    <mergeCell ref="B46:C46"/>
    <mergeCell ref="D46:N46"/>
    <mergeCell ref="B37:C37"/>
    <mergeCell ref="D37:N37"/>
    <mergeCell ref="B38:C41"/>
    <mergeCell ref="D38:N39"/>
    <mergeCell ref="D40:N40"/>
    <mergeCell ref="D41:N41"/>
    <mergeCell ref="B31:C31"/>
    <mergeCell ref="D31:N31"/>
    <mergeCell ref="B32:C35"/>
    <mergeCell ref="D32:N32"/>
    <mergeCell ref="D33:N33"/>
    <mergeCell ref="D34:N34"/>
    <mergeCell ref="D35:N35"/>
    <mergeCell ref="B26:C26"/>
    <mergeCell ref="D26:N26"/>
    <mergeCell ref="B27:C29"/>
    <mergeCell ref="D27:N27"/>
    <mergeCell ref="D28:N28"/>
    <mergeCell ref="D29:N29"/>
    <mergeCell ref="B21:C24"/>
    <mergeCell ref="D21:N21"/>
    <mergeCell ref="D22:N22"/>
    <mergeCell ref="D23:N23"/>
    <mergeCell ref="D24:N24"/>
    <mergeCell ref="B15:N15"/>
    <mergeCell ref="B17:N17"/>
    <mergeCell ref="B18:N18"/>
    <mergeCell ref="B20:C20"/>
    <mergeCell ref="D20:N20"/>
  </mergeCells>
  <printOptions horizontalCentered="1"/>
  <pageMargins left="0.74791666666666701" right="0.74791666666666701" top="0.98402777777777795" bottom="0.98402777777777795" header="0.511811023622047" footer="0.51180555555555596"/>
  <pageSetup scale="60" orientation="portrait"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MJ27"/>
  <sheetViews>
    <sheetView showGridLines="0" zoomScale="85" zoomScaleNormal="85" workbookViewId="0">
      <selection activeCell="G23" sqref="G23"/>
    </sheetView>
  </sheetViews>
  <sheetFormatPr baseColWidth="10" defaultColWidth="10.26953125" defaultRowHeight="15" x14ac:dyDescent="0.4"/>
  <cols>
    <col min="1" max="1" width="5.81640625" style="11" customWidth="1"/>
    <col min="2" max="2" width="10.26953125" style="11"/>
    <col min="3" max="3" width="13.81640625" style="11" customWidth="1"/>
    <col min="4" max="4" width="45.81640625" style="11" customWidth="1"/>
    <col min="5" max="5" width="42.453125" style="11" customWidth="1"/>
    <col min="6" max="6" width="14.453125" style="11" customWidth="1"/>
    <col min="7" max="1024" width="10.26953125" style="11"/>
  </cols>
  <sheetData>
    <row r="12" spans="2:14" ht="23.25" customHeight="1" x14ac:dyDescent="0.4">
      <c r="B12" s="116" t="s">
        <v>24</v>
      </c>
      <c r="C12" s="116"/>
      <c r="D12" s="116"/>
      <c r="E12" s="116"/>
      <c r="F12" s="116"/>
      <c r="G12" s="116"/>
    </row>
    <row r="13" spans="2:14" ht="33.75" customHeight="1" x14ac:dyDescent="0.4">
      <c r="B13" s="117" t="s">
        <v>25</v>
      </c>
      <c r="C13" s="117"/>
      <c r="D13" s="117"/>
      <c r="E13" s="117"/>
      <c r="F13" s="117"/>
      <c r="G13" s="117"/>
      <c r="H13" s="12"/>
      <c r="I13" s="12"/>
      <c r="J13" s="12"/>
      <c r="K13" s="12"/>
      <c r="L13" s="12"/>
      <c r="M13" s="12"/>
      <c r="N13" s="12"/>
    </row>
    <row r="14" spans="2:14" ht="45.75" customHeight="1" x14ac:dyDescent="0.4">
      <c r="B14" s="117" t="s">
        <v>26</v>
      </c>
      <c r="C14" s="117"/>
      <c r="D14" s="117"/>
      <c r="E14" s="117"/>
      <c r="F14" s="117"/>
      <c r="G14" s="117"/>
      <c r="H14" s="12"/>
      <c r="I14" s="12"/>
      <c r="J14" s="12"/>
      <c r="K14" s="12"/>
      <c r="L14" s="12"/>
      <c r="M14" s="12"/>
      <c r="N14" s="12"/>
    </row>
    <row r="15" spans="2:14" ht="25.5" customHeight="1" x14ac:dyDescent="0.4">
      <c r="B15" s="117" t="s">
        <v>27</v>
      </c>
      <c r="C15" s="117"/>
      <c r="D15" s="117"/>
      <c r="E15" s="117"/>
      <c r="F15" s="117"/>
      <c r="G15" s="117"/>
      <c r="H15" s="12"/>
      <c r="I15" s="12"/>
      <c r="J15" s="12"/>
      <c r="K15" s="12"/>
      <c r="L15" s="12"/>
      <c r="M15" s="12"/>
      <c r="N15" s="12"/>
    </row>
    <row r="18" spans="3:6" ht="19.5" customHeight="1" x14ac:dyDescent="0.4">
      <c r="C18" s="13" t="s">
        <v>28</v>
      </c>
      <c r="D18" s="13" t="s">
        <v>29</v>
      </c>
      <c r="E18" s="13" t="s">
        <v>30</v>
      </c>
      <c r="F18" s="13" t="s">
        <v>31</v>
      </c>
    </row>
    <row r="19" spans="3:6" ht="36" customHeight="1" x14ac:dyDescent="0.4">
      <c r="C19" s="14" t="s">
        <v>32</v>
      </c>
      <c r="D19" s="15" t="s">
        <v>33</v>
      </c>
      <c r="E19" s="16" t="s">
        <v>34</v>
      </c>
      <c r="F19" s="17">
        <v>45609</v>
      </c>
    </row>
    <row r="20" spans="3:6" ht="80.25" customHeight="1" x14ac:dyDescent="0.4">
      <c r="C20" s="14" t="s">
        <v>35</v>
      </c>
      <c r="D20" s="15" t="s">
        <v>36</v>
      </c>
      <c r="E20" s="16" t="s">
        <v>37</v>
      </c>
      <c r="F20" s="17">
        <v>45609</v>
      </c>
    </row>
    <row r="21" spans="3:6" ht="43.5" x14ac:dyDescent="0.4">
      <c r="C21" s="14" t="s">
        <v>38</v>
      </c>
      <c r="D21" s="15" t="s">
        <v>39</v>
      </c>
      <c r="E21" s="16" t="s">
        <v>40</v>
      </c>
      <c r="F21" s="17"/>
    </row>
    <row r="22" spans="3:6" ht="119.25" customHeight="1" x14ac:dyDescent="0.4">
      <c r="C22" s="14" t="s">
        <v>41</v>
      </c>
      <c r="D22" s="15" t="s">
        <v>42</v>
      </c>
      <c r="E22" s="16" t="s">
        <v>37</v>
      </c>
      <c r="F22" s="17">
        <v>45825</v>
      </c>
    </row>
    <row r="23" spans="3:6" ht="101.5" x14ac:dyDescent="0.4">
      <c r="C23" s="14" t="s">
        <v>43</v>
      </c>
      <c r="D23" s="15" t="s">
        <v>44</v>
      </c>
      <c r="E23" s="16" t="s">
        <v>45</v>
      </c>
      <c r="F23" s="17">
        <v>45862</v>
      </c>
    </row>
    <row r="24" spans="3:6" ht="29" x14ac:dyDescent="0.4">
      <c r="C24" s="14" t="s">
        <v>46</v>
      </c>
      <c r="D24" s="15" t="s">
        <v>47</v>
      </c>
      <c r="E24" s="16" t="s">
        <v>37</v>
      </c>
      <c r="F24" s="17">
        <v>45862</v>
      </c>
    </row>
    <row r="25" spans="3:6" ht="87" x14ac:dyDescent="0.4">
      <c r="C25" s="18" t="s">
        <v>48</v>
      </c>
      <c r="D25" s="19" t="s">
        <v>49</v>
      </c>
      <c r="E25" s="20" t="s">
        <v>37</v>
      </c>
      <c r="F25" s="21">
        <v>45866</v>
      </c>
    </row>
    <row r="26" spans="3:6" x14ac:dyDescent="0.4">
      <c r="C26" s="18" t="s">
        <v>50</v>
      </c>
      <c r="D26" s="19" t="s">
        <v>51</v>
      </c>
      <c r="E26" s="20" t="s">
        <v>37</v>
      </c>
      <c r="F26" s="21">
        <v>45922</v>
      </c>
    </row>
    <row r="27" spans="3:6" ht="43.5" x14ac:dyDescent="0.4">
      <c r="C27" s="14" t="s">
        <v>52</v>
      </c>
      <c r="D27" s="15" t="s">
        <v>39</v>
      </c>
      <c r="E27" s="16" t="s">
        <v>40</v>
      </c>
      <c r="F27" s="17"/>
    </row>
  </sheetData>
  <mergeCells count="4">
    <mergeCell ref="B12:G12"/>
    <mergeCell ref="B13:G13"/>
    <mergeCell ref="B14:G14"/>
    <mergeCell ref="B15:G15"/>
  </mergeCells>
  <printOptions horizontalCentered="1"/>
  <pageMargins left="0.23611111111111099" right="0.23611111111111099" top="0.74791666666666701" bottom="0.74791666666666701" header="0.511811023622047" footer="0.31527777777777799"/>
  <pageSetup scale="60" orientation="portrait" horizontalDpi="300" verticalDpi="300"/>
  <headerFooter>
    <oddFooter>&amp;R&amp;"Montserrat,Normal"&amp;10Pagina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8:C74"/>
  <sheetViews>
    <sheetView showGridLines="0" topLeftCell="A19" zoomScaleNormal="100" workbookViewId="0">
      <selection activeCell="C77" sqref="C77"/>
    </sheetView>
  </sheetViews>
  <sheetFormatPr baseColWidth="10" defaultColWidth="10.54296875" defaultRowHeight="14.5" x14ac:dyDescent="0.35"/>
  <cols>
    <col min="1" max="1" width="4.453125" customWidth="1"/>
    <col min="2" max="2" width="4.54296875" style="22" customWidth="1"/>
    <col min="3" max="3" width="99.81640625" style="22" customWidth="1"/>
    <col min="4" max="4" width="10.81640625" customWidth="1"/>
    <col min="5" max="5" width="3.453125" customWidth="1"/>
  </cols>
  <sheetData>
    <row r="8" spans="2:3" x14ac:dyDescent="0.35">
      <c r="C8" s="23" t="s">
        <v>53</v>
      </c>
    </row>
    <row r="9" spans="2:3" x14ac:dyDescent="0.35">
      <c r="C9" s="23"/>
    </row>
    <row r="10" spans="2:3" x14ac:dyDescent="0.35">
      <c r="B10" s="24"/>
      <c r="C10" s="24" t="s">
        <v>54</v>
      </c>
    </row>
    <row r="11" spans="2:3" x14ac:dyDescent="0.35">
      <c r="B11" s="25"/>
      <c r="C11" s="25" t="s">
        <v>55</v>
      </c>
    </row>
    <row r="12" spans="2:3" x14ac:dyDescent="0.35">
      <c r="B12" s="26" t="s">
        <v>56</v>
      </c>
      <c r="C12" s="26" t="s">
        <v>57</v>
      </c>
    </row>
    <row r="13" spans="2:3" x14ac:dyDescent="0.35">
      <c r="B13" s="26" t="s">
        <v>58</v>
      </c>
      <c r="C13" s="26" t="s">
        <v>59</v>
      </c>
    </row>
    <row r="14" spans="2:3" x14ac:dyDescent="0.35">
      <c r="B14" s="26" t="s">
        <v>60</v>
      </c>
      <c r="C14" s="26" t="s">
        <v>61</v>
      </c>
    </row>
    <row r="15" spans="2:3" x14ac:dyDescent="0.35">
      <c r="B15" s="26" t="s">
        <v>62</v>
      </c>
      <c r="C15" s="26" t="s">
        <v>63</v>
      </c>
    </row>
    <row r="16" spans="2:3" x14ac:dyDescent="0.35">
      <c r="B16" s="26" t="s">
        <v>64</v>
      </c>
      <c r="C16" s="26" t="s">
        <v>65</v>
      </c>
    </row>
    <row r="17" spans="2:3" x14ac:dyDescent="0.35">
      <c r="B17" s="26" t="s">
        <v>66</v>
      </c>
      <c r="C17" s="26" t="s">
        <v>67</v>
      </c>
    </row>
    <row r="18" spans="2:3" x14ac:dyDescent="0.35">
      <c r="C18" s="26"/>
    </row>
    <row r="19" spans="2:3" x14ac:dyDescent="0.35">
      <c r="B19" s="25"/>
      <c r="C19" s="27" t="s">
        <v>68</v>
      </c>
    </row>
    <row r="20" spans="2:3" x14ac:dyDescent="0.35">
      <c r="B20" s="26" t="s">
        <v>69</v>
      </c>
      <c r="C20" s="26" t="s">
        <v>70</v>
      </c>
    </row>
    <row r="21" spans="2:3" x14ac:dyDescent="0.35">
      <c r="B21" s="26" t="s">
        <v>71</v>
      </c>
      <c r="C21" s="26" t="s">
        <v>72</v>
      </c>
    </row>
    <row r="22" spans="2:3" x14ac:dyDescent="0.35">
      <c r="B22" s="26" t="s">
        <v>73</v>
      </c>
      <c r="C22" s="26" t="s">
        <v>74</v>
      </c>
    </row>
    <row r="23" spans="2:3" x14ac:dyDescent="0.35">
      <c r="B23" s="26" t="s">
        <v>75</v>
      </c>
      <c r="C23" s="26" t="s">
        <v>76</v>
      </c>
    </row>
    <row r="24" spans="2:3" x14ac:dyDescent="0.35">
      <c r="B24" s="26" t="s">
        <v>77</v>
      </c>
      <c r="C24" s="26" t="s">
        <v>78</v>
      </c>
    </row>
    <row r="25" spans="2:3" x14ac:dyDescent="0.35">
      <c r="B25" s="26" t="s">
        <v>79</v>
      </c>
      <c r="C25" s="26" t="s">
        <v>80</v>
      </c>
    </row>
    <row r="26" spans="2:3" x14ac:dyDescent="0.35">
      <c r="B26" s="26" t="s">
        <v>81</v>
      </c>
      <c r="C26" s="26" t="s">
        <v>82</v>
      </c>
    </row>
    <row r="27" spans="2:3" x14ac:dyDescent="0.35">
      <c r="B27" s="26" t="s">
        <v>83</v>
      </c>
      <c r="C27" s="26" t="s">
        <v>84</v>
      </c>
    </row>
    <row r="28" spans="2:3" x14ac:dyDescent="0.35">
      <c r="B28" s="26" t="s">
        <v>85</v>
      </c>
      <c r="C28" s="26" t="s">
        <v>86</v>
      </c>
    </row>
    <row r="29" spans="2:3" x14ac:dyDescent="0.35">
      <c r="B29" s="26" t="s">
        <v>87</v>
      </c>
      <c r="C29" s="26" t="s">
        <v>88</v>
      </c>
    </row>
    <row r="30" spans="2:3" x14ac:dyDescent="0.35">
      <c r="B30" s="26" t="s">
        <v>89</v>
      </c>
      <c r="C30" s="26" t="s">
        <v>90</v>
      </c>
    </row>
    <row r="31" spans="2:3" x14ac:dyDescent="0.35">
      <c r="B31" s="26" t="s">
        <v>91</v>
      </c>
      <c r="C31" s="26" t="s">
        <v>92</v>
      </c>
    </row>
    <row r="32" spans="2:3" x14ac:dyDescent="0.35">
      <c r="B32" s="26" t="s">
        <v>93</v>
      </c>
      <c r="C32" s="26" t="s">
        <v>94</v>
      </c>
    </row>
    <row r="33" spans="2:3" x14ac:dyDescent="0.35">
      <c r="B33" s="26" t="s">
        <v>95</v>
      </c>
      <c r="C33" s="26" t="s">
        <v>96</v>
      </c>
    </row>
    <row r="34" spans="2:3" x14ac:dyDescent="0.35">
      <c r="B34" s="26" t="s">
        <v>97</v>
      </c>
      <c r="C34" s="26" t="s">
        <v>98</v>
      </c>
    </row>
    <row r="35" spans="2:3" x14ac:dyDescent="0.35">
      <c r="B35" s="26" t="s">
        <v>99</v>
      </c>
      <c r="C35" s="26" t="s">
        <v>100</v>
      </c>
    </row>
    <row r="36" spans="2:3" x14ac:dyDescent="0.35">
      <c r="B36" s="26" t="s">
        <v>101</v>
      </c>
      <c r="C36" s="26" t="s">
        <v>102</v>
      </c>
    </row>
    <row r="37" spans="2:3" x14ac:dyDescent="0.35">
      <c r="B37" s="26" t="s">
        <v>103</v>
      </c>
      <c r="C37" s="26" t="s">
        <v>104</v>
      </c>
    </row>
    <row r="38" spans="2:3" x14ac:dyDescent="0.35">
      <c r="B38" s="26" t="s">
        <v>105</v>
      </c>
      <c r="C38" s="26" t="s">
        <v>106</v>
      </c>
    </row>
    <row r="39" spans="2:3" x14ac:dyDescent="0.35">
      <c r="B39" s="26" t="s">
        <v>107</v>
      </c>
      <c r="C39" s="26" t="s">
        <v>108</v>
      </c>
    </row>
    <row r="40" spans="2:3" x14ac:dyDescent="0.35">
      <c r="B40" s="26" t="s">
        <v>109</v>
      </c>
      <c r="C40" s="26" t="s">
        <v>110</v>
      </c>
    </row>
    <row r="41" spans="2:3" x14ac:dyDescent="0.35">
      <c r="B41" s="26" t="s">
        <v>111</v>
      </c>
      <c r="C41" s="26" t="s">
        <v>112</v>
      </c>
    </row>
    <row r="42" spans="2:3" x14ac:dyDescent="0.35">
      <c r="B42" s="26" t="s">
        <v>113</v>
      </c>
      <c r="C42" s="26" t="s">
        <v>114</v>
      </c>
    </row>
    <row r="43" spans="2:3" x14ac:dyDescent="0.35">
      <c r="B43" s="26" t="s">
        <v>115</v>
      </c>
      <c r="C43" s="26" t="s">
        <v>116</v>
      </c>
    </row>
    <row r="44" spans="2:3" x14ac:dyDescent="0.35">
      <c r="B44" s="28" t="s">
        <v>117</v>
      </c>
      <c r="C44" s="28" t="s">
        <v>118</v>
      </c>
    </row>
    <row r="45" spans="2:3" x14ac:dyDescent="0.35">
      <c r="C45" s="28"/>
    </row>
    <row r="46" spans="2:3" x14ac:dyDescent="0.35">
      <c r="B46" s="29"/>
      <c r="C46" s="29" t="s">
        <v>119</v>
      </c>
    </row>
    <row r="47" spans="2:3" x14ac:dyDescent="0.35">
      <c r="B47" s="26" t="s">
        <v>120</v>
      </c>
      <c r="C47" s="26" t="s">
        <v>121</v>
      </c>
    </row>
    <row r="48" spans="2:3" x14ac:dyDescent="0.35">
      <c r="B48" s="26" t="s">
        <v>122</v>
      </c>
      <c r="C48" s="26" t="s">
        <v>123</v>
      </c>
    </row>
    <row r="49" spans="2:3" x14ac:dyDescent="0.35">
      <c r="B49" s="26" t="s">
        <v>124</v>
      </c>
      <c r="C49" s="26" t="s">
        <v>125</v>
      </c>
    </row>
    <row r="50" spans="2:3" x14ac:dyDescent="0.35">
      <c r="B50" s="26" t="s">
        <v>126</v>
      </c>
      <c r="C50" s="26" t="s">
        <v>127</v>
      </c>
    </row>
    <row r="51" spans="2:3" x14ac:dyDescent="0.35">
      <c r="B51" s="26" t="s">
        <v>128</v>
      </c>
      <c r="C51" s="26" t="s">
        <v>129</v>
      </c>
    </row>
    <row r="52" spans="2:3" x14ac:dyDescent="0.35">
      <c r="B52" s="26" t="s">
        <v>130</v>
      </c>
      <c r="C52" s="26" t="s">
        <v>131</v>
      </c>
    </row>
    <row r="53" spans="2:3" x14ac:dyDescent="0.35">
      <c r="B53" s="26" t="s">
        <v>132</v>
      </c>
      <c r="C53" s="26" t="s">
        <v>133</v>
      </c>
    </row>
    <row r="54" spans="2:3" x14ac:dyDescent="0.35">
      <c r="B54" s="26" t="s">
        <v>134</v>
      </c>
      <c r="C54" s="26" t="s">
        <v>135</v>
      </c>
    </row>
    <row r="55" spans="2:3" x14ac:dyDescent="0.35">
      <c r="B55" s="26" t="s">
        <v>136</v>
      </c>
      <c r="C55" s="26" t="s">
        <v>137</v>
      </c>
    </row>
    <row r="56" spans="2:3" x14ac:dyDescent="0.35">
      <c r="B56" s="26" t="s">
        <v>138</v>
      </c>
      <c r="C56" s="26" t="s">
        <v>139</v>
      </c>
    </row>
    <row r="57" spans="2:3" x14ac:dyDescent="0.35">
      <c r="B57" s="26" t="s">
        <v>140</v>
      </c>
      <c r="C57" s="26" t="s">
        <v>141</v>
      </c>
    </row>
    <row r="58" spans="2:3" x14ac:dyDescent="0.35">
      <c r="B58" s="26" t="s">
        <v>142</v>
      </c>
      <c r="C58" s="26" t="s">
        <v>143</v>
      </c>
    </row>
    <row r="59" spans="2:3" x14ac:dyDescent="0.35">
      <c r="B59" s="26" t="s">
        <v>144</v>
      </c>
      <c r="C59" s="26" t="s">
        <v>145</v>
      </c>
    </row>
    <row r="60" spans="2:3" x14ac:dyDescent="0.35">
      <c r="B60" s="26" t="s">
        <v>146</v>
      </c>
      <c r="C60" s="26" t="s">
        <v>147</v>
      </c>
    </row>
    <row r="61" spans="2:3" x14ac:dyDescent="0.35">
      <c r="B61" s="26" t="s">
        <v>148</v>
      </c>
      <c r="C61" s="26" t="s">
        <v>149</v>
      </c>
    </row>
    <row r="62" spans="2:3" x14ac:dyDescent="0.35">
      <c r="B62" s="26" t="s">
        <v>150</v>
      </c>
      <c r="C62" s="26" t="s">
        <v>151</v>
      </c>
    </row>
    <row r="63" spans="2:3" x14ac:dyDescent="0.35">
      <c r="B63" s="26" t="s">
        <v>152</v>
      </c>
      <c r="C63" s="26" t="s">
        <v>153</v>
      </c>
    </row>
    <row r="64" spans="2:3" x14ac:dyDescent="0.35">
      <c r="B64" s="26" t="s">
        <v>154</v>
      </c>
      <c r="C64" s="26" t="s">
        <v>155</v>
      </c>
    </row>
    <row r="65" spans="2:3" x14ac:dyDescent="0.35">
      <c r="B65" s="26" t="s">
        <v>156</v>
      </c>
      <c r="C65" s="26" t="s">
        <v>157</v>
      </c>
    </row>
    <row r="66" spans="2:3" x14ac:dyDescent="0.35">
      <c r="B66" s="26" t="s">
        <v>158</v>
      </c>
      <c r="C66" s="26" t="s">
        <v>159</v>
      </c>
    </row>
    <row r="67" spans="2:3" x14ac:dyDescent="0.35">
      <c r="B67" s="28" t="s">
        <v>160</v>
      </c>
      <c r="C67" s="26" t="s">
        <v>161</v>
      </c>
    </row>
    <row r="68" spans="2:3" x14ac:dyDescent="0.35">
      <c r="C68" s="26"/>
    </row>
    <row r="69" spans="2:3" x14ac:dyDescent="0.35">
      <c r="B69" s="29"/>
      <c r="C69" s="29" t="s">
        <v>162</v>
      </c>
    </row>
    <row r="70" spans="2:3" x14ac:dyDescent="0.35">
      <c r="B70" s="26" t="s">
        <v>163</v>
      </c>
      <c r="C70" s="26" t="s">
        <v>164</v>
      </c>
    </row>
    <row r="71" spans="2:3" x14ac:dyDescent="0.35">
      <c r="B71" s="26" t="s">
        <v>165</v>
      </c>
      <c r="C71" s="26" t="s">
        <v>166</v>
      </c>
    </row>
    <row r="73" spans="2:3" x14ac:dyDescent="0.35">
      <c r="B73" s="29"/>
      <c r="C73" s="29" t="s">
        <v>167</v>
      </c>
    </row>
    <row r="74" spans="2:3" x14ac:dyDescent="0.35">
      <c r="B74" s="26" t="s">
        <v>168</v>
      </c>
      <c r="C74" s="26" t="s">
        <v>169</v>
      </c>
    </row>
  </sheetData>
  <printOptions horizontalCentered="1"/>
  <pageMargins left="0.23611111111111099" right="0.23611111111111099" top="0.74791666666666701" bottom="0.74791666666666701" header="0.511811023622047" footer="0.511811023622047"/>
  <pageSetup fitToHeight="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0:AMJ515"/>
  <sheetViews>
    <sheetView showGridLines="0" tabSelected="1" topLeftCell="A488" zoomScale="55" zoomScaleNormal="55" workbookViewId="0">
      <selection activeCell="C492" sqref="C492"/>
    </sheetView>
  </sheetViews>
  <sheetFormatPr baseColWidth="10" defaultColWidth="10.26953125" defaultRowHeight="14.5" x14ac:dyDescent="0.35"/>
  <cols>
    <col min="1" max="1" width="20.81640625" style="30" customWidth="1"/>
    <col min="2" max="2" width="10.54296875" style="30" customWidth="1"/>
    <col min="3" max="3" width="57.81640625" style="30" customWidth="1"/>
    <col min="4" max="4" width="13" style="30" customWidth="1"/>
    <col min="5" max="5" width="44.26953125" style="30" customWidth="1"/>
    <col min="6" max="6" width="44.81640625" style="30" customWidth="1"/>
    <col min="7" max="7" width="28.453125" style="30" customWidth="1"/>
    <col min="8" max="8" width="26.26953125" style="30" customWidth="1"/>
    <col min="9" max="9" width="24.1796875" style="30" customWidth="1"/>
    <col min="10" max="10" width="12.81640625" style="30" bestFit="1" customWidth="1"/>
    <col min="11" max="1024" width="10.26953125" style="30"/>
  </cols>
  <sheetData>
    <row r="10" spans="1:9" s="32" customFormat="1" ht="25.5" customHeight="1" x14ac:dyDescent="0.4">
      <c r="A10" s="31"/>
      <c r="B10" s="31"/>
      <c r="C10" s="31"/>
      <c r="D10" s="99" t="s">
        <v>5</v>
      </c>
      <c r="E10" s="99"/>
    </row>
    <row r="11" spans="1:9" s="32" customFormat="1" ht="25.5" customHeight="1" x14ac:dyDescent="0.4">
      <c r="A11" s="31"/>
      <c r="B11" s="31"/>
      <c r="C11" s="31"/>
      <c r="D11" s="31"/>
      <c r="E11" s="31"/>
    </row>
    <row r="12" spans="1:9" s="32" customFormat="1" ht="24" customHeight="1" x14ac:dyDescent="0.4">
      <c r="A12" s="100" t="s">
        <v>170</v>
      </c>
      <c r="B12" s="100"/>
      <c r="C12" s="33"/>
      <c r="D12" s="34"/>
      <c r="E12" s="34"/>
      <c r="F12" s="35"/>
      <c r="G12" s="35"/>
    </row>
    <row r="13" spans="1:9" s="32" customFormat="1" ht="23.25" customHeight="1" x14ac:dyDescent="0.4">
      <c r="A13" s="100" t="s">
        <v>171</v>
      </c>
      <c r="B13" s="100"/>
      <c r="C13" s="36" t="s">
        <v>172</v>
      </c>
      <c r="D13" s="37"/>
      <c r="E13" s="37"/>
      <c r="F13" s="38"/>
      <c r="G13" s="38"/>
      <c r="H13" s="38"/>
      <c r="I13" s="38"/>
    </row>
    <row r="14" spans="1:9" s="32" customFormat="1" ht="15" x14ac:dyDescent="0.4">
      <c r="A14" s="100" t="s">
        <v>173</v>
      </c>
      <c r="B14" s="100"/>
      <c r="C14" s="36" t="s">
        <v>174</v>
      </c>
      <c r="D14" s="37"/>
      <c r="E14" s="37"/>
      <c r="F14" s="38"/>
      <c r="G14" s="38"/>
      <c r="H14" s="38"/>
      <c r="I14" s="38"/>
    </row>
    <row r="15" spans="1:9" s="32" customFormat="1" ht="30" customHeight="1" x14ac:dyDescent="0.4">
      <c r="A15" s="39" t="s">
        <v>175</v>
      </c>
      <c r="B15" s="40"/>
      <c r="C15" s="40"/>
      <c r="D15" s="41"/>
      <c r="E15" s="41"/>
      <c r="F15" s="42"/>
      <c r="G15" s="42"/>
    </row>
    <row r="16" spans="1:9" s="43" customFormat="1" ht="13.5" customHeight="1" x14ac:dyDescent="0.4"/>
    <row r="17" spans="1:13" s="32" customFormat="1" ht="59.25" customHeight="1" x14ac:dyDescent="0.4">
      <c r="A17" s="44" t="s">
        <v>176</v>
      </c>
      <c r="B17" s="45" t="s">
        <v>177</v>
      </c>
      <c r="C17" s="45" t="s">
        <v>178</v>
      </c>
      <c r="D17" s="45" t="s">
        <v>179</v>
      </c>
      <c r="E17" s="45" t="s">
        <v>180</v>
      </c>
      <c r="F17" s="45" t="s">
        <v>181</v>
      </c>
      <c r="G17" s="45" t="s">
        <v>182</v>
      </c>
      <c r="H17" s="44" t="s">
        <v>183</v>
      </c>
      <c r="I17" s="44" t="s">
        <v>184</v>
      </c>
    </row>
    <row r="18" spans="1:13" s="32" customFormat="1" ht="300" hidden="1" customHeight="1" x14ac:dyDescent="0.4">
      <c r="A18" s="46" t="s">
        <v>185</v>
      </c>
      <c r="B18" s="46"/>
      <c r="C18" s="46"/>
      <c r="D18" s="46" t="s">
        <v>186</v>
      </c>
      <c r="E18" s="46" t="s">
        <v>187</v>
      </c>
      <c r="F18" s="46" t="s">
        <v>188</v>
      </c>
      <c r="G18" s="46" t="s">
        <v>189</v>
      </c>
      <c r="H18" s="47" t="s">
        <v>190</v>
      </c>
      <c r="I18" s="47" t="s">
        <v>191</v>
      </c>
    </row>
    <row r="19" spans="1:13" s="32" customFormat="1" ht="15" x14ac:dyDescent="0.4">
      <c r="A19" s="48"/>
      <c r="B19" s="49" t="s">
        <v>56</v>
      </c>
      <c r="C19" s="49" t="s">
        <v>192</v>
      </c>
      <c r="D19" s="48"/>
      <c r="E19" s="48"/>
      <c r="F19" s="48"/>
      <c r="G19" s="48"/>
      <c r="H19" s="50"/>
      <c r="I19" s="51"/>
    </row>
    <row r="20" spans="1:13" s="32" customFormat="1" ht="130.5" x14ac:dyDescent="0.4">
      <c r="A20" s="16" t="s">
        <v>193</v>
      </c>
      <c r="B20" s="33"/>
      <c r="C20" s="95" t="s">
        <v>57</v>
      </c>
      <c r="D20" s="52">
        <v>1</v>
      </c>
      <c r="E20" s="33" t="s">
        <v>194</v>
      </c>
      <c r="F20" s="33"/>
      <c r="G20" s="33"/>
      <c r="H20" s="33"/>
      <c r="I20" s="33" t="s">
        <v>195</v>
      </c>
      <c r="J20" s="32">
        <f>+LEN(F20)</f>
        <v>0</v>
      </c>
      <c r="K20" s="32">
        <f>+LEN(G20)</f>
        <v>0</v>
      </c>
      <c r="L20" s="32">
        <f>+J20+K20</f>
        <v>0</v>
      </c>
      <c r="M20" s="93">
        <f>+IF(L20&lt;=1000,0,1)</f>
        <v>0</v>
      </c>
    </row>
    <row r="21" spans="1:13" s="32" customFormat="1" ht="360" customHeight="1" x14ac:dyDescent="0.4">
      <c r="A21" s="16" t="s">
        <v>193</v>
      </c>
      <c r="B21" s="33"/>
      <c r="C21" s="95" t="s">
        <v>57</v>
      </c>
      <c r="D21" s="52">
        <v>2</v>
      </c>
      <c r="E21" s="33" t="s">
        <v>196</v>
      </c>
      <c r="F21" s="33" t="s">
        <v>197</v>
      </c>
      <c r="G21" s="33" t="s">
        <v>198</v>
      </c>
      <c r="H21" s="33"/>
      <c r="I21" s="33"/>
      <c r="J21" s="32">
        <f t="shared" ref="J21:J84" si="0">+LEN(F21)</f>
        <v>130</v>
      </c>
      <c r="K21" s="32">
        <f t="shared" ref="K21:K84" si="1">+LEN(G21)</f>
        <v>577</v>
      </c>
      <c r="L21" s="32">
        <f t="shared" ref="L21:L84" si="2">+J21+K21</f>
        <v>707</v>
      </c>
      <c r="M21" s="93">
        <f t="shared" ref="M21:M84" si="3">+IF(L21&lt;=1000,0,1)</f>
        <v>0</v>
      </c>
    </row>
    <row r="22" spans="1:13" s="32" customFormat="1" ht="43.5" x14ac:dyDescent="0.4">
      <c r="A22" s="16" t="s">
        <v>193</v>
      </c>
      <c r="B22" s="33"/>
      <c r="C22" s="95" t="s">
        <v>57</v>
      </c>
      <c r="D22" s="52">
        <v>3</v>
      </c>
      <c r="E22" s="33" t="s">
        <v>199</v>
      </c>
      <c r="F22" s="33" t="s">
        <v>200</v>
      </c>
      <c r="G22" s="33"/>
      <c r="H22" s="33"/>
      <c r="I22" s="33"/>
      <c r="J22" s="32">
        <f t="shared" si="0"/>
        <v>95</v>
      </c>
      <c r="K22" s="32">
        <f t="shared" si="1"/>
        <v>0</v>
      </c>
      <c r="L22" s="32">
        <f t="shared" si="2"/>
        <v>95</v>
      </c>
      <c r="M22" s="93">
        <f t="shared" si="3"/>
        <v>0</v>
      </c>
    </row>
    <row r="23" spans="1:13" s="32" customFormat="1" ht="43.5" x14ac:dyDescent="0.4">
      <c r="A23" s="16" t="s">
        <v>193</v>
      </c>
      <c r="B23" s="33"/>
      <c r="C23" s="95" t="s">
        <v>57</v>
      </c>
      <c r="D23" s="52">
        <v>4</v>
      </c>
      <c r="E23" s="33" t="s">
        <v>201</v>
      </c>
      <c r="F23" s="33" t="s">
        <v>202</v>
      </c>
      <c r="G23" s="33"/>
      <c r="H23" s="33"/>
      <c r="I23" s="33"/>
      <c r="J23" s="32">
        <f t="shared" si="0"/>
        <v>44</v>
      </c>
      <c r="K23" s="32">
        <f t="shared" si="1"/>
        <v>0</v>
      </c>
      <c r="L23" s="32">
        <f t="shared" si="2"/>
        <v>44</v>
      </c>
      <c r="M23" s="93">
        <f t="shared" si="3"/>
        <v>0</v>
      </c>
    </row>
    <row r="24" spans="1:13" s="32" customFormat="1" ht="43.5" x14ac:dyDescent="0.4">
      <c r="A24" s="16" t="s">
        <v>193</v>
      </c>
      <c r="B24" s="33"/>
      <c r="C24" s="95" t="s">
        <v>57</v>
      </c>
      <c r="D24" s="52">
        <v>5</v>
      </c>
      <c r="E24" s="33" t="s">
        <v>203</v>
      </c>
      <c r="F24" s="33" t="s">
        <v>204</v>
      </c>
      <c r="G24" s="33"/>
      <c r="H24" s="33"/>
      <c r="I24" s="33"/>
      <c r="J24" s="32">
        <f t="shared" si="0"/>
        <v>48</v>
      </c>
      <c r="K24" s="32">
        <f t="shared" si="1"/>
        <v>0</v>
      </c>
      <c r="L24" s="32">
        <f t="shared" si="2"/>
        <v>48</v>
      </c>
      <c r="M24" s="93">
        <f t="shared" si="3"/>
        <v>0</v>
      </c>
    </row>
    <row r="25" spans="1:13" s="32" customFormat="1" ht="87" x14ac:dyDescent="0.4">
      <c r="A25" s="16" t="s">
        <v>193</v>
      </c>
      <c r="B25" s="33"/>
      <c r="C25" s="95" t="s">
        <v>57</v>
      </c>
      <c r="D25" s="52">
        <v>6</v>
      </c>
      <c r="E25" s="33" t="s">
        <v>205</v>
      </c>
      <c r="F25" s="33" t="s">
        <v>206</v>
      </c>
      <c r="G25" s="33" t="s">
        <v>207</v>
      </c>
      <c r="H25" s="33"/>
      <c r="I25" s="33"/>
      <c r="J25" s="32">
        <f t="shared" si="0"/>
        <v>111</v>
      </c>
      <c r="K25" s="32">
        <f t="shared" si="1"/>
        <v>178</v>
      </c>
      <c r="L25" s="32">
        <f t="shared" si="2"/>
        <v>289</v>
      </c>
      <c r="M25" s="93">
        <f t="shared" si="3"/>
        <v>0</v>
      </c>
    </row>
    <row r="26" spans="1:13" s="32" customFormat="1" ht="15" x14ac:dyDescent="0.4">
      <c r="A26" s="48"/>
      <c r="B26" s="49" t="s">
        <v>58</v>
      </c>
      <c r="C26" s="49" t="s">
        <v>208</v>
      </c>
      <c r="D26" s="48"/>
      <c r="E26" s="48"/>
      <c r="F26" s="48"/>
      <c r="G26" s="48"/>
      <c r="H26" s="50"/>
      <c r="I26" s="51"/>
      <c r="J26" s="32">
        <f t="shared" si="0"/>
        <v>0</v>
      </c>
      <c r="K26" s="32">
        <f t="shared" si="1"/>
        <v>0</v>
      </c>
      <c r="L26" s="32">
        <f t="shared" si="2"/>
        <v>0</v>
      </c>
      <c r="M26" s="93">
        <f t="shared" si="3"/>
        <v>0</v>
      </c>
    </row>
    <row r="27" spans="1:13" s="32" customFormat="1" ht="43.5" x14ac:dyDescent="0.4">
      <c r="A27" s="16" t="s">
        <v>193</v>
      </c>
      <c r="B27" s="33"/>
      <c r="C27" s="95" t="s">
        <v>59</v>
      </c>
      <c r="D27" s="52">
        <v>1</v>
      </c>
      <c r="E27" s="33" t="s">
        <v>194</v>
      </c>
      <c r="F27" s="33"/>
      <c r="G27" s="33"/>
      <c r="H27" s="33"/>
      <c r="I27" s="53" t="s">
        <v>209</v>
      </c>
      <c r="J27" s="32">
        <f t="shared" si="0"/>
        <v>0</v>
      </c>
      <c r="K27" s="32">
        <f t="shared" si="1"/>
        <v>0</v>
      </c>
      <c r="L27" s="32">
        <f t="shared" si="2"/>
        <v>0</v>
      </c>
      <c r="M27" s="93">
        <f t="shared" si="3"/>
        <v>0</v>
      </c>
    </row>
    <row r="28" spans="1:13" s="32" customFormat="1" ht="101.5" x14ac:dyDescent="0.4">
      <c r="A28" s="16" t="s">
        <v>193</v>
      </c>
      <c r="B28" s="33"/>
      <c r="C28" s="95" t="s">
        <v>59</v>
      </c>
      <c r="D28" s="52">
        <v>2</v>
      </c>
      <c r="E28" s="33" t="s">
        <v>210</v>
      </c>
      <c r="F28" s="33" t="s">
        <v>211</v>
      </c>
      <c r="G28" s="33" t="s">
        <v>212</v>
      </c>
      <c r="H28" s="33"/>
      <c r="I28" s="33"/>
      <c r="J28" s="32">
        <f t="shared" si="0"/>
        <v>82</v>
      </c>
      <c r="K28" s="32">
        <f t="shared" si="1"/>
        <v>177</v>
      </c>
      <c r="L28" s="32">
        <f t="shared" si="2"/>
        <v>259</v>
      </c>
      <c r="M28" s="93">
        <f t="shared" si="3"/>
        <v>0</v>
      </c>
    </row>
    <row r="29" spans="1:13" s="32" customFormat="1" ht="43.5" x14ac:dyDescent="0.4">
      <c r="A29" s="16" t="s">
        <v>193</v>
      </c>
      <c r="B29" s="33"/>
      <c r="C29" s="95" t="s">
        <v>59</v>
      </c>
      <c r="D29" s="52">
        <v>3</v>
      </c>
      <c r="E29" s="33" t="s">
        <v>213</v>
      </c>
      <c r="F29" s="33"/>
      <c r="G29" s="33"/>
      <c r="H29" s="33"/>
      <c r="I29" s="33"/>
      <c r="J29" s="32">
        <f t="shared" si="0"/>
        <v>0</v>
      </c>
      <c r="K29" s="32">
        <f t="shared" si="1"/>
        <v>0</v>
      </c>
      <c r="L29" s="32">
        <f t="shared" si="2"/>
        <v>0</v>
      </c>
      <c r="M29" s="93">
        <f t="shared" si="3"/>
        <v>0</v>
      </c>
    </row>
    <row r="30" spans="1:13" s="32" customFormat="1" ht="43.5" x14ac:dyDescent="0.4">
      <c r="A30" s="16" t="s">
        <v>193</v>
      </c>
      <c r="B30" s="33"/>
      <c r="C30" s="95" t="s">
        <v>59</v>
      </c>
      <c r="D30" s="54">
        <v>4</v>
      </c>
      <c r="E30" s="33" t="s">
        <v>203</v>
      </c>
      <c r="F30" s="33" t="s">
        <v>204</v>
      </c>
      <c r="G30" s="33"/>
      <c r="H30" s="33"/>
      <c r="I30" s="33"/>
      <c r="J30" s="32">
        <f t="shared" si="0"/>
        <v>48</v>
      </c>
      <c r="K30" s="32">
        <f t="shared" si="1"/>
        <v>0</v>
      </c>
      <c r="L30" s="32">
        <f t="shared" si="2"/>
        <v>48</v>
      </c>
      <c r="M30" s="93">
        <f t="shared" si="3"/>
        <v>0</v>
      </c>
    </row>
    <row r="31" spans="1:13" s="32" customFormat="1" ht="43.5" x14ac:dyDescent="0.4">
      <c r="A31" s="16" t="s">
        <v>193</v>
      </c>
      <c r="B31" s="33"/>
      <c r="C31" s="95" t="s">
        <v>59</v>
      </c>
      <c r="D31" s="52">
        <v>5</v>
      </c>
      <c r="E31" s="33" t="s">
        <v>214</v>
      </c>
      <c r="F31" s="33" t="s">
        <v>215</v>
      </c>
      <c r="G31" s="33"/>
      <c r="H31" s="33"/>
      <c r="I31" s="33"/>
      <c r="J31" s="32">
        <f t="shared" si="0"/>
        <v>149</v>
      </c>
      <c r="K31" s="32">
        <f t="shared" si="1"/>
        <v>0</v>
      </c>
      <c r="L31" s="32">
        <f t="shared" si="2"/>
        <v>149</v>
      </c>
      <c r="M31" s="93">
        <f t="shared" si="3"/>
        <v>0</v>
      </c>
    </row>
    <row r="32" spans="1:13" s="32" customFormat="1" ht="87" x14ac:dyDescent="0.4">
      <c r="A32" s="16" t="s">
        <v>193</v>
      </c>
      <c r="B32" s="33"/>
      <c r="C32" s="95" t="s">
        <v>59</v>
      </c>
      <c r="D32" s="52">
        <v>6</v>
      </c>
      <c r="E32" s="33" t="s">
        <v>205</v>
      </c>
      <c r="F32" s="33" t="s">
        <v>206</v>
      </c>
      <c r="G32" s="33" t="s">
        <v>207</v>
      </c>
      <c r="H32" s="33"/>
      <c r="I32" s="33"/>
      <c r="J32" s="32">
        <f t="shared" si="0"/>
        <v>111</v>
      </c>
      <c r="K32" s="32">
        <f t="shared" si="1"/>
        <v>178</v>
      </c>
      <c r="L32" s="32">
        <f t="shared" si="2"/>
        <v>289</v>
      </c>
      <c r="M32" s="93">
        <f t="shared" si="3"/>
        <v>0</v>
      </c>
    </row>
    <row r="33" spans="1:13" s="59" customFormat="1" ht="15" x14ac:dyDescent="0.4">
      <c r="A33" s="55"/>
      <c r="B33" s="49" t="s">
        <v>60</v>
      </c>
      <c r="C33" s="49" t="s">
        <v>216</v>
      </c>
      <c r="D33" s="56"/>
      <c r="E33" s="56"/>
      <c r="F33" s="56"/>
      <c r="G33" s="57"/>
      <c r="H33" s="58"/>
      <c r="I33" s="58"/>
      <c r="J33" s="32">
        <f t="shared" si="0"/>
        <v>0</v>
      </c>
      <c r="K33" s="32">
        <f t="shared" si="1"/>
        <v>0</v>
      </c>
      <c r="L33" s="32">
        <f t="shared" si="2"/>
        <v>0</v>
      </c>
      <c r="M33" s="93">
        <f t="shared" si="3"/>
        <v>0</v>
      </c>
    </row>
    <row r="34" spans="1:13" s="59" customFormat="1" ht="72.5" x14ac:dyDescent="0.4">
      <c r="A34" s="16" t="s">
        <v>193</v>
      </c>
      <c r="B34" s="33"/>
      <c r="C34" s="95" t="s">
        <v>61</v>
      </c>
      <c r="D34" s="52">
        <v>1</v>
      </c>
      <c r="E34" s="60" t="s">
        <v>217</v>
      </c>
      <c r="F34" s="60" t="s">
        <v>218</v>
      </c>
      <c r="G34" s="60" t="s">
        <v>219</v>
      </c>
      <c r="H34" s="33" t="s">
        <v>220</v>
      </c>
      <c r="I34" s="33" t="s">
        <v>221</v>
      </c>
      <c r="J34" s="32">
        <f t="shared" si="0"/>
        <v>168</v>
      </c>
      <c r="K34" s="32">
        <f t="shared" si="1"/>
        <v>83</v>
      </c>
      <c r="L34" s="32">
        <f t="shared" si="2"/>
        <v>251</v>
      </c>
      <c r="M34" s="93">
        <f t="shared" si="3"/>
        <v>0</v>
      </c>
    </row>
    <row r="35" spans="1:13" s="59" customFormat="1" ht="72.5" x14ac:dyDescent="0.4">
      <c r="A35" s="16" t="s">
        <v>193</v>
      </c>
      <c r="B35" s="33"/>
      <c r="C35" s="95" t="s">
        <v>61</v>
      </c>
      <c r="D35" s="52">
        <v>2</v>
      </c>
      <c r="E35" s="60" t="s">
        <v>222</v>
      </c>
      <c r="F35" s="60" t="s">
        <v>223</v>
      </c>
      <c r="G35" s="60"/>
      <c r="H35" s="33"/>
      <c r="I35" s="33"/>
      <c r="J35" s="32">
        <f t="shared" si="0"/>
        <v>91</v>
      </c>
      <c r="K35" s="32">
        <f t="shared" si="1"/>
        <v>0</v>
      </c>
      <c r="L35" s="32">
        <f t="shared" si="2"/>
        <v>91</v>
      </c>
      <c r="M35" s="93">
        <f t="shared" si="3"/>
        <v>0</v>
      </c>
    </row>
    <row r="36" spans="1:13" s="59" customFormat="1" ht="43.5" x14ac:dyDescent="0.4">
      <c r="A36" s="16" t="s">
        <v>193</v>
      </c>
      <c r="B36" s="33"/>
      <c r="C36" s="95" t="s">
        <v>61</v>
      </c>
      <c r="D36" s="52">
        <v>3</v>
      </c>
      <c r="E36" s="16" t="s">
        <v>224</v>
      </c>
      <c r="F36" s="16" t="s">
        <v>225</v>
      </c>
      <c r="G36" s="16"/>
      <c r="H36" s="16"/>
      <c r="I36" s="16"/>
      <c r="J36" s="32">
        <f t="shared" si="0"/>
        <v>73</v>
      </c>
      <c r="K36" s="32">
        <f t="shared" si="1"/>
        <v>0</v>
      </c>
      <c r="L36" s="32">
        <f t="shared" si="2"/>
        <v>73</v>
      </c>
      <c r="M36" s="93">
        <f t="shared" si="3"/>
        <v>0</v>
      </c>
    </row>
    <row r="37" spans="1:13" s="59" customFormat="1" ht="15" x14ac:dyDescent="0.4">
      <c r="A37" s="55"/>
      <c r="B37" s="49" t="s">
        <v>62</v>
      </c>
      <c r="C37" s="49" t="s">
        <v>226</v>
      </c>
      <c r="D37" s="57"/>
      <c r="E37" s="55"/>
      <c r="F37" s="55"/>
      <c r="G37" s="55"/>
      <c r="H37" s="55"/>
      <c r="I37" s="55"/>
      <c r="J37" s="32">
        <f t="shared" si="0"/>
        <v>0</v>
      </c>
      <c r="K37" s="32">
        <f t="shared" si="1"/>
        <v>0</v>
      </c>
      <c r="L37" s="32">
        <f t="shared" si="2"/>
        <v>0</v>
      </c>
      <c r="M37" s="93">
        <f t="shared" si="3"/>
        <v>0</v>
      </c>
    </row>
    <row r="38" spans="1:13" s="59" customFormat="1" ht="72.5" x14ac:dyDescent="0.4">
      <c r="A38" s="16" t="s">
        <v>193</v>
      </c>
      <c r="B38" s="33"/>
      <c r="C38" s="95" t="s">
        <v>63</v>
      </c>
      <c r="D38" s="52">
        <v>1</v>
      </c>
      <c r="E38" s="60" t="s">
        <v>227</v>
      </c>
      <c r="F38" s="60" t="s">
        <v>218</v>
      </c>
      <c r="G38" s="60" t="s">
        <v>219</v>
      </c>
      <c r="H38" s="33" t="s">
        <v>220</v>
      </c>
      <c r="I38" s="33" t="s">
        <v>221</v>
      </c>
      <c r="J38" s="32">
        <f t="shared" si="0"/>
        <v>168</v>
      </c>
      <c r="K38" s="32">
        <f t="shared" si="1"/>
        <v>83</v>
      </c>
      <c r="L38" s="32">
        <f t="shared" si="2"/>
        <v>251</v>
      </c>
      <c r="M38" s="93">
        <f t="shared" si="3"/>
        <v>0</v>
      </c>
    </row>
    <row r="39" spans="1:13" s="59" customFormat="1" ht="72.5" x14ac:dyDescent="0.4">
      <c r="A39" s="16" t="s">
        <v>193</v>
      </c>
      <c r="B39" s="33"/>
      <c r="C39" s="95" t="s">
        <v>63</v>
      </c>
      <c r="D39" s="52">
        <v>2</v>
      </c>
      <c r="E39" s="60" t="s">
        <v>222</v>
      </c>
      <c r="F39" s="60" t="s">
        <v>223</v>
      </c>
      <c r="G39" s="60"/>
      <c r="H39" s="33"/>
      <c r="I39" s="33"/>
      <c r="J39" s="32">
        <f t="shared" si="0"/>
        <v>91</v>
      </c>
      <c r="K39" s="32">
        <f t="shared" si="1"/>
        <v>0</v>
      </c>
      <c r="L39" s="32">
        <f t="shared" si="2"/>
        <v>91</v>
      </c>
      <c r="M39" s="93">
        <f t="shared" si="3"/>
        <v>0</v>
      </c>
    </row>
    <row r="40" spans="1:13" s="59" customFormat="1" ht="43.5" x14ac:dyDescent="0.4">
      <c r="A40" s="16" t="s">
        <v>193</v>
      </c>
      <c r="B40" s="33"/>
      <c r="C40" s="95" t="s">
        <v>63</v>
      </c>
      <c r="D40" s="52">
        <v>3</v>
      </c>
      <c r="E40" s="60" t="s">
        <v>228</v>
      </c>
      <c r="F40" s="60" t="s">
        <v>229</v>
      </c>
      <c r="G40" s="16"/>
      <c r="H40" s="16"/>
      <c r="I40" s="16"/>
      <c r="J40" s="32">
        <f t="shared" si="0"/>
        <v>24</v>
      </c>
      <c r="K40" s="32">
        <f t="shared" si="1"/>
        <v>0</v>
      </c>
      <c r="L40" s="32">
        <f t="shared" si="2"/>
        <v>24</v>
      </c>
      <c r="M40" s="93">
        <f t="shared" si="3"/>
        <v>0</v>
      </c>
    </row>
    <row r="41" spans="1:13" s="59" customFormat="1" ht="15" x14ac:dyDescent="0.4">
      <c r="A41" s="55"/>
      <c r="B41" s="49" t="s">
        <v>64</v>
      </c>
      <c r="C41" s="49" t="s">
        <v>230</v>
      </c>
      <c r="D41" s="57"/>
      <c r="E41" s="55"/>
      <c r="F41" s="55"/>
      <c r="G41" s="55"/>
      <c r="H41" s="55"/>
      <c r="I41" s="55"/>
      <c r="J41" s="32">
        <f t="shared" si="0"/>
        <v>0</v>
      </c>
      <c r="K41" s="32">
        <f t="shared" si="1"/>
        <v>0</v>
      </c>
      <c r="L41" s="32">
        <f t="shared" si="2"/>
        <v>0</v>
      </c>
      <c r="M41" s="93">
        <f t="shared" si="3"/>
        <v>0</v>
      </c>
    </row>
    <row r="42" spans="1:13" s="59" customFormat="1" ht="101.5" x14ac:dyDescent="0.4">
      <c r="A42" s="16" t="s">
        <v>193</v>
      </c>
      <c r="B42" s="33"/>
      <c r="C42" s="95" t="s">
        <v>231</v>
      </c>
      <c r="D42" s="52">
        <v>1</v>
      </c>
      <c r="E42" s="60" t="s">
        <v>227</v>
      </c>
      <c r="F42" s="60" t="s">
        <v>782</v>
      </c>
      <c r="G42" s="60" t="s">
        <v>232</v>
      </c>
      <c r="H42" s="33" t="s">
        <v>220</v>
      </c>
      <c r="I42" s="33" t="s">
        <v>221</v>
      </c>
      <c r="J42" s="32">
        <f t="shared" si="0"/>
        <v>179</v>
      </c>
      <c r="K42" s="32">
        <f t="shared" si="1"/>
        <v>104</v>
      </c>
      <c r="L42" s="32">
        <f t="shared" si="2"/>
        <v>283</v>
      </c>
      <c r="M42" s="93">
        <f t="shared" si="3"/>
        <v>0</v>
      </c>
    </row>
    <row r="43" spans="1:13" s="59" customFormat="1" ht="43.5" x14ac:dyDescent="0.4">
      <c r="A43" s="16" t="s">
        <v>193</v>
      </c>
      <c r="B43" s="33"/>
      <c r="C43" s="95" t="s">
        <v>231</v>
      </c>
      <c r="D43" s="52">
        <v>2</v>
      </c>
      <c r="E43" s="60" t="s">
        <v>228</v>
      </c>
      <c r="F43" s="60" t="s">
        <v>229</v>
      </c>
      <c r="G43" s="16"/>
      <c r="H43" s="16"/>
      <c r="I43" s="16"/>
      <c r="J43" s="32">
        <f t="shared" si="0"/>
        <v>24</v>
      </c>
      <c r="K43" s="32">
        <f t="shared" si="1"/>
        <v>0</v>
      </c>
      <c r="L43" s="32">
        <f t="shared" si="2"/>
        <v>24</v>
      </c>
      <c r="M43" s="93">
        <f t="shared" si="3"/>
        <v>0</v>
      </c>
    </row>
    <row r="44" spans="1:13" s="59" customFormat="1" ht="15" x14ac:dyDescent="0.4">
      <c r="A44" s="55"/>
      <c r="B44" s="49" t="s">
        <v>66</v>
      </c>
      <c r="C44" s="49" t="s">
        <v>233</v>
      </c>
      <c r="D44" s="57"/>
      <c r="E44" s="55"/>
      <c r="F44" s="55"/>
      <c r="G44" s="55"/>
      <c r="H44" s="55"/>
      <c r="I44" s="55"/>
      <c r="J44" s="32">
        <f t="shared" si="0"/>
        <v>0</v>
      </c>
      <c r="K44" s="32">
        <f t="shared" si="1"/>
        <v>0</v>
      </c>
      <c r="L44" s="32">
        <f t="shared" si="2"/>
        <v>0</v>
      </c>
      <c r="M44" s="93">
        <f t="shared" si="3"/>
        <v>0</v>
      </c>
    </row>
    <row r="45" spans="1:13" s="59" customFormat="1" ht="116" x14ac:dyDescent="0.4">
      <c r="A45" s="16" t="s">
        <v>193</v>
      </c>
      <c r="B45" s="33"/>
      <c r="C45" s="95" t="s">
        <v>234</v>
      </c>
      <c r="D45" s="52">
        <v>1</v>
      </c>
      <c r="E45" s="60" t="s">
        <v>227</v>
      </c>
      <c r="F45" s="60" t="s">
        <v>783</v>
      </c>
      <c r="G45" s="60" t="s">
        <v>235</v>
      </c>
      <c r="H45" s="33" t="s">
        <v>220</v>
      </c>
      <c r="I45" s="33" t="s">
        <v>236</v>
      </c>
      <c r="J45" s="32">
        <f t="shared" si="0"/>
        <v>245</v>
      </c>
      <c r="K45" s="32">
        <f t="shared" si="1"/>
        <v>94</v>
      </c>
      <c r="L45" s="32">
        <f t="shared" si="2"/>
        <v>339</v>
      </c>
      <c r="M45" s="93">
        <f t="shared" si="3"/>
        <v>0</v>
      </c>
    </row>
    <row r="46" spans="1:13" s="59" customFormat="1" ht="43.5" x14ac:dyDescent="0.4">
      <c r="A46" s="16" t="s">
        <v>193</v>
      </c>
      <c r="B46" s="33"/>
      <c r="C46" s="95" t="s">
        <v>234</v>
      </c>
      <c r="D46" s="52">
        <v>2</v>
      </c>
      <c r="E46" s="60" t="s">
        <v>228</v>
      </c>
      <c r="F46" s="60" t="s">
        <v>229</v>
      </c>
      <c r="G46" s="16"/>
      <c r="H46" s="16"/>
      <c r="I46" s="16"/>
      <c r="J46" s="32">
        <f t="shared" si="0"/>
        <v>24</v>
      </c>
      <c r="K46" s="32">
        <f t="shared" si="1"/>
        <v>0</v>
      </c>
      <c r="L46" s="32">
        <f t="shared" si="2"/>
        <v>24</v>
      </c>
      <c r="M46" s="93">
        <f t="shared" si="3"/>
        <v>0</v>
      </c>
    </row>
    <row r="47" spans="1:13" s="32" customFormat="1" ht="15" x14ac:dyDescent="0.4">
      <c r="A47" s="63"/>
      <c r="B47" s="63" t="s">
        <v>69</v>
      </c>
      <c r="C47" s="63" t="s">
        <v>237</v>
      </c>
      <c r="D47" s="63"/>
      <c r="E47" s="63"/>
      <c r="F47" s="63"/>
      <c r="G47" s="63"/>
      <c r="H47" s="63"/>
      <c r="I47" s="63"/>
      <c r="J47" s="32">
        <f t="shared" si="0"/>
        <v>0</v>
      </c>
      <c r="K47" s="32">
        <f t="shared" si="1"/>
        <v>0</v>
      </c>
      <c r="L47" s="32">
        <f t="shared" si="2"/>
        <v>0</v>
      </c>
      <c r="M47" s="93">
        <f t="shared" si="3"/>
        <v>0</v>
      </c>
    </row>
    <row r="48" spans="1:13" s="32" customFormat="1" ht="203" x14ac:dyDescent="0.4">
      <c r="A48" s="16" t="s">
        <v>193</v>
      </c>
      <c r="B48" s="33"/>
      <c r="C48" s="95" t="s">
        <v>70</v>
      </c>
      <c r="D48" s="52">
        <v>1</v>
      </c>
      <c r="E48" s="60" t="s">
        <v>238</v>
      </c>
      <c r="F48" s="60" t="s">
        <v>239</v>
      </c>
      <c r="G48" s="60" t="s">
        <v>240</v>
      </c>
      <c r="H48" s="33" t="s">
        <v>241</v>
      </c>
      <c r="I48" s="33" t="s">
        <v>242</v>
      </c>
      <c r="J48" s="32">
        <f t="shared" si="0"/>
        <v>86</v>
      </c>
      <c r="K48" s="32">
        <f t="shared" si="1"/>
        <v>84</v>
      </c>
      <c r="L48" s="32">
        <f t="shared" si="2"/>
        <v>170</v>
      </c>
      <c r="M48" s="93">
        <f t="shared" si="3"/>
        <v>0</v>
      </c>
    </row>
    <row r="49" spans="1:13" s="59" customFormat="1" ht="72.5" x14ac:dyDescent="0.4">
      <c r="A49" s="16" t="s">
        <v>193</v>
      </c>
      <c r="B49" s="33"/>
      <c r="C49" s="95" t="s">
        <v>70</v>
      </c>
      <c r="D49" s="52">
        <v>2</v>
      </c>
      <c r="E49" s="60" t="s">
        <v>243</v>
      </c>
      <c r="F49" s="60" t="s">
        <v>218</v>
      </c>
      <c r="G49" s="60"/>
      <c r="H49" s="64"/>
      <c r="I49" s="64"/>
      <c r="J49" s="32">
        <f t="shared" si="0"/>
        <v>168</v>
      </c>
      <c r="K49" s="32">
        <f t="shared" si="1"/>
        <v>0</v>
      </c>
      <c r="L49" s="32">
        <f t="shared" si="2"/>
        <v>168</v>
      </c>
      <c r="M49" s="93">
        <f t="shared" si="3"/>
        <v>0</v>
      </c>
    </row>
    <row r="50" spans="1:13" s="59" customFormat="1" ht="203" x14ac:dyDescent="0.4">
      <c r="A50" s="16" t="s">
        <v>193</v>
      </c>
      <c r="B50" s="33"/>
      <c r="C50" s="95" t="s">
        <v>70</v>
      </c>
      <c r="D50" s="52">
        <v>3</v>
      </c>
      <c r="E50" s="60" t="s">
        <v>222</v>
      </c>
      <c r="F50" s="60" t="s">
        <v>244</v>
      </c>
      <c r="G50" s="60"/>
      <c r="H50" s="33"/>
      <c r="I50" s="33"/>
      <c r="J50" s="32">
        <f t="shared" si="0"/>
        <v>411</v>
      </c>
      <c r="K50" s="32">
        <f t="shared" si="1"/>
        <v>0</v>
      </c>
      <c r="L50" s="32">
        <f t="shared" si="2"/>
        <v>411</v>
      </c>
      <c r="M50" s="93">
        <f t="shared" si="3"/>
        <v>0</v>
      </c>
    </row>
    <row r="51" spans="1:13" s="59" customFormat="1" ht="167.25" customHeight="1" x14ac:dyDescent="0.4">
      <c r="A51" s="16" t="s">
        <v>193</v>
      </c>
      <c r="B51" s="33"/>
      <c r="C51" s="95" t="s">
        <v>70</v>
      </c>
      <c r="D51" s="52">
        <v>4</v>
      </c>
      <c r="E51" s="60" t="s">
        <v>245</v>
      </c>
      <c r="F51" s="60" t="s">
        <v>246</v>
      </c>
      <c r="G51" s="60" t="s">
        <v>247</v>
      </c>
      <c r="H51" s="52"/>
      <c r="I51" s="33"/>
      <c r="J51" s="32">
        <f t="shared" si="0"/>
        <v>44</v>
      </c>
      <c r="K51" s="32">
        <f t="shared" si="1"/>
        <v>39</v>
      </c>
      <c r="L51" s="32">
        <f t="shared" si="2"/>
        <v>83</v>
      </c>
      <c r="M51" s="93">
        <f t="shared" si="3"/>
        <v>0</v>
      </c>
    </row>
    <row r="52" spans="1:13" s="59" customFormat="1" ht="93" customHeight="1" x14ac:dyDescent="0.4">
      <c r="A52" s="16" t="s">
        <v>193</v>
      </c>
      <c r="B52" s="33"/>
      <c r="C52" s="95" t="s">
        <v>70</v>
      </c>
      <c r="D52" s="52">
        <v>5</v>
      </c>
      <c r="E52" s="60" t="s">
        <v>248</v>
      </c>
      <c r="F52" s="60" t="s">
        <v>249</v>
      </c>
      <c r="G52" s="60"/>
      <c r="H52" s="52"/>
      <c r="I52" s="33"/>
      <c r="J52" s="32">
        <f t="shared" si="0"/>
        <v>50</v>
      </c>
      <c r="K52" s="32">
        <f t="shared" si="1"/>
        <v>0</v>
      </c>
      <c r="L52" s="32">
        <f t="shared" si="2"/>
        <v>50</v>
      </c>
      <c r="M52" s="93">
        <f t="shared" si="3"/>
        <v>0</v>
      </c>
    </row>
    <row r="53" spans="1:13" s="59" customFormat="1" ht="409.5" x14ac:dyDescent="0.4">
      <c r="A53" s="16" t="s">
        <v>193</v>
      </c>
      <c r="B53" s="33"/>
      <c r="C53" s="95" t="s">
        <v>70</v>
      </c>
      <c r="D53" s="52">
        <v>6</v>
      </c>
      <c r="E53" s="60" t="s">
        <v>250</v>
      </c>
      <c r="F53" s="60" t="s">
        <v>781</v>
      </c>
      <c r="G53" s="60" t="s">
        <v>252</v>
      </c>
      <c r="H53" s="60"/>
      <c r="I53" s="33"/>
      <c r="J53" s="32">
        <f t="shared" si="0"/>
        <v>1474</v>
      </c>
      <c r="K53" s="32">
        <f t="shared" si="1"/>
        <v>1044</v>
      </c>
      <c r="L53" s="32">
        <f t="shared" si="2"/>
        <v>2518</v>
      </c>
      <c r="M53" s="94">
        <f t="shared" si="3"/>
        <v>1</v>
      </c>
    </row>
    <row r="54" spans="1:13" s="59" customFormat="1" ht="43.5" x14ac:dyDescent="0.4">
      <c r="A54" s="16" t="s">
        <v>193</v>
      </c>
      <c r="B54" s="33"/>
      <c r="C54" s="95" t="s">
        <v>70</v>
      </c>
      <c r="D54" s="52">
        <v>7</v>
      </c>
      <c r="E54" s="60" t="s">
        <v>228</v>
      </c>
      <c r="F54" s="60" t="s">
        <v>229</v>
      </c>
      <c r="G54" s="60"/>
      <c r="H54" s="52"/>
      <c r="I54" s="33"/>
      <c r="J54" s="32">
        <f t="shared" si="0"/>
        <v>24</v>
      </c>
      <c r="K54" s="32">
        <f t="shared" si="1"/>
        <v>0</v>
      </c>
      <c r="L54" s="32">
        <f t="shared" si="2"/>
        <v>24</v>
      </c>
      <c r="M54" s="93">
        <f t="shared" si="3"/>
        <v>0</v>
      </c>
    </row>
    <row r="55" spans="1:13" s="59" customFormat="1" ht="15" x14ac:dyDescent="0.4">
      <c r="A55" s="65"/>
      <c r="B55" s="65" t="s">
        <v>71</v>
      </c>
      <c r="C55" s="65" t="s">
        <v>253</v>
      </c>
      <c r="D55" s="65"/>
      <c r="E55" s="65"/>
      <c r="F55" s="65"/>
      <c r="G55" s="65"/>
      <c r="H55" s="65"/>
      <c r="I55" s="65"/>
      <c r="J55" s="32">
        <f t="shared" si="0"/>
        <v>0</v>
      </c>
      <c r="K55" s="32">
        <f t="shared" si="1"/>
        <v>0</v>
      </c>
      <c r="L55" s="32">
        <f t="shared" si="2"/>
        <v>0</v>
      </c>
      <c r="M55" s="93">
        <f t="shared" si="3"/>
        <v>0</v>
      </c>
    </row>
    <row r="56" spans="1:13" s="59" customFormat="1" ht="203" x14ac:dyDescent="0.4">
      <c r="A56" s="16" t="s">
        <v>193</v>
      </c>
      <c r="B56" s="33"/>
      <c r="C56" s="95" t="s">
        <v>72</v>
      </c>
      <c r="D56" s="52">
        <v>1</v>
      </c>
      <c r="E56" s="60" t="s">
        <v>238</v>
      </c>
      <c r="F56" s="60" t="s">
        <v>239</v>
      </c>
      <c r="G56" s="60" t="s">
        <v>240</v>
      </c>
      <c r="H56" s="33" t="s">
        <v>220</v>
      </c>
      <c r="I56" s="33" t="s">
        <v>254</v>
      </c>
      <c r="J56" s="32">
        <f t="shared" si="0"/>
        <v>86</v>
      </c>
      <c r="K56" s="32">
        <f t="shared" si="1"/>
        <v>84</v>
      </c>
      <c r="L56" s="32">
        <f t="shared" si="2"/>
        <v>170</v>
      </c>
      <c r="M56" s="93">
        <f t="shared" si="3"/>
        <v>0</v>
      </c>
    </row>
    <row r="57" spans="1:13" s="59" customFormat="1" ht="72.5" x14ac:dyDescent="0.4">
      <c r="A57" s="16" t="s">
        <v>193</v>
      </c>
      <c r="B57" s="33"/>
      <c r="C57" s="95" t="s">
        <v>72</v>
      </c>
      <c r="D57" s="52">
        <v>2</v>
      </c>
      <c r="E57" s="60" t="s">
        <v>243</v>
      </c>
      <c r="F57" s="60" t="s">
        <v>218</v>
      </c>
      <c r="G57" s="60"/>
      <c r="H57" s="33"/>
      <c r="I57" s="33"/>
      <c r="J57" s="32">
        <f t="shared" si="0"/>
        <v>168</v>
      </c>
      <c r="K57" s="32">
        <f t="shared" si="1"/>
        <v>0</v>
      </c>
      <c r="L57" s="32">
        <f t="shared" si="2"/>
        <v>168</v>
      </c>
      <c r="M57" s="93">
        <f t="shared" si="3"/>
        <v>0</v>
      </c>
    </row>
    <row r="58" spans="1:13" s="59" customFormat="1" ht="280.5" customHeight="1" x14ac:dyDescent="0.4">
      <c r="A58" s="16" t="s">
        <v>193</v>
      </c>
      <c r="B58" s="33"/>
      <c r="C58" s="95" t="s">
        <v>72</v>
      </c>
      <c r="D58" s="52">
        <v>3</v>
      </c>
      <c r="E58" s="60" t="s">
        <v>222</v>
      </c>
      <c r="F58" s="60" t="s">
        <v>255</v>
      </c>
      <c r="G58" s="60"/>
      <c r="H58" s="64"/>
      <c r="I58" s="64"/>
      <c r="J58" s="32">
        <f t="shared" si="0"/>
        <v>361</v>
      </c>
      <c r="K58" s="32">
        <f t="shared" si="1"/>
        <v>0</v>
      </c>
      <c r="L58" s="32">
        <f t="shared" si="2"/>
        <v>361</v>
      </c>
      <c r="M58" s="93">
        <f t="shared" si="3"/>
        <v>0</v>
      </c>
    </row>
    <row r="59" spans="1:13" s="59" customFormat="1" ht="392.25" customHeight="1" x14ac:dyDescent="0.4">
      <c r="A59" s="16" t="s">
        <v>193</v>
      </c>
      <c r="B59" s="33"/>
      <c r="C59" s="95" t="s">
        <v>72</v>
      </c>
      <c r="D59" s="52">
        <v>4</v>
      </c>
      <c r="E59" s="60" t="s">
        <v>256</v>
      </c>
      <c r="F59" s="60" t="s">
        <v>257</v>
      </c>
      <c r="G59" s="60"/>
      <c r="H59" s="52"/>
      <c r="I59" s="33"/>
      <c r="J59" s="32">
        <f t="shared" si="0"/>
        <v>1008</v>
      </c>
      <c r="K59" s="32">
        <f t="shared" si="1"/>
        <v>0</v>
      </c>
      <c r="L59" s="32">
        <f t="shared" si="2"/>
        <v>1008</v>
      </c>
      <c r="M59" s="94">
        <f t="shared" si="3"/>
        <v>1</v>
      </c>
    </row>
    <row r="60" spans="1:13" s="59" customFormat="1" ht="225.75" customHeight="1" x14ac:dyDescent="0.4">
      <c r="A60" s="16" t="s">
        <v>193</v>
      </c>
      <c r="B60" s="33"/>
      <c r="C60" s="95" t="s">
        <v>72</v>
      </c>
      <c r="D60" s="52">
        <v>5</v>
      </c>
      <c r="E60" s="60" t="s">
        <v>258</v>
      </c>
      <c r="F60" s="60" t="s">
        <v>259</v>
      </c>
      <c r="G60" s="60"/>
      <c r="H60" s="52"/>
      <c r="I60" s="33"/>
      <c r="J60" s="32">
        <f t="shared" si="0"/>
        <v>51</v>
      </c>
      <c r="K60" s="32">
        <f t="shared" si="1"/>
        <v>0</v>
      </c>
      <c r="L60" s="32">
        <f t="shared" si="2"/>
        <v>51</v>
      </c>
      <c r="M60" s="93">
        <f t="shared" si="3"/>
        <v>0</v>
      </c>
    </row>
    <row r="61" spans="1:13" s="59" customFormat="1" ht="409.5" x14ac:dyDescent="0.4">
      <c r="A61" s="16" t="s">
        <v>193</v>
      </c>
      <c r="B61" s="33"/>
      <c r="C61" s="95" t="s">
        <v>72</v>
      </c>
      <c r="D61" s="52">
        <v>6</v>
      </c>
      <c r="E61" s="60" t="s">
        <v>260</v>
      </c>
      <c r="F61" s="60" t="s">
        <v>261</v>
      </c>
      <c r="G61" s="60" t="s">
        <v>262</v>
      </c>
      <c r="H61" s="52"/>
      <c r="I61" s="33"/>
      <c r="J61" s="32">
        <f t="shared" si="0"/>
        <v>1486</v>
      </c>
      <c r="K61" s="32">
        <f t="shared" si="1"/>
        <v>1810</v>
      </c>
      <c r="L61" s="32">
        <f t="shared" si="2"/>
        <v>3296</v>
      </c>
      <c r="M61" s="94">
        <f t="shared" si="3"/>
        <v>1</v>
      </c>
    </row>
    <row r="62" spans="1:13" s="59" customFormat="1" ht="76.5" customHeight="1" x14ac:dyDescent="0.4">
      <c r="A62" s="16" t="s">
        <v>193</v>
      </c>
      <c r="B62" s="33"/>
      <c r="C62" s="95" t="s">
        <v>72</v>
      </c>
      <c r="D62" s="52">
        <v>7</v>
      </c>
      <c r="E62" s="60" t="s">
        <v>228</v>
      </c>
      <c r="F62" s="60" t="s">
        <v>229</v>
      </c>
      <c r="G62" s="60"/>
      <c r="H62" s="52"/>
      <c r="I62" s="33"/>
      <c r="J62" s="32">
        <f t="shared" si="0"/>
        <v>24</v>
      </c>
      <c r="K62" s="32">
        <f t="shared" si="1"/>
        <v>0</v>
      </c>
      <c r="L62" s="32">
        <f t="shared" si="2"/>
        <v>24</v>
      </c>
      <c r="M62" s="93">
        <f t="shared" si="3"/>
        <v>0</v>
      </c>
    </row>
    <row r="63" spans="1:13" s="59" customFormat="1" ht="15" x14ac:dyDescent="0.4">
      <c r="A63" s="55"/>
      <c r="B63" s="49" t="s">
        <v>73</v>
      </c>
      <c r="C63" s="49" t="s">
        <v>263</v>
      </c>
      <c r="D63" s="57"/>
      <c r="E63" s="56"/>
      <c r="F63" s="56"/>
      <c r="G63" s="56"/>
      <c r="H63" s="57"/>
      <c r="I63" s="58"/>
      <c r="J63" s="32">
        <f t="shared" si="0"/>
        <v>0</v>
      </c>
      <c r="K63" s="32">
        <f t="shared" si="1"/>
        <v>0</v>
      </c>
      <c r="L63" s="32">
        <f t="shared" si="2"/>
        <v>0</v>
      </c>
      <c r="M63" s="93">
        <f t="shared" si="3"/>
        <v>0</v>
      </c>
    </row>
    <row r="64" spans="1:13" s="59" customFormat="1" ht="319" x14ac:dyDescent="0.4">
      <c r="A64" s="16" t="s">
        <v>193</v>
      </c>
      <c r="B64" s="33"/>
      <c r="C64" s="95" t="s">
        <v>74</v>
      </c>
      <c r="D64" s="52">
        <v>1</v>
      </c>
      <c r="E64" s="60" t="s">
        <v>238</v>
      </c>
      <c r="F64" s="60" t="s">
        <v>239</v>
      </c>
      <c r="G64" s="60" t="s">
        <v>264</v>
      </c>
      <c r="H64" s="33" t="s">
        <v>220</v>
      </c>
      <c r="I64" s="60" t="s">
        <v>265</v>
      </c>
      <c r="J64" s="32">
        <f t="shared" si="0"/>
        <v>86</v>
      </c>
      <c r="K64" s="32">
        <f t="shared" si="1"/>
        <v>85</v>
      </c>
      <c r="L64" s="32">
        <f t="shared" si="2"/>
        <v>171</v>
      </c>
      <c r="M64" s="93">
        <f t="shared" si="3"/>
        <v>0</v>
      </c>
    </row>
    <row r="65" spans="1:13" s="59" customFormat="1" ht="72.5" x14ac:dyDescent="0.4">
      <c r="A65" s="16" t="s">
        <v>193</v>
      </c>
      <c r="B65" s="33"/>
      <c r="C65" s="95" t="s">
        <v>74</v>
      </c>
      <c r="D65" s="52">
        <v>2</v>
      </c>
      <c r="E65" s="60" t="s">
        <v>243</v>
      </c>
      <c r="F65" s="60" t="s">
        <v>218</v>
      </c>
      <c r="G65" s="60"/>
      <c r="H65" s="33"/>
      <c r="I65" s="33"/>
      <c r="J65" s="32">
        <f t="shared" si="0"/>
        <v>168</v>
      </c>
      <c r="K65" s="32">
        <f t="shared" si="1"/>
        <v>0</v>
      </c>
      <c r="L65" s="32">
        <f t="shared" si="2"/>
        <v>168</v>
      </c>
      <c r="M65" s="93">
        <f t="shared" si="3"/>
        <v>0</v>
      </c>
    </row>
    <row r="66" spans="1:13" s="59" customFormat="1" ht="72.5" x14ac:dyDescent="0.4">
      <c r="A66" s="16" t="s">
        <v>193</v>
      </c>
      <c r="B66" s="33"/>
      <c r="C66" s="95" t="s">
        <v>74</v>
      </c>
      <c r="D66" s="52">
        <v>3</v>
      </c>
      <c r="E66" s="60" t="s">
        <v>222</v>
      </c>
      <c r="F66" s="60" t="s">
        <v>223</v>
      </c>
      <c r="G66" s="60"/>
      <c r="H66" s="33"/>
      <c r="I66" s="33"/>
      <c r="J66" s="32">
        <f t="shared" si="0"/>
        <v>91</v>
      </c>
      <c r="K66" s="32">
        <f t="shared" si="1"/>
        <v>0</v>
      </c>
      <c r="L66" s="32">
        <f t="shared" si="2"/>
        <v>91</v>
      </c>
      <c r="M66" s="93">
        <f t="shared" si="3"/>
        <v>0</v>
      </c>
    </row>
    <row r="67" spans="1:13" s="59" customFormat="1" ht="43.5" x14ac:dyDescent="0.4">
      <c r="A67" s="16" t="s">
        <v>193</v>
      </c>
      <c r="B67" s="33"/>
      <c r="C67" s="95" t="s">
        <v>74</v>
      </c>
      <c r="D67" s="52">
        <v>4</v>
      </c>
      <c r="E67" s="60" t="s">
        <v>245</v>
      </c>
      <c r="F67" s="60" t="s">
        <v>246</v>
      </c>
      <c r="G67" s="60"/>
      <c r="H67" s="52"/>
      <c r="I67" s="33"/>
      <c r="J67" s="32">
        <f t="shared" si="0"/>
        <v>44</v>
      </c>
      <c r="K67" s="32">
        <f t="shared" si="1"/>
        <v>0</v>
      </c>
      <c r="L67" s="32">
        <f t="shared" si="2"/>
        <v>44</v>
      </c>
      <c r="M67" s="93">
        <f t="shared" si="3"/>
        <v>0</v>
      </c>
    </row>
    <row r="68" spans="1:13" s="59" customFormat="1" ht="43.5" x14ac:dyDescent="0.4">
      <c r="A68" s="16" t="s">
        <v>193</v>
      </c>
      <c r="B68" s="33"/>
      <c r="C68" s="95" t="s">
        <v>74</v>
      </c>
      <c r="D68" s="52">
        <v>5</v>
      </c>
      <c r="E68" s="60" t="s">
        <v>248</v>
      </c>
      <c r="F68" s="60" t="s">
        <v>249</v>
      </c>
      <c r="G68" s="60"/>
      <c r="H68" s="52"/>
      <c r="I68" s="33"/>
      <c r="J68" s="32">
        <f t="shared" si="0"/>
        <v>50</v>
      </c>
      <c r="K68" s="32">
        <f t="shared" si="1"/>
        <v>0</v>
      </c>
      <c r="L68" s="32">
        <f t="shared" si="2"/>
        <v>50</v>
      </c>
      <c r="M68" s="93">
        <f t="shared" si="3"/>
        <v>0</v>
      </c>
    </row>
    <row r="69" spans="1:13" s="59" customFormat="1" ht="409.5" x14ac:dyDescent="0.4">
      <c r="A69" s="16" t="s">
        <v>193</v>
      </c>
      <c r="B69" s="33"/>
      <c r="C69" s="95" t="s">
        <v>74</v>
      </c>
      <c r="D69" s="52">
        <v>6</v>
      </c>
      <c r="E69" s="60" t="s">
        <v>250</v>
      </c>
      <c r="F69" s="60" t="s">
        <v>266</v>
      </c>
      <c r="G69" s="60" t="s">
        <v>252</v>
      </c>
      <c r="H69" s="60"/>
      <c r="I69" s="33"/>
      <c r="J69" s="32">
        <f t="shared" si="0"/>
        <v>1474</v>
      </c>
      <c r="K69" s="32">
        <f t="shared" si="1"/>
        <v>1044</v>
      </c>
      <c r="L69" s="32">
        <f t="shared" si="2"/>
        <v>2518</v>
      </c>
      <c r="M69" s="94">
        <f t="shared" si="3"/>
        <v>1</v>
      </c>
    </row>
    <row r="70" spans="1:13" s="59" customFormat="1" ht="188.5" x14ac:dyDescent="0.4">
      <c r="A70" s="16" t="s">
        <v>193</v>
      </c>
      <c r="B70" s="33"/>
      <c r="C70" s="95" t="s">
        <v>74</v>
      </c>
      <c r="D70" s="52">
        <v>7</v>
      </c>
      <c r="E70" s="60" t="s">
        <v>267</v>
      </c>
      <c r="F70" s="60" t="s">
        <v>268</v>
      </c>
      <c r="G70" s="60" t="s">
        <v>269</v>
      </c>
      <c r="H70" s="60"/>
      <c r="I70" s="33"/>
      <c r="J70" s="32">
        <f t="shared" si="0"/>
        <v>287</v>
      </c>
      <c r="K70" s="32">
        <f t="shared" si="1"/>
        <v>208</v>
      </c>
      <c r="L70" s="32">
        <f t="shared" si="2"/>
        <v>495</v>
      </c>
      <c r="M70" s="93">
        <f t="shared" si="3"/>
        <v>0</v>
      </c>
    </row>
    <row r="71" spans="1:13" s="59" customFormat="1" ht="43.5" x14ac:dyDescent="0.4">
      <c r="A71" s="16" t="s">
        <v>193</v>
      </c>
      <c r="B71" s="33"/>
      <c r="C71" s="95" t="s">
        <v>74</v>
      </c>
      <c r="D71" s="52">
        <v>8</v>
      </c>
      <c r="E71" s="60" t="s">
        <v>228</v>
      </c>
      <c r="F71" s="60" t="s">
        <v>229</v>
      </c>
      <c r="G71" s="60"/>
      <c r="H71" s="52"/>
      <c r="I71" s="33"/>
      <c r="J71" s="32">
        <f t="shared" si="0"/>
        <v>24</v>
      </c>
      <c r="K71" s="32">
        <f t="shared" si="1"/>
        <v>0</v>
      </c>
      <c r="L71" s="32">
        <f t="shared" si="2"/>
        <v>24</v>
      </c>
      <c r="M71" s="93">
        <f t="shared" si="3"/>
        <v>0</v>
      </c>
    </row>
    <row r="72" spans="1:13" s="59" customFormat="1" ht="15" x14ac:dyDescent="0.4">
      <c r="A72" s="55"/>
      <c r="B72" s="49" t="s">
        <v>75</v>
      </c>
      <c r="C72" s="49" t="s">
        <v>263</v>
      </c>
      <c r="D72" s="57"/>
      <c r="E72" s="56"/>
      <c r="F72" s="56"/>
      <c r="G72" s="56"/>
      <c r="H72" s="57"/>
      <c r="I72" s="58"/>
      <c r="J72" s="32">
        <f t="shared" si="0"/>
        <v>0</v>
      </c>
      <c r="K72" s="32">
        <f t="shared" si="1"/>
        <v>0</v>
      </c>
      <c r="L72" s="32">
        <f t="shared" si="2"/>
        <v>0</v>
      </c>
      <c r="M72" s="93">
        <f t="shared" si="3"/>
        <v>0</v>
      </c>
    </row>
    <row r="73" spans="1:13" s="59" customFormat="1" ht="319" x14ac:dyDescent="0.4">
      <c r="A73" s="16" t="s">
        <v>193</v>
      </c>
      <c r="B73" s="33"/>
      <c r="C73" s="95" t="s">
        <v>76</v>
      </c>
      <c r="D73" s="52">
        <v>1</v>
      </c>
      <c r="E73" s="60" t="s">
        <v>238</v>
      </c>
      <c r="F73" s="60" t="s">
        <v>239</v>
      </c>
      <c r="G73" s="60" t="s">
        <v>264</v>
      </c>
      <c r="H73" s="33" t="s">
        <v>220</v>
      </c>
      <c r="I73" s="33" t="s">
        <v>270</v>
      </c>
      <c r="J73" s="32">
        <f t="shared" si="0"/>
        <v>86</v>
      </c>
      <c r="K73" s="32">
        <f t="shared" si="1"/>
        <v>85</v>
      </c>
      <c r="L73" s="32">
        <f t="shared" si="2"/>
        <v>171</v>
      </c>
      <c r="M73" s="93">
        <f t="shared" si="3"/>
        <v>0</v>
      </c>
    </row>
    <row r="74" spans="1:13" s="59" customFormat="1" ht="72.5" x14ac:dyDescent="0.4">
      <c r="A74" s="16" t="s">
        <v>193</v>
      </c>
      <c r="B74" s="33"/>
      <c r="C74" s="95" t="s">
        <v>76</v>
      </c>
      <c r="D74" s="52">
        <v>2</v>
      </c>
      <c r="E74" s="60" t="s">
        <v>243</v>
      </c>
      <c r="F74" s="60" t="s">
        <v>218</v>
      </c>
      <c r="G74" s="60"/>
      <c r="H74" s="33"/>
      <c r="I74" s="33"/>
      <c r="J74" s="32">
        <f t="shared" si="0"/>
        <v>168</v>
      </c>
      <c r="K74" s="32">
        <f t="shared" si="1"/>
        <v>0</v>
      </c>
      <c r="L74" s="32">
        <f t="shared" si="2"/>
        <v>168</v>
      </c>
      <c r="M74" s="93">
        <f t="shared" si="3"/>
        <v>0</v>
      </c>
    </row>
    <row r="75" spans="1:13" s="59" customFormat="1" ht="232" x14ac:dyDescent="0.4">
      <c r="A75" s="16" t="s">
        <v>193</v>
      </c>
      <c r="B75" s="33"/>
      <c r="C75" s="95" t="s">
        <v>76</v>
      </c>
      <c r="D75" s="52">
        <v>3</v>
      </c>
      <c r="E75" s="60" t="s">
        <v>222</v>
      </c>
      <c r="F75" s="60" t="s">
        <v>271</v>
      </c>
      <c r="G75" s="60"/>
      <c r="H75" s="64"/>
      <c r="I75" s="64"/>
      <c r="J75" s="32">
        <f t="shared" si="0"/>
        <v>387</v>
      </c>
      <c r="K75" s="32">
        <f t="shared" si="1"/>
        <v>0</v>
      </c>
      <c r="L75" s="32">
        <f t="shared" si="2"/>
        <v>387</v>
      </c>
      <c r="M75" s="93">
        <f t="shared" si="3"/>
        <v>0</v>
      </c>
    </row>
    <row r="76" spans="1:13" s="59" customFormat="1" ht="406" x14ac:dyDescent="0.4">
      <c r="A76" s="16" t="s">
        <v>193</v>
      </c>
      <c r="B76" s="33"/>
      <c r="C76" s="95" t="s">
        <v>76</v>
      </c>
      <c r="D76" s="52">
        <v>4</v>
      </c>
      <c r="E76" s="60" t="s">
        <v>256</v>
      </c>
      <c r="F76" s="60" t="s">
        <v>257</v>
      </c>
      <c r="G76" s="60"/>
      <c r="H76" s="52"/>
      <c r="I76" s="33"/>
      <c r="J76" s="32">
        <f t="shared" si="0"/>
        <v>1008</v>
      </c>
      <c r="K76" s="32">
        <f t="shared" si="1"/>
        <v>0</v>
      </c>
      <c r="L76" s="32">
        <f t="shared" si="2"/>
        <v>1008</v>
      </c>
      <c r="M76" s="94">
        <f t="shared" si="3"/>
        <v>1</v>
      </c>
    </row>
    <row r="77" spans="1:13" s="59" customFormat="1" ht="174" x14ac:dyDescent="0.4">
      <c r="A77" s="16" t="s">
        <v>193</v>
      </c>
      <c r="B77" s="33"/>
      <c r="C77" s="95" t="s">
        <v>76</v>
      </c>
      <c r="D77" s="52">
        <v>5</v>
      </c>
      <c r="E77" s="60" t="s">
        <v>272</v>
      </c>
      <c r="F77" s="60" t="s">
        <v>259</v>
      </c>
      <c r="G77" s="60"/>
      <c r="H77" s="52"/>
      <c r="I77" s="33"/>
      <c r="J77" s="32">
        <f t="shared" si="0"/>
        <v>51</v>
      </c>
      <c r="K77" s="32">
        <f t="shared" si="1"/>
        <v>0</v>
      </c>
      <c r="L77" s="32">
        <f t="shared" si="2"/>
        <v>51</v>
      </c>
      <c r="M77" s="93">
        <f t="shared" si="3"/>
        <v>0</v>
      </c>
    </row>
    <row r="78" spans="1:13" s="59" customFormat="1" ht="409.5" x14ac:dyDescent="0.4">
      <c r="A78" s="16" t="s">
        <v>193</v>
      </c>
      <c r="B78" s="33"/>
      <c r="C78" s="95" t="s">
        <v>76</v>
      </c>
      <c r="D78" s="52">
        <v>6</v>
      </c>
      <c r="E78" s="60" t="s">
        <v>260</v>
      </c>
      <c r="F78" s="60" t="s">
        <v>273</v>
      </c>
      <c r="G78" s="60" t="s">
        <v>262</v>
      </c>
      <c r="H78" s="52"/>
      <c r="I78" s="33"/>
      <c r="J78" s="32">
        <f t="shared" si="0"/>
        <v>1487</v>
      </c>
      <c r="K78" s="32">
        <f t="shared" si="1"/>
        <v>1810</v>
      </c>
      <c r="L78" s="32">
        <f t="shared" si="2"/>
        <v>3297</v>
      </c>
      <c r="M78" s="94">
        <f t="shared" si="3"/>
        <v>1</v>
      </c>
    </row>
    <row r="79" spans="1:13" s="59" customFormat="1" ht="188.5" x14ac:dyDescent="0.4">
      <c r="A79" s="16" t="s">
        <v>193</v>
      </c>
      <c r="B79" s="33"/>
      <c r="C79" s="95" t="s">
        <v>76</v>
      </c>
      <c r="D79" s="52">
        <v>7</v>
      </c>
      <c r="E79" s="60" t="s">
        <v>274</v>
      </c>
      <c r="F79" s="60" t="s">
        <v>275</v>
      </c>
      <c r="G79" s="60" t="s">
        <v>276</v>
      </c>
      <c r="H79" s="60"/>
      <c r="I79" s="33"/>
      <c r="J79" s="32">
        <f t="shared" si="0"/>
        <v>289</v>
      </c>
      <c r="K79" s="32">
        <f t="shared" si="1"/>
        <v>207</v>
      </c>
      <c r="L79" s="32">
        <f t="shared" si="2"/>
        <v>496</v>
      </c>
      <c r="M79" s="93">
        <f t="shared" si="3"/>
        <v>0</v>
      </c>
    </row>
    <row r="80" spans="1:13" s="59" customFormat="1" ht="43.5" x14ac:dyDescent="0.4">
      <c r="A80" s="16" t="s">
        <v>193</v>
      </c>
      <c r="B80" s="33"/>
      <c r="C80" s="95" t="s">
        <v>76</v>
      </c>
      <c r="D80" s="52">
        <v>8</v>
      </c>
      <c r="E80" s="60" t="s">
        <v>228</v>
      </c>
      <c r="F80" s="60" t="s">
        <v>229</v>
      </c>
      <c r="G80" s="60"/>
      <c r="H80" s="52"/>
      <c r="I80" s="33"/>
      <c r="J80" s="32">
        <f t="shared" si="0"/>
        <v>24</v>
      </c>
      <c r="K80" s="32">
        <f t="shared" si="1"/>
        <v>0</v>
      </c>
      <c r="L80" s="32">
        <f t="shared" si="2"/>
        <v>24</v>
      </c>
      <c r="M80" s="93">
        <f t="shared" si="3"/>
        <v>0</v>
      </c>
    </row>
    <row r="81" spans="1:13" s="59" customFormat="1" ht="15" x14ac:dyDescent="0.4">
      <c r="A81" s="55"/>
      <c r="B81" s="49" t="s">
        <v>77</v>
      </c>
      <c r="C81" s="49" t="s">
        <v>277</v>
      </c>
      <c r="D81" s="57"/>
      <c r="E81" s="56"/>
      <c r="F81" s="56"/>
      <c r="G81" s="56"/>
      <c r="H81" s="57"/>
      <c r="I81" s="58"/>
      <c r="J81" s="32">
        <f t="shared" si="0"/>
        <v>0</v>
      </c>
      <c r="K81" s="32">
        <f t="shared" si="1"/>
        <v>0</v>
      </c>
      <c r="L81" s="32">
        <f t="shared" si="2"/>
        <v>0</v>
      </c>
      <c r="M81" s="93">
        <f t="shared" si="3"/>
        <v>0</v>
      </c>
    </row>
    <row r="82" spans="1:13" s="59" customFormat="1" ht="333.5" x14ac:dyDescent="0.4">
      <c r="A82" s="16" t="s">
        <v>193</v>
      </c>
      <c r="B82" s="33"/>
      <c r="C82" s="95" t="s">
        <v>78</v>
      </c>
      <c r="D82" s="52">
        <v>1</v>
      </c>
      <c r="E82" s="60" t="s">
        <v>238</v>
      </c>
      <c r="F82" s="60" t="s">
        <v>239</v>
      </c>
      <c r="G82" s="60" t="s">
        <v>264</v>
      </c>
      <c r="H82" s="33" t="s">
        <v>220</v>
      </c>
      <c r="I82" s="33" t="s">
        <v>278</v>
      </c>
      <c r="J82" s="32">
        <f t="shared" si="0"/>
        <v>86</v>
      </c>
      <c r="K82" s="32">
        <f t="shared" si="1"/>
        <v>85</v>
      </c>
      <c r="L82" s="32">
        <f t="shared" si="2"/>
        <v>171</v>
      </c>
      <c r="M82" s="93">
        <f t="shared" si="3"/>
        <v>0</v>
      </c>
    </row>
    <row r="83" spans="1:13" s="59" customFormat="1" ht="72.5" x14ac:dyDescent="0.4">
      <c r="A83" s="16" t="s">
        <v>193</v>
      </c>
      <c r="B83" s="33"/>
      <c r="C83" s="95" t="s">
        <v>78</v>
      </c>
      <c r="D83" s="52">
        <v>2</v>
      </c>
      <c r="E83" s="60" t="s">
        <v>243</v>
      </c>
      <c r="F83" s="60" t="s">
        <v>218</v>
      </c>
      <c r="G83" s="60"/>
      <c r="H83" s="33"/>
      <c r="I83" s="33"/>
      <c r="J83" s="32">
        <f t="shared" si="0"/>
        <v>168</v>
      </c>
      <c r="K83" s="32">
        <f t="shared" si="1"/>
        <v>0</v>
      </c>
      <c r="L83" s="32">
        <f t="shared" si="2"/>
        <v>168</v>
      </c>
      <c r="M83" s="93">
        <f t="shared" si="3"/>
        <v>0</v>
      </c>
    </row>
    <row r="84" spans="1:13" s="59" customFormat="1" ht="72.5" x14ac:dyDescent="0.4">
      <c r="A84" s="16" t="s">
        <v>193</v>
      </c>
      <c r="B84" s="33"/>
      <c r="C84" s="95" t="s">
        <v>78</v>
      </c>
      <c r="D84" s="52">
        <v>3</v>
      </c>
      <c r="E84" s="60" t="s">
        <v>222</v>
      </c>
      <c r="F84" s="60" t="s">
        <v>223</v>
      </c>
      <c r="G84" s="60"/>
      <c r="H84" s="33"/>
      <c r="I84" s="33"/>
      <c r="J84" s="32">
        <f t="shared" si="0"/>
        <v>91</v>
      </c>
      <c r="K84" s="32">
        <f t="shared" si="1"/>
        <v>0</v>
      </c>
      <c r="L84" s="32">
        <f t="shared" si="2"/>
        <v>91</v>
      </c>
      <c r="M84" s="93">
        <f t="shared" si="3"/>
        <v>0</v>
      </c>
    </row>
    <row r="85" spans="1:13" s="59" customFormat="1" ht="43.5" x14ac:dyDescent="0.4">
      <c r="A85" s="16" t="s">
        <v>193</v>
      </c>
      <c r="B85" s="33"/>
      <c r="C85" s="95" t="s">
        <v>78</v>
      </c>
      <c r="D85" s="52">
        <v>4</v>
      </c>
      <c r="E85" s="60" t="s">
        <v>245</v>
      </c>
      <c r="F85" s="60" t="s">
        <v>246</v>
      </c>
      <c r="G85" s="60"/>
      <c r="H85" s="52"/>
      <c r="I85" s="33"/>
      <c r="J85" s="32">
        <f t="shared" ref="J85:J148" si="4">+LEN(F85)</f>
        <v>44</v>
      </c>
      <c r="K85" s="32">
        <f t="shared" ref="K85:K148" si="5">+LEN(G85)</f>
        <v>0</v>
      </c>
      <c r="L85" s="32">
        <f t="shared" ref="L85:L148" si="6">+J85+K85</f>
        <v>44</v>
      </c>
      <c r="M85" s="93">
        <f t="shared" ref="M85:M148" si="7">+IF(L85&lt;=1000,0,1)</f>
        <v>0</v>
      </c>
    </row>
    <row r="86" spans="1:13" s="59" customFormat="1" ht="43.5" x14ac:dyDescent="0.4">
      <c r="A86" s="16" t="s">
        <v>193</v>
      </c>
      <c r="B86" s="33"/>
      <c r="C86" s="95" t="s">
        <v>78</v>
      </c>
      <c r="D86" s="52">
        <v>5</v>
      </c>
      <c r="E86" s="60" t="s">
        <v>248</v>
      </c>
      <c r="F86" s="60" t="s">
        <v>249</v>
      </c>
      <c r="G86" s="60"/>
      <c r="H86" s="52"/>
      <c r="I86" s="33"/>
      <c r="J86" s="32">
        <f t="shared" si="4"/>
        <v>50</v>
      </c>
      <c r="K86" s="32">
        <f t="shared" si="5"/>
        <v>0</v>
      </c>
      <c r="L86" s="32">
        <f t="shared" si="6"/>
        <v>50</v>
      </c>
      <c r="M86" s="93">
        <f t="shared" si="7"/>
        <v>0</v>
      </c>
    </row>
    <row r="87" spans="1:13" s="59" customFormat="1" ht="409.5" x14ac:dyDescent="0.4">
      <c r="A87" s="16" t="s">
        <v>193</v>
      </c>
      <c r="B87" s="33"/>
      <c r="C87" s="95" t="s">
        <v>78</v>
      </c>
      <c r="D87" s="52">
        <v>6</v>
      </c>
      <c r="E87" s="60" t="s">
        <v>250</v>
      </c>
      <c r="F87" s="60" t="s">
        <v>279</v>
      </c>
      <c r="G87" s="60" t="s">
        <v>252</v>
      </c>
      <c r="H87" s="60"/>
      <c r="I87" s="33"/>
      <c r="J87" s="32">
        <f t="shared" si="4"/>
        <v>1472</v>
      </c>
      <c r="K87" s="32">
        <f t="shared" si="5"/>
        <v>1044</v>
      </c>
      <c r="L87" s="32">
        <f t="shared" si="6"/>
        <v>2516</v>
      </c>
      <c r="M87" s="94">
        <f t="shared" si="7"/>
        <v>1</v>
      </c>
    </row>
    <row r="88" spans="1:13" s="59" customFormat="1" ht="233.25" customHeight="1" x14ac:dyDescent="0.4">
      <c r="A88" s="16" t="s">
        <v>193</v>
      </c>
      <c r="B88" s="33"/>
      <c r="C88" s="95" t="s">
        <v>78</v>
      </c>
      <c r="D88" s="52">
        <v>7</v>
      </c>
      <c r="E88" s="60" t="s">
        <v>280</v>
      </c>
      <c r="F88" s="60" t="s">
        <v>281</v>
      </c>
      <c r="G88" s="60" t="s">
        <v>282</v>
      </c>
      <c r="H88" s="60"/>
      <c r="I88" s="33"/>
      <c r="J88" s="32">
        <f t="shared" si="4"/>
        <v>249</v>
      </c>
      <c r="K88" s="32">
        <f t="shared" si="5"/>
        <v>162</v>
      </c>
      <c r="L88" s="32">
        <f t="shared" si="6"/>
        <v>411</v>
      </c>
      <c r="M88" s="93">
        <f t="shared" si="7"/>
        <v>0</v>
      </c>
    </row>
    <row r="89" spans="1:13" s="59" customFormat="1" ht="43.5" x14ac:dyDescent="0.4">
      <c r="A89" s="16" t="s">
        <v>193</v>
      </c>
      <c r="B89" s="33"/>
      <c r="C89" s="95" t="s">
        <v>78</v>
      </c>
      <c r="D89" s="52">
        <v>8</v>
      </c>
      <c r="E89" s="60" t="s">
        <v>228</v>
      </c>
      <c r="F89" s="60" t="s">
        <v>229</v>
      </c>
      <c r="G89" s="60"/>
      <c r="H89" s="52"/>
      <c r="I89" s="33"/>
      <c r="J89" s="32">
        <f t="shared" si="4"/>
        <v>24</v>
      </c>
      <c r="K89" s="32">
        <f t="shared" si="5"/>
        <v>0</v>
      </c>
      <c r="L89" s="32">
        <f t="shared" si="6"/>
        <v>24</v>
      </c>
      <c r="M89" s="93">
        <f t="shared" si="7"/>
        <v>0</v>
      </c>
    </row>
    <row r="90" spans="1:13" s="59" customFormat="1" ht="15" x14ac:dyDescent="0.4">
      <c r="A90" s="55"/>
      <c r="B90" s="49" t="s">
        <v>79</v>
      </c>
      <c r="C90" s="49" t="s">
        <v>277</v>
      </c>
      <c r="D90" s="57"/>
      <c r="E90" s="56"/>
      <c r="F90" s="56"/>
      <c r="G90" s="56"/>
      <c r="H90" s="57"/>
      <c r="I90" s="58"/>
      <c r="J90" s="32">
        <f t="shared" si="4"/>
        <v>0</v>
      </c>
      <c r="K90" s="32">
        <f t="shared" si="5"/>
        <v>0</v>
      </c>
      <c r="L90" s="32">
        <f t="shared" si="6"/>
        <v>0</v>
      </c>
      <c r="M90" s="93">
        <f t="shared" si="7"/>
        <v>0</v>
      </c>
    </row>
    <row r="91" spans="1:13" s="59" customFormat="1" ht="319" x14ac:dyDescent="0.4">
      <c r="A91" s="16" t="s">
        <v>193</v>
      </c>
      <c r="B91" s="33"/>
      <c r="C91" s="95" t="s">
        <v>80</v>
      </c>
      <c r="D91" s="52">
        <v>1</v>
      </c>
      <c r="E91" s="60" t="s">
        <v>238</v>
      </c>
      <c r="F91" s="60" t="s">
        <v>239</v>
      </c>
      <c r="G91" s="60" t="s">
        <v>264</v>
      </c>
      <c r="H91" s="33" t="s">
        <v>220</v>
      </c>
      <c r="I91" s="33" t="s">
        <v>270</v>
      </c>
      <c r="J91" s="32">
        <f t="shared" si="4"/>
        <v>86</v>
      </c>
      <c r="K91" s="32">
        <f t="shared" si="5"/>
        <v>85</v>
      </c>
      <c r="L91" s="32">
        <f t="shared" si="6"/>
        <v>171</v>
      </c>
      <c r="M91" s="93">
        <f t="shared" si="7"/>
        <v>0</v>
      </c>
    </row>
    <row r="92" spans="1:13" s="59" customFormat="1" ht="72.5" x14ac:dyDescent="0.4">
      <c r="A92" s="16" t="s">
        <v>193</v>
      </c>
      <c r="B92" s="33"/>
      <c r="C92" s="95" t="s">
        <v>80</v>
      </c>
      <c r="D92" s="52">
        <v>2</v>
      </c>
      <c r="E92" s="60" t="s">
        <v>243</v>
      </c>
      <c r="F92" s="60" t="s">
        <v>218</v>
      </c>
      <c r="G92" s="60"/>
      <c r="H92" s="33"/>
      <c r="I92" s="33"/>
      <c r="J92" s="32">
        <f t="shared" si="4"/>
        <v>168</v>
      </c>
      <c r="K92" s="32">
        <f t="shared" si="5"/>
        <v>0</v>
      </c>
      <c r="L92" s="32">
        <f t="shared" si="6"/>
        <v>168</v>
      </c>
      <c r="M92" s="93">
        <f t="shared" si="7"/>
        <v>0</v>
      </c>
    </row>
    <row r="93" spans="1:13" s="59" customFormat="1" ht="232" x14ac:dyDescent="0.4">
      <c r="A93" s="16" t="s">
        <v>193</v>
      </c>
      <c r="B93" s="33"/>
      <c r="C93" s="95" t="s">
        <v>80</v>
      </c>
      <c r="D93" s="52">
        <v>3</v>
      </c>
      <c r="E93" s="60" t="s">
        <v>222</v>
      </c>
      <c r="F93" s="60" t="s">
        <v>271</v>
      </c>
      <c r="G93" s="60"/>
      <c r="H93" s="64"/>
      <c r="I93" s="64"/>
      <c r="J93" s="32">
        <f t="shared" si="4"/>
        <v>387</v>
      </c>
      <c r="K93" s="32">
        <f t="shared" si="5"/>
        <v>0</v>
      </c>
      <c r="L93" s="32">
        <f t="shared" si="6"/>
        <v>387</v>
      </c>
      <c r="M93" s="93">
        <f t="shared" si="7"/>
        <v>0</v>
      </c>
    </row>
    <row r="94" spans="1:13" s="59" customFormat="1" ht="406" x14ac:dyDescent="0.4">
      <c r="A94" s="16" t="s">
        <v>193</v>
      </c>
      <c r="B94" s="33"/>
      <c r="C94" s="95" t="s">
        <v>80</v>
      </c>
      <c r="D94" s="52">
        <v>4</v>
      </c>
      <c r="E94" s="60" t="s">
        <v>256</v>
      </c>
      <c r="F94" s="60" t="s">
        <v>257</v>
      </c>
      <c r="G94" s="60"/>
      <c r="H94" s="52"/>
      <c r="I94" s="33"/>
      <c r="J94" s="32">
        <f t="shared" si="4"/>
        <v>1008</v>
      </c>
      <c r="K94" s="32">
        <f t="shared" si="5"/>
        <v>0</v>
      </c>
      <c r="L94" s="32">
        <f t="shared" si="6"/>
        <v>1008</v>
      </c>
      <c r="M94" s="94">
        <f t="shared" si="7"/>
        <v>1</v>
      </c>
    </row>
    <row r="95" spans="1:13" s="59" customFormat="1" ht="174" x14ac:dyDescent="0.4">
      <c r="A95" s="16" t="s">
        <v>193</v>
      </c>
      <c r="B95" s="33"/>
      <c r="C95" s="95" t="s">
        <v>80</v>
      </c>
      <c r="D95" s="52">
        <v>5</v>
      </c>
      <c r="E95" s="60" t="s">
        <v>283</v>
      </c>
      <c r="F95" s="60" t="s">
        <v>259</v>
      </c>
      <c r="G95" s="60"/>
      <c r="H95" s="52"/>
      <c r="I95" s="33"/>
      <c r="J95" s="32">
        <f t="shared" si="4"/>
        <v>51</v>
      </c>
      <c r="K95" s="32">
        <f t="shared" si="5"/>
        <v>0</v>
      </c>
      <c r="L95" s="32">
        <f t="shared" si="6"/>
        <v>51</v>
      </c>
      <c r="M95" s="93">
        <f t="shared" si="7"/>
        <v>0</v>
      </c>
    </row>
    <row r="96" spans="1:13" s="59" customFormat="1" ht="409.5" x14ac:dyDescent="0.4">
      <c r="A96" s="16" t="s">
        <v>193</v>
      </c>
      <c r="B96" s="33"/>
      <c r="C96" s="95" t="s">
        <v>80</v>
      </c>
      <c r="D96" s="52">
        <v>6</v>
      </c>
      <c r="E96" s="60" t="s">
        <v>260</v>
      </c>
      <c r="F96" s="60" t="s">
        <v>284</v>
      </c>
      <c r="G96" s="60" t="s">
        <v>262</v>
      </c>
      <c r="H96" s="52"/>
      <c r="I96" s="33"/>
      <c r="J96" s="32">
        <f t="shared" si="4"/>
        <v>1486</v>
      </c>
      <c r="K96" s="32">
        <f t="shared" si="5"/>
        <v>1810</v>
      </c>
      <c r="L96" s="32">
        <f t="shared" si="6"/>
        <v>3296</v>
      </c>
      <c r="M96" s="94">
        <f t="shared" si="7"/>
        <v>1</v>
      </c>
    </row>
    <row r="97" spans="1:13" s="59" customFormat="1" ht="145" x14ac:dyDescent="0.4">
      <c r="A97" s="16" t="s">
        <v>193</v>
      </c>
      <c r="B97" s="33"/>
      <c r="C97" s="95" t="s">
        <v>80</v>
      </c>
      <c r="D97" s="52">
        <v>7</v>
      </c>
      <c r="E97" s="60" t="s">
        <v>285</v>
      </c>
      <c r="F97" s="60" t="s">
        <v>286</v>
      </c>
      <c r="G97" s="60" t="s">
        <v>287</v>
      </c>
      <c r="H97" s="60"/>
      <c r="I97" s="33"/>
      <c r="J97" s="32">
        <f t="shared" si="4"/>
        <v>250</v>
      </c>
      <c r="K97" s="32">
        <f t="shared" si="5"/>
        <v>161</v>
      </c>
      <c r="L97" s="32">
        <f t="shared" si="6"/>
        <v>411</v>
      </c>
      <c r="M97" s="93">
        <f t="shared" si="7"/>
        <v>0</v>
      </c>
    </row>
    <row r="98" spans="1:13" s="59" customFormat="1" ht="43.5" x14ac:dyDescent="0.4">
      <c r="A98" s="16" t="s">
        <v>193</v>
      </c>
      <c r="B98" s="33"/>
      <c r="C98" s="95" t="s">
        <v>80</v>
      </c>
      <c r="D98" s="52">
        <v>8</v>
      </c>
      <c r="E98" s="60" t="s">
        <v>228</v>
      </c>
      <c r="F98" s="60" t="s">
        <v>229</v>
      </c>
      <c r="G98" s="60"/>
      <c r="H98" s="52"/>
      <c r="I98" s="33"/>
      <c r="J98" s="32">
        <f t="shared" si="4"/>
        <v>24</v>
      </c>
      <c r="K98" s="32">
        <f t="shared" si="5"/>
        <v>0</v>
      </c>
      <c r="L98" s="32">
        <f t="shared" si="6"/>
        <v>24</v>
      </c>
      <c r="M98" s="93">
        <f t="shared" si="7"/>
        <v>0</v>
      </c>
    </row>
    <row r="99" spans="1:13" s="59" customFormat="1" ht="15" x14ac:dyDescent="0.4">
      <c r="A99" s="66"/>
      <c r="B99" s="49" t="s">
        <v>81</v>
      </c>
      <c r="C99" s="49" t="s">
        <v>288</v>
      </c>
      <c r="D99" s="67"/>
      <c r="E99" s="68"/>
      <c r="F99" s="68"/>
      <c r="G99" s="68"/>
      <c r="H99" s="67"/>
      <c r="I99" s="49"/>
      <c r="J99" s="32">
        <f t="shared" si="4"/>
        <v>0</v>
      </c>
      <c r="K99" s="32">
        <f t="shared" si="5"/>
        <v>0</v>
      </c>
      <c r="L99" s="32">
        <f t="shared" si="6"/>
        <v>0</v>
      </c>
      <c r="M99" s="93">
        <f t="shared" si="7"/>
        <v>0</v>
      </c>
    </row>
    <row r="100" spans="1:13" s="59" customFormat="1" ht="188.5" x14ac:dyDescent="0.4">
      <c r="A100" s="16" t="s">
        <v>193</v>
      </c>
      <c r="B100" s="33"/>
      <c r="C100" s="95" t="s">
        <v>82</v>
      </c>
      <c r="D100" s="52">
        <v>1</v>
      </c>
      <c r="E100" s="60" t="s">
        <v>238</v>
      </c>
      <c r="F100" s="60" t="s">
        <v>239</v>
      </c>
      <c r="G100" s="60" t="s">
        <v>240</v>
      </c>
      <c r="H100" s="33" t="s">
        <v>220</v>
      </c>
      <c r="I100" s="33" t="s">
        <v>289</v>
      </c>
      <c r="J100" s="32">
        <f t="shared" si="4"/>
        <v>86</v>
      </c>
      <c r="K100" s="32">
        <f t="shared" si="5"/>
        <v>84</v>
      </c>
      <c r="L100" s="32">
        <f t="shared" si="6"/>
        <v>170</v>
      </c>
      <c r="M100" s="93">
        <f t="shared" si="7"/>
        <v>0</v>
      </c>
    </row>
    <row r="101" spans="1:13" s="59" customFormat="1" ht="72.5" x14ac:dyDescent="0.4">
      <c r="A101" s="16" t="s">
        <v>193</v>
      </c>
      <c r="B101" s="33"/>
      <c r="C101" s="95" t="s">
        <v>82</v>
      </c>
      <c r="D101" s="52">
        <v>2</v>
      </c>
      <c r="E101" s="60" t="s">
        <v>243</v>
      </c>
      <c r="F101" s="60" t="s">
        <v>218</v>
      </c>
      <c r="G101" s="60"/>
      <c r="H101" s="33"/>
      <c r="I101" s="33"/>
      <c r="J101" s="32">
        <f t="shared" si="4"/>
        <v>168</v>
      </c>
      <c r="K101" s="32">
        <f t="shared" si="5"/>
        <v>0</v>
      </c>
      <c r="L101" s="32">
        <f t="shared" si="6"/>
        <v>168</v>
      </c>
      <c r="M101" s="93">
        <f t="shared" si="7"/>
        <v>0</v>
      </c>
    </row>
    <row r="102" spans="1:13" s="59" customFormat="1" ht="72.5" x14ac:dyDescent="0.4">
      <c r="A102" s="16" t="s">
        <v>193</v>
      </c>
      <c r="B102" s="33"/>
      <c r="C102" s="95" t="s">
        <v>82</v>
      </c>
      <c r="D102" s="52">
        <v>3</v>
      </c>
      <c r="E102" s="60" t="s">
        <v>222</v>
      </c>
      <c r="F102" s="60" t="s">
        <v>223</v>
      </c>
      <c r="G102" s="60"/>
      <c r="H102" s="33"/>
      <c r="I102" s="33"/>
      <c r="J102" s="32">
        <f t="shared" si="4"/>
        <v>91</v>
      </c>
      <c r="K102" s="32">
        <f t="shared" si="5"/>
        <v>0</v>
      </c>
      <c r="L102" s="32">
        <f t="shared" si="6"/>
        <v>91</v>
      </c>
      <c r="M102" s="93">
        <f t="shared" si="7"/>
        <v>0</v>
      </c>
    </row>
    <row r="103" spans="1:13" s="59" customFormat="1" ht="43.5" x14ac:dyDescent="0.4">
      <c r="A103" s="16" t="s">
        <v>193</v>
      </c>
      <c r="B103" s="33"/>
      <c r="C103" s="95" t="s">
        <v>82</v>
      </c>
      <c r="D103" s="52">
        <v>4</v>
      </c>
      <c r="E103" s="60" t="s">
        <v>245</v>
      </c>
      <c r="F103" s="60" t="s">
        <v>246</v>
      </c>
      <c r="G103" s="60"/>
      <c r="H103" s="52"/>
      <c r="I103" s="33"/>
      <c r="J103" s="32">
        <f t="shared" si="4"/>
        <v>44</v>
      </c>
      <c r="K103" s="32">
        <f t="shared" si="5"/>
        <v>0</v>
      </c>
      <c r="L103" s="32">
        <f t="shared" si="6"/>
        <v>44</v>
      </c>
      <c r="M103" s="93">
        <f t="shared" si="7"/>
        <v>0</v>
      </c>
    </row>
    <row r="104" spans="1:13" s="59" customFormat="1" ht="43.5" x14ac:dyDescent="0.4">
      <c r="A104" s="16" t="s">
        <v>193</v>
      </c>
      <c r="B104" s="33"/>
      <c r="C104" s="95" t="s">
        <v>82</v>
      </c>
      <c r="D104" s="52">
        <v>5</v>
      </c>
      <c r="E104" s="60" t="s">
        <v>248</v>
      </c>
      <c r="F104" s="60" t="s">
        <v>249</v>
      </c>
      <c r="G104" s="60"/>
      <c r="H104" s="52"/>
      <c r="I104" s="33"/>
      <c r="J104" s="32">
        <f t="shared" si="4"/>
        <v>50</v>
      </c>
      <c r="K104" s="32">
        <f t="shared" si="5"/>
        <v>0</v>
      </c>
      <c r="L104" s="32">
        <f t="shared" si="6"/>
        <v>50</v>
      </c>
      <c r="M104" s="93">
        <f t="shared" si="7"/>
        <v>0</v>
      </c>
    </row>
    <row r="105" spans="1:13" s="59" customFormat="1" ht="409.5" x14ac:dyDescent="0.4">
      <c r="A105" s="16" t="s">
        <v>193</v>
      </c>
      <c r="B105" s="33"/>
      <c r="C105" s="95" t="s">
        <v>82</v>
      </c>
      <c r="D105" s="52">
        <v>6</v>
      </c>
      <c r="E105" s="60" t="s">
        <v>250</v>
      </c>
      <c r="F105" s="60" t="s">
        <v>290</v>
      </c>
      <c r="G105" s="60" t="s">
        <v>252</v>
      </c>
      <c r="H105" s="52"/>
      <c r="I105" s="33"/>
      <c r="J105" s="32">
        <f t="shared" si="4"/>
        <v>1473</v>
      </c>
      <c r="K105" s="32">
        <f t="shared" si="5"/>
        <v>1044</v>
      </c>
      <c r="L105" s="32">
        <f t="shared" si="6"/>
        <v>2517</v>
      </c>
      <c r="M105" s="94">
        <f t="shared" si="7"/>
        <v>1</v>
      </c>
    </row>
    <row r="106" spans="1:13" s="59" customFormat="1" ht="203" x14ac:dyDescent="0.4">
      <c r="A106" s="16" t="s">
        <v>193</v>
      </c>
      <c r="B106" s="33"/>
      <c r="C106" s="95" t="s">
        <v>82</v>
      </c>
      <c r="D106" s="52">
        <v>7</v>
      </c>
      <c r="E106" s="60" t="s">
        <v>291</v>
      </c>
      <c r="F106" s="41" t="s">
        <v>292</v>
      </c>
      <c r="G106" s="60"/>
      <c r="H106" s="52"/>
      <c r="I106" s="33"/>
      <c r="J106" s="32">
        <f t="shared" si="4"/>
        <v>414</v>
      </c>
      <c r="K106" s="32">
        <f t="shared" si="5"/>
        <v>0</v>
      </c>
      <c r="L106" s="32">
        <f t="shared" si="6"/>
        <v>414</v>
      </c>
      <c r="M106" s="93">
        <f t="shared" si="7"/>
        <v>0</v>
      </c>
    </row>
    <row r="107" spans="1:13" s="59" customFormat="1" ht="43.5" x14ac:dyDescent="0.4">
      <c r="A107" s="16" t="s">
        <v>193</v>
      </c>
      <c r="B107" s="33"/>
      <c r="C107" s="95" t="s">
        <v>82</v>
      </c>
      <c r="D107" s="52">
        <v>8</v>
      </c>
      <c r="E107" s="60" t="s">
        <v>228</v>
      </c>
      <c r="F107" s="60" t="s">
        <v>229</v>
      </c>
      <c r="G107" s="60"/>
      <c r="H107" s="52"/>
      <c r="I107" s="33"/>
      <c r="J107" s="32">
        <f t="shared" si="4"/>
        <v>24</v>
      </c>
      <c r="K107" s="32">
        <f t="shared" si="5"/>
        <v>0</v>
      </c>
      <c r="L107" s="32">
        <f t="shared" si="6"/>
        <v>24</v>
      </c>
      <c r="M107" s="93">
        <f t="shared" si="7"/>
        <v>0</v>
      </c>
    </row>
    <row r="108" spans="1:13" s="59" customFormat="1" ht="15" x14ac:dyDescent="0.4">
      <c r="A108" s="69"/>
      <c r="B108" s="49" t="s">
        <v>83</v>
      </c>
      <c r="C108" s="49" t="s">
        <v>288</v>
      </c>
      <c r="D108" s="70"/>
      <c r="E108" s="71"/>
      <c r="F108" s="71"/>
      <c r="G108" s="71"/>
      <c r="H108" s="70"/>
      <c r="I108" s="36"/>
      <c r="J108" s="32">
        <f t="shared" si="4"/>
        <v>0</v>
      </c>
      <c r="K108" s="32">
        <f t="shared" si="5"/>
        <v>0</v>
      </c>
      <c r="L108" s="32">
        <f t="shared" si="6"/>
        <v>0</v>
      </c>
      <c r="M108" s="93">
        <f t="shared" si="7"/>
        <v>0</v>
      </c>
    </row>
    <row r="109" spans="1:13" s="59" customFormat="1" ht="203" x14ac:dyDescent="0.4">
      <c r="A109" s="16" t="s">
        <v>193</v>
      </c>
      <c r="B109" s="33"/>
      <c r="C109" s="95" t="s">
        <v>84</v>
      </c>
      <c r="D109" s="52">
        <v>1</v>
      </c>
      <c r="E109" s="60" t="s">
        <v>238</v>
      </c>
      <c r="F109" s="60" t="s">
        <v>239</v>
      </c>
      <c r="G109" s="60" t="s">
        <v>240</v>
      </c>
      <c r="H109" s="33" t="s">
        <v>220</v>
      </c>
      <c r="I109" s="33" t="s">
        <v>293</v>
      </c>
      <c r="J109" s="32">
        <f t="shared" si="4"/>
        <v>86</v>
      </c>
      <c r="K109" s="32">
        <f t="shared" si="5"/>
        <v>84</v>
      </c>
      <c r="L109" s="32">
        <f t="shared" si="6"/>
        <v>170</v>
      </c>
      <c r="M109" s="93">
        <f t="shared" si="7"/>
        <v>0</v>
      </c>
    </row>
    <row r="110" spans="1:13" s="59" customFormat="1" ht="72.5" x14ac:dyDescent="0.4">
      <c r="A110" s="16" t="s">
        <v>193</v>
      </c>
      <c r="B110" s="33"/>
      <c r="C110" s="95" t="s">
        <v>84</v>
      </c>
      <c r="D110" s="52">
        <v>2</v>
      </c>
      <c r="E110" s="60" t="s">
        <v>243</v>
      </c>
      <c r="F110" s="60" t="s">
        <v>218</v>
      </c>
      <c r="G110" s="60"/>
      <c r="H110" s="33"/>
      <c r="I110" s="33"/>
      <c r="J110" s="32">
        <f t="shared" si="4"/>
        <v>168</v>
      </c>
      <c r="K110" s="32">
        <f t="shared" si="5"/>
        <v>0</v>
      </c>
      <c r="L110" s="32">
        <f t="shared" si="6"/>
        <v>168</v>
      </c>
      <c r="M110" s="93">
        <f t="shared" si="7"/>
        <v>0</v>
      </c>
    </row>
    <row r="111" spans="1:13" s="59" customFormat="1" ht="217.5" x14ac:dyDescent="0.4">
      <c r="A111" s="16" t="s">
        <v>193</v>
      </c>
      <c r="B111" s="33"/>
      <c r="C111" s="95" t="s">
        <v>84</v>
      </c>
      <c r="D111" s="52">
        <v>3</v>
      </c>
      <c r="E111" s="60" t="s">
        <v>222</v>
      </c>
      <c r="F111" s="60" t="s">
        <v>294</v>
      </c>
      <c r="G111" s="60"/>
      <c r="H111" s="64"/>
      <c r="I111" s="64"/>
      <c r="J111" s="32">
        <f t="shared" si="4"/>
        <v>362</v>
      </c>
      <c r="K111" s="32">
        <f t="shared" si="5"/>
        <v>0</v>
      </c>
      <c r="L111" s="32">
        <f t="shared" si="6"/>
        <v>362</v>
      </c>
      <c r="M111" s="93">
        <f t="shared" si="7"/>
        <v>0</v>
      </c>
    </row>
    <row r="112" spans="1:13" s="59" customFormat="1" ht="406" x14ac:dyDescent="0.4">
      <c r="A112" s="16" t="s">
        <v>193</v>
      </c>
      <c r="B112" s="33"/>
      <c r="C112" s="95" t="s">
        <v>84</v>
      </c>
      <c r="D112" s="52">
        <v>4</v>
      </c>
      <c r="E112" s="60" t="s">
        <v>256</v>
      </c>
      <c r="F112" s="60" t="s">
        <v>257</v>
      </c>
      <c r="G112" s="60"/>
      <c r="H112" s="52"/>
      <c r="I112" s="33"/>
      <c r="J112" s="32">
        <f t="shared" si="4"/>
        <v>1008</v>
      </c>
      <c r="K112" s="32">
        <f t="shared" si="5"/>
        <v>0</v>
      </c>
      <c r="L112" s="32">
        <f t="shared" si="6"/>
        <v>1008</v>
      </c>
      <c r="M112" s="94">
        <f t="shared" si="7"/>
        <v>1</v>
      </c>
    </row>
    <row r="113" spans="1:13" s="59" customFormat="1" ht="174" x14ac:dyDescent="0.4">
      <c r="A113" s="16" t="s">
        <v>193</v>
      </c>
      <c r="B113" s="33"/>
      <c r="C113" s="95" t="s">
        <v>84</v>
      </c>
      <c r="D113" s="52">
        <v>5</v>
      </c>
      <c r="E113" s="60" t="s">
        <v>295</v>
      </c>
      <c r="F113" s="60" t="s">
        <v>259</v>
      </c>
      <c r="G113" s="60"/>
      <c r="H113" s="52"/>
      <c r="I113" s="33"/>
      <c r="J113" s="32">
        <f t="shared" si="4"/>
        <v>51</v>
      </c>
      <c r="K113" s="32">
        <f t="shared" si="5"/>
        <v>0</v>
      </c>
      <c r="L113" s="32">
        <f t="shared" si="6"/>
        <v>51</v>
      </c>
      <c r="M113" s="93">
        <f t="shared" si="7"/>
        <v>0</v>
      </c>
    </row>
    <row r="114" spans="1:13" s="59" customFormat="1" ht="409.5" x14ac:dyDescent="0.4">
      <c r="A114" s="16" t="s">
        <v>193</v>
      </c>
      <c r="B114" s="33"/>
      <c r="C114" s="95" t="s">
        <v>84</v>
      </c>
      <c r="D114" s="52">
        <v>6</v>
      </c>
      <c r="E114" s="60" t="s">
        <v>260</v>
      </c>
      <c r="F114" s="60" t="s">
        <v>261</v>
      </c>
      <c r="G114" s="60" t="s">
        <v>262</v>
      </c>
      <c r="H114" s="52"/>
      <c r="I114" s="33"/>
      <c r="J114" s="32">
        <f t="shared" si="4"/>
        <v>1486</v>
      </c>
      <c r="K114" s="32">
        <f t="shared" si="5"/>
        <v>1810</v>
      </c>
      <c r="L114" s="32">
        <f t="shared" si="6"/>
        <v>3296</v>
      </c>
      <c r="M114" s="94">
        <f t="shared" si="7"/>
        <v>1</v>
      </c>
    </row>
    <row r="115" spans="1:13" s="59" customFormat="1" ht="203" x14ac:dyDescent="0.4">
      <c r="A115" s="16" t="s">
        <v>193</v>
      </c>
      <c r="B115" s="33"/>
      <c r="C115" s="95" t="s">
        <v>84</v>
      </c>
      <c r="D115" s="52">
        <v>7</v>
      </c>
      <c r="E115" s="60" t="s">
        <v>296</v>
      </c>
      <c r="F115" s="41" t="s">
        <v>292</v>
      </c>
      <c r="G115" s="60"/>
      <c r="H115" s="52"/>
      <c r="I115" s="33"/>
      <c r="J115" s="32">
        <f t="shared" si="4"/>
        <v>414</v>
      </c>
      <c r="K115" s="32">
        <f t="shared" si="5"/>
        <v>0</v>
      </c>
      <c r="L115" s="32">
        <f t="shared" si="6"/>
        <v>414</v>
      </c>
      <c r="M115" s="93">
        <f t="shared" si="7"/>
        <v>0</v>
      </c>
    </row>
    <row r="116" spans="1:13" s="59" customFormat="1" ht="43.5" x14ac:dyDescent="0.4">
      <c r="A116" s="16" t="s">
        <v>193</v>
      </c>
      <c r="B116" s="33"/>
      <c r="C116" s="95" t="s">
        <v>84</v>
      </c>
      <c r="D116" s="52">
        <v>8</v>
      </c>
      <c r="E116" s="60" t="s">
        <v>228</v>
      </c>
      <c r="F116" s="60" t="s">
        <v>229</v>
      </c>
      <c r="G116" s="60"/>
      <c r="H116" s="52"/>
      <c r="I116" s="33"/>
      <c r="J116" s="32">
        <f t="shared" si="4"/>
        <v>24</v>
      </c>
      <c r="K116" s="32">
        <f t="shared" si="5"/>
        <v>0</v>
      </c>
      <c r="L116" s="32">
        <f t="shared" si="6"/>
        <v>24</v>
      </c>
      <c r="M116" s="93">
        <f t="shared" si="7"/>
        <v>0</v>
      </c>
    </row>
    <row r="117" spans="1:13" s="59" customFormat="1" ht="15" x14ac:dyDescent="0.4">
      <c r="A117" s="69"/>
      <c r="B117" s="49" t="s">
        <v>85</v>
      </c>
      <c r="C117" s="49" t="s">
        <v>297</v>
      </c>
      <c r="D117" s="70"/>
      <c r="E117" s="71"/>
      <c r="F117" s="71"/>
      <c r="G117" s="71"/>
      <c r="H117" s="70"/>
      <c r="I117" s="36"/>
      <c r="J117" s="32">
        <f t="shared" si="4"/>
        <v>0</v>
      </c>
      <c r="K117" s="32">
        <f t="shared" si="5"/>
        <v>0</v>
      </c>
      <c r="L117" s="32">
        <f t="shared" si="6"/>
        <v>0</v>
      </c>
      <c r="M117" s="93">
        <f t="shared" si="7"/>
        <v>0</v>
      </c>
    </row>
    <row r="118" spans="1:13" s="59" customFormat="1" ht="203" x14ac:dyDescent="0.4">
      <c r="A118" s="16" t="s">
        <v>193</v>
      </c>
      <c r="B118" s="33"/>
      <c r="C118" s="95" t="s">
        <v>86</v>
      </c>
      <c r="D118" s="52">
        <v>1</v>
      </c>
      <c r="E118" s="60" t="s">
        <v>238</v>
      </c>
      <c r="F118" s="60" t="s">
        <v>239</v>
      </c>
      <c r="G118" s="60" t="s">
        <v>264</v>
      </c>
      <c r="H118" s="33" t="s">
        <v>220</v>
      </c>
      <c r="I118" s="33" t="s">
        <v>298</v>
      </c>
      <c r="J118" s="32">
        <f t="shared" si="4"/>
        <v>86</v>
      </c>
      <c r="K118" s="32">
        <f t="shared" si="5"/>
        <v>85</v>
      </c>
      <c r="L118" s="32">
        <f t="shared" si="6"/>
        <v>171</v>
      </c>
      <c r="M118" s="93">
        <f t="shared" si="7"/>
        <v>0</v>
      </c>
    </row>
    <row r="119" spans="1:13" s="59" customFormat="1" ht="72.5" x14ac:dyDescent="0.4">
      <c r="A119" s="16" t="s">
        <v>193</v>
      </c>
      <c r="B119" s="33"/>
      <c r="C119" s="95" t="s">
        <v>86</v>
      </c>
      <c r="D119" s="52">
        <v>2</v>
      </c>
      <c r="E119" s="60" t="s">
        <v>243</v>
      </c>
      <c r="F119" s="60" t="s">
        <v>218</v>
      </c>
      <c r="G119" s="60"/>
      <c r="H119" s="33"/>
      <c r="I119" s="33"/>
      <c r="J119" s="32">
        <f t="shared" si="4"/>
        <v>168</v>
      </c>
      <c r="K119" s="32">
        <f t="shared" si="5"/>
        <v>0</v>
      </c>
      <c r="L119" s="32">
        <f t="shared" si="6"/>
        <v>168</v>
      </c>
      <c r="M119" s="93">
        <f t="shared" si="7"/>
        <v>0</v>
      </c>
    </row>
    <row r="120" spans="1:13" s="59" customFormat="1" ht="72.5" x14ac:dyDescent="0.4">
      <c r="A120" s="16" t="s">
        <v>193</v>
      </c>
      <c r="B120" s="33"/>
      <c r="C120" s="95" t="s">
        <v>86</v>
      </c>
      <c r="D120" s="52">
        <v>3</v>
      </c>
      <c r="E120" s="60" t="s">
        <v>222</v>
      </c>
      <c r="F120" s="60" t="s">
        <v>223</v>
      </c>
      <c r="G120" s="60"/>
      <c r="H120" s="33"/>
      <c r="I120" s="33"/>
      <c r="J120" s="32">
        <f t="shared" si="4"/>
        <v>91</v>
      </c>
      <c r="K120" s="32">
        <f t="shared" si="5"/>
        <v>0</v>
      </c>
      <c r="L120" s="32">
        <f t="shared" si="6"/>
        <v>91</v>
      </c>
      <c r="M120" s="93">
        <f t="shared" si="7"/>
        <v>0</v>
      </c>
    </row>
    <row r="121" spans="1:13" s="59" customFormat="1" ht="43.5" x14ac:dyDescent="0.4">
      <c r="A121" s="16" t="s">
        <v>193</v>
      </c>
      <c r="B121" s="33"/>
      <c r="C121" s="95" t="s">
        <v>86</v>
      </c>
      <c r="D121" s="52">
        <v>4</v>
      </c>
      <c r="E121" s="60" t="s">
        <v>245</v>
      </c>
      <c r="F121" s="60" t="s">
        <v>246</v>
      </c>
      <c r="G121" s="60"/>
      <c r="H121" s="52"/>
      <c r="I121" s="33"/>
      <c r="J121" s="32">
        <f t="shared" si="4"/>
        <v>44</v>
      </c>
      <c r="K121" s="32">
        <f t="shared" si="5"/>
        <v>0</v>
      </c>
      <c r="L121" s="32">
        <f t="shared" si="6"/>
        <v>44</v>
      </c>
      <c r="M121" s="93">
        <f t="shared" si="7"/>
        <v>0</v>
      </c>
    </row>
    <row r="122" spans="1:13" s="59" customFormat="1" ht="43.5" x14ac:dyDescent="0.4">
      <c r="A122" s="16" t="s">
        <v>193</v>
      </c>
      <c r="B122" s="33"/>
      <c r="C122" s="95" t="s">
        <v>86</v>
      </c>
      <c r="D122" s="52">
        <v>5</v>
      </c>
      <c r="E122" s="60" t="s">
        <v>248</v>
      </c>
      <c r="F122" s="60" t="s">
        <v>249</v>
      </c>
      <c r="G122" s="60"/>
      <c r="H122" s="52"/>
      <c r="I122" s="33"/>
      <c r="J122" s="32">
        <f t="shared" si="4"/>
        <v>50</v>
      </c>
      <c r="K122" s="32">
        <f t="shared" si="5"/>
        <v>0</v>
      </c>
      <c r="L122" s="32">
        <f t="shared" si="6"/>
        <v>50</v>
      </c>
      <c r="M122" s="93">
        <f t="shared" si="7"/>
        <v>0</v>
      </c>
    </row>
    <row r="123" spans="1:13" s="59" customFormat="1" ht="409.5" x14ac:dyDescent="0.4">
      <c r="A123" s="16" t="s">
        <v>193</v>
      </c>
      <c r="B123" s="33"/>
      <c r="C123" s="95" t="s">
        <v>86</v>
      </c>
      <c r="D123" s="52">
        <v>6</v>
      </c>
      <c r="E123" s="60" t="s">
        <v>250</v>
      </c>
      <c r="F123" s="60" t="s">
        <v>299</v>
      </c>
      <c r="G123" s="60" t="s">
        <v>252</v>
      </c>
      <c r="H123" s="52"/>
      <c r="I123" s="33"/>
      <c r="J123" s="32">
        <f t="shared" si="4"/>
        <v>1472</v>
      </c>
      <c r="K123" s="32">
        <f t="shared" si="5"/>
        <v>1044</v>
      </c>
      <c r="L123" s="32">
        <f t="shared" si="6"/>
        <v>2516</v>
      </c>
      <c r="M123" s="94">
        <f t="shared" si="7"/>
        <v>1</v>
      </c>
    </row>
    <row r="124" spans="1:13" s="59" customFormat="1" ht="116" x14ac:dyDescent="0.4">
      <c r="A124" s="16" t="s">
        <v>193</v>
      </c>
      <c r="B124" s="33"/>
      <c r="C124" s="95" t="s">
        <v>86</v>
      </c>
      <c r="D124" s="52">
        <v>7</v>
      </c>
      <c r="E124" s="60" t="s">
        <v>300</v>
      </c>
      <c r="F124" s="41" t="s">
        <v>301</v>
      </c>
      <c r="G124" s="52" t="s">
        <v>302</v>
      </c>
      <c r="H124" s="52"/>
      <c r="I124" s="33"/>
      <c r="J124" s="32">
        <f t="shared" si="4"/>
        <v>317</v>
      </c>
      <c r="K124" s="32">
        <f t="shared" si="5"/>
        <v>98</v>
      </c>
      <c r="L124" s="32">
        <f t="shared" si="6"/>
        <v>415</v>
      </c>
      <c r="M124" s="93">
        <f t="shared" si="7"/>
        <v>0</v>
      </c>
    </row>
    <row r="125" spans="1:13" s="59" customFormat="1" ht="43.5" x14ac:dyDescent="0.4">
      <c r="A125" s="16" t="s">
        <v>193</v>
      </c>
      <c r="B125" s="33"/>
      <c r="C125" s="95" t="s">
        <v>86</v>
      </c>
      <c r="D125" s="52">
        <v>8</v>
      </c>
      <c r="E125" s="60" t="s">
        <v>228</v>
      </c>
      <c r="F125" s="60" t="s">
        <v>229</v>
      </c>
      <c r="G125" s="60"/>
      <c r="H125" s="52"/>
      <c r="I125" s="33"/>
      <c r="J125" s="32">
        <f t="shared" si="4"/>
        <v>24</v>
      </c>
      <c r="K125" s="32">
        <f t="shared" si="5"/>
        <v>0</v>
      </c>
      <c r="L125" s="32">
        <f t="shared" si="6"/>
        <v>24</v>
      </c>
      <c r="M125" s="93">
        <f t="shared" si="7"/>
        <v>0</v>
      </c>
    </row>
    <row r="126" spans="1:13" s="59" customFormat="1" ht="15" x14ac:dyDescent="0.4">
      <c r="A126" s="69"/>
      <c r="B126" s="49" t="s">
        <v>87</v>
      </c>
      <c r="C126" s="49" t="s">
        <v>297</v>
      </c>
      <c r="D126" s="70"/>
      <c r="E126" s="71"/>
      <c r="F126" s="71"/>
      <c r="G126" s="71"/>
      <c r="H126" s="70"/>
      <c r="I126" s="36"/>
      <c r="J126" s="32">
        <f t="shared" si="4"/>
        <v>0</v>
      </c>
      <c r="K126" s="32">
        <f t="shared" si="5"/>
        <v>0</v>
      </c>
      <c r="L126" s="32">
        <f t="shared" si="6"/>
        <v>0</v>
      </c>
      <c r="M126" s="93">
        <f t="shared" si="7"/>
        <v>0</v>
      </c>
    </row>
    <row r="127" spans="1:13" s="59" customFormat="1" ht="188.5" x14ac:dyDescent="0.4">
      <c r="A127" s="16" t="s">
        <v>193</v>
      </c>
      <c r="B127" s="33"/>
      <c r="C127" s="95" t="s">
        <v>88</v>
      </c>
      <c r="D127" s="52">
        <v>1</v>
      </c>
      <c r="E127" s="60" t="s">
        <v>238</v>
      </c>
      <c r="F127" s="60" t="s">
        <v>239</v>
      </c>
      <c r="G127" s="60" t="s">
        <v>240</v>
      </c>
      <c r="H127" s="33" t="s">
        <v>220</v>
      </c>
      <c r="I127" s="33" t="s">
        <v>303</v>
      </c>
      <c r="J127" s="32">
        <f t="shared" si="4"/>
        <v>86</v>
      </c>
      <c r="K127" s="32">
        <f t="shared" si="5"/>
        <v>84</v>
      </c>
      <c r="L127" s="32">
        <f t="shared" si="6"/>
        <v>170</v>
      </c>
      <c r="M127" s="93">
        <f t="shared" si="7"/>
        <v>0</v>
      </c>
    </row>
    <row r="128" spans="1:13" s="59" customFormat="1" ht="72.5" x14ac:dyDescent="0.4">
      <c r="A128" s="16" t="s">
        <v>193</v>
      </c>
      <c r="B128" s="33"/>
      <c r="C128" s="95" t="s">
        <v>88</v>
      </c>
      <c r="D128" s="52">
        <v>2</v>
      </c>
      <c r="E128" s="60" t="s">
        <v>243</v>
      </c>
      <c r="F128" s="60" t="s">
        <v>218</v>
      </c>
      <c r="G128" s="60"/>
      <c r="H128" s="33"/>
      <c r="I128" s="33"/>
      <c r="J128" s="32">
        <f t="shared" si="4"/>
        <v>168</v>
      </c>
      <c r="K128" s="32">
        <f t="shared" si="5"/>
        <v>0</v>
      </c>
      <c r="L128" s="32">
        <f t="shared" si="6"/>
        <v>168</v>
      </c>
      <c r="M128" s="93">
        <f t="shared" si="7"/>
        <v>0</v>
      </c>
    </row>
    <row r="129" spans="1:13" s="59" customFormat="1" ht="217.5" x14ac:dyDescent="0.4">
      <c r="A129" s="16" t="s">
        <v>193</v>
      </c>
      <c r="B129" s="33"/>
      <c r="C129" s="95" t="s">
        <v>88</v>
      </c>
      <c r="D129" s="52">
        <v>3</v>
      </c>
      <c r="E129" s="60" t="s">
        <v>222</v>
      </c>
      <c r="F129" s="60" t="s">
        <v>304</v>
      </c>
      <c r="G129" s="60"/>
      <c r="H129" s="33"/>
      <c r="I129" s="33"/>
      <c r="J129" s="32">
        <f t="shared" si="4"/>
        <v>362</v>
      </c>
      <c r="K129" s="32">
        <f t="shared" si="5"/>
        <v>0</v>
      </c>
      <c r="L129" s="32">
        <f t="shared" si="6"/>
        <v>362</v>
      </c>
      <c r="M129" s="93">
        <f t="shared" si="7"/>
        <v>0</v>
      </c>
    </row>
    <row r="130" spans="1:13" s="59" customFormat="1" ht="406" x14ac:dyDescent="0.4">
      <c r="A130" s="16" t="s">
        <v>193</v>
      </c>
      <c r="B130" s="33"/>
      <c r="C130" s="95" t="s">
        <v>88</v>
      </c>
      <c r="D130" s="52">
        <v>4</v>
      </c>
      <c r="E130" s="60" t="s">
        <v>256</v>
      </c>
      <c r="F130" s="60" t="s">
        <v>257</v>
      </c>
      <c r="G130" s="60"/>
      <c r="H130" s="52"/>
      <c r="I130" s="33"/>
      <c r="J130" s="32">
        <f t="shared" si="4"/>
        <v>1008</v>
      </c>
      <c r="K130" s="32">
        <f t="shared" si="5"/>
        <v>0</v>
      </c>
      <c r="L130" s="32">
        <f t="shared" si="6"/>
        <v>1008</v>
      </c>
      <c r="M130" s="94">
        <f t="shared" si="7"/>
        <v>1</v>
      </c>
    </row>
    <row r="131" spans="1:13" s="59" customFormat="1" ht="174" x14ac:dyDescent="0.4">
      <c r="A131" s="16" t="s">
        <v>193</v>
      </c>
      <c r="B131" s="33"/>
      <c r="C131" s="95" t="s">
        <v>88</v>
      </c>
      <c r="D131" s="52">
        <v>5</v>
      </c>
      <c r="E131" s="60" t="s">
        <v>305</v>
      </c>
      <c r="F131" s="60" t="s">
        <v>259</v>
      </c>
      <c r="G131" s="60"/>
      <c r="H131" s="52"/>
      <c r="I131" s="33"/>
      <c r="J131" s="32">
        <f t="shared" si="4"/>
        <v>51</v>
      </c>
      <c r="K131" s="32">
        <f t="shared" si="5"/>
        <v>0</v>
      </c>
      <c r="L131" s="32">
        <f t="shared" si="6"/>
        <v>51</v>
      </c>
      <c r="M131" s="93">
        <f t="shared" si="7"/>
        <v>0</v>
      </c>
    </row>
    <row r="132" spans="1:13" s="59" customFormat="1" ht="409.5" x14ac:dyDescent="0.4">
      <c r="A132" s="16" t="s">
        <v>193</v>
      </c>
      <c r="B132" s="33"/>
      <c r="C132" s="95" t="s">
        <v>88</v>
      </c>
      <c r="D132" s="52">
        <v>6</v>
      </c>
      <c r="E132" s="60" t="s">
        <v>260</v>
      </c>
      <c r="F132" s="60" t="s">
        <v>306</v>
      </c>
      <c r="G132" s="60" t="s">
        <v>262</v>
      </c>
      <c r="H132" s="52"/>
      <c r="I132" s="33"/>
      <c r="J132" s="32">
        <f t="shared" si="4"/>
        <v>1486</v>
      </c>
      <c r="K132" s="32">
        <f t="shared" si="5"/>
        <v>1810</v>
      </c>
      <c r="L132" s="32">
        <f t="shared" si="6"/>
        <v>3296</v>
      </c>
      <c r="M132" s="94">
        <f t="shared" si="7"/>
        <v>1</v>
      </c>
    </row>
    <row r="133" spans="1:13" s="59" customFormat="1" ht="116" x14ac:dyDescent="0.4">
      <c r="A133" s="16" t="s">
        <v>193</v>
      </c>
      <c r="B133" s="33"/>
      <c r="C133" s="95" t="s">
        <v>88</v>
      </c>
      <c r="D133" s="52">
        <v>7</v>
      </c>
      <c r="E133" s="60" t="s">
        <v>307</v>
      </c>
      <c r="F133" s="41" t="s">
        <v>301</v>
      </c>
      <c r="G133" s="52" t="s">
        <v>302</v>
      </c>
      <c r="H133" s="52"/>
      <c r="I133" s="33"/>
      <c r="J133" s="32">
        <f t="shared" si="4"/>
        <v>317</v>
      </c>
      <c r="K133" s="32">
        <f t="shared" si="5"/>
        <v>98</v>
      </c>
      <c r="L133" s="32">
        <f t="shared" si="6"/>
        <v>415</v>
      </c>
      <c r="M133" s="93">
        <f t="shared" si="7"/>
        <v>0</v>
      </c>
    </row>
    <row r="134" spans="1:13" s="59" customFormat="1" ht="43.5" x14ac:dyDescent="0.4">
      <c r="A134" s="16" t="s">
        <v>193</v>
      </c>
      <c r="B134" s="33"/>
      <c r="C134" s="95" t="s">
        <v>88</v>
      </c>
      <c r="D134" s="52">
        <v>8</v>
      </c>
      <c r="E134" s="60" t="s">
        <v>228</v>
      </c>
      <c r="F134" s="60" t="s">
        <v>229</v>
      </c>
      <c r="G134" s="60"/>
      <c r="H134" s="52"/>
      <c r="I134" s="33"/>
      <c r="J134" s="32">
        <f t="shared" si="4"/>
        <v>24</v>
      </c>
      <c r="K134" s="32">
        <f t="shared" si="5"/>
        <v>0</v>
      </c>
      <c r="L134" s="32">
        <f t="shared" si="6"/>
        <v>24</v>
      </c>
      <c r="M134" s="93">
        <f t="shared" si="7"/>
        <v>0</v>
      </c>
    </row>
    <row r="135" spans="1:13" s="59" customFormat="1" ht="15" x14ac:dyDescent="0.4">
      <c r="A135" s="69"/>
      <c r="B135" s="49" t="s">
        <v>89</v>
      </c>
      <c r="C135" s="49" t="s">
        <v>308</v>
      </c>
      <c r="D135" s="70"/>
      <c r="E135" s="71"/>
      <c r="F135" s="71"/>
      <c r="G135" s="71"/>
      <c r="H135" s="70"/>
      <c r="I135" s="36"/>
      <c r="J135" s="32">
        <f t="shared" si="4"/>
        <v>0</v>
      </c>
      <c r="K135" s="32">
        <f t="shared" si="5"/>
        <v>0</v>
      </c>
      <c r="L135" s="32">
        <f t="shared" si="6"/>
        <v>0</v>
      </c>
      <c r="M135" s="93">
        <f t="shared" si="7"/>
        <v>0</v>
      </c>
    </row>
    <row r="136" spans="1:13" s="59" customFormat="1" ht="101.5" x14ac:dyDescent="0.4">
      <c r="A136" s="16" t="s">
        <v>193</v>
      </c>
      <c r="B136" s="33"/>
      <c r="C136" s="95" t="s">
        <v>90</v>
      </c>
      <c r="D136" s="52">
        <v>1</v>
      </c>
      <c r="E136" s="60" t="s">
        <v>238</v>
      </c>
      <c r="F136" s="60" t="s">
        <v>239</v>
      </c>
      <c r="G136" s="60" t="s">
        <v>264</v>
      </c>
      <c r="H136" s="33" t="s">
        <v>220</v>
      </c>
      <c r="I136" s="33" t="s">
        <v>309</v>
      </c>
      <c r="J136" s="32">
        <f t="shared" si="4"/>
        <v>86</v>
      </c>
      <c r="K136" s="32">
        <f t="shared" si="5"/>
        <v>85</v>
      </c>
      <c r="L136" s="32">
        <f t="shared" si="6"/>
        <v>171</v>
      </c>
      <c r="M136" s="93">
        <f t="shared" si="7"/>
        <v>0</v>
      </c>
    </row>
    <row r="137" spans="1:13" s="59" customFormat="1" ht="72.5" x14ac:dyDescent="0.4">
      <c r="A137" s="16" t="s">
        <v>193</v>
      </c>
      <c r="B137" s="33"/>
      <c r="C137" s="95" t="s">
        <v>90</v>
      </c>
      <c r="D137" s="52">
        <v>2</v>
      </c>
      <c r="E137" s="60" t="s">
        <v>243</v>
      </c>
      <c r="F137" s="60" t="s">
        <v>218</v>
      </c>
      <c r="G137" s="60"/>
      <c r="H137" s="33"/>
      <c r="I137" s="33"/>
      <c r="J137" s="32">
        <f t="shared" si="4"/>
        <v>168</v>
      </c>
      <c r="K137" s="32">
        <f t="shared" si="5"/>
        <v>0</v>
      </c>
      <c r="L137" s="32">
        <f t="shared" si="6"/>
        <v>168</v>
      </c>
      <c r="M137" s="93">
        <f t="shared" si="7"/>
        <v>0</v>
      </c>
    </row>
    <row r="138" spans="1:13" s="59" customFormat="1" ht="72.5" x14ac:dyDescent="0.4">
      <c r="A138" s="16" t="s">
        <v>193</v>
      </c>
      <c r="B138" s="33"/>
      <c r="C138" s="95" t="s">
        <v>90</v>
      </c>
      <c r="D138" s="52">
        <v>3</v>
      </c>
      <c r="E138" s="60" t="s">
        <v>222</v>
      </c>
      <c r="F138" s="60" t="s">
        <v>223</v>
      </c>
      <c r="G138" s="60"/>
      <c r="H138" s="33"/>
      <c r="I138" s="33"/>
      <c r="J138" s="32">
        <f t="shared" si="4"/>
        <v>91</v>
      </c>
      <c r="K138" s="32">
        <f t="shared" si="5"/>
        <v>0</v>
      </c>
      <c r="L138" s="32">
        <f t="shared" si="6"/>
        <v>91</v>
      </c>
      <c r="M138" s="93">
        <f t="shared" si="7"/>
        <v>0</v>
      </c>
    </row>
    <row r="139" spans="1:13" s="59" customFormat="1" ht="43.5" x14ac:dyDescent="0.4">
      <c r="A139" s="16" t="s">
        <v>193</v>
      </c>
      <c r="B139" s="33"/>
      <c r="C139" s="95" t="s">
        <v>90</v>
      </c>
      <c r="D139" s="52">
        <v>4</v>
      </c>
      <c r="E139" s="60" t="s">
        <v>245</v>
      </c>
      <c r="F139" s="60" t="s">
        <v>246</v>
      </c>
      <c r="G139" s="60"/>
      <c r="H139" s="52"/>
      <c r="I139" s="33"/>
      <c r="J139" s="32">
        <f t="shared" si="4"/>
        <v>44</v>
      </c>
      <c r="K139" s="32">
        <f t="shared" si="5"/>
        <v>0</v>
      </c>
      <c r="L139" s="32">
        <f t="shared" si="6"/>
        <v>44</v>
      </c>
      <c r="M139" s="93">
        <f t="shared" si="7"/>
        <v>0</v>
      </c>
    </row>
    <row r="140" spans="1:13" s="59" customFormat="1" ht="43.5" x14ac:dyDescent="0.4">
      <c r="A140" s="16" t="s">
        <v>193</v>
      </c>
      <c r="B140" s="33"/>
      <c r="C140" s="95" t="s">
        <v>90</v>
      </c>
      <c r="D140" s="52">
        <v>5</v>
      </c>
      <c r="E140" s="60" t="s">
        <v>248</v>
      </c>
      <c r="F140" s="60" t="s">
        <v>249</v>
      </c>
      <c r="G140" s="60"/>
      <c r="H140" s="52"/>
      <c r="I140" s="33"/>
      <c r="J140" s="32">
        <f t="shared" si="4"/>
        <v>50</v>
      </c>
      <c r="K140" s="32">
        <f t="shared" si="5"/>
        <v>0</v>
      </c>
      <c r="L140" s="32">
        <f t="shared" si="6"/>
        <v>50</v>
      </c>
      <c r="M140" s="93">
        <f t="shared" si="7"/>
        <v>0</v>
      </c>
    </row>
    <row r="141" spans="1:13" s="59" customFormat="1" ht="409.5" x14ac:dyDescent="0.4">
      <c r="A141" s="16" t="s">
        <v>193</v>
      </c>
      <c r="B141" s="33"/>
      <c r="C141" s="95" t="s">
        <v>90</v>
      </c>
      <c r="D141" s="52">
        <v>6</v>
      </c>
      <c r="E141" s="60" t="s">
        <v>250</v>
      </c>
      <c r="F141" s="60" t="s">
        <v>299</v>
      </c>
      <c r="G141" s="60" t="s">
        <v>252</v>
      </c>
      <c r="H141" s="52"/>
      <c r="I141" s="33"/>
      <c r="J141" s="32">
        <f t="shared" si="4"/>
        <v>1472</v>
      </c>
      <c r="K141" s="32">
        <f t="shared" si="5"/>
        <v>1044</v>
      </c>
      <c r="L141" s="32">
        <f t="shared" si="6"/>
        <v>2516</v>
      </c>
      <c r="M141" s="94">
        <f t="shared" si="7"/>
        <v>1</v>
      </c>
    </row>
    <row r="142" spans="1:13" s="59" customFormat="1" ht="147" customHeight="1" x14ac:dyDescent="0.4">
      <c r="A142" s="16" t="s">
        <v>193</v>
      </c>
      <c r="B142" s="33"/>
      <c r="C142" s="95" t="s">
        <v>90</v>
      </c>
      <c r="D142" s="52">
        <v>7</v>
      </c>
      <c r="E142" s="60" t="s">
        <v>310</v>
      </c>
      <c r="F142" s="41" t="s">
        <v>311</v>
      </c>
      <c r="G142" s="60"/>
      <c r="H142" s="52"/>
      <c r="I142" s="33"/>
      <c r="J142" s="32">
        <f t="shared" si="4"/>
        <v>223</v>
      </c>
      <c r="K142" s="32">
        <f t="shared" si="5"/>
        <v>0</v>
      </c>
      <c r="L142" s="32">
        <f t="shared" si="6"/>
        <v>223</v>
      </c>
      <c r="M142" s="93">
        <f t="shared" si="7"/>
        <v>0</v>
      </c>
    </row>
    <row r="143" spans="1:13" s="59" customFormat="1" ht="43.5" x14ac:dyDescent="0.4">
      <c r="A143" s="16" t="s">
        <v>193</v>
      </c>
      <c r="B143" s="33"/>
      <c r="C143" s="95" t="s">
        <v>90</v>
      </c>
      <c r="D143" s="52">
        <v>8</v>
      </c>
      <c r="E143" s="60" t="s">
        <v>228</v>
      </c>
      <c r="F143" s="60" t="s">
        <v>229</v>
      </c>
      <c r="G143" s="60"/>
      <c r="H143" s="52"/>
      <c r="I143" s="33"/>
      <c r="J143" s="32">
        <f t="shared" si="4"/>
        <v>24</v>
      </c>
      <c r="K143" s="32">
        <f t="shared" si="5"/>
        <v>0</v>
      </c>
      <c r="L143" s="32">
        <f t="shared" si="6"/>
        <v>24</v>
      </c>
      <c r="M143" s="93">
        <f t="shared" si="7"/>
        <v>0</v>
      </c>
    </row>
    <row r="144" spans="1:13" s="59" customFormat="1" ht="15" x14ac:dyDescent="0.4">
      <c r="A144" s="66"/>
      <c r="B144" s="49" t="s">
        <v>91</v>
      </c>
      <c r="C144" s="49" t="s">
        <v>308</v>
      </c>
      <c r="D144" s="67"/>
      <c r="E144" s="68"/>
      <c r="F144" s="68"/>
      <c r="G144" s="68"/>
      <c r="H144" s="67"/>
      <c r="I144" s="49"/>
      <c r="J144" s="32">
        <f t="shared" si="4"/>
        <v>0</v>
      </c>
      <c r="K144" s="32">
        <f t="shared" si="5"/>
        <v>0</v>
      </c>
      <c r="L144" s="32">
        <f t="shared" si="6"/>
        <v>0</v>
      </c>
      <c r="M144" s="93">
        <f t="shared" si="7"/>
        <v>0</v>
      </c>
    </row>
    <row r="145" spans="1:13" s="59" customFormat="1" ht="101.5" x14ac:dyDescent="0.4">
      <c r="A145" s="16" t="s">
        <v>193</v>
      </c>
      <c r="B145" s="33"/>
      <c r="C145" s="95" t="s">
        <v>92</v>
      </c>
      <c r="D145" s="52">
        <v>1</v>
      </c>
      <c r="E145" s="60" t="s">
        <v>238</v>
      </c>
      <c r="F145" s="60" t="s">
        <v>239</v>
      </c>
      <c r="G145" s="60" t="s">
        <v>240</v>
      </c>
      <c r="H145" s="33" t="s">
        <v>220</v>
      </c>
      <c r="I145" s="33" t="s">
        <v>309</v>
      </c>
      <c r="J145" s="32">
        <f t="shared" si="4"/>
        <v>86</v>
      </c>
      <c r="K145" s="32">
        <f t="shared" si="5"/>
        <v>84</v>
      </c>
      <c r="L145" s="32">
        <f t="shared" si="6"/>
        <v>170</v>
      </c>
      <c r="M145" s="93">
        <f t="shared" si="7"/>
        <v>0</v>
      </c>
    </row>
    <row r="146" spans="1:13" s="59" customFormat="1" ht="72.5" x14ac:dyDescent="0.4">
      <c r="A146" s="16" t="s">
        <v>193</v>
      </c>
      <c r="B146" s="33"/>
      <c r="C146" s="95" t="s">
        <v>92</v>
      </c>
      <c r="D146" s="52">
        <v>2</v>
      </c>
      <c r="E146" s="60" t="s">
        <v>243</v>
      </c>
      <c r="F146" s="60" t="s">
        <v>218</v>
      </c>
      <c r="G146" s="60"/>
      <c r="H146" s="33"/>
      <c r="I146" s="33"/>
      <c r="J146" s="32">
        <f t="shared" si="4"/>
        <v>168</v>
      </c>
      <c r="K146" s="32">
        <f t="shared" si="5"/>
        <v>0</v>
      </c>
      <c r="L146" s="32">
        <f t="shared" si="6"/>
        <v>168</v>
      </c>
      <c r="M146" s="93">
        <f t="shared" si="7"/>
        <v>0</v>
      </c>
    </row>
    <row r="147" spans="1:13" s="59" customFormat="1" ht="217.5" x14ac:dyDescent="0.4">
      <c r="A147" s="16" t="s">
        <v>193</v>
      </c>
      <c r="B147" s="33"/>
      <c r="C147" s="95" t="s">
        <v>92</v>
      </c>
      <c r="D147" s="52">
        <v>3</v>
      </c>
      <c r="E147" s="60" t="s">
        <v>222</v>
      </c>
      <c r="F147" s="60" t="s">
        <v>312</v>
      </c>
      <c r="G147" s="60"/>
      <c r="H147" s="33"/>
      <c r="I147" s="33"/>
      <c r="J147" s="32">
        <f t="shared" si="4"/>
        <v>362</v>
      </c>
      <c r="K147" s="32">
        <f t="shared" si="5"/>
        <v>0</v>
      </c>
      <c r="L147" s="32">
        <f t="shared" si="6"/>
        <v>362</v>
      </c>
      <c r="M147" s="93">
        <f t="shared" si="7"/>
        <v>0</v>
      </c>
    </row>
    <row r="148" spans="1:13" s="59" customFormat="1" ht="406" x14ac:dyDescent="0.4">
      <c r="A148" s="16" t="s">
        <v>193</v>
      </c>
      <c r="B148" s="33"/>
      <c r="C148" s="95" t="s">
        <v>92</v>
      </c>
      <c r="D148" s="52">
        <v>4</v>
      </c>
      <c r="E148" s="60" t="s">
        <v>256</v>
      </c>
      <c r="F148" s="60" t="s">
        <v>257</v>
      </c>
      <c r="G148" s="60"/>
      <c r="H148" s="52"/>
      <c r="I148" s="33"/>
      <c r="J148" s="32">
        <f t="shared" si="4"/>
        <v>1008</v>
      </c>
      <c r="K148" s="32">
        <f t="shared" si="5"/>
        <v>0</v>
      </c>
      <c r="L148" s="32">
        <f t="shared" si="6"/>
        <v>1008</v>
      </c>
      <c r="M148" s="94">
        <f t="shared" si="7"/>
        <v>1</v>
      </c>
    </row>
    <row r="149" spans="1:13" s="59" customFormat="1" ht="174" x14ac:dyDescent="0.4">
      <c r="A149" s="16" t="s">
        <v>193</v>
      </c>
      <c r="B149" s="33"/>
      <c r="C149" s="95" t="s">
        <v>92</v>
      </c>
      <c r="D149" s="52">
        <v>5</v>
      </c>
      <c r="E149" s="60" t="s">
        <v>305</v>
      </c>
      <c r="F149" s="60" t="s">
        <v>259</v>
      </c>
      <c r="G149" s="60"/>
      <c r="H149" s="52"/>
      <c r="I149" s="33"/>
      <c r="J149" s="32">
        <f t="shared" ref="J149:J212" si="8">+LEN(F149)</f>
        <v>51</v>
      </c>
      <c r="K149" s="32">
        <f t="shared" ref="K149:K212" si="9">+LEN(G149)</f>
        <v>0</v>
      </c>
      <c r="L149" s="32">
        <f t="shared" ref="L149:L212" si="10">+J149+K149</f>
        <v>51</v>
      </c>
      <c r="M149" s="93">
        <f t="shared" ref="M149:M212" si="11">+IF(L149&lt;=1000,0,1)</f>
        <v>0</v>
      </c>
    </row>
    <row r="150" spans="1:13" s="59" customFormat="1" ht="409.5" x14ac:dyDescent="0.4">
      <c r="A150" s="16" t="s">
        <v>193</v>
      </c>
      <c r="B150" s="33"/>
      <c r="C150" s="95" t="s">
        <v>92</v>
      </c>
      <c r="D150" s="52">
        <v>6</v>
      </c>
      <c r="E150" s="60" t="s">
        <v>260</v>
      </c>
      <c r="F150" s="60" t="s">
        <v>261</v>
      </c>
      <c r="G150" s="60" t="s">
        <v>262</v>
      </c>
      <c r="H150" s="52"/>
      <c r="I150" s="33"/>
      <c r="J150" s="32">
        <f t="shared" si="8"/>
        <v>1486</v>
      </c>
      <c r="K150" s="32">
        <f t="shared" si="9"/>
        <v>1810</v>
      </c>
      <c r="L150" s="32">
        <f t="shared" si="10"/>
        <v>3296</v>
      </c>
      <c r="M150" s="94">
        <f t="shared" si="11"/>
        <v>1</v>
      </c>
    </row>
    <row r="151" spans="1:13" s="59" customFormat="1" ht="147" customHeight="1" x14ac:dyDescent="0.4">
      <c r="A151" s="16" t="s">
        <v>193</v>
      </c>
      <c r="B151" s="33"/>
      <c r="C151" s="95" t="s">
        <v>92</v>
      </c>
      <c r="D151" s="52">
        <v>7</v>
      </c>
      <c r="E151" s="60" t="s">
        <v>313</v>
      </c>
      <c r="F151" s="41" t="s">
        <v>311</v>
      </c>
      <c r="G151" s="60"/>
      <c r="H151" s="52"/>
      <c r="I151" s="33"/>
      <c r="J151" s="32">
        <f t="shared" si="8"/>
        <v>223</v>
      </c>
      <c r="K151" s="32">
        <f t="shared" si="9"/>
        <v>0</v>
      </c>
      <c r="L151" s="32">
        <f t="shared" si="10"/>
        <v>223</v>
      </c>
      <c r="M151" s="93">
        <f t="shared" si="11"/>
        <v>0</v>
      </c>
    </row>
    <row r="152" spans="1:13" s="59" customFormat="1" ht="43.5" x14ac:dyDescent="0.4">
      <c r="A152" s="16" t="s">
        <v>193</v>
      </c>
      <c r="B152" s="33"/>
      <c r="C152" s="95" t="s">
        <v>92</v>
      </c>
      <c r="D152" s="52">
        <v>8</v>
      </c>
      <c r="E152" s="60" t="s">
        <v>228</v>
      </c>
      <c r="F152" s="60" t="s">
        <v>229</v>
      </c>
      <c r="G152" s="60"/>
      <c r="H152" s="52"/>
      <c r="I152" s="33"/>
      <c r="J152" s="32">
        <f t="shared" si="8"/>
        <v>24</v>
      </c>
      <c r="K152" s="32">
        <f t="shared" si="9"/>
        <v>0</v>
      </c>
      <c r="L152" s="32">
        <f t="shared" si="10"/>
        <v>24</v>
      </c>
      <c r="M152" s="93">
        <f t="shared" si="11"/>
        <v>0</v>
      </c>
    </row>
    <row r="153" spans="1:13" s="59" customFormat="1" ht="29" x14ac:dyDescent="0.4">
      <c r="A153" s="49"/>
      <c r="B153" s="49" t="s">
        <v>93</v>
      </c>
      <c r="C153" s="49" t="s">
        <v>314</v>
      </c>
      <c r="D153" s="49"/>
      <c r="E153" s="49"/>
      <c r="F153" s="49"/>
      <c r="G153" s="49"/>
      <c r="H153" s="49"/>
      <c r="I153" s="49"/>
      <c r="J153" s="32">
        <f t="shared" si="8"/>
        <v>0</v>
      </c>
      <c r="K153" s="32">
        <f t="shared" si="9"/>
        <v>0</v>
      </c>
      <c r="L153" s="32">
        <f t="shared" si="10"/>
        <v>0</v>
      </c>
      <c r="M153" s="93">
        <f t="shared" si="11"/>
        <v>0</v>
      </c>
    </row>
    <row r="154" spans="1:13" s="59" customFormat="1" ht="203" x14ac:dyDescent="0.4">
      <c r="A154" s="16" t="s">
        <v>193</v>
      </c>
      <c r="B154" s="33"/>
      <c r="C154" s="96" t="s">
        <v>94</v>
      </c>
      <c r="D154" s="52">
        <v>1</v>
      </c>
      <c r="E154" s="60" t="s">
        <v>238</v>
      </c>
      <c r="F154" s="60" t="s">
        <v>239</v>
      </c>
      <c r="G154" s="60" t="s">
        <v>264</v>
      </c>
      <c r="H154" s="33" t="s">
        <v>220</v>
      </c>
      <c r="I154" s="33" t="s">
        <v>315</v>
      </c>
      <c r="J154" s="32">
        <f t="shared" si="8"/>
        <v>86</v>
      </c>
      <c r="K154" s="32">
        <f t="shared" si="9"/>
        <v>85</v>
      </c>
      <c r="L154" s="32">
        <f t="shared" si="10"/>
        <v>171</v>
      </c>
      <c r="M154" s="93">
        <f t="shared" si="11"/>
        <v>0</v>
      </c>
    </row>
    <row r="155" spans="1:13" s="59" customFormat="1" ht="72.5" x14ac:dyDescent="0.4">
      <c r="A155" s="16" t="s">
        <v>193</v>
      </c>
      <c r="B155" s="33"/>
      <c r="C155" s="96" t="s">
        <v>94</v>
      </c>
      <c r="D155" s="52">
        <v>2</v>
      </c>
      <c r="E155" s="60" t="s">
        <v>243</v>
      </c>
      <c r="F155" s="60" t="s">
        <v>218</v>
      </c>
      <c r="G155" s="60"/>
      <c r="H155" s="33"/>
      <c r="I155" s="33"/>
      <c r="J155" s="32">
        <f t="shared" si="8"/>
        <v>168</v>
      </c>
      <c r="K155" s="32">
        <f t="shared" si="9"/>
        <v>0</v>
      </c>
      <c r="L155" s="32">
        <f t="shared" si="10"/>
        <v>168</v>
      </c>
      <c r="M155" s="93">
        <f t="shared" si="11"/>
        <v>0</v>
      </c>
    </row>
    <row r="156" spans="1:13" s="59" customFormat="1" ht="72.5" x14ac:dyDescent="0.4">
      <c r="A156" s="16" t="s">
        <v>193</v>
      </c>
      <c r="B156" s="33"/>
      <c r="C156" s="96" t="s">
        <v>94</v>
      </c>
      <c r="D156" s="52">
        <v>3</v>
      </c>
      <c r="E156" s="60" t="s">
        <v>222</v>
      </c>
      <c r="F156" s="60" t="s">
        <v>223</v>
      </c>
      <c r="G156" s="60"/>
      <c r="H156" s="33"/>
      <c r="I156" s="33"/>
      <c r="J156" s="32">
        <f t="shared" si="8"/>
        <v>91</v>
      </c>
      <c r="K156" s="32">
        <f t="shared" si="9"/>
        <v>0</v>
      </c>
      <c r="L156" s="32">
        <f t="shared" si="10"/>
        <v>91</v>
      </c>
      <c r="M156" s="93">
        <f t="shared" si="11"/>
        <v>0</v>
      </c>
    </row>
    <row r="157" spans="1:13" s="59" customFormat="1" ht="43.5" x14ac:dyDescent="0.4">
      <c r="A157" s="16" t="s">
        <v>193</v>
      </c>
      <c r="B157" s="33"/>
      <c r="C157" s="96" t="s">
        <v>94</v>
      </c>
      <c r="D157" s="52">
        <v>4</v>
      </c>
      <c r="E157" s="60" t="s">
        <v>245</v>
      </c>
      <c r="F157" s="60" t="s">
        <v>246</v>
      </c>
      <c r="G157" s="60"/>
      <c r="H157" s="52"/>
      <c r="I157" s="33"/>
      <c r="J157" s="32">
        <f t="shared" si="8"/>
        <v>44</v>
      </c>
      <c r="K157" s="32">
        <f t="shared" si="9"/>
        <v>0</v>
      </c>
      <c r="L157" s="32">
        <f t="shared" si="10"/>
        <v>44</v>
      </c>
      <c r="M157" s="93">
        <f t="shared" si="11"/>
        <v>0</v>
      </c>
    </row>
    <row r="158" spans="1:13" s="59" customFormat="1" ht="43.5" x14ac:dyDescent="0.4">
      <c r="A158" s="16" t="s">
        <v>193</v>
      </c>
      <c r="B158" s="33"/>
      <c r="C158" s="96" t="s">
        <v>94</v>
      </c>
      <c r="D158" s="52">
        <v>5</v>
      </c>
      <c r="E158" s="60" t="s">
        <v>248</v>
      </c>
      <c r="F158" s="60" t="s">
        <v>249</v>
      </c>
      <c r="G158" s="60"/>
      <c r="H158" s="52"/>
      <c r="I158" s="33"/>
      <c r="J158" s="32">
        <f t="shared" si="8"/>
        <v>50</v>
      </c>
      <c r="K158" s="32">
        <f t="shared" si="9"/>
        <v>0</v>
      </c>
      <c r="L158" s="32">
        <f t="shared" si="10"/>
        <v>50</v>
      </c>
      <c r="M158" s="93">
        <f t="shared" si="11"/>
        <v>0</v>
      </c>
    </row>
    <row r="159" spans="1:13" s="59" customFormat="1" ht="409.5" x14ac:dyDescent="0.4">
      <c r="A159" s="16" t="s">
        <v>193</v>
      </c>
      <c r="B159" s="33"/>
      <c r="C159" s="96" t="s">
        <v>94</v>
      </c>
      <c r="D159" s="52">
        <v>6</v>
      </c>
      <c r="E159" s="60" t="s">
        <v>250</v>
      </c>
      <c r="F159" s="60" t="s">
        <v>316</v>
      </c>
      <c r="G159" s="60" t="s">
        <v>252</v>
      </c>
      <c r="H159" s="52"/>
      <c r="I159" s="33"/>
      <c r="J159" s="32">
        <f t="shared" si="8"/>
        <v>1472</v>
      </c>
      <c r="K159" s="32">
        <f t="shared" si="9"/>
        <v>1044</v>
      </c>
      <c r="L159" s="32">
        <f t="shared" si="10"/>
        <v>2516</v>
      </c>
      <c r="M159" s="94">
        <f t="shared" si="11"/>
        <v>1</v>
      </c>
    </row>
    <row r="160" spans="1:13" s="59" customFormat="1" ht="58" x14ac:dyDescent="0.4">
      <c r="A160" s="16" t="s">
        <v>193</v>
      </c>
      <c r="B160" s="33"/>
      <c r="C160" s="96" t="s">
        <v>94</v>
      </c>
      <c r="D160" s="52">
        <v>7</v>
      </c>
      <c r="E160" s="60" t="s">
        <v>317</v>
      </c>
      <c r="F160" s="41" t="s">
        <v>318</v>
      </c>
      <c r="G160" s="60" t="s">
        <v>319</v>
      </c>
      <c r="H160" s="52"/>
      <c r="I160" s="33"/>
      <c r="J160" s="32">
        <f t="shared" si="8"/>
        <v>127</v>
      </c>
      <c r="K160" s="32">
        <f t="shared" si="9"/>
        <v>36</v>
      </c>
      <c r="L160" s="32">
        <f t="shared" si="10"/>
        <v>163</v>
      </c>
      <c r="M160" s="93">
        <f t="shared" si="11"/>
        <v>0</v>
      </c>
    </row>
    <row r="161" spans="1:13" s="59" customFormat="1" ht="43.5" x14ac:dyDescent="0.4">
      <c r="A161" s="16" t="s">
        <v>193</v>
      </c>
      <c r="B161" s="33"/>
      <c r="C161" s="96" t="s">
        <v>94</v>
      </c>
      <c r="D161" s="52">
        <v>8</v>
      </c>
      <c r="E161" s="60" t="s">
        <v>228</v>
      </c>
      <c r="F161" s="60" t="s">
        <v>229</v>
      </c>
      <c r="G161" s="60"/>
      <c r="H161" s="52"/>
      <c r="I161" s="33"/>
      <c r="J161" s="32">
        <f t="shared" si="8"/>
        <v>24</v>
      </c>
      <c r="K161" s="32">
        <f t="shared" si="9"/>
        <v>0</v>
      </c>
      <c r="L161" s="32">
        <f t="shared" si="10"/>
        <v>24</v>
      </c>
      <c r="M161" s="93">
        <f t="shared" si="11"/>
        <v>0</v>
      </c>
    </row>
    <row r="162" spans="1:13" s="59" customFormat="1" ht="29" x14ac:dyDescent="0.4">
      <c r="A162" s="49"/>
      <c r="B162" s="49" t="s">
        <v>95</v>
      </c>
      <c r="C162" s="49" t="s">
        <v>314</v>
      </c>
      <c r="D162" s="49"/>
      <c r="E162" s="49"/>
      <c r="F162" s="49"/>
      <c r="G162" s="49"/>
      <c r="H162" s="49"/>
      <c r="I162" s="49"/>
      <c r="J162" s="32">
        <f t="shared" si="8"/>
        <v>0</v>
      </c>
      <c r="K162" s="32">
        <f t="shared" si="9"/>
        <v>0</v>
      </c>
      <c r="L162" s="32">
        <f t="shared" si="10"/>
        <v>0</v>
      </c>
      <c r="M162" s="93">
        <f t="shared" si="11"/>
        <v>0</v>
      </c>
    </row>
    <row r="163" spans="1:13" s="59" customFormat="1" ht="203" x14ac:dyDescent="0.4">
      <c r="A163" s="16" t="s">
        <v>193</v>
      </c>
      <c r="B163" s="33"/>
      <c r="C163" s="96" t="s">
        <v>320</v>
      </c>
      <c r="D163" s="52">
        <v>1</v>
      </c>
      <c r="E163" s="60" t="s">
        <v>238</v>
      </c>
      <c r="F163" s="60" t="s">
        <v>239</v>
      </c>
      <c r="G163" s="60" t="s">
        <v>240</v>
      </c>
      <c r="H163" s="33" t="s">
        <v>220</v>
      </c>
      <c r="I163" s="33" t="s">
        <v>321</v>
      </c>
      <c r="J163" s="32">
        <f t="shared" si="8"/>
        <v>86</v>
      </c>
      <c r="K163" s="32">
        <f t="shared" si="9"/>
        <v>84</v>
      </c>
      <c r="L163" s="32">
        <f t="shared" si="10"/>
        <v>170</v>
      </c>
      <c r="M163" s="93">
        <f t="shared" si="11"/>
        <v>0</v>
      </c>
    </row>
    <row r="164" spans="1:13" s="59" customFormat="1" ht="87" x14ac:dyDescent="0.4">
      <c r="A164" s="16" t="s">
        <v>193</v>
      </c>
      <c r="B164" s="33"/>
      <c r="C164" s="96" t="s">
        <v>320</v>
      </c>
      <c r="D164" s="52">
        <v>2</v>
      </c>
      <c r="E164" s="60" t="s">
        <v>243</v>
      </c>
      <c r="F164" s="60" t="s">
        <v>218</v>
      </c>
      <c r="G164" s="60"/>
      <c r="H164" s="33"/>
      <c r="I164" s="36" t="s">
        <v>322</v>
      </c>
      <c r="J164" s="32">
        <f t="shared" si="8"/>
        <v>168</v>
      </c>
      <c r="K164" s="32">
        <f t="shared" si="9"/>
        <v>0</v>
      </c>
      <c r="L164" s="32">
        <f t="shared" si="10"/>
        <v>168</v>
      </c>
      <c r="M164" s="93">
        <f t="shared" si="11"/>
        <v>0</v>
      </c>
    </row>
    <row r="165" spans="1:13" s="59" customFormat="1" ht="217.5" x14ac:dyDescent="0.4">
      <c r="A165" s="16" t="s">
        <v>193</v>
      </c>
      <c r="B165" s="33"/>
      <c r="C165" s="96" t="s">
        <v>320</v>
      </c>
      <c r="D165" s="52">
        <v>3</v>
      </c>
      <c r="E165" s="60" t="s">
        <v>222</v>
      </c>
      <c r="F165" s="60" t="s">
        <v>323</v>
      </c>
      <c r="G165" s="60"/>
      <c r="H165" s="64"/>
      <c r="I165" s="64"/>
      <c r="J165" s="32">
        <f t="shared" si="8"/>
        <v>363</v>
      </c>
      <c r="K165" s="32">
        <f t="shared" si="9"/>
        <v>0</v>
      </c>
      <c r="L165" s="32">
        <f t="shared" si="10"/>
        <v>363</v>
      </c>
      <c r="M165" s="93">
        <f t="shared" si="11"/>
        <v>0</v>
      </c>
    </row>
    <row r="166" spans="1:13" s="59" customFormat="1" ht="406" x14ac:dyDescent="0.4">
      <c r="A166" s="16" t="s">
        <v>193</v>
      </c>
      <c r="B166" s="33"/>
      <c r="C166" s="96" t="s">
        <v>320</v>
      </c>
      <c r="D166" s="52">
        <v>4</v>
      </c>
      <c r="E166" s="60" t="s">
        <v>256</v>
      </c>
      <c r="F166" s="60" t="s">
        <v>257</v>
      </c>
      <c r="G166" s="60"/>
      <c r="H166" s="52"/>
      <c r="I166" s="33"/>
      <c r="J166" s="32">
        <f t="shared" si="8"/>
        <v>1008</v>
      </c>
      <c r="K166" s="32">
        <f t="shared" si="9"/>
        <v>0</v>
      </c>
      <c r="L166" s="32">
        <f t="shared" si="10"/>
        <v>1008</v>
      </c>
      <c r="M166" s="94">
        <f t="shared" si="11"/>
        <v>1</v>
      </c>
    </row>
    <row r="167" spans="1:13" s="59" customFormat="1" ht="174" x14ac:dyDescent="0.4">
      <c r="A167" s="16" t="s">
        <v>193</v>
      </c>
      <c r="B167" s="33"/>
      <c r="C167" s="96" t="s">
        <v>320</v>
      </c>
      <c r="D167" s="52">
        <v>5</v>
      </c>
      <c r="E167" s="60" t="s">
        <v>324</v>
      </c>
      <c r="F167" s="60" t="s">
        <v>259</v>
      </c>
      <c r="G167" s="60"/>
      <c r="H167" s="52"/>
      <c r="I167" s="33"/>
      <c r="J167" s="32">
        <f t="shared" si="8"/>
        <v>51</v>
      </c>
      <c r="K167" s="32">
        <f t="shared" si="9"/>
        <v>0</v>
      </c>
      <c r="L167" s="32">
        <f t="shared" si="10"/>
        <v>51</v>
      </c>
      <c r="M167" s="93">
        <f t="shared" si="11"/>
        <v>0</v>
      </c>
    </row>
    <row r="168" spans="1:13" s="59" customFormat="1" ht="409.5" x14ac:dyDescent="0.4">
      <c r="A168" s="16" t="s">
        <v>193</v>
      </c>
      <c r="B168" s="33"/>
      <c r="C168" s="96" t="s">
        <v>320</v>
      </c>
      <c r="D168" s="52">
        <v>6</v>
      </c>
      <c r="E168" s="60" t="s">
        <v>260</v>
      </c>
      <c r="F168" s="60" t="s">
        <v>261</v>
      </c>
      <c r="G168" s="60" t="s">
        <v>262</v>
      </c>
      <c r="H168" s="52"/>
      <c r="I168" s="33"/>
      <c r="J168" s="32">
        <f t="shared" si="8"/>
        <v>1486</v>
      </c>
      <c r="K168" s="32">
        <f t="shared" si="9"/>
        <v>1810</v>
      </c>
      <c r="L168" s="32">
        <f t="shared" si="10"/>
        <v>3296</v>
      </c>
      <c r="M168" s="94">
        <f t="shared" si="11"/>
        <v>1</v>
      </c>
    </row>
    <row r="169" spans="1:13" s="59" customFormat="1" ht="101.5" x14ac:dyDescent="0.4">
      <c r="A169" s="16" t="s">
        <v>193</v>
      </c>
      <c r="B169" s="33"/>
      <c r="C169" s="96" t="s">
        <v>320</v>
      </c>
      <c r="D169" s="52">
        <v>7</v>
      </c>
      <c r="E169" s="60" t="s">
        <v>325</v>
      </c>
      <c r="F169" s="41" t="s">
        <v>318</v>
      </c>
      <c r="G169" s="60" t="s">
        <v>326</v>
      </c>
      <c r="H169" s="52"/>
      <c r="I169" s="33"/>
      <c r="J169" s="32">
        <f t="shared" si="8"/>
        <v>127</v>
      </c>
      <c r="K169" s="32">
        <f t="shared" si="9"/>
        <v>34</v>
      </c>
      <c r="L169" s="32">
        <f t="shared" si="10"/>
        <v>161</v>
      </c>
      <c r="M169" s="93">
        <f t="shared" si="11"/>
        <v>0</v>
      </c>
    </row>
    <row r="170" spans="1:13" s="59" customFormat="1" ht="43.5" x14ac:dyDescent="0.4">
      <c r="A170" s="16" t="s">
        <v>193</v>
      </c>
      <c r="B170" s="33"/>
      <c r="C170" s="96" t="s">
        <v>320</v>
      </c>
      <c r="D170" s="52">
        <v>8</v>
      </c>
      <c r="E170" s="60" t="s">
        <v>228</v>
      </c>
      <c r="F170" s="60" t="s">
        <v>229</v>
      </c>
      <c r="G170" s="60"/>
      <c r="H170" s="52"/>
      <c r="I170" s="33"/>
      <c r="J170" s="32">
        <f t="shared" si="8"/>
        <v>24</v>
      </c>
      <c r="K170" s="32">
        <f t="shared" si="9"/>
        <v>0</v>
      </c>
      <c r="L170" s="32">
        <f t="shared" si="10"/>
        <v>24</v>
      </c>
      <c r="M170" s="93">
        <f t="shared" si="11"/>
        <v>0</v>
      </c>
    </row>
    <row r="171" spans="1:13" s="59" customFormat="1" ht="15" x14ac:dyDescent="0.4">
      <c r="A171" s="49"/>
      <c r="B171" s="49" t="s">
        <v>97</v>
      </c>
      <c r="C171" s="49" t="s">
        <v>327</v>
      </c>
      <c r="D171" s="49"/>
      <c r="E171" s="49"/>
      <c r="F171" s="49"/>
      <c r="G171" s="49"/>
      <c r="H171" s="49"/>
      <c r="I171" s="49"/>
      <c r="J171" s="32">
        <f t="shared" si="8"/>
        <v>0</v>
      </c>
      <c r="K171" s="32">
        <f t="shared" si="9"/>
        <v>0</v>
      </c>
      <c r="L171" s="32">
        <f t="shared" si="10"/>
        <v>0</v>
      </c>
      <c r="M171" s="93">
        <f t="shared" si="11"/>
        <v>0</v>
      </c>
    </row>
    <row r="172" spans="1:13" s="59" customFormat="1" ht="101.5" x14ac:dyDescent="0.4">
      <c r="A172" s="16" t="s">
        <v>193</v>
      </c>
      <c r="B172" s="33"/>
      <c r="C172" s="95" t="s">
        <v>98</v>
      </c>
      <c r="D172" s="52">
        <v>1</v>
      </c>
      <c r="E172" s="60" t="s">
        <v>238</v>
      </c>
      <c r="F172" s="60" t="s">
        <v>239</v>
      </c>
      <c r="G172" s="60" t="s">
        <v>264</v>
      </c>
      <c r="H172" s="33" t="s">
        <v>220</v>
      </c>
      <c r="I172" s="33" t="s">
        <v>309</v>
      </c>
      <c r="J172" s="32">
        <f t="shared" si="8"/>
        <v>86</v>
      </c>
      <c r="K172" s="32">
        <f t="shared" si="9"/>
        <v>85</v>
      </c>
      <c r="L172" s="32">
        <f t="shared" si="10"/>
        <v>171</v>
      </c>
      <c r="M172" s="93">
        <f t="shared" si="11"/>
        <v>0</v>
      </c>
    </row>
    <row r="173" spans="1:13" s="59" customFormat="1" ht="72.5" x14ac:dyDescent="0.4">
      <c r="A173" s="16" t="s">
        <v>193</v>
      </c>
      <c r="B173" s="33"/>
      <c r="C173" s="95" t="s">
        <v>98</v>
      </c>
      <c r="D173" s="52">
        <v>2</v>
      </c>
      <c r="E173" s="60" t="s">
        <v>243</v>
      </c>
      <c r="F173" s="60" t="s">
        <v>218</v>
      </c>
      <c r="G173" s="60"/>
      <c r="H173" s="33"/>
      <c r="I173" s="33"/>
      <c r="J173" s="32">
        <f t="shared" si="8"/>
        <v>168</v>
      </c>
      <c r="K173" s="32">
        <f t="shared" si="9"/>
        <v>0</v>
      </c>
      <c r="L173" s="32">
        <f t="shared" si="10"/>
        <v>168</v>
      </c>
      <c r="M173" s="93">
        <f t="shared" si="11"/>
        <v>0</v>
      </c>
    </row>
    <row r="174" spans="1:13" s="59" customFormat="1" ht="72.5" x14ac:dyDescent="0.4">
      <c r="A174" s="16" t="s">
        <v>193</v>
      </c>
      <c r="B174" s="33"/>
      <c r="C174" s="95" t="s">
        <v>98</v>
      </c>
      <c r="D174" s="52">
        <v>3</v>
      </c>
      <c r="E174" s="60" t="s">
        <v>222</v>
      </c>
      <c r="F174" s="60" t="s">
        <v>223</v>
      </c>
      <c r="G174" s="60"/>
      <c r="H174" s="33"/>
      <c r="I174" s="33"/>
      <c r="J174" s="32">
        <f t="shared" si="8"/>
        <v>91</v>
      </c>
      <c r="K174" s="32">
        <f t="shared" si="9"/>
        <v>0</v>
      </c>
      <c r="L174" s="32">
        <f t="shared" si="10"/>
        <v>91</v>
      </c>
      <c r="M174" s="93">
        <f t="shared" si="11"/>
        <v>0</v>
      </c>
    </row>
    <row r="175" spans="1:13" s="59" customFormat="1" ht="43.5" x14ac:dyDescent="0.4">
      <c r="A175" s="16" t="s">
        <v>193</v>
      </c>
      <c r="B175" s="33"/>
      <c r="C175" s="95" t="s">
        <v>98</v>
      </c>
      <c r="D175" s="52">
        <v>4</v>
      </c>
      <c r="E175" s="60" t="s">
        <v>245</v>
      </c>
      <c r="F175" s="60" t="s">
        <v>246</v>
      </c>
      <c r="G175" s="60"/>
      <c r="H175" s="52"/>
      <c r="I175" s="33"/>
      <c r="J175" s="32">
        <f t="shared" si="8"/>
        <v>44</v>
      </c>
      <c r="K175" s="32">
        <f t="shared" si="9"/>
        <v>0</v>
      </c>
      <c r="L175" s="32">
        <f t="shared" si="10"/>
        <v>44</v>
      </c>
      <c r="M175" s="93">
        <f t="shared" si="11"/>
        <v>0</v>
      </c>
    </row>
    <row r="176" spans="1:13" s="59" customFormat="1" ht="43.5" x14ac:dyDescent="0.4">
      <c r="A176" s="16" t="s">
        <v>193</v>
      </c>
      <c r="B176" s="33"/>
      <c r="C176" s="95" t="s">
        <v>98</v>
      </c>
      <c r="D176" s="52">
        <v>5</v>
      </c>
      <c r="E176" s="60" t="s">
        <v>248</v>
      </c>
      <c r="F176" s="60" t="s">
        <v>249</v>
      </c>
      <c r="G176" s="60"/>
      <c r="H176" s="52"/>
      <c r="I176" s="33"/>
      <c r="J176" s="32">
        <f t="shared" si="8"/>
        <v>50</v>
      </c>
      <c r="K176" s="32">
        <f t="shared" si="9"/>
        <v>0</v>
      </c>
      <c r="L176" s="32">
        <f t="shared" si="10"/>
        <v>50</v>
      </c>
      <c r="M176" s="93">
        <f t="shared" si="11"/>
        <v>0</v>
      </c>
    </row>
    <row r="177" spans="1:13" s="59" customFormat="1" ht="409.5" x14ac:dyDescent="0.4">
      <c r="A177" s="16" t="s">
        <v>193</v>
      </c>
      <c r="B177" s="33"/>
      <c r="C177" s="95" t="s">
        <v>98</v>
      </c>
      <c r="D177" s="52">
        <v>6</v>
      </c>
      <c r="E177" s="60" t="s">
        <v>250</v>
      </c>
      <c r="F177" s="60" t="s">
        <v>316</v>
      </c>
      <c r="G177" s="60" t="s">
        <v>252</v>
      </c>
      <c r="H177" s="52"/>
      <c r="I177" s="33"/>
      <c r="J177" s="32">
        <f t="shared" si="8"/>
        <v>1472</v>
      </c>
      <c r="K177" s="32">
        <f t="shared" si="9"/>
        <v>1044</v>
      </c>
      <c r="L177" s="32">
        <f t="shared" si="10"/>
        <v>2516</v>
      </c>
      <c r="M177" s="94">
        <f t="shared" si="11"/>
        <v>1</v>
      </c>
    </row>
    <row r="178" spans="1:13" s="59" customFormat="1" ht="159.5" x14ac:dyDescent="0.4">
      <c r="A178" s="16" t="s">
        <v>193</v>
      </c>
      <c r="B178" s="33"/>
      <c r="C178" s="95" t="s">
        <v>98</v>
      </c>
      <c r="D178" s="52">
        <v>7</v>
      </c>
      <c r="E178" s="60" t="s">
        <v>328</v>
      </c>
      <c r="F178" s="33" t="s">
        <v>329</v>
      </c>
      <c r="G178" s="60" t="s">
        <v>330</v>
      </c>
      <c r="H178" s="52"/>
      <c r="I178" s="33"/>
      <c r="J178" s="32">
        <f t="shared" si="8"/>
        <v>67</v>
      </c>
      <c r="K178" s="32">
        <f t="shared" si="9"/>
        <v>306</v>
      </c>
      <c r="L178" s="32">
        <f t="shared" si="10"/>
        <v>373</v>
      </c>
      <c r="M178" s="93">
        <f t="shared" si="11"/>
        <v>0</v>
      </c>
    </row>
    <row r="179" spans="1:13" s="59" customFormat="1" ht="43.5" x14ac:dyDescent="0.4">
      <c r="A179" s="16" t="s">
        <v>193</v>
      </c>
      <c r="B179" s="33"/>
      <c r="C179" s="95" t="s">
        <v>98</v>
      </c>
      <c r="D179" s="52">
        <v>8</v>
      </c>
      <c r="E179" s="60" t="s">
        <v>331</v>
      </c>
      <c r="F179" s="41" t="s">
        <v>332</v>
      </c>
      <c r="G179" s="60"/>
      <c r="H179" s="52"/>
      <c r="I179" s="33"/>
      <c r="J179" s="32">
        <f t="shared" si="8"/>
        <v>34</v>
      </c>
      <c r="K179" s="32">
        <f t="shared" si="9"/>
        <v>0</v>
      </c>
      <c r="L179" s="32">
        <f t="shared" si="10"/>
        <v>34</v>
      </c>
      <c r="M179" s="93">
        <f t="shared" si="11"/>
        <v>0</v>
      </c>
    </row>
    <row r="180" spans="1:13" s="59" customFormat="1" ht="43.5" x14ac:dyDescent="0.4">
      <c r="A180" s="16" t="s">
        <v>193</v>
      </c>
      <c r="B180" s="33"/>
      <c r="C180" s="95" t="s">
        <v>98</v>
      </c>
      <c r="D180" s="52">
        <v>9</v>
      </c>
      <c r="E180" s="60" t="s">
        <v>228</v>
      </c>
      <c r="F180" s="60" t="s">
        <v>229</v>
      </c>
      <c r="G180" s="60"/>
      <c r="H180" s="52"/>
      <c r="I180" s="33"/>
      <c r="J180" s="32">
        <f t="shared" si="8"/>
        <v>24</v>
      </c>
      <c r="K180" s="32">
        <f t="shared" si="9"/>
        <v>0</v>
      </c>
      <c r="L180" s="32">
        <f t="shared" si="10"/>
        <v>24</v>
      </c>
      <c r="M180" s="93">
        <f t="shared" si="11"/>
        <v>0</v>
      </c>
    </row>
    <row r="181" spans="1:13" s="59" customFormat="1" ht="15" x14ac:dyDescent="0.4">
      <c r="A181" s="49"/>
      <c r="B181" s="49" t="s">
        <v>99</v>
      </c>
      <c r="C181" s="49" t="s">
        <v>327</v>
      </c>
      <c r="D181" s="49"/>
      <c r="E181" s="49"/>
      <c r="F181" s="49"/>
      <c r="G181" s="49"/>
      <c r="H181" s="49"/>
      <c r="I181" s="49"/>
      <c r="J181" s="32">
        <f t="shared" si="8"/>
        <v>0</v>
      </c>
      <c r="K181" s="32">
        <f t="shared" si="9"/>
        <v>0</v>
      </c>
      <c r="L181" s="32">
        <f t="shared" si="10"/>
        <v>0</v>
      </c>
      <c r="M181" s="93">
        <f t="shared" si="11"/>
        <v>0</v>
      </c>
    </row>
    <row r="182" spans="1:13" s="59" customFormat="1" ht="101.5" x14ac:dyDescent="0.4">
      <c r="A182" s="16" t="s">
        <v>193</v>
      </c>
      <c r="B182" s="33"/>
      <c r="C182" s="95" t="s">
        <v>100</v>
      </c>
      <c r="D182" s="52">
        <v>1</v>
      </c>
      <c r="E182" s="60" t="s">
        <v>238</v>
      </c>
      <c r="F182" s="60" t="s">
        <v>239</v>
      </c>
      <c r="G182" s="60" t="s">
        <v>240</v>
      </c>
      <c r="H182" s="33" t="s">
        <v>220</v>
      </c>
      <c r="I182" s="33" t="s">
        <v>309</v>
      </c>
      <c r="J182" s="32">
        <f t="shared" si="8"/>
        <v>86</v>
      </c>
      <c r="K182" s="32">
        <f t="shared" si="9"/>
        <v>84</v>
      </c>
      <c r="L182" s="32">
        <f t="shared" si="10"/>
        <v>170</v>
      </c>
      <c r="M182" s="93">
        <f t="shared" si="11"/>
        <v>0</v>
      </c>
    </row>
    <row r="183" spans="1:13" s="59" customFormat="1" ht="72.5" x14ac:dyDescent="0.4">
      <c r="A183" s="16" t="s">
        <v>193</v>
      </c>
      <c r="B183" s="33"/>
      <c r="C183" s="95" t="s">
        <v>100</v>
      </c>
      <c r="D183" s="52">
        <v>2</v>
      </c>
      <c r="E183" s="60" t="s">
        <v>243</v>
      </c>
      <c r="F183" s="60" t="s">
        <v>218</v>
      </c>
      <c r="G183" s="60"/>
      <c r="H183" s="33"/>
      <c r="I183" s="33"/>
      <c r="J183" s="32">
        <f t="shared" si="8"/>
        <v>168</v>
      </c>
      <c r="K183" s="32">
        <f t="shared" si="9"/>
        <v>0</v>
      </c>
      <c r="L183" s="32">
        <f t="shared" si="10"/>
        <v>168</v>
      </c>
      <c r="M183" s="93">
        <f t="shared" si="11"/>
        <v>0</v>
      </c>
    </row>
    <row r="184" spans="1:13" s="59" customFormat="1" ht="217.5" x14ac:dyDescent="0.4">
      <c r="A184" s="16" t="s">
        <v>193</v>
      </c>
      <c r="B184" s="33"/>
      <c r="C184" s="95" t="s">
        <v>100</v>
      </c>
      <c r="D184" s="52">
        <v>3</v>
      </c>
      <c r="E184" s="60" t="s">
        <v>222</v>
      </c>
      <c r="F184" s="60" t="s">
        <v>323</v>
      </c>
      <c r="G184" s="60"/>
      <c r="H184" s="33"/>
      <c r="I184" s="33"/>
      <c r="J184" s="32">
        <f t="shared" si="8"/>
        <v>363</v>
      </c>
      <c r="K184" s="32">
        <f t="shared" si="9"/>
        <v>0</v>
      </c>
      <c r="L184" s="32">
        <f t="shared" si="10"/>
        <v>363</v>
      </c>
      <c r="M184" s="93">
        <f t="shared" si="11"/>
        <v>0</v>
      </c>
    </row>
    <row r="185" spans="1:13" s="59" customFormat="1" ht="406" x14ac:dyDescent="0.4">
      <c r="A185" s="16" t="s">
        <v>193</v>
      </c>
      <c r="B185" s="33"/>
      <c r="C185" s="95" t="s">
        <v>100</v>
      </c>
      <c r="D185" s="52">
        <v>4</v>
      </c>
      <c r="E185" s="60" t="s">
        <v>256</v>
      </c>
      <c r="F185" s="60" t="s">
        <v>257</v>
      </c>
      <c r="G185" s="60"/>
      <c r="H185" s="52"/>
      <c r="I185" s="33"/>
      <c r="J185" s="32">
        <f t="shared" si="8"/>
        <v>1008</v>
      </c>
      <c r="K185" s="32">
        <f t="shared" si="9"/>
        <v>0</v>
      </c>
      <c r="L185" s="32">
        <f t="shared" si="10"/>
        <v>1008</v>
      </c>
      <c r="M185" s="94">
        <f t="shared" si="11"/>
        <v>1</v>
      </c>
    </row>
    <row r="186" spans="1:13" s="59" customFormat="1" ht="174" x14ac:dyDescent="0.4">
      <c r="A186" s="16" t="s">
        <v>193</v>
      </c>
      <c r="B186" s="33"/>
      <c r="C186" s="95" t="s">
        <v>100</v>
      </c>
      <c r="D186" s="52">
        <v>5</v>
      </c>
      <c r="E186" s="60" t="s">
        <v>333</v>
      </c>
      <c r="F186" s="60" t="s">
        <v>259</v>
      </c>
      <c r="G186" s="60"/>
      <c r="H186" s="52"/>
      <c r="I186" s="33"/>
      <c r="J186" s="32">
        <f t="shared" si="8"/>
        <v>51</v>
      </c>
      <c r="K186" s="32">
        <f t="shared" si="9"/>
        <v>0</v>
      </c>
      <c r="L186" s="32">
        <f t="shared" si="10"/>
        <v>51</v>
      </c>
      <c r="M186" s="93">
        <f t="shared" si="11"/>
        <v>0</v>
      </c>
    </row>
    <row r="187" spans="1:13" s="59" customFormat="1" ht="409.5" x14ac:dyDescent="0.4">
      <c r="A187" s="16" t="s">
        <v>193</v>
      </c>
      <c r="B187" s="33"/>
      <c r="C187" s="95" t="s">
        <v>100</v>
      </c>
      <c r="D187" s="52">
        <v>6</v>
      </c>
      <c r="E187" s="60" t="s">
        <v>260</v>
      </c>
      <c r="F187" s="60" t="s">
        <v>284</v>
      </c>
      <c r="G187" s="60" t="s">
        <v>262</v>
      </c>
      <c r="H187" s="52"/>
      <c r="I187" s="33"/>
      <c r="J187" s="32">
        <f t="shared" si="8"/>
        <v>1486</v>
      </c>
      <c r="K187" s="32">
        <f t="shared" si="9"/>
        <v>1810</v>
      </c>
      <c r="L187" s="32">
        <f t="shared" si="10"/>
        <v>3296</v>
      </c>
      <c r="M187" s="94">
        <f t="shared" si="11"/>
        <v>1</v>
      </c>
    </row>
    <row r="188" spans="1:13" s="59" customFormat="1" ht="159.5" x14ac:dyDescent="0.4">
      <c r="A188" s="16" t="s">
        <v>193</v>
      </c>
      <c r="B188" s="33"/>
      <c r="C188" s="95" t="s">
        <v>100</v>
      </c>
      <c r="D188" s="52">
        <v>7</v>
      </c>
      <c r="E188" s="60" t="s">
        <v>334</v>
      </c>
      <c r="F188" s="33" t="s">
        <v>329</v>
      </c>
      <c r="G188" s="60" t="s">
        <v>330</v>
      </c>
      <c r="H188" s="52"/>
      <c r="I188" s="33"/>
      <c r="J188" s="32">
        <f t="shared" si="8"/>
        <v>67</v>
      </c>
      <c r="K188" s="32">
        <f t="shared" si="9"/>
        <v>306</v>
      </c>
      <c r="L188" s="32">
        <f t="shared" si="10"/>
        <v>373</v>
      </c>
      <c r="M188" s="93">
        <f t="shared" si="11"/>
        <v>0</v>
      </c>
    </row>
    <row r="189" spans="1:13" s="59" customFormat="1" ht="43.5" x14ac:dyDescent="0.4">
      <c r="A189" s="16" t="s">
        <v>193</v>
      </c>
      <c r="B189" s="33"/>
      <c r="C189" s="95" t="s">
        <v>100</v>
      </c>
      <c r="D189" s="52">
        <v>8</v>
      </c>
      <c r="E189" s="60" t="s">
        <v>331</v>
      </c>
      <c r="F189" s="41" t="s">
        <v>332</v>
      </c>
      <c r="G189" s="60"/>
      <c r="H189" s="52"/>
      <c r="I189" s="33"/>
      <c r="J189" s="32">
        <f t="shared" si="8"/>
        <v>34</v>
      </c>
      <c r="K189" s="32">
        <f t="shared" si="9"/>
        <v>0</v>
      </c>
      <c r="L189" s="32">
        <f t="shared" si="10"/>
        <v>34</v>
      </c>
      <c r="M189" s="93">
        <f t="shared" si="11"/>
        <v>0</v>
      </c>
    </row>
    <row r="190" spans="1:13" s="59" customFormat="1" ht="43.5" x14ac:dyDescent="0.4">
      <c r="A190" s="16" t="s">
        <v>193</v>
      </c>
      <c r="B190" s="33"/>
      <c r="C190" s="95" t="s">
        <v>100</v>
      </c>
      <c r="D190" s="52">
        <v>9</v>
      </c>
      <c r="E190" s="60" t="s">
        <v>228</v>
      </c>
      <c r="F190" s="60" t="s">
        <v>229</v>
      </c>
      <c r="G190" s="60"/>
      <c r="H190" s="52"/>
      <c r="I190" s="33"/>
      <c r="J190" s="32">
        <f t="shared" si="8"/>
        <v>24</v>
      </c>
      <c r="K190" s="32">
        <f t="shared" si="9"/>
        <v>0</v>
      </c>
      <c r="L190" s="32">
        <f t="shared" si="10"/>
        <v>24</v>
      </c>
      <c r="M190" s="93">
        <f t="shared" si="11"/>
        <v>0</v>
      </c>
    </row>
    <row r="191" spans="1:13" s="59" customFormat="1" ht="15" x14ac:dyDescent="0.4">
      <c r="A191" s="55"/>
      <c r="B191" s="49" t="s">
        <v>101</v>
      </c>
      <c r="C191" s="49" t="s">
        <v>335</v>
      </c>
      <c r="D191" s="57"/>
      <c r="E191" s="56"/>
      <c r="F191" s="56"/>
      <c r="G191" s="56"/>
      <c r="H191" s="57"/>
      <c r="I191" s="58"/>
      <c r="J191" s="32">
        <f t="shared" si="8"/>
        <v>0</v>
      </c>
      <c r="K191" s="32">
        <f t="shared" si="9"/>
        <v>0</v>
      </c>
      <c r="L191" s="32">
        <f t="shared" si="10"/>
        <v>0</v>
      </c>
      <c r="M191" s="93">
        <f t="shared" si="11"/>
        <v>0</v>
      </c>
    </row>
    <row r="192" spans="1:13" s="59" customFormat="1" ht="101.5" x14ac:dyDescent="0.4">
      <c r="A192" s="16" t="s">
        <v>193</v>
      </c>
      <c r="B192" s="33"/>
      <c r="C192" s="95" t="s">
        <v>102</v>
      </c>
      <c r="D192" s="52">
        <v>1</v>
      </c>
      <c r="E192" s="60" t="s">
        <v>238</v>
      </c>
      <c r="F192" s="60" t="s">
        <v>239</v>
      </c>
      <c r="G192" s="60" t="s">
        <v>264</v>
      </c>
      <c r="H192" s="33" t="s">
        <v>220</v>
      </c>
      <c r="I192" s="72" t="s">
        <v>336</v>
      </c>
      <c r="J192" s="32">
        <f t="shared" si="8"/>
        <v>86</v>
      </c>
      <c r="K192" s="32">
        <f t="shared" si="9"/>
        <v>85</v>
      </c>
      <c r="L192" s="32">
        <f t="shared" si="10"/>
        <v>171</v>
      </c>
      <c r="M192" s="93">
        <f t="shared" si="11"/>
        <v>0</v>
      </c>
    </row>
    <row r="193" spans="1:13" s="59" customFormat="1" ht="72.5" x14ac:dyDescent="0.4">
      <c r="A193" s="16" t="s">
        <v>193</v>
      </c>
      <c r="B193" s="33"/>
      <c r="C193" s="95" t="s">
        <v>102</v>
      </c>
      <c r="D193" s="52">
        <v>2</v>
      </c>
      <c r="E193" s="60" t="s">
        <v>243</v>
      </c>
      <c r="F193" s="60" t="s">
        <v>218</v>
      </c>
      <c r="G193" s="60"/>
      <c r="H193" s="33"/>
      <c r="I193" s="33"/>
      <c r="J193" s="32">
        <f t="shared" si="8"/>
        <v>168</v>
      </c>
      <c r="K193" s="32">
        <f t="shared" si="9"/>
        <v>0</v>
      </c>
      <c r="L193" s="32">
        <f t="shared" si="10"/>
        <v>168</v>
      </c>
      <c r="M193" s="93">
        <f t="shared" si="11"/>
        <v>0</v>
      </c>
    </row>
    <row r="194" spans="1:13" s="59" customFormat="1" ht="72.5" x14ac:dyDescent="0.4">
      <c r="A194" s="16" t="s">
        <v>193</v>
      </c>
      <c r="B194" s="33"/>
      <c r="C194" s="95" t="s">
        <v>102</v>
      </c>
      <c r="D194" s="52">
        <v>3</v>
      </c>
      <c r="E194" s="60" t="s">
        <v>222</v>
      </c>
      <c r="F194" s="60" t="s">
        <v>223</v>
      </c>
      <c r="G194" s="60"/>
      <c r="H194" s="33"/>
      <c r="I194" s="33"/>
      <c r="J194" s="32">
        <f t="shared" si="8"/>
        <v>91</v>
      </c>
      <c r="K194" s="32">
        <f t="shared" si="9"/>
        <v>0</v>
      </c>
      <c r="L194" s="32">
        <f t="shared" si="10"/>
        <v>91</v>
      </c>
      <c r="M194" s="93">
        <f t="shared" si="11"/>
        <v>0</v>
      </c>
    </row>
    <row r="195" spans="1:13" s="59" customFormat="1" ht="391.5" x14ac:dyDescent="0.4">
      <c r="A195" s="16" t="s">
        <v>193</v>
      </c>
      <c r="B195" s="33"/>
      <c r="C195" s="95" t="s">
        <v>102</v>
      </c>
      <c r="D195" s="52">
        <v>4</v>
      </c>
      <c r="E195" s="60" t="s">
        <v>256</v>
      </c>
      <c r="F195" s="60" t="s">
        <v>337</v>
      </c>
      <c r="G195" s="60" t="s">
        <v>338</v>
      </c>
      <c r="H195" s="52"/>
      <c r="I195" s="33"/>
      <c r="J195" s="32">
        <f t="shared" si="8"/>
        <v>977</v>
      </c>
      <c r="K195" s="32">
        <f t="shared" si="9"/>
        <v>27</v>
      </c>
      <c r="L195" s="32">
        <f t="shared" si="10"/>
        <v>1004</v>
      </c>
      <c r="M195" s="94">
        <f t="shared" si="11"/>
        <v>1</v>
      </c>
    </row>
    <row r="196" spans="1:13" s="59" customFormat="1" ht="174" x14ac:dyDescent="0.4">
      <c r="A196" s="16" t="s">
        <v>193</v>
      </c>
      <c r="B196" s="33"/>
      <c r="C196" s="95" t="s">
        <v>102</v>
      </c>
      <c r="D196" s="52">
        <v>5</v>
      </c>
      <c r="E196" s="60" t="s">
        <v>339</v>
      </c>
      <c r="F196" s="60" t="s">
        <v>259</v>
      </c>
      <c r="G196" s="60"/>
      <c r="H196" s="52"/>
      <c r="I196" s="33"/>
      <c r="J196" s="32">
        <f t="shared" si="8"/>
        <v>51</v>
      </c>
      <c r="K196" s="32">
        <f t="shared" si="9"/>
        <v>0</v>
      </c>
      <c r="L196" s="32">
        <f t="shared" si="10"/>
        <v>51</v>
      </c>
      <c r="M196" s="93">
        <f t="shared" si="11"/>
        <v>0</v>
      </c>
    </row>
    <row r="197" spans="1:13" s="59" customFormat="1" ht="409.5" x14ac:dyDescent="0.4">
      <c r="A197" s="16" t="s">
        <v>193</v>
      </c>
      <c r="B197" s="33"/>
      <c r="C197" s="95" t="s">
        <v>102</v>
      </c>
      <c r="D197" s="52">
        <v>6</v>
      </c>
      <c r="E197" s="60" t="s">
        <v>260</v>
      </c>
      <c r="F197" s="60" t="s">
        <v>340</v>
      </c>
      <c r="G197" s="60" t="s">
        <v>262</v>
      </c>
      <c r="H197" s="52"/>
      <c r="I197" s="33"/>
      <c r="J197" s="32">
        <f t="shared" si="8"/>
        <v>1472</v>
      </c>
      <c r="K197" s="32">
        <f t="shared" si="9"/>
        <v>1810</v>
      </c>
      <c r="L197" s="32">
        <f t="shared" si="10"/>
        <v>3282</v>
      </c>
      <c r="M197" s="94">
        <f t="shared" si="11"/>
        <v>1</v>
      </c>
    </row>
    <row r="198" spans="1:13" s="59" customFormat="1" ht="304.5" x14ac:dyDescent="0.4">
      <c r="A198" s="16" t="s">
        <v>193</v>
      </c>
      <c r="B198" s="33"/>
      <c r="C198" s="95" t="s">
        <v>102</v>
      </c>
      <c r="D198" s="52">
        <v>7</v>
      </c>
      <c r="E198" s="60" t="s">
        <v>341</v>
      </c>
      <c r="F198" s="60" t="s">
        <v>342</v>
      </c>
      <c r="G198" s="60" t="s">
        <v>343</v>
      </c>
      <c r="H198" s="52"/>
      <c r="I198" s="33"/>
      <c r="J198" s="32">
        <f t="shared" si="8"/>
        <v>781</v>
      </c>
      <c r="K198" s="32">
        <f t="shared" si="9"/>
        <v>440</v>
      </c>
      <c r="L198" s="32">
        <f t="shared" si="10"/>
        <v>1221</v>
      </c>
      <c r="M198" s="94">
        <f t="shared" si="11"/>
        <v>1</v>
      </c>
    </row>
    <row r="199" spans="1:13" s="59" customFormat="1" ht="72.5" x14ac:dyDescent="0.4">
      <c r="A199" s="16" t="s">
        <v>193</v>
      </c>
      <c r="B199" s="33"/>
      <c r="C199" s="95" t="s">
        <v>102</v>
      </c>
      <c r="D199" s="52">
        <v>8</v>
      </c>
      <c r="E199" s="60" t="s">
        <v>344</v>
      </c>
      <c r="F199" s="60" t="s">
        <v>345</v>
      </c>
      <c r="G199" s="60" t="s">
        <v>302</v>
      </c>
      <c r="H199" s="52"/>
      <c r="I199" s="33"/>
      <c r="J199" s="32">
        <f t="shared" si="8"/>
        <v>93</v>
      </c>
      <c r="K199" s="32">
        <f t="shared" si="9"/>
        <v>98</v>
      </c>
      <c r="L199" s="32">
        <f t="shared" si="10"/>
        <v>191</v>
      </c>
      <c r="M199" s="93">
        <f t="shared" si="11"/>
        <v>0</v>
      </c>
    </row>
    <row r="200" spans="1:13" s="59" customFormat="1" ht="43.5" x14ac:dyDescent="0.4">
      <c r="A200" s="16" t="s">
        <v>193</v>
      </c>
      <c r="B200" s="33"/>
      <c r="C200" s="95" t="s">
        <v>102</v>
      </c>
      <c r="D200" s="52">
        <v>9</v>
      </c>
      <c r="E200" s="60" t="s">
        <v>228</v>
      </c>
      <c r="F200" s="60" t="s">
        <v>229</v>
      </c>
      <c r="G200" s="60"/>
      <c r="H200" s="52"/>
      <c r="I200" s="33"/>
      <c r="J200" s="32">
        <f t="shared" si="8"/>
        <v>24</v>
      </c>
      <c r="K200" s="32">
        <f t="shared" si="9"/>
        <v>0</v>
      </c>
      <c r="L200" s="32">
        <f t="shared" si="10"/>
        <v>24</v>
      </c>
      <c r="M200" s="93">
        <f t="shared" si="11"/>
        <v>0</v>
      </c>
    </row>
    <row r="201" spans="1:13" s="59" customFormat="1" ht="15" x14ac:dyDescent="0.4">
      <c r="A201" s="55"/>
      <c r="B201" s="49" t="s">
        <v>103</v>
      </c>
      <c r="C201" s="49" t="s">
        <v>335</v>
      </c>
      <c r="D201" s="57"/>
      <c r="E201" s="56"/>
      <c r="F201" s="56"/>
      <c r="G201" s="56"/>
      <c r="H201" s="57"/>
      <c r="I201" s="58"/>
      <c r="J201" s="32">
        <f t="shared" si="8"/>
        <v>0</v>
      </c>
      <c r="K201" s="32">
        <f t="shared" si="9"/>
        <v>0</v>
      </c>
      <c r="L201" s="32">
        <f t="shared" si="10"/>
        <v>0</v>
      </c>
      <c r="M201" s="93">
        <f t="shared" si="11"/>
        <v>0</v>
      </c>
    </row>
    <row r="202" spans="1:13" s="59" customFormat="1" ht="101.5" x14ac:dyDescent="0.4">
      <c r="A202" s="16" t="s">
        <v>193</v>
      </c>
      <c r="B202" s="33"/>
      <c r="C202" s="95" t="s">
        <v>104</v>
      </c>
      <c r="D202" s="52">
        <v>1</v>
      </c>
      <c r="E202" s="60" t="s">
        <v>238</v>
      </c>
      <c r="F202" s="60" t="s">
        <v>239</v>
      </c>
      <c r="G202" s="60" t="s">
        <v>240</v>
      </c>
      <c r="H202" s="33" t="s">
        <v>220</v>
      </c>
      <c r="I202" s="33" t="s">
        <v>309</v>
      </c>
      <c r="J202" s="32">
        <f t="shared" si="8"/>
        <v>86</v>
      </c>
      <c r="K202" s="32">
        <f t="shared" si="9"/>
        <v>84</v>
      </c>
      <c r="L202" s="32">
        <f t="shared" si="10"/>
        <v>170</v>
      </c>
      <c r="M202" s="93">
        <f t="shared" si="11"/>
        <v>0</v>
      </c>
    </row>
    <row r="203" spans="1:13" s="59" customFormat="1" ht="72.5" x14ac:dyDescent="0.4">
      <c r="A203" s="16" t="s">
        <v>193</v>
      </c>
      <c r="B203" s="33"/>
      <c r="C203" s="95" t="s">
        <v>104</v>
      </c>
      <c r="D203" s="52">
        <v>2</v>
      </c>
      <c r="E203" s="60" t="s">
        <v>243</v>
      </c>
      <c r="F203" s="60" t="s">
        <v>218</v>
      </c>
      <c r="G203" s="60"/>
      <c r="H203" s="33"/>
      <c r="I203" s="33"/>
      <c r="J203" s="32">
        <f t="shared" si="8"/>
        <v>168</v>
      </c>
      <c r="K203" s="32">
        <f t="shared" si="9"/>
        <v>0</v>
      </c>
      <c r="L203" s="32">
        <f t="shared" si="10"/>
        <v>168</v>
      </c>
      <c r="M203" s="93">
        <f t="shared" si="11"/>
        <v>0</v>
      </c>
    </row>
    <row r="204" spans="1:13" s="59" customFormat="1" ht="217.5" x14ac:dyDescent="0.4">
      <c r="A204" s="16" t="s">
        <v>193</v>
      </c>
      <c r="B204" s="33"/>
      <c r="C204" s="95" t="s">
        <v>104</v>
      </c>
      <c r="D204" s="52">
        <v>3</v>
      </c>
      <c r="E204" s="60" t="s">
        <v>222</v>
      </c>
      <c r="F204" s="60" t="s">
        <v>346</v>
      </c>
      <c r="G204" s="60"/>
      <c r="H204" s="33"/>
      <c r="I204" s="33"/>
      <c r="J204" s="32">
        <f t="shared" si="8"/>
        <v>411</v>
      </c>
      <c r="K204" s="32">
        <f t="shared" si="9"/>
        <v>0</v>
      </c>
      <c r="L204" s="32">
        <f t="shared" si="10"/>
        <v>411</v>
      </c>
      <c r="M204" s="93">
        <f t="shared" si="11"/>
        <v>0</v>
      </c>
    </row>
    <row r="205" spans="1:13" s="59" customFormat="1" ht="58" x14ac:dyDescent="0.4">
      <c r="A205" s="16" t="s">
        <v>193</v>
      </c>
      <c r="B205" s="33"/>
      <c r="C205" s="95" t="s">
        <v>104</v>
      </c>
      <c r="D205" s="52">
        <v>4</v>
      </c>
      <c r="E205" s="60" t="s">
        <v>245</v>
      </c>
      <c r="F205" s="60" t="s">
        <v>246</v>
      </c>
      <c r="G205" s="60" t="s">
        <v>247</v>
      </c>
      <c r="H205" s="52"/>
      <c r="I205" s="33"/>
      <c r="J205" s="32">
        <f t="shared" si="8"/>
        <v>44</v>
      </c>
      <c r="K205" s="32">
        <f t="shared" si="9"/>
        <v>39</v>
      </c>
      <c r="L205" s="32">
        <f t="shared" si="10"/>
        <v>83</v>
      </c>
      <c r="M205" s="93">
        <f t="shared" si="11"/>
        <v>0</v>
      </c>
    </row>
    <row r="206" spans="1:13" s="59" customFormat="1" ht="43.5" x14ac:dyDescent="0.4">
      <c r="A206" s="16" t="s">
        <v>193</v>
      </c>
      <c r="B206" s="33"/>
      <c r="C206" s="95" t="s">
        <v>104</v>
      </c>
      <c r="D206" s="52">
        <v>5</v>
      </c>
      <c r="E206" s="60" t="s">
        <v>248</v>
      </c>
      <c r="F206" s="60" t="s">
        <v>249</v>
      </c>
      <c r="G206" s="60"/>
      <c r="H206" s="52"/>
      <c r="I206" s="33"/>
      <c r="J206" s="32">
        <f t="shared" si="8"/>
        <v>50</v>
      </c>
      <c r="K206" s="32">
        <f t="shared" si="9"/>
        <v>0</v>
      </c>
      <c r="L206" s="32">
        <f t="shared" si="10"/>
        <v>50</v>
      </c>
      <c r="M206" s="93">
        <f t="shared" si="11"/>
        <v>0</v>
      </c>
    </row>
    <row r="207" spans="1:13" s="59" customFormat="1" ht="409.5" x14ac:dyDescent="0.4">
      <c r="A207" s="16" t="s">
        <v>193</v>
      </c>
      <c r="B207" s="33"/>
      <c r="C207" s="95" t="s">
        <v>104</v>
      </c>
      <c r="D207" s="52">
        <v>6</v>
      </c>
      <c r="E207" s="60" t="s">
        <v>250</v>
      </c>
      <c r="F207" s="60" t="s">
        <v>347</v>
      </c>
      <c r="G207" s="60" t="s">
        <v>252</v>
      </c>
      <c r="H207" s="52"/>
      <c r="I207" s="33"/>
      <c r="J207" s="32">
        <f t="shared" si="8"/>
        <v>1474</v>
      </c>
      <c r="K207" s="32">
        <f t="shared" si="9"/>
        <v>1044</v>
      </c>
      <c r="L207" s="32">
        <f t="shared" si="10"/>
        <v>2518</v>
      </c>
      <c r="M207" s="94">
        <f t="shared" si="11"/>
        <v>1</v>
      </c>
    </row>
    <row r="208" spans="1:13" s="59" customFormat="1" ht="304.5" x14ac:dyDescent="0.4">
      <c r="A208" s="16" t="s">
        <v>193</v>
      </c>
      <c r="B208" s="33"/>
      <c r="C208" s="95" t="s">
        <v>104</v>
      </c>
      <c r="D208" s="52">
        <v>7</v>
      </c>
      <c r="E208" s="60" t="s">
        <v>348</v>
      </c>
      <c r="F208" s="60" t="s">
        <v>342</v>
      </c>
      <c r="G208" s="60" t="s">
        <v>343</v>
      </c>
      <c r="H208" s="52"/>
      <c r="I208" s="33"/>
      <c r="J208" s="32">
        <f t="shared" si="8"/>
        <v>781</v>
      </c>
      <c r="K208" s="32">
        <f t="shared" si="9"/>
        <v>440</v>
      </c>
      <c r="L208" s="32">
        <f t="shared" si="10"/>
        <v>1221</v>
      </c>
      <c r="M208" s="94">
        <f t="shared" si="11"/>
        <v>1</v>
      </c>
    </row>
    <row r="209" spans="1:13" s="59" customFormat="1" ht="72.5" x14ac:dyDescent="0.4">
      <c r="A209" s="16" t="s">
        <v>193</v>
      </c>
      <c r="B209" s="33"/>
      <c r="C209" s="95" t="s">
        <v>104</v>
      </c>
      <c r="D209" s="52">
        <v>8</v>
      </c>
      <c r="E209" s="60" t="s">
        <v>344</v>
      </c>
      <c r="F209" s="60" t="s">
        <v>345</v>
      </c>
      <c r="G209" s="60" t="s">
        <v>302</v>
      </c>
      <c r="H209" s="52"/>
      <c r="I209" s="33"/>
      <c r="J209" s="32">
        <f t="shared" si="8"/>
        <v>93</v>
      </c>
      <c r="K209" s="32">
        <f t="shared" si="9"/>
        <v>98</v>
      </c>
      <c r="L209" s="32">
        <f t="shared" si="10"/>
        <v>191</v>
      </c>
      <c r="M209" s="93">
        <f t="shared" si="11"/>
        <v>0</v>
      </c>
    </row>
    <row r="210" spans="1:13" s="59" customFormat="1" ht="43.5" x14ac:dyDescent="0.4">
      <c r="A210" s="16" t="s">
        <v>193</v>
      </c>
      <c r="B210" s="33"/>
      <c r="C210" s="95" t="s">
        <v>104</v>
      </c>
      <c r="D210" s="52">
        <v>9</v>
      </c>
      <c r="E210" s="60" t="s">
        <v>228</v>
      </c>
      <c r="F210" s="60" t="s">
        <v>229</v>
      </c>
      <c r="G210" s="60"/>
      <c r="H210" s="52"/>
      <c r="I210" s="33"/>
      <c r="J210" s="32">
        <f t="shared" si="8"/>
        <v>24</v>
      </c>
      <c r="K210" s="32">
        <f t="shared" si="9"/>
        <v>0</v>
      </c>
      <c r="L210" s="32">
        <f t="shared" si="10"/>
        <v>24</v>
      </c>
      <c r="M210" s="93">
        <f t="shared" si="11"/>
        <v>0</v>
      </c>
    </row>
    <row r="211" spans="1:13" s="59" customFormat="1" ht="15" x14ac:dyDescent="0.4">
      <c r="A211" s="49"/>
      <c r="B211" s="49" t="s">
        <v>105</v>
      </c>
      <c r="C211" s="49" t="s">
        <v>349</v>
      </c>
      <c r="D211" s="49"/>
      <c r="E211" s="49"/>
      <c r="F211" s="49"/>
      <c r="G211" s="49"/>
      <c r="H211" s="49"/>
      <c r="I211" s="49"/>
      <c r="J211" s="32">
        <f t="shared" si="8"/>
        <v>0</v>
      </c>
      <c r="K211" s="32">
        <f t="shared" si="9"/>
        <v>0</v>
      </c>
      <c r="L211" s="32">
        <f t="shared" si="10"/>
        <v>0</v>
      </c>
      <c r="M211" s="93">
        <f t="shared" si="11"/>
        <v>0</v>
      </c>
    </row>
    <row r="212" spans="1:13" s="59" customFormat="1" ht="43.5" x14ac:dyDescent="0.4">
      <c r="A212" s="16" t="s">
        <v>193</v>
      </c>
      <c r="B212" s="33"/>
      <c r="C212" s="96" t="s">
        <v>106</v>
      </c>
      <c r="D212" s="52">
        <v>1</v>
      </c>
      <c r="E212" s="60" t="s">
        <v>238</v>
      </c>
      <c r="F212" s="60" t="s">
        <v>239</v>
      </c>
      <c r="G212" s="60"/>
      <c r="H212" s="52"/>
      <c r="I212" s="33"/>
      <c r="J212" s="32">
        <f t="shared" si="8"/>
        <v>86</v>
      </c>
      <c r="K212" s="32">
        <f t="shared" si="9"/>
        <v>0</v>
      </c>
      <c r="L212" s="32">
        <f t="shared" si="10"/>
        <v>86</v>
      </c>
      <c r="M212" s="93">
        <f t="shared" si="11"/>
        <v>0</v>
      </c>
    </row>
    <row r="213" spans="1:13" s="59" customFormat="1" ht="101.5" x14ac:dyDescent="0.4">
      <c r="A213" s="16" t="s">
        <v>193</v>
      </c>
      <c r="B213" s="33"/>
      <c r="C213" s="96" t="s">
        <v>106</v>
      </c>
      <c r="D213" s="52">
        <v>2</v>
      </c>
      <c r="E213" s="60" t="s">
        <v>243</v>
      </c>
      <c r="F213" s="60" t="s">
        <v>218</v>
      </c>
      <c r="G213" s="60" t="s">
        <v>264</v>
      </c>
      <c r="H213" s="33" t="s">
        <v>220</v>
      </c>
      <c r="I213" s="33" t="s">
        <v>309</v>
      </c>
      <c r="J213" s="32">
        <f t="shared" ref="J213:J276" si="12">+LEN(F213)</f>
        <v>168</v>
      </c>
      <c r="K213" s="32">
        <f t="shared" ref="K213:K276" si="13">+LEN(G213)</f>
        <v>85</v>
      </c>
      <c r="L213" s="32">
        <f t="shared" ref="L213:L276" si="14">+J213+K213</f>
        <v>253</v>
      </c>
      <c r="M213" s="93">
        <f t="shared" ref="M213:M276" si="15">+IF(L213&lt;=1000,0,1)</f>
        <v>0</v>
      </c>
    </row>
    <row r="214" spans="1:13" s="59" customFormat="1" ht="72.5" x14ac:dyDescent="0.4">
      <c r="A214" s="16" t="s">
        <v>193</v>
      </c>
      <c r="B214" s="33"/>
      <c r="C214" s="96" t="s">
        <v>106</v>
      </c>
      <c r="D214" s="52">
        <v>3</v>
      </c>
      <c r="E214" s="60" t="s">
        <v>222</v>
      </c>
      <c r="F214" s="60" t="s">
        <v>223</v>
      </c>
      <c r="G214" s="60"/>
      <c r="H214" s="33"/>
      <c r="I214" s="33"/>
      <c r="J214" s="32">
        <f t="shared" si="12"/>
        <v>91</v>
      </c>
      <c r="K214" s="32">
        <f t="shared" si="13"/>
        <v>0</v>
      </c>
      <c r="L214" s="32">
        <f t="shared" si="14"/>
        <v>91</v>
      </c>
      <c r="M214" s="93">
        <f t="shared" si="15"/>
        <v>0</v>
      </c>
    </row>
    <row r="215" spans="1:13" s="59" customFormat="1" ht="391.5" x14ac:dyDescent="0.4">
      <c r="A215" s="16" t="s">
        <v>193</v>
      </c>
      <c r="B215" s="33"/>
      <c r="C215" s="96" t="s">
        <v>106</v>
      </c>
      <c r="D215" s="52">
        <v>4</v>
      </c>
      <c r="E215" s="60" t="s">
        <v>256</v>
      </c>
      <c r="F215" s="60" t="s">
        <v>350</v>
      </c>
      <c r="G215" s="60" t="s">
        <v>351</v>
      </c>
      <c r="H215" s="52"/>
      <c r="I215" s="33"/>
      <c r="J215" s="32">
        <f t="shared" si="12"/>
        <v>1012</v>
      </c>
      <c r="K215" s="32">
        <f t="shared" si="13"/>
        <v>19</v>
      </c>
      <c r="L215" s="32">
        <f t="shared" si="14"/>
        <v>1031</v>
      </c>
      <c r="M215" s="94">
        <f t="shared" si="15"/>
        <v>1</v>
      </c>
    </row>
    <row r="216" spans="1:13" s="59" customFormat="1" ht="174" x14ac:dyDescent="0.4">
      <c r="A216" s="16" t="s">
        <v>193</v>
      </c>
      <c r="B216" s="33"/>
      <c r="C216" s="96" t="s">
        <v>106</v>
      </c>
      <c r="D216" s="52">
        <v>5</v>
      </c>
      <c r="E216" s="60" t="s">
        <v>352</v>
      </c>
      <c r="F216" s="60" t="s">
        <v>259</v>
      </c>
      <c r="G216" s="60"/>
      <c r="H216" s="52"/>
      <c r="I216" s="33"/>
      <c r="J216" s="32">
        <f t="shared" si="12"/>
        <v>51</v>
      </c>
      <c r="K216" s="32">
        <f t="shared" si="13"/>
        <v>0</v>
      </c>
      <c r="L216" s="32">
        <f t="shared" si="14"/>
        <v>51</v>
      </c>
      <c r="M216" s="93">
        <f t="shared" si="15"/>
        <v>0</v>
      </c>
    </row>
    <row r="217" spans="1:13" s="59" customFormat="1" ht="409.5" x14ac:dyDescent="0.4">
      <c r="A217" s="16" t="s">
        <v>193</v>
      </c>
      <c r="B217" s="33"/>
      <c r="C217" s="96" t="s">
        <v>106</v>
      </c>
      <c r="D217" s="52">
        <v>6</v>
      </c>
      <c r="E217" s="60" t="s">
        <v>260</v>
      </c>
      <c r="F217" s="60" t="s">
        <v>353</v>
      </c>
      <c r="G217" s="60" t="s">
        <v>262</v>
      </c>
      <c r="H217" s="52"/>
      <c r="I217" s="33"/>
      <c r="J217" s="32">
        <f t="shared" si="12"/>
        <v>1472</v>
      </c>
      <c r="K217" s="32">
        <f t="shared" si="13"/>
        <v>1810</v>
      </c>
      <c r="L217" s="32">
        <f t="shared" si="14"/>
        <v>3282</v>
      </c>
      <c r="M217" s="94">
        <f t="shared" si="15"/>
        <v>1</v>
      </c>
    </row>
    <row r="218" spans="1:13" s="59" customFormat="1" ht="232" x14ac:dyDescent="0.4">
      <c r="A218" s="16" t="s">
        <v>193</v>
      </c>
      <c r="B218" s="33"/>
      <c r="C218" s="96" t="s">
        <v>106</v>
      </c>
      <c r="D218" s="52">
        <v>7</v>
      </c>
      <c r="E218" s="60" t="s">
        <v>354</v>
      </c>
      <c r="F218" s="60" t="s">
        <v>355</v>
      </c>
      <c r="G218" s="73" t="s">
        <v>356</v>
      </c>
      <c r="H218" s="52"/>
      <c r="I218" s="33"/>
      <c r="J218" s="32">
        <f t="shared" si="12"/>
        <v>616</v>
      </c>
      <c r="K218" s="32">
        <f t="shared" si="13"/>
        <v>126</v>
      </c>
      <c r="L218" s="32">
        <f t="shared" si="14"/>
        <v>742</v>
      </c>
      <c r="M218" s="93">
        <f t="shared" si="15"/>
        <v>0</v>
      </c>
    </row>
    <row r="219" spans="1:13" s="59" customFormat="1" ht="72.5" x14ac:dyDescent="0.4">
      <c r="A219" s="16" t="s">
        <v>193</v>
      </c>
      <c r="B219" s="33"/>
      <c r="C219" s="96" t="s">
        <v>106</v>
      </c>
      <c r="D219" s="52">
        <v>8</v>
      </c>
      <c r="E219" s="60" t="s">
        <v>344</v>
      </c>
      <c r="F219" s="60" t="s">
        <v>357</v>
      </c>
      <c r="G219" s="60" t="s">
        <v>302</v>
      </c>
      <c r="H219" s="52"/>
      <c r="I219" s="33"/>
      <c r="J219" s="32">
        <f t="shared" si="12"/>
        <v>93</v>
      </c>
      <c r="K219" s="32">
        <f t="shared" si="13"/>
        <v>98</v>
      </c>
      <c r="L219" s="32">
        <f t="shared" si="14"/>
        <v>191</v>
      </c>
      <c r="M219" s="93">
        <f t="shared" si="15"/>
        <v>0</v>
      </c>
    </row>
    <row r="220" spans="1:13" s="59" customFormat="1" ht="43.5" x14ac:dyDescent="0.4">
      <c r="A220" s="16" t="s">
        <v>193</v>
      </c>
      <c r="B220" s="33"/>
      <c r="C220" s="96" t="s">
        <v>106</v>
      </c>
      <c r="D220" s="52">
        <v>9</v>
      </c>
      <c r="E220" s="60" t="s">
        <v>228</v>
      </c>
      <c r="F220" s="60" t="s">
        <v>229</v>
      </c>
      <c r="G220" s="60"/>
      <c r="H220" s="52"/>
      <c r="I220" s="33"/>
      <c r="J220" s="32">
        <f t="shared" si="12"/>
        <v>24</v>
      </c>
      <c r="K220" s="32">
        <f t="shared" si="13"/>
        <v>0</v>
      </c>
      <c r="L220" s="32">
        <f t="shared" si="14"/>
        <v>24</v>
      </c>
      <c r="M220" s="93">
        <f t="shared" si="15"/>
        <v>0</v>
      </c>
    </row>
    <row r="221" spans="1:13" s="59" customFormat="1" ht="15" x14ac:dyDescent="0.4">
      <c r="A221" s="55"/>
      <c r="B221" s="49" t="s">
        <v>107</v>
      </c>
      <c r="C221" s="49" t="s">
        <v>358</v>
      </c>
      <c r="D221" s="57"/>
      <c r="E221" s="56"/>
      <c r="F221" s="56"/>
      <c r="G221" s="56"/>
      <c r="H221" s="57"/>
      <c r="I221" s="58"/>
      <c r="J221" s="32">
        <f t="shared" si="12"/>
        <v>0</v>
      </c>
      <c r="K221" s="32">
        <f t="shared" si="13"/>
        <v>0</v>
      </c>
      <c r="L221" s="32">
        <f t="shared" si="14"/>
        <v>0</v>
      </c>
      <c r="M221" s="93">
        <f t="shared" si="15"/>
        <v>0</v>
      </c>
    </row>
    <row r="222" spans="1:13" s="59" customFormat="1" ht="43.5" x14ac:dyDescent="0.4">
      <c r="A222" s="16" t="s">
        <v>193</v>
      </c>
      <c r="B222" s="33"/>
      <c r="C222" s="95" t="s">
        <v>108</v>
      </c>
      <c r="D222" s="52">
        <v>1</v>
      </c>
      <c r="E222" s="60" t="s">
        <v>238</v>
      </c>
      <c r="F222" s="60" t="s">
        <v>239</v>
      </c>
      <c r="G222" s="60"/>
      <c r="H222" s="52"/>
      <c r="I222" s="33"/>
      <c r="J222" s="32">
        <f t="shared" si="12"/>
        <v>86</v>
      </c>
      <c r="K222" s="32">
        <f t="shared" si="13"/>
        <v>0</v>
      </c>
      <c r="L222" s="32">
        <f t="shared" si="14"/>
        <v>86</v>
      </c>
      <c r="M222" s="93">
        <f t="shared" si="15"/>
        <v>0</v>
      </c>
    </row>
    <row r="223" spans="1:13" s="59" customFormat="1" ht="101.5" x14ac:dyDescent="0.4">
      <c r="A223" s="16" t="s">
        <v>193</v>
      </c>
      <c r="B223" s="33"/>
      <c r="C223" s="95" t="s">
        <v>108</v>
      </c>
      <c r="D223" s="52">
        <v>2</v>
      </c>
      <c r="E223" s="60" t="s">
        <v>243</v>
      </c>
      <c r="F223" s="60" t="s">
        <v>218</v>
      </c>
      <c r="G223" s="60" t="s">
        <v>240</v>
      </c>
      <c r="H223" s="33" t="s">
        <v>220</v>
      </c>
      <c r="I223" s="33" t="s">
        <v>309</v>
      </c>
      <c r="J223" s="32">
        <f t="shared" si="12"/>
        <v>168</v>
      </c>
      <c r="K223" s="32">
        <f t="shared" si="13"/>
        <v>84</v>
      </c>
      <c r="L223" s="32">
        <f t="shared" si="14"/>
        <v>252</v>
      </c>
      <c r="M223" s="93">
        <f t="shared" si="15"/>
        <v>0</v>
      </c>
    </row>
    <row r="224" spans="1:13" s="59" customFormat="1" ht="72.5" x14ac:dyDescent="0.4">
      <c r="A224" s="16" t="s">
        <v>193</v>
      </c>
      <c r="B224" s="33"/>
      <c r="C224" s="95" t="s">
        <v>108</v>
      </c>
      <c r="D224" s="52">
        <v>3</v>
      </c>
      <c r="E224" s="60" t="s">
        <v>222</v>
      </c>
      <c r="F224" s="60" t="s">
        <v>223</v>
      </c>
      <c r="G224" s="60"/>
      <c r="H224" s="33"/>
      <c r="I224" s="33"/>
      <c r="J224" s="32">
        <f t="shared" si="12"/>
        <v>91</v>
      </c>
      <c r="K224" s="32">
        <f t="shared" si="13"/>
        <v>0</v>
      </c>
      <c r="L224" s="32">
        <f t="shared" si="14"/>
        <v>91</v>
      </c>
      <c r="M224" s="93">
        <f t="shared" si="15"/>
        <v>0</v>
      </c>
    </row>
    <row r="225" spans="1:13" s="59" customFormat="1" ht="391.5" x14ac:dyDescent="0.4">
      <c r="A225" s="16" t="s">
        <v>193</v>
      </c>
      <c r="B225" s="33"/>
      <c r="C225" s="95" t="s">
        <v>108</v>
      </c>
      <c r="D225" s="52">
        <v>4</v>
      </c>
      <c r="E225" s="60" t="s">
        <v>256</v>
      </c>
      <c r="F225" s="60" t="s">
        <v>359</v>
      </c>
      <c r="G225" s="60"/>
      <c r="H225" s="52"/>
      <c r="I225" s="33"/>
      <c r="J225" s="32">
        <f t="shared" si="12"/>
        <v>1012</v>
      </c>
      <c r="K225" s="32">
        <f t="shared" si="13"/>
        <v>0</v>
      </c>
      <c r="L225" s="32">
        <f t="shared" si="14"/>
        <v>1012</v>
      </c>
      <c r="M225" s="94">
        <f t="shared" si="15"/>
        <v>1</v>
      </c>
    </row>
    <row r="226" spans="1:13" s="59" customFormat="1" ht="174" x14ac:dyDescent="0.4">
      <c r="A226" s="16" t="s">
        <v>193</v>
      </c>
      <c r="B226" s="33"/>
      <c r="C226" s="95" t="s">
        <v>108</v>
      </c>
      <c r="D226" s="52">
        <v>5</v>
      </c>
      <c r="E226" s="60" t="s">
        <v>360</v>
      </c>
      <c r="F226" s="60" t="s">
        <v>259</v>
      </c>
      <c r="G226" s="60"/>
      <c r="H226" s="52"/>
      <c r="I226" s="33"/>
      <c r="J226" s="32">
        <f t="shared" si="12"/>
        <v>51</v>
      </c>
      <c r="K226" s="32">
        <f t="shared" si="13"/>
        <v>0</v>
      </c>
      <c r="L226" s="32">
        <f t="shared" si="14"/>
        <v>51</v>
      </c>
      <c r="M226" s="93">
        <f t="shared" si="15"/>
        <v>0</v>
      </c>
    </row>
    <row r="227" spans="1:13" s="59" customFormat="1" ht="409.5" x14ac:dyDescent="0.4">
      <c r="A227" s="16" t="s">
        <v>193</v>
      </c>
      <c r="B227" s="33"/>
      <c r="C227" s="95" t="s">
        <v>108</v>
      </c>
      <c r="D227" s="52">
        <v>6</v>
      </c>
      <c r="E227" s="60" t="s">
        <v>260</v>
      </c>
      <c r="F227" s="60" t="s">
        <v>361</v>
      </c>
      <c r="G227" s="60" t="s">
        <v>262</v>
      </c>
      <c r="H227" s="52"/>
      <c r="I227" s="33"/>
      <c r="J227" s="32">
        <f t="shared" si="12"/>
        <v>1473</v>
      </c>
      <c r="K227" s="32">
        <f t="shared" si="13"/>
        <v>1810</v>
      </c>
      <c r="L227" s="32">
        <f t="shared" si="14"/>
        <v>3283</v>
      </c>
      <c r="M227" s="94">
        <f t="shared" si="15"/>
        <v>1</v>
      </c>
    </row>
    <row r="228" spans="1:13" s="59" customFormat="1" ht="319" x14ac:dyDescent="0.4">
      <c r="A228" s="16" t="s">
        <v>193</v>
      </c>
      <c r="B228" s="33"/>
      <c r="C228" s="95" t="s">
        <v>108</v>
      </c>
      <c r="D228" s="52">
        <v>7</v>
      </c>
      <c r="E228" s="60" t="s">
        <v>362</v>
      </c>
      <c r="F228" s="60" t="s">
        <v>363</v>
      </c>
      <c r="G228" s="60" t="s">
        <v>364</v>
      </c>
      <c r="H228" s="52"/>
      <c r="I228" s="33"/>
      <c r="J228" s="32">
        <f t="shared" si="12"/>
        <v>768</v>
      </c>
      <c r="K228" s="32">
        <f t="shared" si="13"/>
        <v>419</v>
      </c>
      <c r="L228" s="32">
        <f t="shared" si="14"/>
        <v>1187</v>
      </c>
      <c r="M228" s="94">
        <f t="shared" si="15"/>
        <v>1</v>
      </c>
    </row>
    <row r="229" spans="1:13" s="59" customFormat="1" ht="116" x14ac:dyDescent="0.4">
      <c r="A229" s="16" t="s">
        <v>193</v>
      </c>
      <c r="B229" s="33"/>
      <c r="C229" s="95" t="s">
        <v>108</v>
      </c>
      <c r="D229" s="52">
        <v>8</v>
      </c>
      <c r="E229" s="60" t="s">
        <v>344</v>
      </c>
      <c r="F229" s="60" t="s">
        <v>365</v>
      </c>
      <c r="G229" s="60"/>
      <c r="H229" s="52"/>
      <c r="I229" s="33"/>
      <c r="J229" s="32">
        <f t="shared" si="12"/>
        <v>291</v>
      </c>
      <c r="K229" s="32">
        <f t="shared" si="13"/>
        <v>0</v>
      </c>
      <c r="L229" s="32">
        <f t="shared" si="14"/>
        <v>291</v>
      </c>
      <c r="M229" s="93">
        <f t="shared" si="15"/>
        <v>0</v>
      </c>
    </row>
    <row r="230" spans="1:13" s="59" customFormat="1" ht="43.5" x14ac:dyDescent="0.4">
      <c r="A230" s="16" t="s">
        <v>193</v>
      </c>
      <c r="B230" s="33"/>
      <c r="C230" s="95" t="s">
        <v>108</v>
      </c>
      <c r="D230" s="52">
        <v>9</v>
      </c>
      <c r="E230" s="60" t="s">
        <v>228</v>
      </c>
      <c r="F230" s="60" t="s">
        <v>229</v>
      </c>
      <c r="G230" s="60"/>
      <c r="H230" s="52"/>
      <c r="I230" s="33"/>
      <c r="J230" s="32">
        <f t="shared" si="12"/>
        <v>24</v>
      </c>
      <c r="K230" s="32">
        <f t="shared" si="13"/>
        <v>0</v>
      </c>
      <c r="L230" s="32">
        <f t="shared" si="14"/>
        <v>24</v>
      </c>
      <c r="M230" s="93">
        <f t="shared" si="15"/>
        <v>0</v>
      </c>
    </row>
    <row r="231" spans="1:13" s="59" customFormat="1" ht="15" x14ac:dyDescent="0.4">
      <c r="A231" s="55"/>
      <c r="B231" s="49" t="s">
        <v>109</v>
      </c>
      <c r="C231" s="49" t="s">
        <v>358</v>
      </c>
      <c r="D231" s="57"/>
      <c r="E231" s="56"/>
      <c r="F231" s="56"/>
      <c r="G231" s="56"/>
      <c r="H231" s="57"/>
      <c r="I231" s="58"/>
      <c r="J231" s="32">
        <f t="shared" si="12"/>
        <v>0</v>
      </c>
      <c r="K231" s="32">
        <f t="shared" si="13"/>
        <v>0</v>
      </c>
      <c r="L231" s="32">
        <f t="shared" si="14"/>
        <v>0</v>
      </c>
      <c r="M231" s="93">
        <f t="shared" si="15"/>
        <v>0</v>
      </c>
    </row>
    <row r="232" spans="1:13" s="59" customFormat="1" ht="58" x14ac:dyDescent="0.4">
      <c r="A232" s="16" t="s">
        <v>193</v>
      </c>
      <c r="B232" s="33"/>
      <c r="C232" s="95" t="s">
        <v>110</v>
      </c>
      <c r="D232" s="52">
        <v>1</v>
      </c>
      <c r="E232" s="60" t="s">
        <v>238</v>
      </c>
      <c r="F232" s="60" t="s">
        <v>239</v>
      </c>
      <c r="G232" s="60" t="s">
        <v>240</v>
      </c>
      <c r="H232" s="52"/>
      <c r="I232" s="33"/>
      <c r="J232" s="32">
        <f t="shared" si="12"/>
        <v>86</v>
      </c>
      <c r="K232" s="32">
        <f t="shared" si="13"/>
        <v>84</v>
      </c>
      <c r="L232" s="32">
        <f t="shared" si="14"/>
        <v>170</v>
      </c>
      <c r="M232" s="93">
        <f t="shared" si="15"/>
        <v>0</v>
      </c>
    </row>
    <row r="233" spans="1:13" s="59" customFormat="1" ht="101.5" x14ac:dyDescent="0.4">
      <c r="A233" s="16" t="s">
        <v>193</v>
      </c>
      <c r="B233" s="33"/>
      <c r="C233" s="95" t="s">
        <v>110</v>
      </c>
      <c r="D233" s="52">
        <v>2</v>
      </c>
      <c r="E233" s="60" t="s">
        <v>243</v>
      </c>
      <c r="F233" s="60" t="s">
        <v>218</v>
      </c>
      <c r="G233" s="60"/>
      <c r="H233" s="33" t="s">
        <v>220</v>
      </c>
      <c r="I233" s="33" t="s">
        <v>309</v>
      </c>
      <c r="J233" s="32">
        <f t="shared" si="12"/>
        <v>168</v>
      </c>
      <c r="K233" s="32">
        <f t="shared" si="13"/>
        <v>0</v>
      </c>
      <c r="L233" s="32">
        <f t="shared" si="14"/>
        <v>168</v>
      </c>
      <c r="M233" s="93">
        <f t="shared" si="15"/>
        <v>0</v>
      </c>
    </row>
    <row r="234" spans="1:13" s="59" customFormat="1" ht="203" x14ac:dyDescent="0.4">
      <c r="A234" s="16" t="s">
        <v>193</v>
      </c>
      <c r="B234" s="33"/>
      <c r="C234" s="95" t="s">
        <v>110</v>
      </c>
      <c r="D234" s="52">
        <v>3</v>
      </c>
      <c r="E234" s="60" t="s">
        <v>222</v>
      </c>
      <c r="F234" s="60" t="s">
        <v>366</v>
      </c>
      <c r="G234" s="60"/>
      <c r="H234" s="33"/>
      <c r="I234" s="33"/>
      <c r="J234" s="32">
        <f t="shared" si="12"/>
        <v>409</v>
      </c>
      <c r="K234" s="32">
        <f t="shared" si="13"/>
        <v>0</v>
      </c>
      <c r="L234" s="32">
        <f t="shared" si="14"/>
        <v>409</v>
      </c>
      <c r="M234" s="93">
        <f t="shared" si="15"/>
        <v>0</v>
      </c>
    </row>
    <row r="235" spans="1:13" s="59" customFormat="1" ht="58" x14ac:dyDescent="0.4">
      <c r="A235" s="16" t="s">
        <v>193</v>
      </c>
      <c r="B235" s="33"/>
      <c r="C235" s="95" t="s">
        <v>110</v>
      </c>
      <c r="D235" s="52">
        <v>4</v>
      </c>
      <c r="E235" s="60" t="s">
        <v>245</v>
      </c>
      <c r="F235" s="60" t="s">
        <v>246</v>
      </c>
      <c r="G235" s="60" t="s">
        <v>247</v>
      </c>
      <c r="H235" s="52"/>
      <c r="I235" s="33"/>
      <c r="J235" s="32">
        <f t="shared" si="12"/>
        <v>44</v>
      </c>
      <c r="K235" s="32">
        <f t="shared" si="13"/>
        <v>39</v>
      </c>
      <c r="L235" s="32">
        <f t="shared" si="14"/>
        <v>83</v>
      </c>
      <c r="M235" s="93">
        <f t="shared" si="15"/>
        <v>0</v>
      </c>
    </row>
    <row r="236" spans="1:13" s="59" customFormat="1" ht="43.5" x14ac:dyDescent="0.4">
      <c r="A236" s="16" t="s">
        <v>193</v>
      </c>
      <c r="B236" s="33"/>
      <c r="C236" s="95" t="s">
        <v>110</v>
      </c>
      <c r="D236" s="52">
        <v>5</v>
      </c>
      <c r="E236" s="60" t="s">
        <v>248</v>
      </c>
      <c r="F236" s="60" t="s">
        <v>249</v>
      </c>
      <c r="G236" s="60"/>
      <c r="H236" s="52"/>
      <c r="I236" s="33"/>
      <c r="J236" s="32">
        <f t="shared" si="12"/>
        <v>50</v>
      </c>
      <c r="K236" s="32">
        <f t="shared" si="13"/>
        <v>0</v>
      </c>
      <c r="L236" s="32">
        <f t="shared" si="14"/>
        <v>50</v>
      </c>
      <c r="M236" s="93">
        <f t="shared" si="15"/>
        <v>0</v>
      </c>
    </row>
    <row r="237" spans="1:13" s="59" customFormat="1" ht="409.5" x14ac:dyDescent="0.4">
      <c r="A237" s="16" t="s">
        <v>193</v>
      </c>
      <c r="B237" s="33"/>
      <c r="C237" s="95" t="s">
        <v>110</v>
      </c>
      <c r="D237" s="52">
        <v>6</v>
      </c>
      <c r="E237" s="60" t="s">
        <v>250</v>
      </c>
      <c r="F237" s="60" t="s">
        <v>251</v>
      </c>
      <c r="G237" s="60" t="s">
        <v>252</v>
      </c>
      <c r="H237" s="52"/>
      <c r="I237" s="33"/>
      <c r="J237" s="32">
        <f t="shared" si="12"/>
        <v>1474</v>
      </c>
      <c r="K237" s="32">
        <f t="shared" si="13"/>
        <v>1044</v>
      </c>
      <c r="L237" s="32">
        <f t="shared" si="14"/>
        <v>2518</v>
      </c>
      <c r="M237" s="94">
        <f t="shared" si="15"/>
        <v>1</v>
      </c>
    </row>
    <row r="238" spans="1:13" s="59" customFormat="1" ht="319" x14ac:dyDescent="0.4">
      <c r="A238" s="16" t="s">
        <v>193</v>
      </c>
      <c r="B238" s="33"/>
      <c r="C238" s="95" t="s">
        <v>110</v>
      </c>
      <c r="D238" s="52">
        <v>7</v>
      </c>
      <c r="E238" s="60" t="s">
        <v>362</v>
      </c>
      <c r="F238" s="60" t="s">
        <v>363</v>
      </c>
      <c r="G238" s="60" t="s">
        <v>364</v>
      </c>
      <c r="H238" s="52"/>
      <c r="I238" s="33"/>
      <c r="J238" s="32">
        <f t="shared" si="12"/>
        <v>768</v>
      </c>
      <c r="K238" s="32">
        <f t="shared" si="13"/>
        <v>419</v>
      </c>
      <c r="L238" s="32">
        <f t="shared" si="14"/>
        <v>1187</v>
      </c>
      <c r="M238" s="94">
        <f t="shared" si="15"/>
        <v>1</v>
      </c>
    </row>
    <row r="239" spans="1:13" s="59" customFormat="1" ht="116" x14ac:dyDescent="0.4">
      <c r="A239" s="16" t="s">
        <v>193</v>
      </c>
      <c r="B239" s="33"/>
      <c r="C239" s="95" t="s">
        <v>110</v>
      </c>
      <c r="D239" s="52">
        <v>8</v>
      </c>
      <c r="E239" s="60" t="s">
        <v>344</v>
      </c>
      <c r="F239" s="60" t="s">
        <v>365</v>
      </c>
      <c r="G239" s="60"/>
      <c r="H239" s="52"/>
      <c r="I239" s="33"/>
      <c r="J239" s="32">
        <f t="shared" si="12"/>
        <v>291</v>
      </c>
      <c r="K239" s="32">
        <f t="shared" si="13"/>
        <v>0</v>
      </c>
      <c r="L239" s="32">
        <f t="shared" si="14"/>
        <v>291</v>
      </c>
      <c r="M239" s="93">
        <f t="shared" si="15"/>
        <v>0</v>
      </c>
    </row>
    <row r="240" spans="1:13" s="59" customFormat="1" ht="43.5" x14ac:dyDescent="0.4">
      <c r="A240" s="16" t="s">
        <v>193</v>
      </c>
      <c r="B240" s="33"/>
      <c r="C240" s="95" t="s">
        <v>110</v>
      </c>
      <c r="D240" s="52">
        <v>9</v>
      </c>
      <c r="E240" s="60" t="s">
        <v>228</v>
      </c>
      <c r="F240" s="60" t="s">
        <v>229</v>
      </c>
      <c r="G240" s="60"/>
      <c r="H240" s="52"/>
      <c r="I240" s="33"/>
      <c r="J240" s="32">
        <f t="shared" si="12"/>
        <v>24</v>
      </c>
      <c r="K240" s="32">
        <f t="shared" si="13"/>
        <v>0</v>
      </c>
      <c r="L240" s="32">
        <f t="shared" si="14"/>
        <v>24</v>
      </c>
      <c r="M240" s="93">
        <f t="shared" si="15"/>
        <v>0</v>
      </c>
    </row>
    <row r="241" spans="1:13" s="59" customFormat="1" ht="15" x14ac:dyDescent="0.4">
      <c r="A241" s="55"/>
      <c r="B241" s="49" t="s">
        <v>111</v>
      </c>
      <c r="C241" s="49" t="s">
        <v>367</v>
      </c>
      <c r="D241" s="57"/>
      <c r="E241" s="56"/>
      <c r="F241" s="56"/>
      <c r="G241" s="56"/>
      <c r="H241" s="57"/>
      <c r="I241" s="58"/>
      <c r="J241" s="32">
        <f t="shared" si="12"/>
        <v>0</v>
      </c>
      <c r="K241" s="32">
        <f t="shared" si="13"/>
        <v>0</v>
      </c>
      <c r="L241" s="32">
        <f t="shared" si="14"/>
        <v>0</v>
      </c>
      <c r="M241" s="93">
        <f t="shared" si="15"/>
        <v>0</v>
      </c>
    </row>
    <row r="242" spans="1:13" s="59" customFormat="1" ht="101.5" x14ac:dyDescent="0.4">
      <c r="A242" s="16" t="s">
        <v>193</v>
      </c>
      <c r="B242" s="33"/>
      <c r="C242" s="95" t="s">
        <v>112</v>
      </c>
      <c r="D242" s="52">
        <v>1</v>
      </c>
      <c r="E242" s="60" t="s">
        <v>238</v>
      </c>
      <c r="F242" s="60" t="s">
        <v>239</v>
      </c>
      <c r="G242" s="60" t="s">
        <v>240</v>
      </c>
      <c r="H242" s="33" t="s">
        <v>220</v>
      </c>
      <c r="I242" s="33" t="s">
        <v>309</v>
      </c>
      <c r="J242" s="32">
        <f t="shared" si="12"/>
        <v>86</v>
      </c>
      <c r="K242" s="32">
        <f t="shared" si="13"/>
        <v>84</v>
      </c>
      <c r="L242" s="32">
        <f t="shared" si="14"/>
        <v>170</v>
      </c>
      <c r="M242" s="93">
        <f t="shared" si="15"/>
        <v>0</v>
      </c>
    </row>
    <row r="243" spans="1:13" s="59" customFormat="1" ht="72.5" x14ac:dyDescent="0.4">
      <c r="A243" s="16" t="s">
        <v>193</v>
      </c>
      <c r="B243" s="33"/>
      <c r="C243" s="95" t="s">
        <v>112</v>
      </c>
      <c r="D243" s="52">
        <v>2</v>
      </c>
      <c r="E243" s="60" t="s">
        <v>243</v>
      </c>
      <c r="F243" s="60" t="s">
        <v>218</v>
      </c>
      <c r="G243" s="60"/>
      <c r="H243" s="33"/>
      <c r="I243" s="33"/>
      <c r="J243" s="32">
        <f t="shared" si="12"/>
        <v>168</v>
      </c>
      <c r="K243" s="32">
        <f t="shared" si="13"/>
        <v>0</v>
      </c>
      <c r="L243" s="32">
        <f t="shared" si="14"/>
        <v>168</v>
      </c>
      <c r="M243" s="93">
        <f t="shared" si="15"/>
        <v>0</v>
      </c>
    </row>
    <row r="244" spans="1:13" s="59" customFormat="1" ht="72.5" x14ac:dyDescent="0.4">
      <c r="A244" s="16" t="s">
        <v>193</v>
      </c>
      <c r="B244" s="33"/>
      <c r="C244" s="95" t="s">
        <v>112</v>
      </c>
      <c r="D244" s="52">
        <v>3</v>
      </c>
      <c r="E244" s="60" t="s">
        <v>222</v>
      </c>
      <c r="F244" s="60" t="s">
        <v>223</v>
      </c>
      <c r="G244" s="60"/>
      <c r="H244" s="33"/>
      <c r="I244" s="33"/>
      <c r="J244" s="32">
        <f t="shared" si="12"/>
        <v>91</v>
      </c>
      <c r="K244" s="32">
        <f t="shared" si="13"/>
        <v>0</v>
      </c>
      <c r="L244" s="32">
        <f t="shared" si="14"/>
        <v>91</v>
      </c>
      <c r="M244" s="93">
        <f t="shared" si="15"/>
        <v>0</v>
      </c>
    </row>
    <row r="245" spans="1:13" s="59" customFormat="1" ht="391.5" x14ac:dyDescent="0.4">
      <c r="A245" s="16" t="s">
        <v>193</v>
      </c>
      <c r="B245" s="33"/>
      <c r="C245" s="95" t="s">
        <v>112</v>
      </c>
      <c r="D245" s="52">
        <v>4</v>
      </c>
      <c r="E245" s="60" t="s">
        <v>256</v>
      </c>
      <c r="F245" s="60" t="s">
        <v>368</v>
      </c>
      <c r="G245" s="60"/>
      <c r="H245" s="52"/>
      <c r="I245" s="33"/>
      <c r="J245" s="32">
        <f t="shared" si="12"/>
        <v>1011</v>
      </c>
      <c r="K245" s="32">
        <f t="shared" si="13"/>
        <v>0</v>
      </c>
      <c r="L245" s="32">
        <f t="shared" si="14"/>
        <v>1011</v>
      </c>
      <c r="M245" s="94">
        <f t="shared" si="15"/>
        <v>1</v>
      </c>
    </row>
    <row r="246" spans="1:13" s="59" customFormat="1" ht="174" x14ac:dyDescent="0.4">
      <c r="A246" s="16" t="s">
        <v>193</v>
      </c>
      <c r="B246" s="33"/>
      <c r="C246" s="95" t="s">
        <v>112</v>
      </c>
      <c r="D246" s="52">
        <v>5</v>
      </c>
      <c r="E246" s="60" t="s">
        <v>369</v>
      </c>
      <c r="F246" s="60" t="s">
        <v>259</v>
      </c>
      <c r="G246" s="60"/>
      <c r="H246" s="52"/>
      <c r="I246" s="33"/>
      <c r="J246" s="32">
        <f t="shared" si="12"/>
        <v>51</v>
      </c>
      <c r="K246" s="32">
        <f t="shared" si="13"/>
        <v>0</v>
      </c>
      <c r="L246" s="32">
        <f t="shared" si="14"/>
        <v>51</v>
      </c>
      <c r="M246" s="93">
        <f t="shared" si="15"/>
        <v>0</v>
      </c>
    </row>
    <row r="247" spans="1:13" s="59" customFormat="1" ht="409.5" x14ac:dyDescent="0.4">
      <c r="A247" s="16" t="s">
        <v>193</v>
      </c>
      <c r="B247" s="33"/>
      <c r="C247" s="95" t="s">
        <v>112</v>
      </c>
      <c r="D247" s="52">
        <v>6</v>
      </c>
      <c r="E247" s="60" t="s">
        <v>260</v>
      </c>
      <c r="F247" s="60" t="s">
        <v>361</v>
      </c>
      <c r="G247" s="60" t="s">
        <v>262</v>
      </c>
      <c r="H247" s="52"/>
      <c r="I247" s="33"/>
      <c r="J247" s="32">
        <f t="shared" si="12"/>
        <v>1473</v>
      </c>
      <c r="K247" s="32">
        <f t="shared" si="13"/>
        <v>1810</v>
      </c>
      <c r="L247" s="32">
        <f t="shared" si="14"/>
        <v>3283</v>
      </c>
      <c r="M247" s="94">
        <f t="shared" si="15"/>
        <v>1</v>
      </c>
    </row>
    <row r="248" spans="1:13" s="59" customFormat="1" ht="377" x14ac:dyDescent="0.4">
      <c r="A248" s="16" t="s">
        <v>193</v>
      </c>
      <c r="B248" s="33"/>
      <c r="C248" s="95" t="s">
        <v>112</v>
      </c>
      <c r="D248" s="52">
        <v>7</v>
      </c>
      <c r="E248" s="60" t="s">
        <v>370</v>
      </c>
      <c r="F248" s="60" t="s">
        <v>371</v>
      </c>
      <c r="G248" s="60" t="s">
        <v>372</v>
      </c>
      <c r="H248" s="52"/>
      <c r="I248" s="33"/>
      <c r="J248" s="32">
        <f t="shared" si="12"/>
        <v>566</v>
      </c>
      <c r="K248" s="32">
        <f t="shared" si="13"/>
        <v>416</v>
      </c>
      <c r="L248" s="32">
        <f t="shared" si="14"/>
        <v>982</v>
      </c>
      <c r="M248" s="93">
        <f t="shared" si="15"/>
        <v>0</v>
      </c>
    </row>
    <row r="249" spans="1:13" s="59" customFormat="1" ht="43.5" x14ac:dyDescent="0.4">
      <c r="A249" s="16" t="s">
        <v>193</v>
      </c>
      <c r="B249" s="33"/>
      <c r="C249" s="95" t="s">
        <v>112</v>
      </c>
      <c r="D249" s="52">
        <v>8</v>
      </c>
      <c r="E249" s="60" t="s">
        <v>228</v>
      </c>
      <c r="F249" s="60" t="s">
        <v>229</v>
      </c>
      <c r="G249" s="60"/>
      <c r="H249" s="52"/>
      <c r="I249" s="33"/>
      <c r="J249" s="32">
        <f t="shared" si="12"/>
        <v>24</v>
      </c>
      <c r="K249" s="32">
        <f t="shared" si="13"/>
        <v>0</v>
      </c>
      <c r="L249" s="32">
        <f t="shared" si="14"/>
        <v>24</v>
      </c>
      <c r="M249" s="93">
        <f t="shared" si="15"/>
        <v>0</v>
      </c>
    </row>
    <row r="250" spans="1:13" s="59" customFormat="1" ht="15" x14ac:dyDescent="0.4">
      <c r="A250" s="55"/>
      <c r="B250" s="49" t="s">
        <v>113</v>
      </c>
      <c r="C250" s="49" t="s">
        <v>367</v>
      </c>
      <c r="D250" s="57"/>
      <c r="E250" s="56"/>
      <c r="F250" s="56"/>
      <c r="G250" s="56"/>
      <c r="H250" s="57"/>
      <c r="I250" s="58"/>
      <c r="J250" s="32">
        <f t="shared" si="12"/>
        <v>0</v>
      </c>
      <c r="K250" s="32">
        <f t="shared" si="13"/>
        <v>0</v>
      </c>
      <c r="L250" s="32">
        <f t="shared" si="14"/>
        <v>0</v>
      </c>
      <c r="M250" s="93">
        <f t="shared" si="15"/>
        <v>0</v>
      </c>
    </row>
    <row r="251" spans="1:13" s="59" customFormat="1" ht="101.5" x14ac:dyDescent="0.4">
      <c r="A251" s="16" t="s">
        <v>193</v>
      </c>
      <c r="B251" s="33"/>
      <c r="C251" s="95" t="s">
        <v>114</v>
      </c>
      <c r="D251" s="52">
        <v>1</v>
      </c>
      <c r="E251" s="60" t="s">
        <v>238</v>
      </c>
      <c r="F251" s="60" t="s">
        <v>239</v>
      </c>
      <c r="G251" s="60" t="s">
        <v>240</v>
      </c>
      <c r="H251" s="33" t="s">
        <v>220</v>
      </c>
      <c r="I251" s="33" t="s">
        <v>309</v>
      </c>
      <c r="J251" s="32">
        <f t="shared" si="12"/>
        <v>86</v>
      </c>
      <c r="K251" s="32">
        <f t="shared" si="13"/>
        <v>84</v>
      </c>
      <c r="L251" s="32">
        <f t="shared" si="14"/>
        <v>170</v>
      </c>
      <c r="M251" s="93">
        <f t="shared" si="15"/>
        <v>0</v>
      </c>
    </row>
    <row r="252" spans="1:13" s="59" customFormat="1" ht="72.5" x14ac:dyDescent="0.4">
      <c r="A252" s="16" t="s">
        <v>193</v>
      </c>
      <c r="B252" s="33"/>
      <c r="C252" s="95" t="s">
        <v>114</v>
      </c>
      <c r="D252" s="52">
        <v>2</v>
      </c>
      <c r="E252" s="60" t="s">
        <v>243</v>
      </c>
      <c r="F252" s="60" t="s">
        <v>218</v>
      </c>
      <c r="G252" s="60"/>
      <c r="H252" s="33"/>
      <c r="I252" s="33"/>
      <c r="J252" s="32">
        <f t="shared" si="12"/>
        <v>168</v>
      </c>
      <c r="K252" s="32">
        <f t="shared" si="13"/>
        <v>0</v>
      </c>
      <c r="L252" s="32">
        <f t="shared" si="14"/>
        <v>168</v>
      </c>
      <c r="M252" s="93">
        <f t="shared" si="15"/>
        <v>0</v>
      </c>
    </row>
    <row r="253" spans="1:13" s="59" customFormat="1" ht="217.5" x14ac:dyDescent="0.4">
      <c r="A253" s="16" t="s">
        <v>193</v>
      </c>
      <c r="B253" s="33"/>
      <c r="C253" s="95" t="s">
        <v>114</v>
      </c>
      <c r="D253" s="52">
        <v>3</v>
      </c>
      <c r="E253" s="60" t="s">
        <v>222</v>
      </c>
      <c r="F253" s="60" t="s">
        <v>373</v>
      </c>
      <c r="G253" s="60"/>
      <c r="H253" s="33"/>
      <c r="I253" s="33"/>
      <c r="J253" s="32">
        <f t="shared" si="12"/>
        <v>410</v>
      </c>
      <c r="K253" s="32">
        <f t="shared" si="13"/>
        <v>0</v>
      </c>
      <c r="L253" s="32">
        <f t="shared" si="14"/>
        <v>410</v>
      </c>
      <c r="M253" s="93">
        <f t="shared" si="15"/>
        <v>0</v>
      </c>
    </row>
    <row r="254" spans="1:13" s="59" customFormat="1" ht="58" x14ac:dyDescent="0.4">
      <c r="A254" s="16" t="s">
        <v>193</v>
      </c>
      <c r="B254" s="33"/>
      <c r="C254" s="95" t="s">
        <v>114</v>
      </c>
      <c r="D254" s="52">
        <v>4</v>
      </c>
      <c r="E254" s="60" t="s">
        <v>245</v>
      </c>
      <c r="F254" s="60" t="s">
        <v>246</v>
      </c>
      <c r="G254" s="60" t="s">
        <v>247</v>
      </c>
      <c r="H254" s="52"/>
      <c r="I254" s="33"/>
      <c r="J254" s="32">
        <f t="shared" si="12"/>
        <v>44</v>
      </c>
      <c r="K254" s="32">
        <f t="shared" si="13"/>
        <v>39</v>
      </c>
      <c r="L254" s="32">
        <f t="shared" si="14"/>
        <v>83</v>
      </c>
      <c r="M254" s="93">
        <f t="shared" si="15"/>
        <v>0</v>
      </c>
    </row>
    <row r="255" spans="1:13" s="59" customFormat="1" ht="43.5" x14ac:dyDescent="0.4">
      <c r="A255" s="16" t="s">
        <v>193</v>
      </c>
      <c r="B255" s="33"/>
      <c r="C255" s="95" t="s">
        <v>114</v>
      </c>
      <c r="D255" s="52">
        <v>5</v>
      </c>
      <c r="E255" s="60" t="s">
        <v>248</v>
      </c>
      <c r="F255" s="60" t="s">
        <v>249</v>
      </c>
      <c r="G255" s="60"/>
      <c r="H255" s="52"/>
      <c r="I255" s="33"/>
      <c r="J255" s="32">
        <f t="shared" si="12"/>
        <v>50</v>
      </c>
      <c r="K255" s="32">
        <f t="shared" si="13"/>
        <v>0</v>
      </c>
      <c r="L255" s="32">
        <f t="shared" si="14"/>
        <v>50</v>
      </c>
      <c r="M255" s="93">
        <f t="shared" si="15"/>
        <v>0</v>
      </c>
    </row>
    <row r="256" spans="1:13" s="59" customFormat="1" ht="409.5" x14ac:dyDescent="0.4">
      <c r="A256" s="16" t="s">
        <v>193</v>
      </c>
      <c r="B256" s="33"/>
      <c r="C256" s="95" t="s">
        <v>114</v>
      </c>
      <c r="D256" s="52">
        <v>6</v>
      </c>
      <c r="E256" s="60" t="s">
        <v>250</v>
      </c>
      <c r="F256" s="60" t="s">
        <v>251</v>
      </c>
      <c r="G256" s="60" t="s">
        <v>252</v>
      </c>
      <c r="H256" s="52"/>
      <c r="I256" s="33"/>
      <c r="J256" s="32">
        <f t="shared" si="12"/>
        <v>1474</v>
      </c>
      <c r="K256" s="32">
        <f t="shared" si="13"/>
        <v>1044</v>
      </c>
      <c r="L256" s="32">
        <f t="shared" si="14"/>
        <v>2518</v>
      </c>
      <c r="M256" s="94">
        <f t="shared" si="15"/>
        <v>1</v>
      </c>
    </row>
    <row r="257" spans="1:13" s="59" customFormat="1" ht="377" x14ac:dyDescent="0.4">
      <c r="A257" s="16" t="s">
        <v>193</v>
      </c>
      <c r="B257" s="33"/>
      <c r="C257" s="95" t="s">
        <v>114</v>
      </c>
      <c r="D257" s="52">
        <v>7</v>
      </c>
      <c r="E257" s="60" t="s">
        <v>370</v>
      </c>
      <c r="F257" s="60" t="s">
        <v>371</v>
      </c>
      <c r="G257" s="60" t="s">
        <v>372</v>
      </c>
      <c r="H257" s="52"/>
      <c r="I257" s="33"/>
      <c r="J257" s="32">
        <f t="shared" si="12"/>
        <v>566</v>
      </c>
      <c r="K257" s="32">
        <f t="shared" si="13"/>
        <v>416</v>
      </c>
      <c r="L257" s="32">
        <f t="shared" si="14"/>
        <v>982</v>
      </c>
      <c r="M257" s="93">
        <f t="shared" si="15"/>
        <v>0</v>
      </c>
    </row>
    <row r="258" spans="1:13" s="59" customFormat="1" ht="43.5" x14ac:dyDescent="0.4">
      <c r="A258" s="16" t="s">
        <v>193</v>
      </c>
      <c r="B258" s="33"/>
      <c r="C258" s="95" t="s">
        <v>114</v>
      </c>
      <c r="D258" s="52">
        <v>8</v>
      </c>
      <c r="E258" s="60" t="s">
        <v>228</v>
      </c>
      <c r="F258" s="60" t="s">
        <v>229</v>
      </c>
      <c r="G258" s="60"/>
      <c r="H258" s="52"/>
      <c r="I258" s="33"/>
      <c r="J258" s="32">
        <f t="shared" si="12"/>
        <v>24</v>
      </c>
      <c r="K258" s="32">
        <f t="shared" si="13"/>
        <v>0</v>
      </c>
      <c r="L258" s="32">
        <f t="shared" si="14"/>
        <v>24</v>
      </c>
      <c r="M258" s="93">
        <f t="shared" si="15"/>
        <v>0</v>
      </c>
    </row>
    <row r="259" spans="1:13" s="59" customFormat="1" ht="29" x14ac:dyDescent="0.4">
      <c r="A259" s="55"/>
      <c r="B259" s="49" t="s">
        <v>115</v>
      </c>
      <c r="C259" s="49" t="s">
        <v>374</v>
      </c>
      <c r="D259" s="57"/>
      <c r="E259" s="56"/>
      <c r="F259" s="56"/>
      <c r="G259" s="56"/>
      <c r="H259" s="57"/>
      <c r="I259" s="58"/>
      <c r="J259" s="32">
        <f t="shared" si="12"/>
        <v>0</v>
      </c>
      <c r="K259" s="32">
        <f t="shared" si="13"/>
        <v>0</v>
      </c>
      <c r="L259" s="32">
        <f t="shared" si="14"/>
        <v>0</v>
      </c>
      <c r="M259" s="93">
        <f t="shared" si="15"/>
        <v>0</v>
      </c>
    </row>
    <row r="260" spans="1:13" s="59" customFormat="1" ht="101.5" x14ac:dyDescent="0.4">
      <c r="A260" s="16" t="s">
        <v>193</v>
      </c>
      <c r="B260" s="33"/>
      <c r="C260" s="95" t="s">
        <v>116</v>
      </c>
      <c r="D260" s="52">
        <v>1</v>
      </c>
      <c r="E260" s="60" t="s">
        <v>238</v>
      </c>
      <c r="F260" s="60" t="s">
        <v>239</v>
      </c>
      <c r="G260" s="60" t="s">
        <v>264</v>
      </c>
      <c r="H260" s="33" t="s">
        <v>220</v>
      </c>
      <c r="I260" s="33" t="s">
        <v>309</v>
      </c>
      <c r="J260" s="32">
        <f t="shared" si="12"/>
        <v>86</v>
      </c>
      <c r="K260" s="32">
        <f t="shared" si="13"/>
        <v>85</v>
      </c>
      <c r="L260" s="32">
        <f t="shared" si="14"/>
        <v>171</v>
      </c>
      <c r="M260" s="93">
        <f t="shared" si="15"/>
        <v>0</v>
      </c>
    </row>
    <row r="261" spans="1:13" s="59" customFormat="1" ht="72.5" x14ac:dyDescent="0.4">
      <c r="A261" s="16" t="s">
        <v>193</v>
      </c>
      <c r="B261" s="33"/>
      <c r="C261" s="95" t="s">
        <v>116</v>
      </c>
      <c r="D261" s="52">
        <v>2</v>
      </c>
      <c r="E261" s="60" t="s">
        <v>243</v>
      </c>
      <c r="F261" s="60" t="s">
        <v>218</v>
      </c>
      <c r="G261" s="60"/>
      <c r="H261" s="33"/>
      <c r="I261" s="33"/>
      <c r="J261" s="32">
        <f t="shared" si="12"/>
        <v>168</v>
      </c>
      <c r="K261" s="32">
        <f t="shared" si="13"/>
        <v>0</v>
      </c>
      <c r="L261" s="32">
        <f t="shared" si="14"/>
        <v>168</v>
      </c>
      <c r="M261" s="93">
        <f t="shared" si="15"/>
        <v>0</v>
      </c>
    </row>
    <row r="262" spans="1:13" s="59" customFormat="1" ht="72.5" x14ac:dyDescent="0.4">
      <c r="A262" s="16" t="s">
        <v>193</v>
      </c>
      <c r="B262" s="33"/>
      <c r="C262" s="95" t="s">
        <v>116</v>
      </c>
      <c r="D262" s="52">
        <v>3</v>
      </c>
      <c r="E262" s="60" t="s">
        <v>222</v>
      </c>
      <c r="F262" s="60" t="s">
        <v>223</v>
      </c>
      <c r="G262" s="60"/>
      <c r="H262" s="33"/>
      <c r="I262" s="33"/>
      <c r="J262" s="32">
        <f t="shared" si="12"/>
        <v>91</v>
      </c>
      <c r="K262" s="32">
        <f t="shared" si="13"/>
        <v>0</v>
      </c>
      <c r="L262" s="32">
        <f t="shared" si="14"/>
        <v>91</v>
      </c>
      <c r="M262" s="93">
        <f t="shared" si="15"/>
        <v>0</v>
      </c>
    </row>
    <row r="263" spans="1:13" s="32" customFormat="1" ht="391.5" x14ac:dyDescent="0.4">
      <c r="A263" s="16" t="s">
        <v>193</v>
      </c>
      <c r="B263" s="33"/>
      <c r="C263" s="95" t="s">
        <v>116</v>
      </c>
      <c r="D263" s="52">
        <v>4</v>
      </c>
      <c r="E263" s="60" t="s">
        <v>256</v>
      </c>
      <c r="F263" s="60" t="s">
        <v>368</v>
      </c>
      <c r="G263" s="60" t="s">
        <v>338</v>
      </c>
      <c r="H263" s="52"/>
      <c r="I263" s="33"/>
      <c r="J263" s="32">
        <f t="shared" si="12"/>
        <v>1011</v>
      </c>
      <c r="K263" s="32">
        <f t="shared" si="13"/>
        <v>27</v>
      </c>
      <c r="L263" s="32">
        <f t="shared" si="14"/>
        <v>1038</v>
      </c>
      <c r="M263" s="94">
        <f t="shared" si="15"/>
        <v>1</v>
      </c>
    </row>
    <row r="264" spans="1:13" s="32" customFormat="1" ht="174" x14ac:dyDescent="0.4">
      <c r="A264" s="16" t="s">
        <v>193</v>
      </c>
      <c r="B264" s="33"/>
      <c r="C264" s="95" t="s">
        <v>116</v>
      </c>
      <c r="D264" s="52">
        <v>5</v>
      </c>
      <c r="E264" s="60" t="s">
        <v>375</v>
      </c>
      <c r="F264" s="60" t="s">
        <v>259</v>
      </c>
      <c r="G264" s="60"/>
      <c r="H264" s="52"/>
      <c r="I264" s="33"/>
      <c r="J264" s="32">
        <f t="shared" si="12"/>
        <v>51</v>
      </c>
      <c r="K264" s="32">
        <f t="shared" si="13"/>
        <v>0</v>
      </c>
      <c r="L264" s="32">
        <f t="shared" si="14"/>
        <v>51</v>
      </c>
      <c r="M264" s="93">
        <f t="shared" si="15"/>
        <v>0</v>
      </c>
    </row>
    <row r="265" spans="1:13" s="59" customFormat="1" ht="409.5" customHeight="1" x14ac:dyDescent="0.4">
      <c r="A265" s="16" t="s">
        <v>193</v>
      </c>
      <c r="B265" s="33"/>
      <c r="C265" s="95" t="s">
        <v>116</v>
      </c>
      <c r="D265" s="52">
        <v>6</v>
      </c>
      <c r="E265" s="60" t="s">
        <v>260</v>
      </c>
      <c r="F265" s="60" t="s">
        <v>376</v>
      </c>
      <c r="G265" s="60" t="s">
        <v>262</v>
      </c>
      <c r="H265" s="52"/>
      <c r="I265" s="33"/>
      <c r="J265" s="32">
        <f t="shared" si="12"/>
        <v>1472</v>
      </c>
      <c r="K265" s="32">
        <f t="shared" si="13"/>
        <v>1810</v>
      </c>
      <c r="L265" s="32">
        <f t="shared" si="14"/>
        <v>3282</v>
      </c>
      <c r="M265" s="94">
        <f t="shared" si="15"/>
        <v>1</v>
      </c>
    </row>
    <row r="266" spans="1:13" s="59" customFormat="1" ht="265.5" customHeight="1" x14ac:dyDescent="0.4">
      <c r="A266" s="16" t="s">
        <v>193</v>
      </c>
      <c r="B266" s="33"/>
      <c r="C266" s="95" t="s">
        <v>116</v>
      </c>
      <c r="D266" s="52">
        <v>7</v>
      </c>
      <c r="E266" s="60" t="s">
        <v>377</v>
      </c>
      <c r="F266" s="60" t="s">
        <v>378</v>
      </c>
      <c r="G266" s="60" t="s">
        <v>379</v>
      </c>
      <c r="H266" s="52"/>
      <c r="I266" s="33"/>
      <c r="J266" s="32">
        <f t="shared" si="12"/>
        <v>391</v>
      </c>
      <c r="K266" s="32">
        <f t="shared" si="13"/>
        <v>209</v>
      </c>
      <c r="L266" s="32">
        <f t="shared" si="14"/>
        <v>600</v>
      </c>
      <c r="M266" s="93">
        <f t="shared" si="15"/>
        <v>0</v>
      </c>
    </row>
    <row r="267" spans="1:13" s="59" customFormat="1" ht="167.25" customHeight="1" x14ac:dyDescent="0.4">
      <c r="A267" s="16" t="s">
        <v>193</v>
      </c>
      <c r="B267" s="33"/>
      <c r="C267" s="95" t="s">
        <v>116</v>
      </c>
      <c r="D267" s="52">
        <v>8</v>
      </c>
      <c r="E267" s="60" t="s">
        <v>380</v>
      </c>
      <c r="F267" s="60" t="s">
        <v>381</v>
      </c>
      <c r="G267" s="31"/>
      <c r="H267" s="52"/>
      <c r="I267" s="33"/>
      <c r="J267" s="32">
        <f t="shared" si="12"/>
        <v>148</v>
      </c>
      <c r="K267" s="32">
        <f t="shared" si="13"/>
        <v>0</v>
      </c>
      <c r="L267" s="32">
        <f t="shared" si="14"/>
        <v>148</v>
      </c>
      <c r="M267" s="93">
        <f t="shared" si="15"/>
        <v>0</v>
      </c>
    </row>
    <row r="268" spans="1:13" s="59" customFormat="1" ht="268.5" customHeight="1" x14ac:dyDescent="0.4">
      <c r="A268" s="16" t="s">
        <v>193</v>
      </c>
      <c r="B268" s="33"/>
      <c r="C268" s="95" t="s">
        <v>116</v>
      </c>
      <c r="D268" s="52">
        <v>9</v>
      </c>
      <c r="E268" s="60" t="s">
        <v>382</v>
      </c>
      <c r="F268" s="60" t="s">
        <v>383</v>
      </c>
      <c r="G268" s="60" t="s">
        <v>384</v>
      </c>
      <c r="H268" s="52"/>
      <c r="I268" s="33"/>
      <c r="J268" s="32">
        <f t="shared" si="12"/>
        <v>451</v>
      </c>
      <c r="K268" s="32">
        <f t="shared" si="13"/>
        <v>87</v>
      </c>
      <c r="L268" s="32">
        <f t="shared" si="14"/>
        <v>538</v>
      </c>
      <c r="M268" s="93">
        <f t="shared" si="15"/>
        <v>0</v>
      </c>
    </row>
    <row r="269" spans="1:13" s="59" customFormat="1" ht="167.25" customHeight="1" x14ac:dyDescent="0.4">
      <c r="A269" s="16" t="s">
        <v>193</v>
      </c>
      <c r="B269" s="33"/>
      <c r="C269" s="95" t="s">
        <v>116</v>
      </c>
      <c r="D269" s="52">
        <v>10</v>
      </c>
      <c r="E269" s="60" t="s">
        <v>385</v>
      </c>
      <c r="F269" s="60" t="s">
        <v>386</v>
      </c>
      <c r="G269" s="60"/>
      <c r="H269" s="52"/>
      <c r="I269" s="33"/>
      <c r="J269" s="32">
        <f t="shared" si="12"/>
        <v>286</v>
      </c>
      <c r="K269" s="32">
        <f t="shared" si="13"/>
        <v>0</v>
      </c>
      <c r="L269" s="32">
        <f t="shared" si="14"/>
        <v>286</v>
      </c>
      <c r="M269" s="93">
        <f t="shared" si="15"/>
        <v>0</v>
      </c>
    </row>
    <row r="270" spans="1:13" s="59" customFormat="1" ht="167.25" customHeight="1" x14ac:dyDescent="0.4">
      <c r="A270" s="16" t="s">
        <v>193</v>
      </c>
      <c r="B270" s="33"/>
      <c r="C270" s="95" t="s">
        <v>116</v>
      </c>
      <c r="D270" s="52">
        <v>11</v>
      </c>
      <c r="E270" s="60" t="s">
        <v>387</v>
      </c>
      <c r="F270" s="60"/>
      <c r="G270" s="60" t="s">
        <v>388</v>
      </c>
      <c r="H270" s="52"/>
      <c r="I270" s="33"/>
      <c r="J270" s="32">
        <f t="shared" si="12"/>
        <v>0</v>
      </c>
      <c r="K270" s="32">
        <f t="shared" si="13"/>
        <v>71</v>
      </c>
      <c r="L270" s="32">
        <f t="shared" si="14"/>
        <v>71</v>
      </c>
      <c r="M270" s="93">
        <f t="shared" si="15"/>
        <v>0</v>
      </c>
    </row>
    <row r="271" spans="1:13" s="59" customFormat="1" ht="167.25" customHeight="1" x14ac:dyDescent="0.4">
      <c r="A271" s="16" t="s">
        <v>193</v>
      </c>
      <c r="B271" s="33"/>
      <c r="C271" s="95" t="s">
        <v>116</v>
      </c>
      <c r="D271" s="52">
        <v>12</v>
      </c>
      <c r="E271" s="60" t="s">
        <v>228</v>
      </c>
      <c r="F271" s="60" t="s">
        <v>229</v>
      </c>
      <c r="G271" s="60"/>
      <c r="H271" s="52"/>
      <c r="I271" s="33"/>
      <c r="J271" s="32">
        <f t="shared" si="12"/>
        <v>24</v>
      </c>
      <c r="K271" s="32">
        <f t="shared" si="13"/>
        <v>0</v>
      </c>
      <c r="L271" s="32">
        <f t="shared" si="14"/>
        <v>24</v>
      </c>
      <c r="M271" s="93">
        <f t="shared" si="15"/>
        <v>0</v>
      </c>
    </row>
    <row r="272" spans="1:13" s="59" customFormat="1" ht="29" x14ac:dyDescent="0.4">
      <c r="A272" s="66"/>
      <c r="B272" s="49" t="s">
        <v>117</v>
      </c>
      <c r="C272" s="66" t="s">
        <v>374</v>
      </c>
      <c r="D272" s="57"/>
      <c r="E272" s="56"/>
      <c r="F272" s="56"/>
      <c r="G272" s="56"/>
      <c r="H272" s="57"/>
      <c r="I272" s="58"/>
      <c r="J272" s="32">
        <f t="shared" si="12"/>
        <v>0</v>
      </c>
      <c r="K272" s="32">
        <f t="shared" si="13"/>
        <v>0</v>
      </c>
      <c r="L272" s="32">
        <f t="shared" si="14"/>
        <v>0</v>
      </c>
      <c r="M272" s="93">
        <f t="shared" si="15"/>
        <v>0</v>
      </c>
    </row>
    <row r="273" spans="1:13" s="59" customFormat="1" ht="101.5" x14ac:dyDescent="0.4">
      <c r="A273" s="16" t="s">
        <v>193</v>
      </c>
      <c r="B273" s="33"/>
      <c r="C273" s="95" t="s">
        <v>118</v>
      </c>
      <c r="D273" s="52">
        <v>1</v>
      </c>
      <c r="E273" s="60" t="s">
        <v>238</v>
      </c>
      <c r="F273" s="60" t="s">
        <v>239</v>
      </c>
      <c r="G273" s="60" t="s">
        <v>240</v>
      </c>
      <c r="H273" s="33" t="s">
        <v>220</v>
      </c>
      <c r="I273" s="33" t="s">
        <v>309</v>
      </c>
      <c r="J273" s="32">
        <f t="shared" si="12"/>
        <v>86</v>
      </c>
      <c r="K273" s="32">
        <f t="shared" si="13"/>
        <v>84</v>
      </c>
      <c r="L273" s="32">
        <f t="shared" si="14"/>
        <v>170</v>
      </c>
      <c r="M273" s="93">
        <f t="shared" si="15"/>
        <v>0</v>
      </c>
    </row>
    <row r="274" spans="1:13" s="59" customFormat="1" ht="72.5" x14ac:dyDescent="0.4">
      <c r="A274" s="16" t="s">
        <v>193</v>
      </c>
      <c r="B274" s="33"/>
      <c r="C274" s="95" t="s">
        <v>118</v>
      </c>
      <c r="D274" s="52">
        <v>2</v>
      </c>
      <c r="E274" s="60" t="s">
        <v>243</v>
      </c>
      <c r="F274" s="60" t="s">
        <v>218</v>
      </c>
      <c r="G274" s="60"/>
      <c r="H274" s="33"/>
      <c r="I274" s="33"/>
      <c r="J274" s="32">
        <f t="shared" si="12"/>
        <v>168</v>
      </c>
      <c r="K274" s="32">
        <f t="shared" si="13"/>
        <v>0</v>
      </c>
      <c r="L274" s="32">
        <f t="shared" si="14"/>
        <v>168</v>
      </c>
      <c r="M274" s="93">
        <f t="shared" si="15"/>
        <v>0</v>
      </c>
    </row>
    <row r="275" spans="1:13" s="59" customFormat="1" ht="203" x14ac:dyDescent="0.4">
      <c r="A275" s="16" t="s">
        <v>193</v>
      </c>
      <c r="B275" s="33"/>
      <c r="C275" s="95" t="s">
        <v>118</v>
      </c>
      <c r="D275" s="52">
        <v>3</v>
      </c>
      <c r="E275" s="60" t="s">
        <v>222</v>
      </c>
      <c r="F275" s="60" t="s">
        <v>389</v>
      </c>
      <c r="G275" s="60"/>
      <c r="H275" s="33"/>
      <c r="I275" s="33"/>
      <c r="J275" s="32">
        <f t="shared" si="12"/>
        <v>410</v>
      </c>
      <c r="K275" s="32">
        <f t="shared" si="13"/>
        <v>0</v>
      </c>
      <c r="L275" s="32">
        <f t="shared" si="14"/>
        <v>410</v>
      </c>
      <c r="M275" s="93">
        <f t="shared" si="15"/>
        <v>0</v>
      </c>
    </row>
    <row r="276" spans="1:13" s="32" customFormat="1" ht="58" x14ac:dyDescent="0.4">
      <c r="A276" s="16" t="s">
        <v>193</v>
      </c>
      <c r="B276" s="33"/>
      <c r="C276" s="95" t="s">
        <v>118</v>
      </c>
      <c r="D276" s="52">
        <v>4</v>
      </c>
      <c r="E276" s="60" t="s">
        <v>245</v>
      </c>
      <c r="F276" s="60" t="s">
        <v>246</v>
      </c>
      <c r="G276" s="60" t="s">
        <v>247</v>
      </c>
      <c r="H276" s="52"/>
      <c r="I276" s="33"/>
      <c r="J276" s="32">
        <f t="shared" si="12"/>
        <v>44</v>
      </c>
      <c r="K276" s="32">
        <f t="shared" si="13"/>
        <v>39</v>
      </c>
      <c r="L276" s="32">
        <f t="shared" si="14"/>
        <v>83</v>
      </c>
      <c r="M276" s="93">
        <f t="shared" si="15"/>
        <v>0</v>
      </c>
    </row>
    <row r="277" spans="1:13" s="32" customFormat="1" ht="43.5" x14ac:dyDescent="0.4">
      <c r="A277" s="16" t="s">
        <v>193</v>
      </c>
      <c r="B277" s="33"/>
      <c r="C277" s="95" t="s">
        <v>118</v>
      </c>
      <c r="D277" s="52">
        <v>5</v>
      </c>
      <c r="E277" s="60" t="s">
        <v>248</v>
      </c>
      <c r="F277" s="60" t="s">
        <v>249</v>
      </c>
      <c r="G277" s="60"/>
      <c r="H277" s="52"/>
      <c r="I277" s="33"/>
      <c r="J277" s="32">
        <f t="shared" ref="J277:J340" si="16">+LEN(F277)</f>
        <v>50</v>
      </c>
      <c r="K277" s="32">
        <f t="shared" ref="K277:K340" si="17">+LEN(G277)</f>
        <v>0</v>
      </c>
      <c r="L277" s="32">
        <f t="shared" ref="L277:L340" si="18">+J277+K277</f>
        <v>50</v>
      </c>
      <c r="M277" s="93">
        <f t="shared" ref="M277:M340" si="19">+IF(L277&lt;=1000,0,1)</f>
        <v>0</v>
      </c>
    </row>
    <row r="278" spans="1:13" s="59" customFormat="1" ht="409.5" customHeight="1" x14ac:dyDescent="0.4">
      <c r="A278" s="16" t="s">
        <v>193</v>
      </c>
      <c r="B278" s="33"/>
      <c r="C278" s="95" t="s">
        <v>118</v>
      </c>
      <c r="D278" s="52">
        <v>6</v>
      </c>
      <c r="E278" s="60" t="s">
        <v>250</v>
      </c>
      <c r="F278" s="60" t="s">
        <v>390</v>
      </c>
      <c r="G278" s="60" t="s">
        <v>252</v>
      </c>
      <c r="H278" s="52"/>
      <c r="I278" s="33"/>
      <c r="J278" s="32">
        <f t="shared" si="16"/>
        <v>1474</v>
      </c>
      <c r="K278" s="32">
        <f t="shared" si="17"/>
        <v>1044</v>
      </c>
      <c r="L278" s="32">
        <f t="shared" si="18"/>
        <v>2518</v>
      </c>
      <c r="M278" s="94">
        <f t="shared" si="19"/>
        <v>1</v>
      </c>
    </row>
    <row r="279" spans="1:13" s="59" customFormat="1" ht="265.5" customHeight="1" x14ac:dyDescent="0.4">
      <c r="A279" s="16" t="s">
        <v>193</v>
      </c>
      <c r="B279" s="33"/>
      <c r="C279" s="95" t="s">
        <v>118</v>
      </c>
      <c r="D279" s="52">
        <v>7</v>
      </c>
      <c r="E279" s="60" t="s">
        <v>391</v>
      </c>
      <c r="F279" s="60" t="s">
        <v>378</v>
      </c>
      <c r="G279" s="60" t="s">
        <v>379</v>
      </c>
      <c r="H279" s="52"/>
      <c r="I279" s="33"/>
      <c r="J279" s="32">
        <f t="shared" si="16"/>
        <v>391</v>
      </c>
      <c r="K279" s="32">
        <f t="shared" si="17"/>
        <v>209</v>
      </c>
      <c r="L279" s="32">
        <f t="shared" si="18"/>
        <v>600</v>
      </c>
      <c r="M279" s="93">
        <f t="shared" si="19"/>
        <v>0</v>
      </c>
    </row>
    <row r="280" spans="1:13" s="59" customFormat="1" ht="167.25" customHeight="1" x14ac:dyDescent="0.4">
      <c r="A280" s="16" t="s">
        <v>193</v>
      </c>
      <c r="B280" s="33"/>
      <c r="C280" s="95" t="s">
        <v>118</v>
      </c>
      <c r="D280" s="52">
        <v>8</v>
      </c>
      <c r="E280" s="60" t="s">
        <v>380</v>
      </c>
      <c r="F280" s="60" t="s">
        <v>381</v>
      </c>
      <c r="G280" s="31"/>
      <c r="H280" s="52"/>
      <c r="I280" s="33"/>
      <c r="J280" s="32">
        <f t="shared" si="16"/>
        <v>148</v>
      </c>
      <c r="K280" s="32">
        <f t="shared" si="17"/>
        <v>0</v>
      </c>
      <c r="L280" s="32">
        <f t="shared" si="18"/>
        <v>148</v>
      </c>
      <c r="M280" s="93">
        <f t="shared" si="19"/>
        <v>0</v>
      </c>
    </row>
    <row r="281" spans="1:13" s="59" customFormat="1" ht="268.5" customHeight="1" x14ac:dyDescent="0.4">
      <c r="A281" s="16" t="s">
        <v>193</v>
      </c>
      <c r="B281" s="33"/>
      <c r="C281" s="95" t="s">
        <v>118</v>
      </c>
      <c r="D281" s="52">
        <v>9</v>
      </c>
      <c r="E281" s="60" t="s">
        <v>382</v>
      </c>
      <c r="F281" s="60" t="s">
        <v>383</v>
      </c>
      <c r="G281" s="60" t="s">
        <v>384</v>
      </c>
      <c r="H281" s="52"/>
      <c r="I281" s="33"/>
      <c r="J281" s="32">
        <f t="shared" si="16"/>
        <v>451</v>
      </c>
      <c r="K281" s="32">
        <f t="shared" si="17"/>
        <v>87</v>
      </c>
      <c r="L281" s="32">
        <f t="shared" si="18"/>
        <v>538</v>
      </c>
      <c r="M281" s="93">
        <f t="shared" si="19"/>
        <v>0</v>
      </c>
    </row>
    <row r="282" spans="1:13" s="59" customFormat="1" ht="167.25" customHeight="1" x14ac:dyDescent="0.4">
      <c r="A282" s="16" t="s">
        <v>193</v>
      </c>
      <c r="B282" s="33"/>
      <c r="C282" s="95" t="s">
        <v>118</v>
      </c>
      <c r="D282" s="52">
        <v>10</v>
      </c>
      <c r="E282" s="60" t="s">
        <v>385</v>
      </c>
      <c r="F282" s="60" t="s">
        <v>386</v>
      </c>
      <c r="G282" s="60"/>
      <c r="H282" s="52"/>
      <c r="I282" s="33"/>
      <c r="J282" s="32">
        <f t="shared" si="16"/>
        <v>286</v>
      </c>
      <c r="K282" s="32">
        <f t="shared" si="17"/>
        <v>0</v>
      </c>
      <c r="L282" s="32">
        <f t="shared" si="18"/>
        <v>286</v>
      </c>
      <c r="M282" s="93">
        <f t="shared" si="19"/>
        <v>0</v>
      </c>
    </row>
    <row r="283" spans="1:13" s="59" customFormat="1" ht="167.25" customHeight="1" x14ac:dyDescent="0.4">
      <c r="A283" s="16" t="s">
        <v>193</v>
      </c>
      <c r="B283" s="33"/>
      <c r="C283" s="95" t="s">
        <v>118</v>
      </c>
      <c r="D283" s="52">
        <v>11</v>
      </c>
      <c r="E283" s="60" t="s">
        <v>387</v>
      </c>
      <c r="F283" s="60"/>
      <c r="G283" s="60" t="s">
        <v>392</v>
      </c>
      <c r="H283" s="52"/>
      <c r="I283" s="33"/>
      <c r="J283" s="32">
        <f t="shared" si="16"/>
        <v>0</v>
      </c>
      <c r="K283" s="32">
        <f t="shared" si="17"/>
        <v>83</v>
      </c>
      <c r="L283" s="32">
        <f t="shared" si="18"/>
        <v>83</v>
      </c>
      <c r="M283" s="93">
        <f t="shared" si="19"/>
        <v>0</v>
      </c>
    </row>
    <row r="284" spans="1:13" s="59" customFormat="1" ht="167.25" customHeight="1" x14ac:dyDescent="0.4">
      <c r="A284" s="16" t="s">
        <v>193</v>
      </c>
      <c r="B284" s="33"/>
      <c r="C284" s="95" t="s">
        <v>118</v>
      </c>
      <c r="D284" s="52">
        <v>12</v>
      </c>
      <c r="E284" s="60" t="s">
        <v>228</v>
      </c>
      <c r="F284" s="60" t="s">
        <v>229</v>
      </c>
      <c r="G284" s="60"/>
      <c r="H284" s="52"/>
      <c r="I284" s="33"/>
      <c r="J284" s="32">
        <f t="shared" si="16"/>
        <v>24</v>
      </c>
      <c r="K284" s="32">
        <f t="shared" si="17"/>
        <v>0</v>
      </c>
      <c r="L284" s="32">
        <f t="shared" si="18"/>
        <v>24</v>
      </c>
      <c r="M284" s="93">
        <f t="shared" si="19"/>
        <v>0</v>
      </c>
    </row>
    <row r="285" spans="1:13" s="59" customFormat="1" ht="15" x14ac:dyDescent="0.4">
      <c r="A285" s="65"/>
      <c r="B285" s="49" t="s">
        <v>120</v>
      </c>
      <c r="C285" s="66" t="s">
        <v>393</v>
      </c>
      <c r="D285" s="65"/>
      <c r="E285" s="65"/>
      <c r="F285" s="65"/>
      <c r="G285" s="65"/>
      <c r="H285" s="65"/>
      <c r="I285" s="65"/>
      <c r="J285" s="32">
        <f t="shared" si="16"/>
        <v>0</v>
      </c>
      <c r="K285" s="32">
        <f t="shared" si="17"/>
        <v>0</v>
      </c>
      <c r="L285" s="32">
        <f t="shared" si="18"/>
        <v>0</v>
      </c>
      <c r="M285" s="93">
        <f t="shared" si="19"/>
        <v>0</v>
      </c>
    </row>
    <row r="286" spans="1:13" s="59" customFormat="1" ht="217.5" x14ac:dyDescent="0.4">
      <c r="A286" s="16" t="s">
        <v>193</v>
      </c>
      <c r="B286" s="33"/>
      <c r="C286" s="95" t="s">
        <v>121</v>
      </c>
      <c r="D286" s="52">
        <v>1</v>
      </c>
      <c r="E286" s="60" t="s">
        <v>238</v>
      </c>
      <c r="F286" s="60" t="s">
        <v>239</v>
      </c>
      <c r="G286" s="60" t="s">
        <v>240</v>
      </c>
      <c r="H286" s="33" t="s">
        <v>241</v>
      </c>
      <c r="I286" s="53" t="s">
        <v>394</v>
      </c>
      <c r="J286" s="32">
        <f t="shared" si="16"/>
        <v>86</v>
      </c>
      <c r="K286" s="32">
        <f t="shared" si="17"/>
        <v>84</v>
      </c>
      <c r="L286" s="32">
        <f t="shared" si="18"/>
        <v>170</v>
      </c>
      <c r="M286" s="93">
        <f t="shared" si="19"/>
        <v>0</v>
      </c>
    </row>
    <row r="287" spans="1:13" s="59" customFormat="1" ht="202.5" customHeight="1" x14ac:dyDescent="0.4">
      <c r="A287" s="16" t="s">
        <v>193</v>
      </c>
      <c r="B287" s="33"/>
      <c r="C287" s="95" t="s">
        <v>121</v>
      </c>
      <c r="D287" s="52">
        <v>2</v>
      </c>
      <c r="E287" s="60" t="s">
        <v>243</v>
      </c>
      <c r="F287" s="60" t="s">
        <v>218</v>
      </c>
      <c r="G287" s="60"/>
      <c r="H287" s="64"/>
      <c r="I287" s="64"/>
      <c r="J287" s="32">
        <f t="shared" si="16"/>
        <v>168</v>
      </c>
      <c r="K287" s="32">
        <f t="shared" si="17"/>
        <v>0</v>
      </c>
      <c r="L287" s="32">
        <f t="shared" si="18"/>
        <v>168</v>
      </c>
      <c r="M287" s="93">
        <f t="shared" si="19"/>
        <v>0</v>
      </c>
    </row>
    <row r="288" spans="1:13" s="59" customFormat="1" ht="392.25" customHeight="1" x14ac:dyDescent="0.4">
      <c r="A288" s="16" t="s">
        <v>193</v>
      </c>
      <c r="B288" s="33"/>
      <c r="C288" s="95" t="s">
        <v>121</v>
      </c>
      <c r="D288" s="52">
        <v>3</v>
      </c>
      <c r="E288" s="60" t="s">
        <v>395</v>
      </c>
      <c r="F288" s="60" t="s">
        <v>396</v>
      </c>
      <c r="G288" s="60"/>
      <c r="H288" s="33"/>
      <c r="I288" s="33"/>
      <c r="J288" s="32">
        <f t="shared" si="16"/>
        <v>360</v>
      </c>
      <c r="K288" s="32">
        <f t="shared" si="17"/>
        <v>0</v>
      </c>
      <c r="L288" s="32">
        <f t="shared" si="18"/>
        <v>360</v>
      </c>
      <c r="M288" s="93">
        <f t="shared" si="19"/>
        <v>0</v>
      </c>
    </row>
    <row r="289" spans="1:13" s="59" customFormat="1" ht="304.5" customHeight="1" x14ac:dyDescent="0.4">
      <c r="A289" s="16" t="s">
        <v>193</v>
      </c>
      <c r="B289" s="33"/>
      <c r="C289" s="95" t="s">
        <v>121</v>
      </c>
      <c r="D289" s="52">
        <v>4</v>
      </c>
      <c r="E289" s="60" t="s">
        <v>245</v>
      </c>
      <c r="F289" s="60" t="s">
        <v>246</v>
      </c>
      <c r="G289" s="60" t="s">
        <v>247</v>
      </c>
      <c r="H289" s="52"/>
      <c r="I289" s="33"/>
      <c r="J289" s="32">
        <f t="shared" si="16"/>
        <v>44</v>
      </c>
      <c r="K289" s="32">
        <f t="shared" si="17"/>
        <v>39</v>
      </c>
      <c r="L289" s="32">
        <f t="shared" si="18"/>
        <v>83</v>
      </c>
      <c r="M289" s="93">
        <f t="shared" si="19"/>
        <v>0</v>
      </c>
    </row>
    <row r="290" spans="1:13" s="59" customFormat="1" ht="43.5" x14ac:dyDescent="0.4">
      <c r="A290" s="16" t="s">
        <v>193</v>
      </c>
      <c r="B290" s="33"/>
      <c r="C290" s="95" t="s">
        <v>121</v>
      </c>
      <c r="D290" s="52">
        <v>5</v>
      </c>
      <c r="E290" s="60" t="s">
        <v>248</v>
      </c>
      <c r="F290" s="60" t="s">
        <v>249</v>
      </c>
      <c r="G290" s="60" t="s">
        <v>397</v>
      </c>
      <c r="H290" s="52"/>
      <c r="I290" s="33"/>
      <c r="J290" s="32">
        <f t="shared" si="16"/>
        <v>50</v>
      </c>
      <c r="K290" s="32">
        <f t="shared" si="17"/>
        <v>50</v>
      </c>
      <c r="L290" s="32">
        <f t="shared" si="18"/>
        <v>100</v>
      </c>
      <c r="M290" s="93">
        <f t="shared" si="19"/>
        <v>0</v>
      </c>
    </row>
    <row r="291" spans="1:13" s="59" customFormat="1" ht="237.75" customHeight="1" x14ac:dyDescent="0.4">
      <c r="A291" s="16" t="s">
        <v>193</v>
      </c>
      <c r="B291" s="33"/>
      <c r="C291" s="95" t="s">
        <v>121</v>
      </c>
      <c r="D291" s="52">
        <v>6</v>
      </c>
      <c r="E291" s="60" t="s">
        <v>250</v>
      </c>
      <c r="F291" s="60" t="s">
        <v>398</v>
      </c>
      <c r="G291" s="60" t="s">
        <v>252</v>
      </c>
      <c r="H291" s="60"/>
      <c r="I291" s="33"/>
      <c r="J291" s="32">
        <f t="shared" si="16"/>
        <v>1196</v>
      </c>
      <c r="K291" s="32">
        <f t="shared" si="17"/>
        <v>1044</v>
      </c>
      <c r="L291" s="32">
        <f t="shared" si="18"/>
        <v>2240</v>
      </c>
      <c r="M291" s="94">
        <f t="shared" si="19"/>
        <v>1</v>
      </c>
    </row>
    <row r="292" spans="1:13" s="59" customFormat="1" ht="43.5" x14ac:dyDescent="0.4">
      <c r="A292" s="16" t="s">
        <v>193</v>
      </c>
      <c r="B292" s="33"/>
      <c r="C292" s="95" t="s">
        <v>121</v>
      </c>
      <c r="D292" s="52">
        <v>7</v>
      </c>
      <c r="E292" s="60" t="s">
        <v>228</v>
      </c>
      <c r="F292" s="60" t="s">
        <v>229</v>
      </c>
      <c r="G292" s="60"/>
      <c r="H292" s="52"/>
      <c r="I292" s="33"/>
      <c r="J292" s="32">
        <f t="shared" si="16"/>
        <v>24</v>
      </c>
      <c r="K292" s="32">
        <f t="shared" si="17"/>
        <v>0</v>
      </c>
      <c r="L292" s="32">
        <f t="shared" si="18"/>
        <v>24</v>
      </c>
      <c r="M292" s="93">
        <f t="shared" si="19"/>
        <v>0</v>
      </c>
    </row>
    <row r="293" spans="1:13" s="59" customFormat="1" ht="15" x14ac:dyDescent="0.4">
      <c r="A293" s="49"/>
      <c r="B293" s="49" t="s">
        <v>122</v>
      </c>
      <c r="C293" s="49" t="s">
        <v>399</v>
      </c>
      <c r="D293" s="49"/>
      <c r="E293" s="49"/>
      <c r="F293" s="49"/>
      <c r="G293" s="49"/>
      <c r="H293" s="49"/>
      <c r="I293" s="49"/>
      <c r="J293" s="32">
        <f t="shared" si="16"/>
        <v>0</v>
      </c>
      <c r="K293" s="32">
        <f t="shared" si="17"/>
        <v>0</v>
      </c>
      <c r="L293" s="32">
        <f t="shared" si="18"/>
        <v>0</v>
      </c>
      <c r="M293" s="93">
        <f t="shared" si="19"/>
        <v>0</v>
      </c>
    </row>
    <row r="294" spans="1:13" s="59" customFormat="1" ht="203" x14ac:dyDescent="0.4">
      <c r="A294" s="16" t="s">
        <v>193</v>
      </c>
      <c r="B294" s="33"/>
      <c r="C294" s="95" t="s">
        <v>123</v>
      </c>
      <c r="D294" s="52">
        <v>1</v>
      </c>
      <c r="E294" s="60" t="s">
        <v>238</v>
      </c>
      <c r="F294" s="60" t="s">
        <v>239</v>
      </c>
      <c r="G294" s="60" t="s">
        <v>264</v>
      </c>
      <c r="H294" s="33" t="s">
        <v>220</v>
      </c>
      <c r="I294" s="53" t="s">
        <v>400</v>
      </c>
      <c r="J294" s="32">
        <f t="shared" si="16"/>
        <v>86</v>
      </c>
      <c r="K294" s="32">
        <f t="shared" si="17"/>
        <v>85</v>
      </c>
      <c r="L294" s="32">
        <f t="shared" si="18"/>
        <v>171</v>
      </c>
      <c r="M294" s="93">
        <f t="shared" si="19"/>
        <v>0</v>
      </c>
    </row>
    <row r="295" spans="1:13" s="59" customFormat="1" ht="72.5" x14ac:dyDescent="0.4">
      <c r="A295" s="16" t="s">
        <v>193</v>
      </c>
      <c r="B295" s="33"/>
      <c r="C295" s="95" t="s">
        <v>123</v>
      </c>
      <c r="D295" s="52">
        <v>2</v>
      </c>
      <c r="E295" s="60" t="s">
        <v>243</v>
      </c>
      <c r="F295" s="60" t="s">
        <v>218</v>
      </c>
      <c r="G295" s="60"/>
      <c r="H295" s="33"/>
      <c r="I295" s="33"/>
      <c r="J295" s="32">
        <f t="shared" si="16"/>
        <v>168</v>
      </c>
      <c r="K295" s="32">
        <f t="shared" si="17"/>
        <v>0</v>
      </c>
      <c r="L295" s="32">
        <f t="shared" si="18"/>
        <v>168</v>
      </c>
      <c r="M295" s="93">
        <f t="shared" si="19"/>
        <v>0</v>
      </c>
    </row>
    <row r="296" spans="1:13" s="59" customFormat="1" ht="217.5" x14ac:dyDescent="0.4">
      <c r="A296" s="16" t="s">
        <v>193</v>
      </c>
      <c r="B296" s="33"/>
      <c r="C296" s="95" t="s">
        <v>123</v>
      </c>
      <c r="D296" s="52">
        <v>3</v>
      </c>
      <c r="E296" s="60" t="s">
        <v>395</v>
      </c>
      <c r="F296" s="60" t="s">
        <v>401</v>
      </c>
      <c r="G296" s="60"/>
      <c r="H296" s="64"/>
      <c r="I296" s="64"/>
      <c r="J296" s="32">
        <f t="shared" si="16"/>
        <v>319</v>
      </c>
      <c r="K296" s="32">
        <f t="shared" si="17"/>
        <v>0</v>
      </c>
      <c r="L296" s="32">
        <f t="shared" si="18"/>
        <v>319</v>
      </c>
      <c r="M296" s="93">
        <f t="shared" si="19"/>
        <v>0</v>
      </c>
    </row>
    <row r="297" spans="1:13" s="59" customFormat="1" ht="217.5" x14ac:dyDescent="0.4">
      <c r="A297" s="16" t="s">
        <v>193</v>
      </c>
      <c r="B297" s="33"/>
      <c r="C297" s="95" t="s">
        <v>123</v>
      </c>
      <c r="D297" s="52">
        <v>4</v>
      </c>
      <c r="E297" s="60" t="s">
        <v>256</v>
      </c>
      <c r="F297" s="60" t="s">
        <v>402</v>
      </c>
      <c r="G297" s="60"/>
      <c r="H297" s="52"/>
      <c r="I297" s="33"/>
      <c r="J297" s="32">
        <f t="shared" si="16"/>
        <v>420</v>
      </c>
      <c r="K297" s="32">
        <f t="shared" si="17"/>
        <v>0</v>
      </c>
      <c r="L297" s="32">
        <f t="shared" si="18"/>
        <v>420</v>
      </c>
      <c r="M297" s="93">
        <f t="shared" si="19"/>
        <v>0</v>
      </c>
    </row>
    <row r="298" spans="1:13" s="59" customFormat="1" ht="261" x14ac:dyDescent="0.4">
      <c r="A298" s="16" t="s">
        <v>193</v>
      </c>
      <c r="B298" s="33"/>
      <c r="C298" s="95" t="s">
        <v>123</v>
      </c>
      <c r="D298" s="52">
        <v>5</v>
      </c>
      <c r="E298" s="60" t="s">
        <v>403</v>
      </c>
      <c r="F298" s="60" t="s">
        <v>259</v>
      </c>
      <c r="G298" s="60"/>
      <c r="H298" s="52"/>
      <c r="I298" s="33"/>
      <c r="J298" s="32">
        <f t="shared" si="16"/>
        <v>51</v>
      </c>
      <c r="K298" s="32">
        <f t="shared" si="17"/>
        <v>0</v>
      </c>
      <c r="L298" s="32">
        <f t="shared" si="18"/>
        <v>51</v>
      </c>
      <c r="M298" s="93">
        <f t="shared" si="19"/>
        <v>0</v>
      </c>
    </row>
    <row r="299" spans="1:13" s="59" customFormat="1" ht="409.5" x14ac:dyDescent="0.4">
      <c r="A299" s="16" t="s">
        <v>193</v>
      </c>
      <c r="B299" s="33"/>
      <c r="C299" s="95" t="s">
        <v>123</v>
      </c>
      <c r="D299" s="52">
        <v>6</v>
      </c>
      <c r="E299" s="60" t="s">
        <v>404</v>
      </c>
      <c r="F299" s="60" t="s">
        <v>405</v>
      </c>
      <c r="G299" s="60" t="s">
        <v>406</v>
      </c>
      <c r="H299" s="52"/>
      <c r="I299" s="33"/>
      <c r="J299" s="32">
        <f t="shared" si="16"/>
        <v>1167</v>
      </c>
      <c r="K299" s="32">
        <f t="shared" si="17"/>
        <v>911</v>
      </c>
      <c r="L299" s="32">
        <f t="shared" si="18"/>
        <v>2078</v>
      </c>
      <c r="M299" s="94">
        <f t="shared" si="19"/>
        <v>1</v>
      </c>
    </row>
    <row r="300" spans="1:13" s="59" customFormat="1" ht="43.5" x14ac:dyDescent="0.4">
      <c r="A300" s="16" t="s">
        <v>193</v>
      </c>
      <c r="B300" s="33"/>
      <c r="C300" s="95" t="s">
        <v>123</v>
      </c>
      <c r="D300" s="52">
        <v>7</v>
      </c>
      <c r="E300" s="60" t="s">
        <v>228</v>
      </c>
      <c r="F300" s="60" t="s">
        <v>229</v>
      </c>
      <c r="G300" s="60"/>
      <c r="H300" s="52"/>
      <c r="I300" s="33"/>
      <c r="J300" s="32">
        <f t="shared" si="16"/>
        <v>24</v>
      </c>
      <c r="K300" s="32">
        <f t="shared" si="17"/>
        <v>0</v>
      </c>
      <c r="L300" s="32">
        <f t="shared" si="18"/>
        <v>24</v>
      </c>
      <c r="M300" s="93">
        <f t="shared" si="19"/>
        <v>0</v>
      </c>
    </row>
    <row r="301" spans="1:13" s="59" customFormat="1" ht="15" x14ac:dyDescent="0.4">
      <c r="A301" s="66"/>
      <c r="B301" s="49" t="s">
        <v>124</v>
      </c>
      <c r="C301" s="66" t="s">
        <v>407</v>
      </c>
      <c r="D301" s="67"/>
      <c r="E301" s="68"/>
      <c r="F301" s="68"/>
      <c r="G301" s="68"/>
      <c r="H301" s="67"/>
      <c r="I301" s="49"/>
      <c r="J301" s="32">
        <f t="shared" si="16"/>
        <v>0</v>
      </c>
      <c r="K301" s="32">
        <f t="shared" si="17"/>
        <v>0</v>
      </c>
      <c r="L301" s="32">
        <f t="shared" si="18"/>
        <v>0</v>
      </c>
      <c r="M301" s="93">
        <f t="shared" si="19"/>
        <v>0</v>
      </c>
    </row>
    <row r="302" spans="1:13" s="59" customFormat="1" ht="159.5" x14ac:dyDescent="0.4">
      <c r="A302" s="15" t="s">
        <v>193</v>
      </c>
      <c r="B302" s="53"/>
      <c r="C302" s="97" t="s">
        <v>125</v>
      </c>
      <c r="D302" s="74">
        <v>1</v>
      </c>
      <c r="E302" s="75" t="s">
        <v>238</v>
      </c>
      <c r="F302" s="75" t="s">
        <v>239</v>
      </c>
      <c r="G302" s="75" t="s">
        <v>240</v>
      </c>
      <c r="H302" s="53" t="s">
        <v>220</v>
      </c>
      <c r="I302" s="53" t="s">
        <v>408</v>
      </c>
      <c r="J302" s="32">
        <f t="shared" si="16"/>
        <v>86</v>
      </c>
      <c r="K302" s="32">
        <f t="shared" si="17"/>
        <v>84</v>
      </c>
      <c r="L302" s="32">
        <f t="shared" si="18"/>
        <v>170</v>
      </c>
      <c r="M302" s="93">
        <f t="shared" si="19"/>
        <v>0</v>
      </c>
    </row>
    <row r="303" spans="1:13" s="59" customFormat="1" ht="72.5" x14ac:dyDescent="0.4">
      <c r="A303" s="15" t="s">
        <v>193</v>
      </c>
      <c r="B303" s="53"/>
      <c r="C303" s="97" t="s">
        <v>125</v>
      </c>
      <c r="D303" s="74">
        <v>2</v>
      </c>
      <c r="E303" s="75" t="s">
        <v>243</v>
      </c>
      <c r="F303" s="75" t="s">
        <v>409</v>
      </c>
      <c r="G303" s="75"/>
      <c r="H303" s="53"/>
      <c r="I303" s="53"/>
      <c r="J303" s="32">
        <f t="shared" si="16"/>
        <v>169</v>
      </c>
      <c r="K303" s="32">
        <f t="shared" si="17"/>
        <v>0</v>
      </c>
      <c r="L303" s="32">
        <f t="shared" si="18"/>
        <v>169</v>
      </c>
      <c r="M303" s="93">
        <f t="shared" si="19"/>
        <v>0</v>
      </c>
    </row>
    <row r="304" spans="1:13" s="59" customFormat="1" ht="72.5" x14ac:dyDescent="0.4">
      <c r="A304" s="15" t="s">
        <v>193</v>
      </c>
      <c r="B304" s="53"/>
      <c r="C304" s="97" t="s">
        <v>125</v>
      </c>
      <c r="D304" s="74">
        <v>3</v>
      </c>
      <c r="E304" s="75" t="s">
        <v>395</v>
      </c>
      <c r="F304" s="75" t="s">
        <v>223</v>
      </c>
      <c r="G304" s="75"/>
      <c r="H304" s="53"/>
      <c r="I304" s="53"/>
      <c r="J304" s="32">
        <f t="shared" si="16"/>
        <v>91</v>
      </c>
      <c r="K304" s="32">
        <f t="shared" si="17"/>
        <v>0</v>
      </c>
      <c r="L304" s="32">
        <f t="shared" si="18"/>
        <v>91</v>
      </c>
      <c r="M304" s="93">
        <f t="shared" si="19"/>
        <v>0</v>
      </c>
    </row>
    <row r="305" spans="1:13" s="59" customFormat="1" ht="58" x14ac:dyDescent="0.4">
      <c r="A305" s="15" t="s">
        <v>193</v>
      </c>
      <c r="B305" s="53"/>
      <c r="C305" s="97" t="s">
        <v>125</v>
      </c>
      <c r="D305" s="74">
        <v>4</v>
      </c>
      <c r="E305" s="75" t="s">
        <v>245</v>
      </c>
      <c r="F305" s="75" t="s">
        <v>246</v>
      </c>
      <c r="G305" s="75" t="s">
        <v>247</v>
      </c>
      <c r="H305" s="74"/>
      <c r="I305" s="53"/>
      <c r="J305" s="32">
        <f t="shared" si="16"/>
        <v>44</v>
      </c>
      <c r="K305" s="32">
        <f t="shared" si="17"/>
        <v>39</v>
      </c>
      <c r="L305" s="32">
        <f t="shared" si="18"/>
        <v>83</v>
      </c>
      <c r="M305" s="93">
        <f t="shared" si="19"/>
        <v>0</v>
      </c>
    </row>
    <row r="306" spans="1:13" s="59" customFormat="1" ht="43.5" x14ac:dyDescent="0.4">
      <c r="A306" s="15" t="s">
        <v>193</v>
      </c>
      <c r="B306" s="53"/>
      <c r="C306" s="97" t="s">
        <v>125</v>
      </c>
      <c r="D306" s="74">
        <v>5</v>
      </c>
      <c r="E306" s="75" t="s">
        <v>248</v>
      </c>
      <c r="F306" s="75" t="s">
        <v>249</v>
      </c>
      <c r="G306" s="75" t="s">
        <v>397</v>
      </c>
      <c r="H306" s="74"/>
      <c r="I306" s="53"/>
      <c r="J306" s="32">
        <f t="shared" si="16"/>
        <v>50</v>
      </c>
      <c r="K306" s="32">
        <f t="shared" si="17"/>
        <v>50</v>
      </c>
      <c r="L306" s="32">
        <f t="shared" si="18"/>
        <v>100</v>
      </c>
      <c r="M306" s="93">
        <f t="shared" si="19"/>
        <v>0</v>
      </c>
    </row>
    <row r="307" spans="1:13" s="59" customFormat="1" ht="409.5" x14ac:dyDescent="0.4">
      <c r="A307" s="15" t="s">
        <v>193</v>
      </c>
      <c r="B307" s="53"/>
      <c r="C307" s="97" t="s">
        <v>125</v>
      </c>
      <c r="D307" s="74">
        <v>6</v>
      </c>
      <c r="E307" s="75" t="s">
        <v>250</v>
      </c>
      <c r="F307" s="75" t="s">
        <v>410</v>
      </c>
      <c r="G307" s="75" t="s">
        <v>252</v>
      </c>
      <c r="H307" s="74"/>
      <c r="I307" s="53"/>
      <c r="J307" s="32">
        <f t="shared" si="16"/>
        <v>1196</v>
      </c>
      <c r="K307" s="32">
        <f t="shared" si="17"/>
        <v>1044</v>
      </c>
      <c r="L307" s="32">
        <f t="shared" si="18"/>
        <v>2240</v>
      </c>
      <c r="M307" s="94">
        <f t="shared" si="19"/>
        <v>1</v>
      </c>
    </row>
    <row r="308" spans="1:13" s="59" customFormat="1" ht="309" customHeight="1" x14ac:dyDescent="0.4">
      <c r="A308" s="16" t="s">
        <v>193</v>
      </c>
      <c r="B308" s="33"/>
      <c r="C308" s="95" t="s">
        <v>125</v>
      </c>
      <c r="D308" s="52">
        <v>7</v>
      </c>
      <c r="E308" s="60" t="s">
        <v>411</v>
      </c>
      <c r="F308" s="41" t="s">
        <v>412</v>
      </c>
      <c r="G308" s="60" t="s">
        <v>413</v>
      </c>
      <c r="H308" s="52"/>
      <c r="I308" s="33"/>
      <c r="J308" s="32">
        <f t="shared" si="16"/>
        <v>57</v>
      </c>
      <c r="K308" s="32">
        <f t="shared" si="17"/>
        <v>266</v>
      </c>
      <c r="L308" s="32">
        <f t="shared" si="18"/>
        <v>323</v>
      </c>
      <c r="M308" s="93">
        <f t="shared" si="19"/>
        <v>0</v>
      </c>
    </row>
    <row r="309" spans="1:13" s="59" customFormat="1" ht="43.5" x14ac:dyDescent="0.4">
      <c r="A309" s="16" t="s">
        <v>193</v>
      </c>
      <c r="B309" s="33"/>
      <c r="C309" s="95" t="s">
        <v>125</v>
      </c>
      <c r="D309" s="52">
        <v>8</v>
      </c>
      <c r="E309" s="60" t="s">
        <v>228</v>
      </c>
      <c r="F309" s="60" t="s">
        <v>229</v>
      </c>
      <c r="G309" s="60"/>
      <c r="H309" s="52"/>
      <c r="I309" s="33"/>
      <c r="J309" s="32">
        <f t="shared" si="16"/>
        <v>24</v>
      </c>
      <c r="K309" s="32">
        <f t="shared" si="17"/>
        <v>0</v>
      </c>
      <c r="L309" s="32">
        <f t="shared" si="18"/>
        <v>24</v>
      </c>
      <c r="M309" s="93">
        <f t="shared" si="19"/>
        <v>0</v>
      </c>
    </row>
    <row r="310" spans="1:13" s="59" customFormat="1" ht="15" x14ac:dyDescent="0.4">
      <c r="A310" s="49"/>
      <c r="B310" s="49" t="s">
        <v>126</v>
      </c>
      <c r="C310" s="49" t="s">
        <v>407</v>
      </c>
      <c r="D310" s="49"/>
      <c r="E310" s="49"/>
      <c r="F310" s="49"/>
      <c r="G310" s="49"/>
      <c r="H310" s="49"/>
      <c r="I310" s="49"/>
      <c r="J310" s="32">
        <f t="shared" si="16"/>
        <v>0</v>
      </c>
      <c r="K310" s="32">
        <f t="shared" si="17"/>
        <v>0</v>
      </c>
      <c r="L310" s="32">
        <f t="shared" si="18"/>
        <v>0</v>
      </c>
      <c r="M310" s="93">
        <f t="shared" si="19"/>
        <v>0</v>
      </c>
    </row>
    <row r="311" spans="1:13" s="59" customFormat="1" ht="188.5" x14ac:dyDescent="0.4">
      <c r="A311" s="16" t="s">
        <v>193</v>
      </c>
      <c r="B311" s="33"/>
      <c r="C311" s="95" t="s">
        <v>127</v>
      </c>
      <c r="D311" s="52">
        <v>1</v>
      </c>
      <c r="E311" s="60" t="s">
        <v>238</v>
      </c>
      <c r="F311" s="60" t="s">
        <v>239</v>
      </c>
      <c r="G311" s="60" t="s">
        <v>264</v>
      </c>
      <c r="H311" s="33" t="s">
        <v>220</v>
      </c>
      <c r="I311" s="33" t="s">
        <v>414</v>
      </c>
      <c r="J311" s="32">
        <f t="shared" si="16"/>
        <v>86</v>
      </c>
      <c r="K311" s="32">
        <f t="shared" si="17"/>
        <v>85</v>
      </c>
      <c r="L311" s="32">
        <f t="shared" si="18"/>
        <v>171</v>
      </c>
      <c r="M311" s="93">
        <f t="shared" si="19"/>
        <v>0</v>
      </c>
    </row>
    <row r="312" spans="1:13" s="59" customFormat="1" ht="72.5" x14ac:dyDescent="0.4">
      <c r="A312" s="16" t="s">
        <v>193</v>
      </c>
      <c r="B312" s="33"/>
      <c r="C312" s="95" t="s">
        <v>127</v>
      </c>
      <c r="D312" s="52">
        <v>2</v>
      </c>
      <c r="E312" s="60" t="s">
        <v>243</v>
      </c>
      <c r="F312" s="60" t="s">
        <v>218</v>
      </c>
      <c r="G312" s="60"/>
      <c r="H312" s="33"/>
      <c r="I312" s="33"/>
      <c r="J312" s="32">
        <f t="shared" si="16"/>
        <v>168</v>
      </c>
      <c r="K312" s="32">
        <f t="shared" si="17"/>
        <v>0</v>
      </c>
      <c r="L312" s="32">
        <f t="shared" si="18"/>
        <v>168</v>
      </c>
      <c r="M312" s="93">
        <f t="shared" si="19"/>
        <v>0</v>
      </c>
    </row>
    <row r="313" spans="1:13" s="59" customFormat="1" ht="217.5" x14ac:dyDescent="0.4">
      <c r="A313" s="16" t="s">
        <v>193</v>
      </c>
      <c r="B313" s="33"/>
      <c r="C313" s="95" t="s">
        <v>127</v>
      </c>
      <c r="D313" s="52">
        <v>3</v>
      </c>
      <c r="E313" s="60" t="s">
        <v>395</v>
      </c>
      <c r="F313" s="60" t="s">
        <v>415</v>
      </c>
      <c r="G313" s="60"/>
      <c r="H313" s="33"/>
      <c r="I313" s="33"/>
      <c r="J313" s="32">
        <f t="shared" si="16"/>
        <v>305</v>
      </c>
      <c r="K313" s="32">
        <f t="shared" si="17"/>
        <v>0</v>
      </c>
      <c r="L313" s="32">
        <f t="shared" si="18"/>
        <v>305</v>
      </c>
      <c r="M313" s="93">
        <f t="shared" si="19"/>
        <v>0</v>
      </c>
    </row>
    <row r="314" spans="1:13" s="59" customFormat="1" ht="217.5" x14ac:dyDescent="0.4">
      <c r="A314" s="16" t="s">
        <v>193</v>
      </c>
      <c r="B314" s="33"/>
      <c r="C314" s="95" t="s">
        <v>127</v>
      </c>
      <c r="D314" s="52">
        <v>4</v>
      </c>
      <c r="E314" s="60" t="s">
        <v>256</v>
      </c>
      <c r="F314" s="60" t="s">
        <v>416</v>
      </c>
      <c r="G314" s="60"/>
      <c r="H314" s="52"/>
      <c r="I314" s="33"/>
      <c r="J314" s="32">
        <f t="shared" si="16"/>
        <v>421</v>
      </c>
      <c r="K314" s="32">
        <f t="shared" si="17"/>
        <v>0</v>
      </c>
      <c r="L314" s="32">
        <f t="shared" si="18"/>
        <v>421</v>
      </c>
      <c r="M314" s="93">
        <f t="shared" si="19"/>
        <v>0</v>
      </c>
    </row>
    <row r="315" spans="1:13" s="59" customFormat="1" ht="261" x14ac:dyDescent="0.4">
      <c r="A315" s="16" t="s">
        <v>193</v>
      </c>
      <c r="B315" s="33"/>
      <c r="C315" s="95" t="s">
        <v>127</v>
      </c>
      <c r="D315" s="52">
        <v>5</v>
      </c>
      <c r="E315" s="60" t="s">
        <v>403</v>
      </c>
      <c r="F315" s="60" t="s">
        <v>259</v>
      </c>
      <c r="G315" s="60"/>
      <c r="H315" s="52"/>
      <c r="I315" s="33"/>
      <c r="J315" s="32">
        <f t="shared" si="16"/>
        <v>51</v>
      </c>
      <c r="K315" s="32">
        <f t="shared" si="17"/>
        <v>0</v>
      </c>
      <c r="L315" s="32">
        <f t="shared" si="18"/>
        <v>51</v>
      </c>
      <c r="M315" s="93">
        <f t="shared" si="19"/>
        <v>0</v>
      </c>
    </row>
    <row r="316" spans="1:13" s="59" customFormat="1" ht="409.5" x14ac:dyDescent="0.4">
      <c r="A316" s="16" t="s">
        <v>193</v>
      </c>
      <c r="B316" s="33"/>
      <c r="C316" s="95" t="s">
        <v>127</v>
      </c>
      <c r="D316" s="52">
        <v>6</v>
      </c>
      <c r="E316" s="60" t="s">
        <v>404</v>
      </c>
      <c r="F316" s="60" t="s">
        <v>417</v>
      </c>
      <c r="G316" s="60" t="s">
        <v>418</v>
      </c>
      <c r="H316" s="52"/>
      <c r="I316" s="33"/>
      <c r="J316" s="32">
        <f t="shared" si="16"/>
        <v>1197</v>
      </c>
      <c r="K316" s="32">
        <f t="shared" si="17"/>
        <v>911</v>
      </c>
      <c r="L316" s="32">
        <f t="shared" si="18"/>
        <v>2108</v>
      </c>
      <c r="M316" s="94">
        <f t="shared" si="19"/>
        <v>1</v>
      </c>
    </row>
    <row r="317" spans="1:13" s="59" customFormat="1" ht="217.5" x14ac:dyDescent="0.4">
      <c r="A317" s="16" t="s">
        <v>193</v>
      </c>
      <c r="B317" s="33"/>
      <c r="C317" s="95" t="s">
        <v>127</v>
      </c>
      <c r="D317" s="52">
        <v>7</v>
      </c>
      <c r="E317" s="60" t="s">
        <v>419</v>
      </c>
      <c r="F317" s="41" t="s">
        <v>412</v>
      </c>
      <c r="G317" s="60" t="s">
        <v>413</v>
      </c>
      <c r="H317" s="52"/>
      <c r="I317" s="33"/>
      <c r="J317" s="32">
        <f t="shared" si="16"/>
        <v>57</v>
      </c>
      <c r="K317" s="32">
        <f t="shared" si="17"/>
        <v>266</v>
      </c>
      <c r="L317" s="32">
        <f t="shared" si="18"/>
        <v>323</v>
      </c>
      <c r="M317" s="93">
        <f t="shared" si="19"/>
        <v>0</v>
      </c>
    </row>
    <row r="318" spans="1:13" s="59" customFormat="1" ht="43.5" x14ac:dyDescent="0.4">
      <c r="A318" s="16" t="s">
        <v>193</v>
      </c>
      <c r="B318" s="33"/>
      <c r="C318" s="95" t="s">
        <v>127</v>
      </c>
      <c r="D318" s="52">
        <v>8</v>
      </c>
      <c r="E318" s="60" t="s">
        <v>228</v>
      </c>
      <c r="F318" s="60" t="s">
        <v>229</v>
      </c>
      <c r="G318" s="60"/>
      <c r="H318" s="52"/>
      <c r="I318" s="33"/>
      <c r="J318" s="32">
        <f t="shared" si="16"/>
        <v>24</v>
      </c>
      <c r="K318" s="32">
        <f t="shared" si="17"/>
        <v>0</v>
      </c>
      <c r="L318" s="32">
        <f t="shared" si="18"/>
        <v>24</v>
      </c>
      <c r="M318" s="93">
        <f t="shared" si="19"/>
        <v>0</v>
      </c>
    </row>
    <row r="319" spans="1:13" s="59" customFormat="1" ht="15" x14ac:dyDescent="0.4">
      <c r="A319" s="66"/>
      <c r="B319" s="49" t="s">
        <v>128</v>
      </c>
      <c r="C319" s="66" t="s">
        <v>420</v>
      </c>
      <c r="D319" s="67"/>
      <c r="E319" s="68"/>
      <c r="F319" s="68"/>
      <c r="G319" s="68"/>
      <c r="H319" s="67"/>
      <c r="I319" s="49"/>
      <c r="J319" s="32">
        <f t="shared" si="16"/>
        <v>0</v>
      </c>
      <c r="K319" s="32">
        <f t="shared" si="17"/>
        <v>0</v>
      </c>
      <c r="L319" s="32">
        <f t="shared" si="18"/>
        <v>0</v>
      </c>
      <c r="M319" s="93">
        <f t="shared" si="19"/>
        <v>0</v>
      </c>
    </row>
    <row r="320" spans="1:13" s="59" customFormat="1" ht="174" x14ac:dyDescent="0.4">
      <c r="A320" s="16" t="s">
        <v>193</v>
      </c>
      <c r="B320" s="33"/>
      <c r="C320" s="96" t="s">
        <v>129</v>
      </c>
      <c r="D320" s="52">
        <v>1</v>
      </c>
      <c r="E320" s="60" t="s">
        <v>238</v>
      </c>
      <c r="F320" s="60" t="s">
        <v>239</v>
      </c>
      <c r="G320" s="60" t="s">
        <v>240</v>
      </c>
      <c r="H320" s="33" t="s">
        <v>220</v>
      </c>
      <c r="I320" s="33" t="s">
        <v>421</v>
      </c>
      <c r="J320" s="32">
        <f t="shared" si="16"/>
        <v>86</v>
      </c>
      <c r="K320" s="32">
        <f t="shared" si="17"/>
        <v>84</v>
      </c>
      <c r="L320" s="32">
        <f t="shared" si="18"/>
        <v>170</v>
      </c>
      <c r="M320" s="93">
        <f t="shared" si="19"/>
        <v>0</v>
      </c>
    </row>
    <row r="321" spans="1:13" s="59" customFormat="1" ht="72.5" x14ac:dyDescent="0.4">
      <c r="A321" s="16" t="s">
        <v>193</v>
      </c>
      <c r="B321" s="33"/>
      <c r="C321" s="96" t="s">
        <v>129</v>
      </c>
      <c r="D321" s="52">
        <v>2</v>
      </c>
      <c r="E321" s="60" t="s">
        <v>243</v>
      </c>
      <c r="F321" s="60" t="s">
        <v>422</v>
      </c>
      <c r="G321" s="60"/>
      <c r="H321" s="33"/>
      <c r="I321" s="33"/>
      <c r="J321" s="32">
        <f t="shared" si="16"/>
        <v>169</v>
      </c>
      <c r="K321" s="32">
        <f t="shared" si="17"/>
        <v>0</v>
      </c>
      <c r="L321" s="32">
        <f t="shared" si="18"/>
        <v>169</v>
      </c>
      <c r="M321" s="93">
        <f t="shared" si="19"/>
        <v>0</v>
      </c>
    </row>
    <row r="322" spans="1:13" s="59" customFormat="1" ht="72.5" x14ac:dyDescent="0.4">
      <c r="A322" s="16" t="s">
        <v>193</v>
      </c>
      <c r="B322" s="33"/>
      <c r="C322" s="96" t="s">
        <v>129</v>
      </c>
      <c r="D322" s="52">
        <v>3</v>
      </c>
      <c r="E322" s="60" t="s">
        <v>395</v>
      </c>
      <c r="F322" s="60" t="s">
        <v>223</v>
      </c>
      <c r="G322" s="60"/>
      <c r="H322" s="33"/>
      <c r="I322" s="33"/>
      <c r="J322" s="32">
        <f t="shared" si="16"/>
        <v>91</v>
      </c>
      <c r="K322" s="32">
        <f t="shared" si="17"/>
        <v>0</v>
      </c>
      <c r="L322" s="32">
        <f t="shared" si="18"/>
        <v>91</v>
      </c>
      <c r="M322" s="93">
        <f t="shared" si="19"/>
        <v>0</v>
      </c>
    </row>
    <row r="323" spans="1:13" s="59" customFormat="1" ht="58" x14ac:dyDescent="0.4">
      <c r="A323" s="16" t="s">
        <v>193</v>
      </c>
      <c r="B323" s="33"/>
      <c r="C323" s="96" t="s">
        <v>129</v>
      </c>
      <c r="D323" s="52">
        <v>4</v>
      </c>
      <c r="E323" s="60" t="s">
        <v>245</v>
      </c>
      <c r="F323" s="60" t="s">
        <v>246</v>
      </c>
      <c r="G323" s="60" t="s">
        <v>247</v>
      </c>
      <c r="H323" s="52"/>
      <c r="I323" s="33"/>
      <c r="J323" s="32">
        <f t="shared" si="16"/>
        <v>44</v>
      </c>
      <c r="K323" s="32">
        <f t="shared" si="17"/>
        <v>39</v>
      </c>
      <c r="L323" s="32">
        <f t="shared" si="18"/>
        <v>83</v>
      </c>
      <c r="M323" s="93">
        <f t="shared" si="19"/>
        <v>0</v>
      </c>
    </row>
    <row r="324" spans="1:13" s="59" customFormat="1" ht="43.5" x14ac:dyDescent="0.4">
      <c r="A324" s="16" t="s">
        <v>193</v>
      </c>
      <c r="B324" s="33"/>
      <c r="C324" s="96" t="s">
        <v>129</v>
      </c>
      <c r="D324" s="52">
        <v>5</v>
      </c>
      <c r="E324" s="60" t="s">
        <v>248</v>
      </c>
      <c r="F324" s="60" t="s">
        <v>249</v>
      </c>
      <c r="G324" s="60" t="s">
        <v>397</v>
      </c>
      <c r="H324" s="52"/>
      <c r="I324" s="33"/>
      <c r="J324" s="32">
        <f t="shared" si="16"/>
        <v>50</v>
      </c>
      <c r="K324" s="32">
        <f t="shared" si="17"/>
        <v>50</v>
      </c>
      <c r="L324" s="32">
        <f t="shared" si="18"/>
        <v>100</v>
      </c>
      <c r="M324" s="93">
        <f t="shared" si="19"/>
        <v>0</v>
      </c>
    </row>
    <row r="325" spans="1:13" s="59" customFormat="1" ht="409.5" customHeight="1" x14ac:dyDescent="0.4">
      <c r="A325" s="16" t="s">
        <v>193</v>
      </c>
      <c r="B325" s="33"/>
      <c r="C325" s="96" t="s">
        <v>129</v>
      </c>
      <c r="D325" s="52">
        <v>6</v>
      </c>
      <c r="E325" s="60" t="s">
        <v>250</v>
      </c>
      <c r="F325" s="60" t="s">
        <v>423</v>
      </c>
      <c r="G325" s="60" t="s">
        <v>252</v>
      </c>
      <c r="H325" s="52"/>
      <c r="I325" s="33"/>
      <c r="J325" s="32">
        <f t="shared" si="16"/>
        <v>1195</v>
      </c>
      <c r="K325" s="32">
        <f t="shared" si="17"/>
        <v>1044</v>
      </c>
      <c r="L325" s="32">
        <f t="shared" si="18"/>
        <v>2239</v>
      </c>
      <c r="M325" s="94">
        <f t="shared" si="19"/>
        <v>1</v>
      </c>
    </row>
    <row r="326" spans="1:13" s="59" customFormat="1" ht="249.75" customHeight="1" x14ac:dyDescent="0.4">
      <c r="A326" s="16" t="s">
        <v>193</v>
      </c>
      <c r="B326" s="33"/>
      <c r="C326" s="96" t="s">
        <v>129</v>
      </c>
      <c r="D326" s="52">
        <v>7</v>
      </c>
      <c r="E326" s="60" t="s">
        <v>424</v>
      </c>
      <c r="F326" s="41" t="s">
        <v>425</v>
      </c>
      <c r="G326" s="60" t="s">
        <v>426</v>
      </c>
      <c r="H326" s="52"/>
      <c r="I326" s="33"/>
      <c r="J326" s="32">
        <f t="shared" si="16"/>
        <v>70</v>
      </c>
      <c r="K326" s="32">
        <f t="shared" si="17"/>
        <v>241</v>
      </c>
      <c r="L326" s="32">
        <f t="shared" si="18"/>
        <v>311</v>
      </c>
      <c r="M326" s="93">
        <f t="shared" si="19"/>
        <v>0</v>
      </c>
    </row>
    <row r="327" spans="1:13" s="59" customFormat="1" ht="43.5" x14ac:dyDescent="0.4">
      <c r="A327" s="16" t="s">
        <v>193</v>
      </c>
      <c r="B327" s="33"/>
      <c r="C327" s="96" t="s">
        <v>129</v>
      </c>
      <c r="D327" s="52">
        <v>8</v>
      </c>
      <c r="E327" s="60" t="s">
        <v>228</v>
      </c>
      <c r="F327" s="60" t="s">
        <v>229</v>
      </c>
      <c r="G327" s="60"/>
      <c r="H327" s="52"/>
      <c r="I327" s="33"/>
      <c r="J327" s="32">
        <f t="shared" si="16"/>
        <v>24</v>
      </c>
      <c r="K327" s="32">
        <f t="shared" si="17"/>
        <v>0</v>
      </c>
      <c r="L327" s="32">
        <f t="shared" si="18"/>
        <v>24</v>
      </c>
      <c r="M327" s="93">
        <f t="shared" si="19"/>
        <v>0</v>
      </c>
    </row>
    <row r="328" spans="1:13" s="59" customFormat="1" ht="15" x14ac:dyDescent="0.4">
      <c r="A328" s="66"/>
      <c r="B328" s="49" t="s">
        <v>130</v>
      </c>
      <c r="C328" s="66" t="s">
        <v>420</v>
      </c>
      <c r="D328" s="67"/>
      <c r="E328" s="68"/>
      <c r="F328" s="68"/>
      <c r="G328" s="68"/>
      <c r="H328" s="67"/>
      <c r="I328" s="49"/>
      <c r="J328" s="32">
        <f t="shared" si="16"/>
        <v>0</v>
      </c>
      <c r="K328" s="32">
        <f t="shared" si="17"/>
        <v>0</v>
      </c>
      <c r="L328" s="32">
        <f t="shared" si="18"/>
        <v>0</v>
      </c>
      <c r="M328" s="93">
        <f t="shared" si="19"/>
        <v>0</v>
      </c>
    </row>
    <row r="329" spans="1:13" s="59" customFormat="1" ht="217.5" x14ac:dyDescent="0.4">
      <c r="A329" s="16" t="s">
        <v>193</v>
      </c>
      <c r="B329" s="33"/>
      <c r="C329" s="96" t="s">
        <v>131</v>
      </c>
      <c r="D329" s="52">
        <v>1</v>
      </c>
      <c r="E329" s="60" t="s">
        <v>238</v>
      </c>
      <c r="F329" s="60" t="s">
        <v>239</v>
      </c>
      <c r="G329" s="60" t="s">
        <v>264</v>
      </c>
      <c r="H329" s="33" t="s">
        <v>220</v>
      </c>
      <c r="I329" s="33" t="s">
        <v>427</v>
      </c>
      <c r="J329" s="32">
        <f t="shared" si="16"/>
        <v>86</v>
      </c>
      <c r="K329" s="32">
        <f t="shared" si="17"/>
        <v>85</v>
      </c>
      <c r="L329" s="32">
        <f t="shared" si="18"/>
        <v>171</v>
      </c>
      <c r="M329" s="93">
        <f t="shared" si="19"/>
        <v>0</v>
      </c>
    </row>
    <row r="330" spans="1:13" s="59" customFormat="1" ht="72.5" x14ac:dyDescent="0.4">
      <c r="A330" s="16" t="s">
        <v>193</v>
      </c>
      <c r="B330" s="33"/>
      <c r="C330" s="96" t="s">
        <v>131</v>
      </c>
      <c r="D330" s="52">
        <v>2</v>
      </c>
      <c r="E330" s="60" t="s">
        <v>243</v>
      </c>
      <c r="F330" s="60" t="s">
        <v>218</v>
      </c>
      <c r="G330" s="60"/>
      <c r="H330" s="33"/>
      <c r="I330" s="33"/>
      <c r="J330" s="32">
        <f t="shared" si="16"/>
        <v>168</v>
      </c>
      <c r="K330" s="32">
        <f t="shared" si="17"/>
        <v>0</v>
      </c>
      <c r="L330" s="32">
        <f t="shared" si="18"/>
        <v>168</v>
      </c>
      <c r="M330" s="93">
        <f t="shared" si="19"/>
        <v>0</v>
      </c>
    </row>
    <row r="331" spans="1:13" s="59" customFormat="1" ht="217.5" x14ac:dyDescent="0.4">
      <c r="A331" s="16" t="s">
        <v>193</v>
      </c>
      <c r="B331" s="33"/>
      <c r="C331" s="96" t="s">
        <v>131</v>
      </c>
      <c r="D331" s="52">
        <v>3</v>
      </c>
      <c r="E331" s="60" t="s">
        <v>395</v>
      </c>
      <c r="F331" s="60" t="s">
        <v>428</v>
      </c>
      <c r="G331" s="60"/>
      <c r="H331" s="33"/>
      <c r="I331" s="33"/>
      <c r="J331" s="32">
        <f t="shared" si="16"/>
        <v>304</v>
      </c>
      <c r="K331" s="32">
        <f t="shared" si="17"/>
        <v>0</v>
      </c>
      <c r="L331" s="32">
        <f t="shared" si="18"/>
        <v>304</v>
      </c>
      <c r="M331" s="93">
        <f t="shared" si="19"/>
        <v>0</v>
      </c>
    </row>
    <row r="332" spans="1:13" s="59" customFormat="1" ht="217.5" x14ac:dyDescent="0.4">
      <c r="A332" s="16" t="s">
        <v>193</v>
      </c>
      <c r="B332" s="33"/>
      <c r="C332" s="96" t="s">
        <v>131</v>
      </c>
      <c r="D332" s="52">
        <v>4</v>
      </c>
      <c r="E332" s="60" t="s">
        <v>256</v>
      </c>
      <c r="F332" s="60" t="s">
        <v>429</v>
      </c>
      <c r="G332" s="60"/>
      <c r="H332" s="52"/>
      <c r="I332" s="33"/>
      <c r="J332" s="32">
        <f t="shared" si="16"/>
        <v>407</v>
      </c>
      <c r="K332" s="32">
        <f t="shared" si="17"/>
        <v>0</v>
      </c>
      <c r="L332" s="32">
        <f t="shared" si="18"/>
        <v>407</v>
      </c>
      <c r="M332" s="93">
        <f t="shared" si="19"/>
        <v>0</v>
      </c>
    </row>
    <row r="333" spans="1:13" s="59" customFormat="1" ht="261" x14ac:dyDescent="0.4">
      <c r="A333" s="16" t="s">
        <v>193</v>
      </c>
      <c r="B333" s="33"/>
      <c r="C333" s="96" t="s">
        <v>131</v>
      </c>
      <c r="D333" s="52">
        <v>5</v>
      </c>
      <c r="E333" s="60" t="s">
        <v>430</v>
      </c>
      <c r="F333" s="60" t="s">
        <v>259</v>
      </c>
      <c r="G333" s="60"/>
      <c r="H333" s="52"/>
      <c r="I333" s="33"/>
      <c r="J333" s="32">
        <f t="shared" si="16"/>
        <v>51</v>
      </c>
      <c r="K333" s="32">
        <f t="shared" si="17"/>
        <v>0</v>
      </c>
      <c r="L333" s="32">
        <f t="shared" si="18"/>
        <v>51</v>
      </c>
      <c r="M333" s="93">
        <f t="shared" si="19"/>
        <v>0</v>
      </c>
    </row>
    <row r="334" spans="1:13" s="59" customFormat="1" ht="409.5" x14ac:dyDescent="0.4">
      <c r="A334" s="16" t="s">
        <v>193</v>
      </c>
      <c r="B334" s="33"/>
      <c r="C334" s="96" t="s">
        <v>131</v>
      </c>
      <c r="D334" s="52">
        <v>6</v>
      </c>
      <c r="E334" s="60" t="s">
        <v>404</v>
      </c>
      <c r="F334" s="60" t="s">
        <v>431</v>
      </c>
      <c r="G334" s="60" t="s">
        <v>418</v>
      </c>
      <c r="H334" s="52"/>
      <c r="I334" s="33"/>
      <c r="J334" s="32">
        <f t="shared" si="16"/>
        <v>1197</v>
      </c>
      <c r="K334" s="32">
        <f t="shared" si="17"/>
        <v>911</v>
      </c>
      <c r="L334" s="32">
        <f t="shared" si="18"/>
        <v>2108</v>
      </c>
      <c r="M334" s="94">
        <f t="shared" si="19"/>
        <v>1</v>
      </c>
    </row>
    <row r="335" spans="1:13" s="59" customFormat="1" ht="174" x14ac:dyDescent="0.4">
      <c r="A335" s="16" t="s">
        <v>193</v>
      </c>
      <c r="B335" s="33"/>
      <c r="C335" s="96" t="s">
        <v>131</v>
      </c>
      <c r="D335" s="52">
        <v>7</v>
      </c>
      <c r="E335" s="60" t="s">
        <v>432</v>
      </c>
      <c r="F335" s="41" t="s">
        <v>425</v>
      </c>
      <c r="G335" s="60" t="s">
        <v>426</v>
      </c>
      <c r="H335" s="52"/>
      <c r="I335" s="33"/>
      <c r="J335" s="32">
        <f t="shared" si="16"/>
        <v>70</v>
      </c>
      <c r="K335" s="32">
        <f t="shared" si="17"/>
        <v>241</v>
      </c>
      <c r="L335" s="32">
        <f t="shared" si="18"/>
        <v>311</v>
      </c>
      <c r="M335" s="93">
        <f t="shared" si="19"/>
        <v>0</v>
      </c>
    </row>
    <row r="336" spans="1:13" s="59" customFormat="1" ht="43.5" x14ac:dyDescent="0.4">
      <c r="A336" s="16" t="s">
        <v>193</v>
      </c>
      <c r="B336" s="33"/>
      <c r="C336" s="96" t="s">
        <v>131</v>
      </c>
      <c r="D336" s="52">
        <v>8</v>
      </c>
      <c r="E336" s="60" t="s">
        <v>228</v>
      </c>
      <c r="F336" s="60" t="s">
        <v>229</v>
      </c>
      <c r="G336" s="60"/>
      <c r="H336" s="52"/>
      <c r="I336" s="33"/>
      <c r="J336" s="32">
        <f t="shared" si="16"/>
        <v>24</v>
      </c>
      <c r="K336" s="32">
        <f t="shared" si="17"/>
        <v>0</v>
      </c>
      <c r="L336" s="32">
        <f t="shared" si="18"/>
        <v>24</v>
      </c>
      <c r="M336" s="93">
        <f t="shared" si="19"/>
        <v>0</v>
      </c>
    </row>
    <row r="337" spans="1:13" s="59" customFormat="1" ht="15" x14ac:dyDescent="0.4">
      <c r="A337" s="66"/>
      <c r="B337" s="49" t="s">
        <v>132</v>
      </c>
      <c r="C337" s="66" t="s">
        <v>288</v>
      </c>
      <c r="D337" s="67"/>
      <c r="E337" s="68"/>
      <c r="F337" s="68"/>
      <c r="G337" s="68"/>
      <c r="H337" s="67"/>
      <c r="I337" s="49"/>
      <c r="J337" s="32">
        <f t="shared" si="16"/>
        <v>0</v>
      </c>
      <c r="K337" s="32">
        <f t="shared" si="17"/>
        <v>0</v>
      </c>
      <c r="L337" s="32">
        <f t="shared" si="18"/>
        <v>0</v>
      </c>
      <c r="M337" s="93">
        <f t="shared" si="19"/>
        <v>0</v>
      </c>
    </row>
    <row r="338" spans="1:13" s="59" customFormat="1" ht="188.5" x14ac:dyDescent="0.4">
      <c r="A338" s="16" t="s">
        <v>193</v>
      </c>
      <c r="B338" s="33"/>
      <c r="C338" s="95" t="s">
        <v>133</v>
      </c>
      <c r="D338" s="52">
        <v>1</v>
      </c>
      <c r="E338" s="60" t="s">
        <v>238</v>
      </c>
      <c r="F338" s="60" t="s">
        <v>239</v>
      </c>
      <c r="G338" s="60" t="s">
        <v>264</v>
      </c>
      <c r="H338" s="33" t="s">
        <v>220</v>
      </c>
      <c r="I338" s="53" t="s">
        <v>433</v>
      </c>
      <c r="J338" s="32">
        <f t="shared" si="16"/>
        <v>86</v>
      </c>
      <c r="K338" s="32">
        <f t="shared" si="17"/>
        <v>85</v>
      </c>
      <c r="L338" s="32">
        <f t="shared" si="18"/>
        <v>171</v>
      </c>
      <c r="M338" s="93">
        <f t="shared" si="19"/>
        <v>0</v>
      </c>
    </row>
    <row r="339" spans="1:13" s="59" customFormat="1" ht="87" x14ac:dyDescent="0.4">
      <c r="A339" s="16" t="s">
        <v>193</v>
      </c>
      <c r="B339" s="33"/>
      <c r="C339" s="95" t="s">
        <v>133</v>
      </c>
      <c r="D339" s="52">
        <v>2</v>
      </c>
      <c r="E339" s="60" t="s">
        <v>243</v>
      </c>
      <c r="F339" s="60" t="s">
        <v>434</v>
      </c>
      <c r="G339" s="60"/>
      <c r="H339" s="33"/>
      <c r="I339" s="33"/>
      <c r="J339" s="32">
        <f t="shared" si="16"/>
        <v>170</v>
      </c>
      <c r="K339" s="32">
        <f t="shared" si="17"/>
        <v>0</v>
      </c>
      <c r="L339" s="32">
        <f t="shared" si="18"/>
        <v>170</v>
      </c>
      <c r="M339" s="93">
        <f t="shared" si="19"/>
        <v>0</v>
      </c>
    </row>
    <row r="340" spans="1:13" s="59" customFormat="1" ht="72.5" x14ac:dyDescent="0.4">
      <c r="A340" s="16" t="s">
        <v>193</v>
      </c>
      <c r="B340" s="33"/>
      <c r="C340" s="95" t="s">
        <v>133</v>
      </c>
      <c r="D340" s="52">
        <v>3</v>
      </c>
      <c r="E340" s="60" t="s">
        <v>395</v>
      </c>
      <c r="F340" s="60" t="s">
        <v>223</v>
      </c>
      <c r="G340" s="60"/>
      <c r="H340" s="33"/>
      <c r="I340" s="33"/>
      <c r="J340" s="32">
        <f t="shared" si="16"/>
        <v>91</v>
      </c>
      <c r="K340" s="32">
        <f t="shared" si="17"/>
        <v>0</v>
      </c>
      <c r="L340" s="32">
        <f t="shared" si="18"/>
        <v>91</v>
      </c>
      <c r="M340" s="93">
        <f t="shared" si="19"/>
        <v>0</v>
      </c>
    </row>
    <row r="341" spans="1:13" s="59" customFormat="1" ht="58" x14ac:dyDescent="0.4">
      <c r="A341" s="16" t="s">
        <v>193</v>
      </c>
      <c r="B341" s="33"/>
      <c r="C341" s="95" t="s">
        <v>133</v>
      </c>
      <c r="D341" s="52">
        <v>4</v>
      </c>
      <c r="E341" s="60" t="s">
        <v>245</v>
      </c>
      <c r="F341" s="60" t="s">
        <v>246</v>
      </c>
      <c r="G341" s="60" t="s">
        <v>247</v>
      </c>
      <c r="H341" s="52"/>
      <c r="I341" s="33"/>
      <c r="J341" s="32">
        <f t="shared" ref="J341:J404" si="20">+LEN(F341)</f>
        <v>44</v>
      </c>
      <c r="K341" s="32">
        <f t="shared" ref="K341:K404" si="21">+LEN(G341)</f>
        <v>39</v>
      </c>
      <c r="L341" s="32">
        <f t="shared" ref="L341:L404" si="22">+J341+K341</f>
        <v>83</v>
      </c>
      <c r="M341" s="93">
        <f t="shared" ref="M341:M404" si="23">+IF(L341&lt;=1000,0,1)</f>
        <v>0</v>
      </c>
    </row>
    <row r="342" spans="1:13" s="59" customFormat="1" ht="43.5" x14ac:dyDescent="0.4">
      <c r="A342" s="16" t="s">
        <v>193</v>
      </c>
      <c r="B342" s="33"/>
      <c r="C342" s="95" t="s">
        <v>133</v>
      </c>
      <c r="D342" s="52">
        <v>5</v>
      </c>
      <c r="E342" s="60" t="s">
        <v>248</v>
      </c>
      <c r="F342" s="60" t="s">
        <v>249</v>
      </c>
      <c r="G342" s="60" t="s">
        <v>397</v>
      </c>
      <c r="H342" s="52"/>
      <c r="I342" s="33"/>
      <c r="J342" s="32">
        <f t="shared" si="20"/>
        <v>50</v>
      </c>
      <c r="K342" s="32">
        <f t="shared" si="21"/>
        <v>50</v>
      </c>
      <c r="L342" s="32">
        <f t="shared" si="22"/>
        <v>100</v>
      </c>
      <c r="M342" s="93">
        <f t="shared" si="23"/>
        <v>0</v>
      </c>
    </row>
    <row r="343" spans="1:13" s="59" customFormat="1" ht="409.5" x14ac:dyDescent="0.4">
      <c r="A343" s="16" t="s">
        <v>193</v>
      </c>
      <c r="B343" s="33"/>
      <c r="C343" s="95" t="s">
        <v>133</v>
      </c>
      <c r="D343" s="52">
        <v>6</v>
      </c>
      <c r="E343" s="60" t="s">
        <v>250</v>
      </c>
      <c r="F343" s="60" t="s">
        <v>435</v>
      </c>
      <c r="G343" s="60" t="s">
        <v>252</v>
      </c>
      <c r="H343" s="52"/>
      <c r="I343" s="33"/>
      <c r="J343" s="32">
        <f t="shared" si="20"/>
        <v>1168</v>
      </c>
      <c r="K343" s="32">
        <f t="shared" si="21"/>
        <v>1044</v>
      </c>
      <c r="L343" s="32">
        <f t="shared" si="22"/>
        <v>2212</v>
      </c>
      <c r="M343" s="94">
        <f t="shared" si="23"/>
        <v>1</v>
      </c>
    </row>
    <row r="344" spans="1:13" s="59" customFormat="1" ht="282" customHeight="1" x14ac:dyDescent="0.4">
      <c r="A344" s="16" t="s">
        <v>193</v>
      </c>
      <c r="B344" s="33"/>
      <c r="C344" s="95" t="s">
        <v>133</v>
      </c>
      <c r="D344" s="52">
        <v>7</v>
      </c>
      <c r="E344" s="60" t="s">
        <v>436</v>
      </c>
      <c r="F344" s="41" t="s">
        <v>437</v>
      </c>
      <c r="G344" s="60"/>
      <c r="H344" s="52"/>
      <c r="I344" s="33"/>
      <c r="J344" s="32">
        <f t="shared" si="20"/>
        <v>411</v>
      </c>
      <c r="K344" s="32">
        <f t="shared" si="21"/>
        <v>0</v>
      </c>
      <c r="L344" s="32">
        <f t="shared" si="22"/>
        <v>411</v>
      </c>
      <c r="M344" s="93">
        <f t="shared" si="23"/>
        <v>0</v>
      </c>
    </row>
    <row r="345" spans="1:13" s="59" customFormat="1" ht="43.5" x14ac:dyDescent="0.4">
      <c r="A345" s="16" t="s">
        <v>193</v>
      </c>
      <c r="B345" s="33"/>
      <c r="C345" s="95" t="s">
        <v>133</v>
      </c>
      <c r="D345" s="52">
        <v>8</v>
      </c>
      <c r="E345" s="60" t="s">
        <v>228</v>
      </c>
      <c r="F345" s="60" t="s">
        <v>229</v>
      </c>
      <c r="G345" s="60"/>
      <c r="H345" s="52"/>
      <c r="I345" s="33"/>
      <c r="J345" s="32">
        <f t="shared" si="20"/>
        <v>24</v>
      </c>
      <c r="K345" s="32">
        <f t="shared" si="21"/>
        <v>0</v>
      </c>
      <c r="L345" s="32">
        <f t="shared" si="22"/>
        <v>24</v>
      </c>
      <c r="M345" s="93">
        <f t="shared" si="23"/>
        <v>0</v>
      </c>
    </row>
    <row r="346" spans="1:13" s="59" customFormat="1" ht="15" x14ac:dyDescent="0.4">
      <c r="A346" s="49"/>
      <c r="B346" s="49" t="s">
        <v>134</v>
      </c>
      <c r="C346" s="49" t="s">
        <v>288</v>
      </c>
      <c r="D346" s="49"/>
      <c r="E346" s="49"/>
      <c r="F346" s="49"/>
      <c r="G346" s="49"/>
      <c r="H346" s="49"/>
      <c r="I346" s="49"/>
      <c r="J346" s="32">
        <f t="shared" si="20"/>
        <v>0</v>
      </c>
      <c r="K346" s="32">
        <f t="shared" si="21"/>
        <v>0</v>
      </c>
      <c r="L346" s="32">
        <f t="shared" si="22"/>
        <v>0</v>
      </c>
      <c r="M346" s="93">
        <f t="shared" si="23"/>
        <v>0</v>
      </c>
    </row>
    <row r="347" spans="1:13" s="59" customFormat="1" ht="188.5" x14ac:dyDescent="0.4">
      <c r="A347" s="16" t="s">
        <v>193</v>
      </c>
      <c r="B347" s="33"/>
      <c r="C347" s="95" t="s">
        <v>135</v>
      </c>
      <c r="D347" s="52">
        <v>1</v>
      </c>
      <c r="E347" s="60" t="s">
        <v>238</v>
      </c>
      <c r="F347" s="60" t="s">
        <v>239</v>
      </c>
      <c r="G347" s="60" t="s">
        <v>264</v>
      </c>
      <c r="H347" s="33" t="s">
        <v>220</v>
      </c>
      <c r="I347" s="33" t="s">
        <v>438</v>
      </c>
      <c r="J347" s="32">
        <f t="shared" si="20"/>
        <v>86</v>
      </c>
      <c r="K347" s="32">
        <f t="shared" si="21"/>
        <v>85</v>
      </c>
      <c r="L347" s="32">
        <f t="shared" si="22"/>
        <v>171</v>
      </c>
      <c r="M347" s="93">
        <f t="shared" si="23"/>
        <v>0</v>
      </c>
    </row>
    <row r="348" spans="1:13" s="59" customFormat="1" ht="72.5" x14ac:dyDescent="0.4">
      <c r="A348" s="16" t="s">
        <v>193</v>
      </c>
      <c r="B348" s="33"/>
      <c r="C348" s="95" t="s">
        <v>135</v>
      </c>
      <c r="D348" s="52">
        <v>2</v>
      </c>
      <c r="E348" s="60" t="s">
        <v>243</v>
      </c>
      <c r="F348" s="60" t="s">
        <v>218</v>
      </c>
      <c r="G348" s="60"/>
      <c r="H348" s="33"/>
      <c r="I348" s="33"/>
      <c r="J348" s="32">
        <f t="shared" si="20"/>
        <v>168</v>
      </c>
      <c r="K348" s="32">
        <f t="shared" si="21"/>
        <v>0</v>
      </c>
      <c r="L348" s="32">
        <f t="shared" si="22"/>
        <v>168</v>
      </c>
      <c r="M348" s="93">
        <f t="shared" si="23"/>
        <v>0</v>
      </c>
    </row>
    <row r="349" spans="1:13" s="59" customFormat="1" ht="217.5" x14ac:dyDescent="0.4">
      <c r="A349" s="16" t="s">
        <v>193</v>
      </c>
      <c r="B349" s="33"/>
      <c r="C349" s="95" t="s">
        <v>135</v>
      </c>
      <c r="D349" s="52">
        <v>3</v>
      </c>
      <c r="E349" s="60" t="s">
        <v>395</v>
      </c>
      <c r="F349" s="60" t="s">
        <v>439</v>
      </c>
      <c r="G349" s="60"/>
      <c r="H349" s="33"/>
      <c r="I349" s="33"/>
      <c r="J349" s="32">
        <f t="shared" si="20"/>
        <v>319</v>
      </c>
      <c r="K349" s="32">
        <f t="shared" si="21"/>
        <v>0</v>
      </c>
      <c r="L349" s="32">
        <f t="shared" si="22"/>
        <v>319</v>
      </c>
      <c r="M349" s="93">
        <f t="shared" si="23"/>
        <v>0</v>
      </c>
    </row>
    <row r="350" spans="1:13" s="59" customFormat="1" ht="217.5" x14ac:dyDescent="0.4">
      <c r="A350" s="16" t="s">
        <v>193</v>
      </c>
      <c r="B350" s="33"/>
      <c r="C350" s="95" t="s">
        <v>135</v>
      </c>
      <c r="D350" s="52">
        <v>4</v>
      </c>
      <c r="E350" s="60" t="s">
        <v>256</v>
      </c>
      <c r="F350" s="60" t="s">
        <v>440</v>
      </c>
      <c r="G350" s="60"/>
      <c r="H350" s="52"/>
      <c r="I350" s="33"/>
      <c r="J350" s="32">
        <f t="shared" si="20"/>
        <v>420</v>
      </c>
      <c r="K350" s="32">
        <f t="shared" si="21"/>
        <v>0</v>
      </c>
      <c r="L350" s="32">
        <f t="shared" si="22"/>
        <v>420</v>
      </c>
      <c r="M350" s="93">
        <f t="shared" si="23"/>
        <v>0</v>
      </c>
    </row>
    <row r="351" spans="1:13" s="59" customFormat="1" ht="261" x14ac:dyDescent="0.4">
      <c r="A351" s="16" t="s">
        <v>193</v>
      </c>
      <c r="B351" s="33"/>
      <c r="C351" s="95" t="s">
        <v>135</v>
      </c>
      <c r="D351" s="52">
        <v>5</v>
      </c>
      <c r="E351" s="60" t="s">
        <v>403</v>
      </c>
      <c r="F351" s="60" t="s">
        <v>259</v>
      </c>
      <c r="G351" s="60"/>
      <c r="H351" s="52"/>
      <c r="I351" s="33"/>
      <c r="J351" s="32">
        <f t="shared" si="20"/>
        <v>51</v>
      </c>
      <c r="K351" s="32">
        <f t="shared" si="21"/>
        <v>0</v>
      </c>
      <c r="L351" s="32">
        <f t="shared" si="22"/>
        <v>51</v>
      </c>
      <c r="M351" s="93">
        <f t="shared" si="23"/>
        <v>0</v>
      </c>
    </row>
    <row r="352" spans="1:13" s="59" customFormat="1" ht="409.5" x14ac:dyDescent="0.4">
      <c r="A352" s="16" t="s">
        <v>193</v>
      </c>
      <c r="B352" s="33"/>
      <c r="C352" s="95" t="s">
        <v>135</v>
      </c>
      <c r="D352" s="52">
        <v>6</v>
      </c>
      <c r="E352" s="60" t="s">
        <v>404</v>
      </c>
      <c r="F352" s="60" t="s">
        <v>405</v>
      </c>
      <c r="G352" s="60" t="s">
        <v>418</v>
      </c>
      <c r="H352" s="52"/>
      <c r="I352" s="33"/>
      <c r="J352" s="32">
        <f t="shared" si="20"/>
        <v>1167</v>
      </c>
      <c r="K352" s="32">
        <f t="shared" si="21"/>
        <v>911</v>
      </c>
      <c r="L352" s="32">
        <f t="shared" si="22"/>
        <v>2078</v>
      </c>
      <c r="M352" s="94">
        <f t="shared" si="23"/>
        <v>1</v>
      </c>
    </row>
    <row r="353" spans="1:13" s="59" customFormat="1" ht="203" x14ac:dyDescent="0.4">
      <c r="A353" s="16" t="s">
        <v>193</v>
      </c>
      <c r="B353" s="33"/>
      <c r="C353" s="95" t="s">
        <v>135</v>
      </c>
      <c r="D353" s="52">
        <v>7</v>
      </c>
      <c r="E353" s="60" t="s">
        <v>441</v>
      </c>
      <c r="F353" s="41" t="s">
        <v>437</v>
      </c>
      <c r="G353" s="60"/>
      <c r="H353" s="52"/>
      <c r="I353" s="33"/>
      <c r="J353" s="32">
        <f t="shared" si="20"/>
        <v>411</v>
      </c>
      <c r="K353" s="32">
        <f t="shared" si="21"/>
        <v>0</v>
      </c>
      <c r="L353" s="32">
        <f t="shared" si="22"/>
        <v>411</v>
      </c>
      <c r="M353" s="93">
        <f t="shared" si="23"/>
        <v>0</v>
      </c>
    </row>
    <row r="354" spans="1:13" s="59" customFormat="1" ht="43.5" x14ac:dyDescent="0.4">
      <c r="A354" s="16" t="s">
        <v>193</v>
      </c>
      <c r="B354" s="33"/>
      <c r="C354" s="95" t="s">
        <v>135</v>
      </c>
      <c r="D354" s="52">
        <v>8</v>
      </c>
      <c r="E354" s="60" t="s">
        <v>228</v>
      </c>
      <c r="F354" s="60" t="s">
        <v>229</v>
      </c>
      <c r="G354" s="60"/>
      <c r="H354" s="52"/>
      <c r="I354" s="33"/>
      <c r="J354" s="32">
        <f t="shared" si="20"/>
        <v>24</v>
      </c>
      <c r="K354" s="32">
        <f t="shared" si="21"/>
        <v>0</v>
      </c>
      <c r="L354" s="32">
        <f t="shared" si="22"/>
        <v>24</v>
      </c>
      <c r="M354" s="93">
        <f t="shared" si="23"/>
        <v>0</v>
      </c>
    </row>
    <row r="355" spans="1:13" s="59" customFormat="1" ht="15" x14ac:dyDescent="0.4">
      <c r="A355" s="66"/>
      <c r="B355" s="49" t="s">
        <v>136</v>
      </c>
      <c r="C355" s="66" t="s">
        <v>297</v>
      </c>
      <c r="D355" s="67"/>
      <c r="E355" s="68"/>
      <c r="F355" s="68"/>
      <c r="G355" s="68"/>
      <c r="H355" s="67"/>
      <c r="I355" s="49"/>
      <c r="J355" s="32">
        <f t="shared" si="20"/>
        <v>0</v>
      </c>
      <c r="K355" s="32">
        <f t="shared" si="21"/>
        <v>0</v>
      </c>
      <c r="L355" s="32">
        <f t="shared" si="22"/>
        <v>0</v>
      </c>
      <c r="M355" s="93">
        <f t="shared" si="23"/>
        <v>0</v>
      </c>
    </row>
    <row r="356" spans="1:13" s="59" customFormat="1" ht="188.5" x14ac:dyDescent="0.4">
      <c r="A356" s="16" t="s">
        <v>193</v>
      </c>
      <c r="B356" s="33"/>
      <c r="C356" s="95" t="s">
        <v>137</v>
      </c>
      <c r="D356" s="52">
        <v>1</v>
      </c>
      <c r="E356" s="60" t="s">
        <v>238</v>
      </c>
      <c r="F356" s="60" t="s">
        <v>239</v>
      </c>
      <c r="G356" s="60" t="s">
        <v>264</v>
      </c>
      <c r="H356" s="33" t="s">
        <v>220</v>
      </c>
      <c r="I356" s="33" t="s">
        <v>442</v>
      </c>
      <c r="J356" s="32">
        <f t="shared" si="20"/>
        <v>86</v>
      </c>
      <c r="K356" s="32">
        <f t="shared" si="21"/>
        <v>85</v>
      </c>
      <c r="L356" s="32">
        <f t="shared" si="22"/>
        <v>171</v>
      </c>
      <c r="M356" s="93">
        <f t="shared" si="23"/>
        <v>0</v>
      </c>
    </row>
    <row r="357" spans="1:13" s="59" customFormat="1" ht="72.5" x14ac:dyDescent="0.4">
      <c r="A357" s="16" t="s">
        <v>193</v>
      </c>
      <c r="B357" s="33"/>
      <c r="C357" s="95" t="s">
        <v>137</v>
      </c>
      <c r="D357" s="52">
        <v>2</v>
      </c>
      <c r="E357" s="60" t="s">
        <v>243</v>
      </c>
      <c r="F357" s="60" t="s">
        <v>443</v>
      </c>
      <c r="G357" s="60"/>
      <c r="H357" s="33"/>
      <c r="I357" s="33"/>
      <c r="J357" s="32">
        <f t="shared" si="20"/>
        <v>167</v>
      </c>
      <c r="K357" s="32">
        <f t="shared" si="21"/>
        <v>0</v>
      </c>
      <c r="L357" s="32">
        <f t="shared" si="22"/>
        <v>167</v>
      </c>
      <c r="M357" s="93">
        <f t="shared" si="23"/>
        <v>0</v>
      </c>
    </row>
    <row r="358" spans="1:13" s="59" customFormat="1" ht="72.5" x14ac:dyDescent="0.4">
      <c r="A358" s="16" t="s">
        <v>193</v>
      </c>
      <c r="B358" s="33"/>
      <c r="C358" s="95" t="s">
        <v>137</v>
      </c>
      <c r="D358" s="52">
        <v>3</v>
      </c>
      <c r="E358" s="60" t="s">
        <v>395</v>
      </c>
      <c r="F358" s="60" t="s">
        <v>223</v>
      </c>
      <c r="G358" s="60"/>
      <c r="H358" s="33"/>
      <c r="I358" s="33"/>
      <c r="J358" s="32">
        <f t="shared" si="20"/>
        <v>91</v>
      </c>
      <c r="K358" s="32">
        <f t="shared" si="21"/>
        <v>0</v>
      </c>
      <c r="L358" s="32">
        <f t="shared" si="22"/>
        <v>91</v>
      </c>
      <c r="M358" s="93">
        <f t="shared" si="23"/>
        <v>0</v>
      </c>
    </row>
    <row r="359" spans="1:13" s="59" customFormat="1" ht="58" x14ac:dyDescent="0.4">
      <c r="A359" s="16" t="s">
        <v>193</v>
      </c>
      <c r="B359" s="33"/>
      <c r="C359" s="95" t="s">
        <v>137</v>
      </c>
      <c r="D359" s="52">
        <v>4</v>
      </c>
      <c r="E359" s="60" t="s">
        <v>245</v>
      </c>
      <c r="F359" s="60" t="s">
        <v>246</v>
      </c>
      <c r="G359" s="60" t="s">
        <v>247</v>
      </c>
      <c r="H359" s="52"/>
      <c r="I359" s="33"/>
      <c r="J359" s="32">
        <f t="shared" si="20"/>
        <v>44</v>
      </c>
      <c r="K359" s="32">
        <f t="shared" si="21"/>
        <v>39</v>
      </c>
      <c r="L359" s="32">
        <f t="shared" si="22"/>
        <v>83</v>
      </c>
      <c r="M359" s="93">
        <f t="shared" si="23"/>
        <v>0</v>
      </c>
    </row>
    <row r="360" spans="1:13" s="59" customFormat="1" ht="43.5" x14ac:dyDescent="0.4">
      <c r="A360" s="16" t="s">
        <v>193</v>
      </c>
      <c r="B360" s="33"/>
      <c r="C360" s="95" t="s">
        <v>137</v>
      </c>
      <c r="D360" s="52">
        <v>5</v>
      </c>
      <c r="E360" s="60" t="s">
        <v>248</v>
      </c>
      <c r="F360" s="60" t="s">
        <v>249</v>
      </c>
      <c r="G360" s="60" t="s">
        <v>397</v>
      </c>
      <c r="H360" s="52"/>
      <c r="I360" s="33"/>
      <c r="J360" s="32">
        <f t="shared" si="20"/>
        <v>50</v>
      </c>
      <c r="K360" s="32">
        <f t="shared" si="21"/>
        <v>50</v>
      </c>
      <c r="L360" s="32">
        <f t="shared" si="22"/>
        <v>100</v>
      </c>
      <c r="M360" s="93">
        <f t="shared" si="23"/>
        <v>0</v>
      </c>
    </row>
    <row r="361" spans="1:13" s="59" customFormat="1" ht="409.5" x14ac:dyDescent="0.4">
      <c r="A361" s="16" t="s">
        <v>193</v>
      </c>
      <c r="B361" s="33"/>
      <c r="C361" s="95" t="s">
        <v>137</v>
      </c>
      <c r="D361" s="52">
        <v>6</v>
      </c>
      <c r="E361" s="60" t="s">
        <v>250</v>
      </c>
      <c r="F361" s="60" t="s">
        <v>444</v>
      </c>
      <c r="G361" s="60" t="s">
        <v>252</v>
      </c>
      <c r="H361" s="52"/>
      <c r="I361" s="33"/>
      <c r="J361" s="32">
        <f t="shared" si="20"/>
        <v>1167</v>
      </c>
      <c r="K361" s="32">
        <f t="shared" si="21"/>
        <v>1044</v>
      </c>
      <c r="L361" s="32">
        <f t="shared" si="22"/>
        <v>2211</v>
      </c>
      <c r="M361" s="94">
        <f t="shared" si="23"/>
        <v>1</v>
      </c>
    </row>
    <row r="362" spans="1:13" s="59" customFormat="1" ht="116" x14ac:dyDescent="0.4">
      <c r="A362" s="16" t="s">
        <v>193</v>
      </c>
      <c r="B362" s="33"/>
      <c r="C362" s="95" t="s">
        <v>137</v>
      </c>
      <c r="D362" s="52">
        <v>7</v>
      </c>
      <c r="E362" s="60" t="s">
        <v>445</v>
      </c>
      <c r="F362" s="41" t="s">
        <v>301</v>
      </c>
      <c r="G362" s="52" t="s">
        <v>302</v>
      </c>
      <c r="H362" s="52"/>
      <c r="I362" s="33"/>
      <c r="J362" s="32">
        <f t="shared" si="20"/>
        <v>317</v>
      </c>
      <c r="K362" s="32">
        <f t="shared" si="21"/>
        <v>98</v>
      </c>
      <c r="L362" s="32">
        <f t="shared" si="22"/>
        <v>415</v>
      </c>
      <c r="M362" s="93">
        <f t="shared" si="23"/>
        <v>0</v>
      </c>
    </row>
    <row r="363" spans="1:13" s="59" customFormat="1" ht="43.5" x14ac:dyDescent="0.4">
      <c r="A363" s="16" t="s">
        <v>193</v>
      </c>
      <c r="B363" s="33"/>
      <c r="C363" s="95" t="s">
        <v>137</v>
      </c>
      <c r="D363" s="52">
        <v>8</v>
      </c>
      <c r="E363" s="60" t="s">
        <v>228</v>
      </c>
      <c r="F363" s="60" t="s">
        <v>229</v>
      </c>
      <c r="G363" s="60"/>
      <c r="H363" s="52"/>
      <c r="I363" s="33"/>
      <c r="J363" s="32">
        <f t="shared" si="20"/>
        <v>24</v>
      </c>
      <c r="K363" s="32">
        <f t="shared" si="21"/>
        <v>0</v>
      </c>
      <c r="L363" s="32">
        <f t="shared" si="22"/>
        <v>24</v>
      </c>
      <c r="M363" s="93">
        <f t="shared" si="23"/>
        <v>0</v>
      </c>
    </row>
    <row r="364" spans="1:13" s="59" customFormat="1" ht="15" x14ac:dyDescent="0.4">
      <c r="A364" s="66"/>
      <c r="B364" s="49" t="s">
        <v>138</v>
      </c>
      <c r="C364" s="66" t="s">
        <v>297</v>
      </c>
      <c r="D364" s="67"/>
      <c r="E364" s="68"/>
      <c r="F364" s="68"/>
      <c r="G364" s="68"/>
      <c r="H364" s="67"/>
      <c r="I364" s="49"/>
      <c r="J364" s="32">
        <f t="shared" si="20"/>
        <v>0</v>
      </c>
      <c r="K364" s="32">
        <f t="shared" si="21"/>
        <v>0</v>
      </c>
      <c r="L364" s="32">
        <f t="shared" si="22"/>
        <v>0</v>
      </c>
      <c r="M364" s="93">
        <f t="shared" si="23"/>
        <v>0</v>
      </c>
    </row>
    <row r="365" spans="1:13" s="59" customFormat="1" ht="174" x14ac:dyDescent="0.4">
      <c r="A365" s="16" t="s">
        <v>193</v>
      </c>
      <c r="B365" s="33"/>
      <c r="C365" s="95" t="s">
        <v>139</v>
      </c>
      <c r="D365" s="52">
        <v>1</v>
      </c>
      <c r="E365" s="60" t="s">
        <v>238</v>
      </c>
      <c r="F365" s="60" t="s">
        <v>239</v>
      </c>
      <c r="G365" s="60" t="s">
        <v>264</v>
      </c>
      <c r="H365" s="33" t="s">
        <v>220</v>
      </c>
      <c r="I365" s="33" t="s">
        <v>446</v>
      </c>
      <c r="J365" s="32">
        <f t="shared" si="20"/>
        <v>86</v>
      </c>
      <c r="K365" s="32">
        <f t="shared" si="21"/>
        <v>85</v>
      </c>
      <c r="L365" s="32">
        <f t="shared" si="22"/>
        <v>171</v>
      </c>
      <c r="M365" s="93">
        <f t="shared" si="23"/>
        <v>0</v>
      </c>
    </row>
    <row r="366" spans="1:13" s="59" customFormat="1" ht="72.5" x14ac:dyDescent="0.4">
      <c r="A366" s="16" t="s">
        <v>193</v>
      </c>
      <c r="B366" s="33"/>
      <c r="C366" s="95" t="s">
        <v>139</v>
      </c>
      <c r="D366" s="52">
        <v>2</v>
      </c>
      <c r="E366" s="60" t="s">
        <v>243</v>
      </c>
      <c r="F366" s="60" t="s">
        <v>218</v>
      </c>
      <c r="G366" s="60"/>
      <c r="H366" s="33"/>
      <c r="I366" s="33"/>
      <c r="J366" s="32">
        <f t="shared" si="20"/>
        <v>168</v>
      </c>
      <c r="K366" s="32">
        <f t="shared" si="21"/>
        <v>0</v>
      </c>
      <c r="L366" s="32">
        <f t="shared" si="22"/>
        <v>168</v>
      </c>
      <c r="M366" s="93">
        <f t="shared" si="23"/>
        <v>0</v>
      </c>
    </row>
    <row r="367" spans="1:13" s="59" customFormat="1" ht="217.5" x14ac:dyDescent="0.4">
      <c r="A367" s="16" t="s">
        <v>193</v>
      </c>
      <c r="B367" s="33"/>
      <c r="C367" s="95" t="s">
        <v>139</v>
      </c>
      <c r="D367" s="52">
        <v>3</v>
      </c>
      <c r="E367" s="60" t="s">
        <v>395</v>
      </c>
      <c r="F367" s="60" t="s">
        <v>447</v>
      </c>
      <c r="G367" s="60"/>
      <c r="H367" s="33"/>
      <c r="I367" s="33"/>
      <c r="J367" s="32">
        <f t="shared" si="20"/>
        <v>320</v>
      </c>
      <c r="K367" s="32">
        <f t="shared" si="21"/>
        <v>0</v>
      </c>
      <c r="L367" s="32">
        <f t="shared" si="22"/>
        <v>320</v>
      </c>
      <c r="M367" s="93">
        <f t="shared" si="23"/>
        <v>0</v>
      </c>
    </row>
    <row r="368" spans="1:13" s="59" customFormat="1" ht="217.5" x14ac:dyDescent="0.4">
      <c r="A368" s="16" t="s">
        <v>193</v>
      </c>
      <c r="B368" s="33"/>
      <c r="C368" s="95" t="s">
        <v>139</v>
      </c>
      <c r="D368" s="52">
        <v>4</v>
      </c>
      <c r="E368" s="60" t="s">
        <v>256</v>
      </c>
      <c r="F368" s="60" t="s">
        <v>448</v>
      </c>
      <c r="G368" s="60"/>
      <c r="H368" s="52"/>
      <c r="I368" s="33"/>
      <c r="J368" s="32">
        <f t="shared" si="20"/>
        <v>421</v>
      </c>
      <c r="K368" s="32">
        <f t="shared" si="21"/>
        <v>0</v>
      </c>
      <c r="L368" s="32">
        <f t="shared" si="22"/>
        <v>421</v>
      </c>
      <c r="M368" s="93">
        <f t="shared" si="23"/>
        <v>0</v>
      </c>
    </row>
    <row r="369" spans="1:13" s="59" customFormat="1" ht="261" x14ac:dyDescent="0.4">
      <c r="A369" s="16" t="s">
        <v>193</v>
      </c>
      <c r="B369" s="33"/>
      <c r="C369" s="95" t="s">
        <v>139</v>
      </c>
      <c r="D369" s="52">
        <v>5</v>
      </c>
      <c r="E369" s="60" t="s">
        <v>403</v>
      </c>
      <c r="F369" s="60" t="s">
        <v>259</v>
      </c>
      <c r="G369" s="60"/>
      <c r="H369" s="52"/>
      <c r="I369" s="33"/>
      <c r="J369" s="32">
        <f t="shared" si="20"/>
        <v>51</v>
      </c>
      <c r="K369" s="32">
        <f t="shared" si="21"/>
        <v>0</v>
      </c>
      <c r="L369" s="32">
        <f t="shared" si="22"/>
        <v>51</v>
      </c>
      <c r="M369" s="93">
        <f t="shared" si="23"/>
        <v>0</v>
      </c>
    </row>
    <row r="370" spans="1:13" s="59" customFormat="1" ht="409.5" x14ac:dyDescent="0.4">
      <c r="A370" s="16" t="s">
        <v>193</v>
      </c>
      <c r="B370" s="33"/>
      <c r="C370" s="95" t="s">
        <v>139</v>
      </c>
      <c r="D370" s="52">
        <v>6</v>
      </c>
      <c r="E370" s="60" t="s">
        <v>404</v>
      </c>
      <c r="F370" s="60" t="s">
        <v>449</v>
      </c>
      <c r="G370" s="60" t="s">
        <v>418</v>
      </c>
      <c r="H370" s="52"/>
      <c r="I370" s="33"/>
      <c r="J370" s="32">
        <f t="shared" si="20"/>
        <v>1168</v>
      </c>
      <c r="K370" s="32">
        <f t="shared" si="21"/>
        <v>911</v>
      </c>
      <c r="L370" s="32">
        <f t="shared" si="22"/>
        <v>2079</v>
      </c>
      <c r="M370" s="94">
        <f t="shared" si="23"/>
        <v>1</v>
      </c>
    </row>
    <row r="371" spans="1:13" s="59" customFormat="1" ht="116" x14ac:dyDescent="0.4">
      <c r="A371" s="16" t="s">
        <v>193</v>
      </c>
      <c r="B371" s="33"/>
      <c r="C371" s="95" t="s">
        <v>139</v>
      </c>
      <c r="D371" s="52">
        <v>7</v>
      </c>
      <c r="E371" s="60" t="s">
        <v>450</v>
      </c>
      <c r="F371" s="41" t="s">
        <v>301</v>
      </c>
      <c r="G371" s="52" t="s">
        <v>302</v>
      </c>
      <c r="H371" s="52"/>
      <c r="I371" s="33"/>
      <c r="J371" s="32">
        <f t="shared" si="20"/>
        <v>317</v>
      </c>
      <c r="K371" s="32">
        <f t="shared" si="21"/>
        <v>98</v>
      </c>
      <c r="L371" s="32">
        <f t="shared" si="22"/>
        <v>415</v>
      </c>
      <c r="M371" s="93">
        <f t="shared" si="23"/>
        <v>0</v>
      </c>
    </row>
    <row r="372" spans="1:13" s="59" customFormat="1" ht="43.5" x14ac:dyDescent="0.4">
      <c r="A372" s="16" t="s">
        <v>193</v>
      </c>
      <c r="B372" s="33"/>
      <c r="C372" s="95" t="s">
        <v>139</v>
      </c>
      <c r="D372" s="52">
        <v>8</v>
      </c>
      <c r="E372" s="60" t="s">
        <v>228</v>
      </c>
      <c r="F372" s="60" t="s">
        <v>229</v>
      </c>
      <c r="G372" s="60"/>
      <c r="H372" s="52"/>
      <c r="I372" s="33"/>
      <c r="J372" s="32">
        <f t="shared" si="20"/>
        <v>24</v>
      </c>
      <c r="K372" s="32">
        <f t="shared" si="21"/>
        <v>0</v>
      </c>
      <c r="L372" s="32">
        <f t="shared" si="22"/>
        <v>24</v>
      </c>
      <c r="M372" s="93">
        <f t="shared" si="23"/>
        <v>0</v>
      </c>
    </row>
    <row r="373" spans="1:13" s="59" customFormat="1" ht="15" x14ac:dyDescent="0.4">
      <c r="A373" s="66"/>
      <c r="B373" s="49" t="s">
        <v>140</v>
      </c>
      <c r="C373" s="66" t="s">
        <v>308</v>
      </c>
      <c r="D373" s="67"/>
      <c r="E373" s="68"/>
      <c r="F373" s="68"/>
      <c r="G373" s="68"/>
      <c r="H373" s="67"/>
      <c r="I373" s="49"/>
      <c r="J373" s="32">
        <f t="shared" si="20"/>
        <v>0</v>
      </c>
      <c r="K373" s="32">
        <f t="shared" si="21"/>
        <v>0</v>
      </c>
      <c r="L373" s="32">
        <f t="shared" si="22"/>
        <v>0</v>
      </c>
      <c r="M373" s="93">
        <f t="shared" si="23"/>
        <v>0</v>
      </c>
    </row>
    <row r="374" spans="1:13" s="59" customFormat="1" ht="101.5" x14ac:dyDescent="0.4">
      <c r="A374" s="16" t="s">
        <v>193</v>
      </c>
      <c r="B374" s="33"/>
      <c r="C374" s="96" t="s">
        <v>141</v>
      </c>
      <c r="D374" s="52">
        <v>1</v>
      </c>
      <c r="E374" s="60" t="s">
        <v>238</v>
      </c>
      <c r="F374" s="60" t="s">
        <v>239</v>
      </c>
      <c r="G374" s="60" t="s">
        <v>240</v>
      </c>
      <c r="H374" s="33" t="s">
        <v>220</v>
      </c>
      <c r="I374" s="33" t="s">
        <v>309</v>
      </c>
      <c r="J374" s="32">
        <f t="shared" si="20"/>
        <v>86</v>
      </c>
      <c r="K374" s="32">
        <f t="shared" si="21"/>
        <v>84</v>
      </c>
      <c r="L374" s="32">
        <f t="shared" si="22"/>
        <v>170</v>
      </c>
      <c r="M374" s="93">
        <f t="shared" si="23"/>
        <v>0</v>
      </c>
    </row>
    <row r="375" spans="1:13" s="59" customFormat="1" ht="87" x14ac:dyDescent="0.4">
      <c r="A375" s="16" t="s">
        <v>193</v>
      </c>
      <c r="B375" s="33"/>
      <c r="C375" s="96" t="s">
        <v>141</v>
      </c>
      <c r="D375" s="52">
        <v>2</v>
      </c>
      <c r="E375" s="60" t="s">
        <v>243</v>
      </c>
      <c r="F375" s="60" t="s">
        <v>451</v>
      </c>
      <c r="G375" s="60"/>
      <c r="H375" s="33"/>
      <c r="I375" s="33"/>
      <c r="J375" s="32">
        <f t="shared" si="20"/>
        <v>169</v>
      </c>
      <c r="K375" s="32">
        <f t="shared" si="21"/>
        <v>0</v>
      </c>
      <c r="L375" s="32">
        <f t="shared" si="22"/>
        <v>169</v>
      </c>
      <c r="M375" s="93">
        <f t="shared" si="23"/>
        <v>0</v>
      </c>
    </row>
    <row r="376" spans="1:13" s="59" customFormat="1" ht="72.5" x14ac:dyDescent="0.4">
      <c r="A376" s="16" t="s">
        <v>193</v>
      </c>
      <c r="B376" s="33"/>
      <c r="C376" s="96" t="s">
        <v>141</v>
      </c>
      <c r="D376" s="52">
        <v>3</v>
      </c>
      <c r="E376" s="60" t="s">
        <v>395</v>
      </c>
      <c r="F376" s="60" t="s">
        <v>223</v>
      </c>
      <c r="G376" s="60"/>
      <c r="H376" s="33"/>
      <c r="I376" s="33"/>
      <c r="J376" s="32">
        <f t="shared" si="20"/>
        <v>91</v>
      </c>
      <c r="K376" s="32">
        <f t="shared" si="21"/>
        <v>0</v>
      </c>
      <c r="L376" s="32">
        <f t="shared" si="22"/>
        <v>91</v>
      </c>
      <c r="M376" s="93">
        <f t="shared" si="23"/>
        <v>0</v>
      </c>
    </row>
    <row r="377" spans="1:13" s="59" customFormat="1" ht="58" x14ac:dyDescent="0.4">
      <c r="A377" s="16" t="s">
        <v>193</v>
      </c>
      <c r="B377" s="33"/>
      <c r="C377" s="96" t="s">
        <v>141</v>
      </c>
      <c r="D377" s="52">
        <v>4</v>
      </c>
      <c r="E377" s="60" t="s">
        <v>245</v>
      </c>
      <c r="F377" s="60" t="s">
        <v>246</v>
      </c>
      <c r="G377" s="60" t="s">
        <v>247</v>
      </c>
      <c r="H377" s="52"/>
      <c r="I377" s="33"/>
      <c r="J377" s="32">
        <f t="shared" si="20"/>
        <v>44</v>
      </c>
      <c r="K377" s="32">
        <f t="shared" si="21"/>
        <v>39</v>
      </c>
      <c r="L377" s="32">
        <f t="shared" si="22"/>
        <v>83</v>
      </c>
      <c r="M377" s="93">
        <f t="shared" si="23"/>
        <v>0</v>
      </c>
    </row>
    <row r="378" spans="1:13" s="59" customFormat="1" ht="43.5" x14ac:dyDescent="0.4">
      <c r="A378" s="16" t="s">
        <v>193</v>
      </c>
      <c r="B378" s="33"/>
      <c r="C378" s="96" t="s">
        <v>141</v>
      </c>
      <c r="D378" s="52">
        <v>5</v>
      </c>
      <c r="E378" s="60" t="s">
        <v>248</v>
      </c>
      <c r="F378" s="60" t="s">
        <v>249</v>
      </c>
      <c r="G378" s="60" t="s">
        <v>397</v>
      </c>
      <c r="H378" s="52"/>
      <c r="I378" s="33"/>
      <c r="J378" s="32">
        <f t="shared" si="20"/>
        <v>50</v>
      </c>
      <c r="K378" s="32">
        <f t="shared" si="21"/>
        <v>50</v>
      </c>
      <c r="L378" s="32">
        <f t="shared" si="22"/>
        <v>100</v>
      </c>
      <c r="M378" s="93">
        <f t="shared" si="23"/>
        <v>0</v>
      </c>
    </row>
    <row r="379" spans="1:13" s="59" customFormat="1" ht="409.5" x14ac:dyDescent="0.4">
      <c r="A379" s="16" t="s">
        <v>193</v>
      </c>
      <c r="B379" s="33"/>
      <c r="C379" s="96" t="s">
        <v>141</v>
      </c>
      <c r="D379" s="52">
        <v>6</v>
      </c>
      <c r="E379" s="60" t="s">
        <v>250</v>
      </c>
      <c r="F379" s="60" t="s">
        <v>452</v>
      </c>
      <c r="G379" s="60" t="s">
        <v>252</v>
      </c>
      <c r="H379" s="52"/>
      <c r="I379" s="33"/>
      <c r="J379" s="32">
        <f t="shared" si="20"/>
        <v>1167</v>
      </c>
      <c r="K379" s="32">
        <f t="shared" si="21"/>
        <v>1044</v>
      </c>
      <c r="L379" s="32">
        <f t="shared" si="22"/>
        <v>2211</v>
      </c>
      <c r="M379" s="94">
        <f t="shared" si="23"/>
        <v>1</v>
      </c>
    </row>
    <row r="380" spans="1:13" s="59" customFormat="1" ht="87" x14ac:dyDescent="0.4">
      <c r="A380" s="16" t="s">
        <v>193</v>
      </c>
      <c r="B380" s="33"/>
      <c r="C380" s="96" t="s">
        <v>141</v>
      </c>
      <c r="D380" s="52">
        <v>7</v>
      </c>
      <c r="E380" s="60" t="s">
        <v>453</v>
      </c>
      <c r="F380" s="41" t="s">
        <v>311</v>
      </c>
      <c r="G380" s="60"/>
      <c r="H380" s="52"/>
      <c r="I380" s="33"/>
      <c r="J380" s="32">
        <f t="shared" si="20"/>
        <v>223</v>
      </c>
      <c r="K380" s="32">
        <f t="shared" si="21"/>
        <v>0</v>
      </c>
      <c r="L380" s="32">
        <f t="shared" si="22"/>
        <v>223</v>
      </c>
      <c r="M380" s="93">
        <f t="shared" si="23"/>
        <v>0</v>
      </c>
    </row>
    <row r="381" spans="1:13" s="59" customFormat="1" ht="43.5" x14ac:dyDescent="0.4">
      <c r="A381" s="16" t="s">
        <v>193</v>
      </c>
      <c r="B381" s="33"/>
      <c r="C381" s="96" t="s">
        <v>141</v>
      </c>
      <c r="D381" s="52">
        <v>8</v>
      </c>
      <c r="E381" s="60" t="s">
        <v>228</v>
      </c>
      <c r="F381" s="60" t="s">
        <v>229</v>
      </c>
      <c r="G381" s="60"/>
      <c r="H381" s="52"/>
      <c r="I381" s="33"/>
      <c r="J381" s="32">
        <f t="shared" si="20"/>
        <v>24</v>
      </c>
      <c r="K381" s="32">
        <f t="shared" si="21"/>
        <v>0</v>
      </c>
      <c r="L381" s="32">
        <f t="shared" si="22"/>
        <v>24</v>
      </c>
      <c r="M381" s="93">
        <f t="shared" si="23"/>
        <v>0</v>
      </c>
    </row>
    <row r="382" spans="1:13" s="59" customFormat="1" ht="15" x14ac:dyDescent="0.4">
      <c r="A382" s="66"/>
      <c r="B382" s="49" t="s">
        <v>142</v>
      </c>
      <c r="C382" s="66" t="s">
        <v>308</v>
      </c>
      <c r="D382" s="67"/>
      <c r="E382" s="68"/>
      <c r="F382" s="68"/>
      <c r="G382" s="68"/>
      <c r="H382" s="67"/>
      <c r="I382" s="49"/>
      <c r="J382" s="32">
        <f t="shared" si="20"/>
        <v>0</v>
      </c>
      <c r="K382" s="32">
        <f t="shared" si="21"/>
        <v>0</v>
      </c>
      <c r="L382" s="32">
        <f t="shared" si="22"/>
        <v>0</v>
      </c>
      <c r="M382" s="93">
        <f t="shared" si="23"/>
        <v>0</v>
      </c>
    </row>
    <row r="383" spans="1:13" s="59" customFormat="1" ht="101.5" x14ac:dyDescent="0.4">
      <c r="A383" s="16" t="s">
        <v>193</v>
      </c>
      <c r="B383" s="33"/>
      <c r="C383" s="96" t="s">
        <v>143</v>
      </c>
      <c r="D383" s="52">
        <v>1</v>
      </c>
      <c r="E383" s="60" t="s">
        <v>238</v>
      </c>
      <c r="F383" s="60" t="s">
        <v>239</v>
      </c>
      <c r="G383" s="60" t="s">
        <v>264</v>
      </c>
      <c r="H383" s="33" t="s">
        <v>220</v>
      </c>
      <c r="I383" s="33" t="s">
        <v>309</v>
      </c>
      <c r="J383" s="32">
        <f t="shared" si="20"/>
        <v>86</v>
      </c>
      <c r="K383" s="32">
        <f t="shared" si="21"/>
        <v>85</v>
      </c>
      <c r="L383" s="32">
        <f t="shared" si="22"/>
        <v>171</v>
      </c>
      <c r="M383" s="93">
        <f t="shared" si="23"/>
        <v>0</v>
      </c>
    </row>
    <row r="384" spans="1:13" s="59" customFormat="1" ht="72.5" x14ac:dyDescent="0.4">
      <c r="A384" s="16" t="s">
        <v>193</v>
      </c>
      <c r="B384" s="33"/>
      <c r="C384" s="96" t="s">
        <v>143</v>
      </c>
      <c r="D384" s="52">
        <v>2</v>
      </c>
      <c r="E384" s="60" t="s">
        <v>243</v>
      </c>
      <c r="F384" s="60" t="s">
        <v>218</v>
      </c>
      <c r="G384" s="60"/>
      <c r="H384" s="33"/>
      <c r="I384" s="33"/>
      <c r="J384" s="32">
        <f t="shared" si="20"/>
        <v>168</v>
      </c>
      <c r="K384" s="32">
        <f t="shared" si="21"/>
        <v>0</v>
      </c>
      <c r="L384" s="32">
        <f t="shared" si="22"/>
        <v>168</v>
      </c>
      <c r="M384" s="93">
        <f t="shared" si="23"/>
        <v>0</v>
      </c>
    </row>
    <row r="385" spans="1:13" s="59" customFormat="1" ht="217.5" x14ac:dyDescent="0.4">
      <c r="A385" s="16" t="s">
        <v>193</v>
      </c>
      <c r="B385" s="33"/>
      <c r="C385" s="96" t="s">
        <v>143</v>
      </c>
      <c r="D385" s="52">
        <v>3</v>
      </c>
      <c r="E385" s="60" t="s">
        <v>395</v>
      </c>
      <c r="F385" s="60" t="s">
        <v>454</v>
      </c>
      <c r="G385" s="60"/>
      <c r="H385" s="33"/>
      <c r="I385" s="33"/>
      <c r="J385" s="32">
        <f t="shared" si="20"/>
        <v>320</v>
      </c>
      <c r="K385" s="32">
        <f t="shared" si="21"/>
        <v>0</v>
      </c>
      <c r="L385" s="32">
        <f t="shared" si="22"/>
        <v>320</v>
      </c>
      <c r="M385" s="93">
        <f t="shared" si="23"/>
        <v>0</v>
      </c>
    </row>
    <row r="386" spans="1:13" s="59" customFormat="1" ht="217.5" x14ac:dyDescent="0.4">
      <c r="A386" s="16" t="s">
        <v>193</v>
      </c>
      <c r="B386" s="33"/>
      <c r="C386" s="96" t="s">
        <v>143</v>
      </c>
      <c r="D386" s="52">
        <v>4</v>
      </c>
      <c r="E386" s="60" t="s">
        <v>256</v>
      </c>
      <c r="F386" s="60" t="s">
        <v>455</v>
      </c>
      <c r="G386" s="60"/>
      <c r="H386" s="52"/>
      <c r="I386" s="33"/>
      <c r="J386" s="32">
        <f t="shared" si="20"/>
        <v>421</v>
      </c>
      <c r="K386" s="32">
        <f t="shared" si="21"/>
        <v>0</v>
      </c>
      <c r="L386" s="32">
        <f t="shared" si="22"/>
        <v>421</v>
      </c>
      <c r="M386" s="93">
        <f t="shared" si="23"/>
        <v>0</v>
      </c>
    </row>
    <row r="387" spans="1:13" s="59" customFormat="1" ht="261" x14ac:dyDescent="0.4">
      <c r="A387" s="16" t="s">
        <v>193</v>
      </c>
      <c r="B387" s="33"/>
      <c r="C387" s="96" t="s">
        <v>143</v>
      </c>
      <c r="D387" s="52">
        <v>5</v>
      </c>
      <c r="E387" s="60" t="s">
        <v>403</v>
      </c>
      <c r="F387" s="60" t="s">
        <v>259</v>
      </c>
      <c r="G387" s="60"/>
      <c r="H387" s="52"/>
      <c r="I387" s="33"/>
      <c r="J387" s="32">
        <f t="shared" si="20"/>
        <v>51</v>
      </c>
      <c r="K387" s="32">
        <f t="shared" si="21"/>
        <v>0</v>
      </c>
      <c r="L387" s="32">
        <f t="shared" si="22"/>
        <v>51</v>
      </c>
      <c r="M387" s="93">
        <f t="shared" si="23"/>
        <v>0</v>
      </c>
    </row>
    <row r="388" spans="1:13" s="59" customFormat="1" ht="409.5" x14ac:dyDescent="0.4">
      <c r="A388" s="16" t="s">
        <v>193</v>
      </c>
      <c r="B388" s="33"/>
      <c r="C388" s="96" t="s">
        <v>143</v>
      </c>
      <c r="D388" s="52">
        <v>6</v>
      </c>
      <c r="E388" s="60" t="s">
        <v>404</v>
      </c>
      <c r="F388" s="60" t="s">
        <v>456</v>
      </c>
      <c r="G388" s="60" t="s">
        <v>418</v>
      </c>
      <c r="H388" s="52"/>
      <c r="I388" s="33"/>
      <c r="J388" s="32">
        <f t="shared" si="20"/>
        <v>1168</v>
      </c>
      <c r="K388" s="32">
        <f t="shared" si="21"/>
        <v>911</v>
      </c>
      <c r="L388" s="32">
        <f t="shared" si="22"/>
        <v>2079</v>
      </c>
      <c r="M388" s="94">
        <f t="shared" si="23"/>
        <v>1</v>
      </c>
    </row>
    <row r="389" spans="1:13" s="59" customFormat="1" ht="87" x14ac:dyDescent="0.4">
      <c r="A389" s="16" t="s">
        <v>193</v>
      </c>
      <c r="B389" s="33"/>
      <c r="C389" s="96" t="s">
        <v>143</v>
      </c>
      <c r="D389" s="52">
        <v>7</v>
      </c>
      <c r="E389" s="60" t="s">
        <v>457</v>
      </c>
      <c r="F389" s="41" t="s">
        <v>311</v>
      </c>
      <c r="G389" s="60"/>
      <c r="H389" s="52"/>
      <c r="I389" s="33"/>
      <c r="J389" s="32">
        <f t="shared" si="20"/>
        <v>223</v>
      </c>
      <c r="K389" s="32">
        <f t="shared" si="21"/>
        <v>0</v>
      </c>
      <c r="L389" s="32">
        <f t="shared" si="22"/>
        <v>223</v>
      </c>
      <c r="M389" s="93">
        <f t="shared" si="23"/>
        <v>0</v>
      </c>
    </row>
    <row r="390" spans="1:13" s="59" customFormat="1" ht="43.5" x14ac:dyDescent="0.4">
      <c r="A390" s="16" t="s">
        <v>193</v>
      </c>
      <c r="B390" s="33"/>
      <c r="C390" s="96" t="s">
        <v>143</v>
      </c>
      <c r="D390" s="52">
        <v>8</v>
      </c>
      <c r="E390" s="60" t="s">
        <v>228</v>
      </c>
      <c r="F390" s="60" t="s">
        <v>229</v>
      </c>
      <c r="G390" s="60"/>
      <c r="H390" s="52"/>
      <c r="I390" s="33"/>
      <c r="J390" s="32">
        <f t="shared" si="20"/>
        <v>24</v>
      </c>
      <c r="K390" s="32">
        <f t="shared" si="21"/>
        <v>0</v>
      </c>
      <c r="L390" s="32">
        <f t="shared" si="22"/>
        <v>24</v>
      </c>
      <c r="M390" s="93">
        <f t="shared" si="23"/>
        <v>0</v>
      </c>
    </row>
    <row r="391" spans="1:13" s="59" customFormat="1" ht="29" x14ac:dyDescent="0.4">
      <c r="A391" s="49"/>
      <c r="B391" s="49" t="s">
        <v>144</v>
      </c>
      <c r="C391" s="49" t="s">
        <v>458</v>
      </c>
      <c r="D391" s="49"/>
      <c r="E391" s="49"/>
      <c r="F391" s="49"/>
      <c r="G391" s="49"/>
      <c r="H391" s="49"/>
      <c r="I391" s="49"/>
      <c r="J391" s="32">
        <f t="shared" si="20"/>
        <v>0</v>
      </c>
      <c r="K391" s="32">
        <f t="shared" si="21"/>
        <v>0</v>
      </c>
      <c r="L391" s="32">
        <f t="shared" si="22"/>
        <v>0</v>
      </c>
      <c r="M391" s="93">
        <f t="shared" si="23"/>
        <v>0</v>
      </c>
    </row>
    <row r="392" spans="1:13" s="59" customFormat="1" ht="159.5" x14ac:dyDescent="0.4">
      <c r="A392" s="16" t="s">
        <v>193</v>
      </c>
      <c r="B392" s="33"/>
      <c r="C392" s="96" t="s">
        <v>145</v>
      </c>
      <c r="D392" s="52">
        <v>1</v>
      </c>
      <c r="E392" s="60" t="s">
        <v>238</v>
      </c>
      <c r="F392" s="60" t="s">
        <v>239</v>
      </c>
      <c r="G392" s="60" t="s">
        <v>240</v>
      </c>
      <c r="H392" s="33" t="s">
        <v>220</v>
      </c>
      <c r="I392" s="33" t="s">
        <v>459</v>
      </c>
      <c r="J392" s="32">
        <f t="shared" si="20"/>
        <v>86</v>
      </c>
      <c r="K392" s="32">
        <f t="shared" si="21"/>
        <v>84</v>
      </c>
      <c r="L392" s="32">
        <f t="shared" si="22"/>
        <v>170</v>
      </c>
      <c r="M392" s="93">
        <f t="shared" si="23"/>
        <v>0</v>
      </c>
    </row>
    <row r="393" spans="1:13" s="59" customFormat="1" ht="87" x14ac:dyDescent="0.4">
      <c r="A393" s="16" t="s">
        <v>193</v>
      </c>
      <c r="B393" s="33"/>
      <c r="C393" s="96" t="s">
        <v>145</v>
      </c>
      <c r="D393" s="52">
        <v>2</v>
      </c>
      <c r="E393" s="60" t="s">
        <v>243</v>
      </c>
      <c r="F393" s="60" t="s">
        <v>460</v>
      </c>
      <c r="G393" s="60"/>
      <c r="H393" s="33"/>
      <c r="I393" s="33"/>
      <c r="J393" s="32">
        <f t="shared" si="20"/>
        <v>169</v>
      </c>
      <c r="K393" s="32">
        <f t="shared" si="21"/>
        <v>0</v>
      </c>
      <c r="L393" s="32">
        <f t="shared" si="22"/>
        <v>169</v>
      </c>
      <c r="M393" s="93">
        <f t="shared" si="23"/>
        <v>0</v>
      </c>
    </row>
    <row r="394" spans="1:13" s="59" customFormat="1" ht="72.5" x14ac:dyDescent="0.4">
      <c r="A394" s="16" t="s">
        <v>193</v>
      </c>
      <c r="B394" s="33"/>
      <c r="C394" s="96" t="s">
        <v>145</v>
      </c>
      <c r="D394" s="52">
        <v>3</v>
      </c>
      <c r="E394" s="60" t="s">
        <v>395</v>
      </c>
      <c r="F394" s="60" t="s">
        <v>223</v>
      </c>
      <c r="G394" s="60"/>
      <c r="H394" s="33"/>
      <c r="I394" s="33"/>
      <c r="J394" s="32">
        <f t="shared" si="20"/>
        <v>91</v>
      </c>
      <c r="K394" s="32">
        <f t="shared" si="21"/>
        <v>0</v>
      </c>
      <c r="L394" s="32">
        <f t="shared" si="22"/>
        <v>91</v>
      </c>
      <c r="M394" s="93">
        <f t="shared" si="23"/>
        <v>0</v>
      </c>
    </row>
    <row r="395" spans="1:13" s="59" customFormat="1" ht="58" x14ac:dyDescent="0.4">
      <c r="A395" s="16" t="s">
        <v>193</v>
      </c>
      <c r="B395" s="33"/>
      <c r="C395" s="96" t="s">
        <v>145</v>
      </c>
      <c r="D395" s="52">
        <v>4</v>
      </c>
      <c r="E395" s="60" t="s">
        <v>245</v>
      </c>
      <c r="F395" s="60" t="s">
        <v>246</v>
      </c>
      <c r="G395" s="60" t="s">
        <v>247</v>
      </c>
      <c r="H395" s="52"/>
      <c r="I395" s="33"/>
      <c r="J395" s="32">
        <f t="shared" si="20"/>
        <v>44</v>
      </c>
      <c r="K395" s="32">
        <f t="shared" si="21"/>
        <v>39</v>
      </c>
      <c r="L395" s="32">
        <f t="shared" si="22"/>
        <v>83</v>
      </c>
      <c r="M395" s="93">
        <f t="shared" si="23"/>
        <v>0</v>
      </c>
    </row>
    <row r="396" spans="1:13" s="59" customFormat="1" ht="43.5" x14ac:dyDescent="0.4">
      <c r="A396" s="16" t="s">
        <v>193</v>
      </c>
      <c r="B396" s="33"/>
      <c r="C396" s="96" t="s">
        <v>145</v>
      </c>
      <c r="D396" s="52">
        <v>5</v>
      </c>
      <c r="E396" s="60" t="s">
        <v>248</v>
      </c>
      <c r="F396" s="60" t="s">
        <v>249</v>
      </c>
      <c r="G396" s="60" t="s">
        <v>397</v>
      </c>
      <c r="H396" s="52"/>
      <c r="I396" s="33"/>
      <c r="J396" s="32">
        <f t="shared" si="20"/>
        <v>50</v>
      </c>
      <c r="K396" s="32">
        <f t="shared" si="21"/>
        <v>50</v>
      </c>
      <c r="L396" s="32">
        <f t="shared" si="22"/>
        <v>100</v>
      </c>
      <c r="M396" s="93">
        <f t="shared" si="23"/>
        <v>0</v>
      </c>
    </row>
    <row r="397" spans="1:13" s="59" customFormat="1" ht="409.5" x14ac:dyDescent="0.4">
      <c r="A397" s="16" t="s">
        <v>193</v>
      </c>
      <c r="B397" s="33"/>
      <c r="C397" s="96" t="s">
        <v>145</v>
      </c>
      <c r="D397" s="52">
        <v>6</v>
      </c>
      <c r="E397" s="60" t="s">
        <v>250</v>
      </c>
      <c r="F397" s="60" t="s">
        <v>461</v>
      </c>
      <c r="G397" s="60" t="s">
        <v>252</v>
      </c>
      <c r="H397" s="52"/>
      <c r="I397" s="33"/>
      <c r="J397" s="32">
        <f t="shared" si="20"/>
        <v>1155</v>
      </c>
      <c r="K397" s="32">
        <f t="shared" si="21"/>
        <v>1044</v>
      </c>
      <c r="L397" s="32">
        <f t="shared" si="22"/>
        <v>2199</v>
      </c>
      <c r="M397" s="94">
        <f t="shared" si="23"/>
        <v>1</v>
      </c>
    </row>
    <row r="398" spans="1:13" s="59" customFormat="1" ht="72.5" x14ac:dyDescent="0.4">
      <c r="A398" s="16" t="s">
        <v>193</v>
      </c>
      <c r="B398" s="33"/>
      <c r="C398" s="96" t="s">
        <v>145</v>
      </c>
      <c r="D398" s="52">
        <v>7</v>
      </c>
      <c r="E398" s="60" t="s">
        <v>462</v>
      </c>
      <c r="F398" s="41" t="s">
        <v>463</v>
      </c>
      <c r="G398" s="60"/>
      <c r="H398" s="52"/>
      <c r="I398" s="33"/>
      <c r="J398" s="32">
        <f t="shared" si="20"/>
        <v>87</v>
      </c>
      <c r="K398" s="32">
        <f t="shared" si="21"/>
        <v>0</v>
      </c>
      <c r="L398" s="32">
        <f t="shared" si="22"/>
        <v>87</v>
      </c>
      <c r="M398" s="93">
        <f t="shared" si="23"/>
        <v>0</v>
      </c>
    </row>
    <row r="399" spans="1:13" s="59" customFormat="1" ht="43.5" x14ac:dyDescent="0.4">
      <c r="A399" s="16" t="s">
        <v>193</v>
      </c>
      <c r="B399" s="33"/>
      <c r="C399" s="96" t="s">
        <v>145</v>
      </c>
      <c r="D399" s="52">
        <v>8</v>
      </c>
      <c r="E399" s="60" t="s">
        <v>228</v>
      </c>
      <c r="F399" s="60" t="s">
        <v>229</v>
      </c>
      <c r="G399" s="60"/>
      <c r="H399" s="52"/>
      <c r="I399" s="33"/>
      <c r="J399" s="32">
        <f t="shared" si="20"/>
        <v>24</v>
      </c>
      <c r="K399" s="32">
        <f t="shared" si="21"/>
        <v>0</v>
      </c>
      <c r="L399" s="32">
        <f t="shared" si="22"/>
        <v>24</v>
      </c>
      <c r="M399" s="93">
        <f t="shared" si="23"/>
        <v>0</v>
      </c>
    </row>
    <row r="400" spans="1:13" s="59" customFormat="1" ht="29" x14ac:dyDescent="0.4">
      <c r="A400" s="66"/>
      <c r="B400" s="49" t="s">
        <v>146</v>
      </c>
      <c r="C400" s="66" t="s">
        <v>458</v>
      </c>
      <c r="D400" s="67"/>
      <c r="E400" s="68"/>
      <c r="F400" s="68"/>
      <c r="G400" s="68"/>
      <c r="H400" s="67"/>
      <c r="I400" s="49"/>
      <c r="J400" s="32">
        <f t="shared" si="20"/>
        <v>0</v>
      </c>
      <c r="K400" s="32">
        <f t="shared" si="21"/>
        <v>0</v>
      </c>
      <c r="L400" s="32">
        <f t="shared" si="22"/>
        <v>0</v>
      </c>
      <c r="M400" s="93">
        <f t="shared" si="23"/>
        <v>0</v>
      </c>
    </row>
    <row r="401" spans="1:13" s="59" customFormat="1" ht="217.5" x14ac:dyDescent="0.4">
      <c r="A401" s="16" t="s">
        <v>193</v>
      </c>
      <c r="B401" s="33"/>
      <c r="C401" s="96" t="s">
        <v>147</v>
      </c>
      <c r="D401" s="52">
        <v>1</v>
      </c>
      <c r="E401" s="60" t="s">
        <v>238</v>
      </c>
      <c r="F401" s="60" t="s">
        <v>239</v>
      </c>
      <c r="G401" s="60" t="s">
        <v>264</v>
      </c>
      <c r="H401" s="33" t="s">
        <v>220</v>
      </c>
      <c r="I401" s="53" t="s">
        <v>464</v>
      </c>
      <c r="J401" s="32">
        <f t="shared" si="20"/>
        <v>86</v>
      </c>
      <c r="K401" s="32">
        <f t="shared" si="21"/>
        <v>85</v>
      </c>
      <c r="L401" s="32">
        <f t="shared" si="22"/>
        <v>171</v>
      </c>
      <c r="M401" s="93">
        <f t="shared" si="23"/>
        <v>0</v>
      </c>
    </row>
    <row r="402" spans="1:13" s="59" customFormat="1" ht="72.5" x14ac:dyDescent="0.4">
      <c r="A402" s="16" t="s">
        <v>193</v>
      </c>
      <c r="B402" s="33"/>
      <c r="C402" s="96" t="s">
        <v>147</v>
      </c>
      <c r="D402" s="52">
        <v>2</v>
      </c>
      <c r="E402" s="60" t="s">
        <v>243</v>
      </c>
      <c r="F402" s="60" t="s">
        <v>218</v>
      </c>
      <c r="G402" s="60"/>
      <c r="H402" s="33"/>
      <c r="I402" s="36" t="s">
        <v>465</v>
      </c>
      <c r="J402" s="32">
        <f t="shared" si="20"/>
        <v>168</v>
      </c>
      <c r="K402" s="32">
        <f t="shared" si="21"/>
        <v>0</v>
      </c>
      <c r="L402" s="32">
        <f t="shared" si="22"/>
        <v>168</v>
      </c>
      <c r="M402" s="93">
        <f t="shared" si="23"/>
        <v>0</v>
      </c>
    </row>
    <row r="403" spans="1:13" s="59" customFormat="1" ht="217.5" x14ac:dyDescent="0.4">
      <c r="A403" s="16" t="s">
        <v>193</v>
      </c>
      <c r="B403" s="33"/>
      <c r="C403" s="96" t="s">
        <v>147</v>
      </c>
      <c r="D403" s="52">
        <v>3</v>
      </c>
      <c r="E403" s="60" t="s">
        <v>395</v>
      </c>
      <c r="F403" s="75" t="s">
        <v>466</v>
      </c>
      <c r="G403" s="60"/>
      <c r="H403" s="64"/>
      <c r="I403" s="64"/>
      <c r="J403" s="32">
        <f t="shared" si="20"/>
        <v>319</v>
      </c>
      <c r="K403" s="32">
        <f t="shared" si="21"/>
        <v>0</v>
      </c>
      <c r="L403" s="32">
        <f t="shared" si="22"/>
        <v>319</v>
      </c>
      <c r="M403" s="93">
        <f t="shared" si="23"/>
        <v>0</v>
      </c>
    </row>
    <row r="404" spans="1:13" s="59" customFormat="1" ht="217.5" x14ac:dyDescent="0.4">
      <c r="A404" s="16" t="s">
        <v>193</v>
      </c>
      <c r="B404" s="33"/>
      <c r="C404" s="96" t="s">
        <v>147</v>
      </c>
      <c r="D404" s="52">
        <v>4</v>
      </c>
      <c r="E404" s="60" t="s">
        <v>256</v>
      </c>
      <c r="F404" s="75" t="s">
        <v>467</v>
      </c>
      <c r="G404" s="60"/>
      <c r="H404" s="52"/>
      <c r="I404" s="33"/>
      <c r="J404" s="32">
        <f t="shared" si="20"/>
        <v>421</v>
      </c>
      <c r="K404" s="32">
        <f t="shared" si="21"/>
        <v>0</v>
      </c>
      <c r="L404" s="32">
        <f t="shared" si="22"/>
        <v>421</v>
      </c>
      <c r="M404" s="93">
        <f t="shared" si="23"/>
        <v>0</v>
      </c>
    </row>
    <row r="405" spans="1:13" s="59" customFormat="1" ht="261" x14ac:dyDescent="0.4">
      <c r="A405" s="16" t="s">
        <v>193</v>
      </c>
      <c r="B405" s="33"/>
      <c r="C405" s="96" t="s">
        <v>147</v>
      </c>
      <c r="D405" s="52">
        <v>5</v>
      </c>
      <c r="E405" s="60" t="s">
        <v>403</v>
      </c>
      <c r="F405" s="60" t="s">
        <v>259</v>
      </c>
      <c r="G405" s="60"/>
      <c r="H405" s="52"/>
      <c r="I405" s="33"/>
      <c r="J405" s="32">
        <f t="shared" ref="J405:J468" si="24">+LEN(F405)</f>
        <v>51</v>
      </c>
      <c r="K405" s="32">
        <f t="shared" ref="K405:K468" si="25">+LEN(G405)</f>
        <v>0</v>
      </c>
      <c r="L405" s="32">
        <f t="shared" ref="L405:L468" si="26">+J405+K405</f>
        <v>51</v>
      </c>
      <c r="M405" s="93">
        <f t="shared" ref="M405:M468" si="27">+IF(L405&lt;=1000,0,1)</f>
        <v>0</v>
      </c>
    </row>
    <row r="406" spans="1:13" s="59" customFormat="1" ht="409.5" x14ac:dyDescent="0.4">
      <c r="A406" s="16" t="s">
        <v>193</v>
      </c>
      <c r="B406" s="33"/>
      <c r="C406" s="96" t="s">
        <v>147</v>
      </c>
      <c r="D406" s="52">
        <v>6</v>
      </c>
      <c r="E406" s="60" t="s">
        <v>404</v>
      </c>
      <c r="F406" s="60" t="s">
        <v>468</v>
      </c>
      <c r="G406" s="60" t="s">
        <v>418</v>
      </c>
      <c r="H406" s="52"/>
      <c r="I406" s="33"/>
      <c r="J406" s="32">
        <f t="shared" si="24"/>
        <v>1168</v>
      </c>
      <c r="K406" s="32">
        <f t="shared" si="25"/>
        <v>911</v>
      </c>
      <c r="L406" s="32">
        <f t="shared" si="26"/>
        <v>2079</v>
      </c>
      <c r="M406" s="94">
        <f t="shared" si="27"/>
        <v>1</v>
      </c>
    </row>
    <row r="407" spans="1:13" s="59" customFormat="1" ht="72.5" x14ac:dyDescent="0.4">
      <c r="A407" s="16" t="s">
        <v>193</v>
      </c>
      <c r="B407" s="33"/>
      <c r="C407" s="96" t="s">
        <v>147</v>
      </c>
      <c r="D407" s="52">
        <v>7</v>
      </c>
      <c r="E407" s="60" t="s">
        <v>462</v>
      </c>
      <c r="F407" s="41" t="s">
        <v>463</v>
      </c>
      <c r="G407" s="60"/>
      <c r="H407" s="52"/>
      <c r="I407" s="33"/>
      <c r="J407" s="32">
        <f t="shared" si="24"/>
        <v>87</v>
      </c>
      <c r="K407" s="32">
        <f t="shared" si="25"/>
        <v>0</v>
      </c>
      <c r="L407" s="32">
        <f t="shared" si="26"/>
        <v>87</v>
      </c>
      <c r="M407" s="93">
        <f t="shared" si="27"/>
        <v>0</v>
      </c>
    </row>
    <row r="408" spans="1:13" s="59" customFormat="1" ht="43.5" x14ac:dyDescent="0.4">
      <c r="A408" s="16" t="s">
        <v>193</v>
      </c>
      <c r="B408" s="33"/>
      <c r="C408" s="96" t="s">
        <v>147</v>
      </c>
      <c r="D408" s="52">
        <v>8</v>
      </c>
      <c r="E408" s="60" t="s">
        <v>228</v>
      </c>
      <c r="F408" s="60" t="s">
        <v>229</v>
      </c>
      <c r="G408" s="60"/>
      <c r="H408" s="52"/>
      <c r="I408" s="33"/>
      <c r="J408" s="32">
        <f t="shared" si="24"/>
        <v>24</v>
      </c>
      <c r="K408" s="32">
        <f t="shared" si="25"/>
        <v>0</v>
      </c>
      <c r="L408" s="32">
        <f t="shared" si="26"/>
        <v>24</v>
      </c>
      <c r="M408" s="93">
        <f t="shared" si="27"/>
        <v>0</v>
      </c>
    </row>
    <row r="409" spans="1:13" s="59" customFormat="1" ht="15" x14ac:dyDescent="0.4">
      <c r="A409" s="55"/>
      <c r="B409" s="49" t="s">
        <v>148</v>
      </c>
      <c r="C409" s="66" t="s">
        <v>335</v>
      </c>
      <c r="D409" s="57"/>
      <c r="E409" s="56"/>
      <c r="F409" s="56"/>
      <c r="G409" s="56"/>
      <c r="H409" s="57"/>
      <c r="I409" s="58"/>
      <c r="J409" s="32">
        <f t="shared" si="24"/>
        <v>0</v>
      </c>
      <c r="K409" s="32">
        <f t="shared" si="25"/>
        <v>0</v>
      </c>
      <c r="L409" s="32">
        <f t="shared" si="26"/>
        <v>0</v>
      </c>
      <c r="M409" s="93">
        <f t="shared" si="27"/>
        <v>0</v>
      </c>
    </row>
    <row r="410" spans="1:13" s="59" customFormat="1" ht="101.5" x14ac:dyDescent="0.4">
      <c r="A410" s="16" t="s">
        <v>193</v>
      </c>
      <c r="B410" s="33"/>
      <c r="C410" s="95" t="s">
        <v>149</v>
      </c>
      <c r="D410" s="52">
        <v>1</v>
      </c>
      <c r="E410" s="60" t="s">
        <v>238</v>
      </c>
      <c r="F410" s="60" t="s">
        <v>239</v>
      </c>
      <c r="G410" s="60" t="s">
        <v>264</v>
      </c>
      <c r="H410" s="33" t="s">
        <v>220</v>
      </c>
      <c r="I410" s="33" t="s">
        <v>309</v>
      </c>
      <c r="J410" s="32">
        <f t="shared" si="24"/>
        <v>86</v>
      </c>
      <c r="K410" s="32">
        <f t="shared" si="25"/>
        <v>85</v>
      </c>
      <c r="L410" s="32">
        <f t="shared" si="26"/>
        <v>171</v>
      </c>
      <c r="M410" s="93">
        <f t="shared" si="27"/>
        <v>0</v>
      </c>
    </row>
    <row r="411" spans="1:13" s="59" customFormat="1" ht="87" x14ac:dyDescent="0.4">
      <c r="A411" s="16" t="s">
        <v>193</v>
      </c>
      <c r="B411" s="33"/>
      <c r="C411" s="95" t="s">
        <v>149</v>
      </c>
      <c r="D411" s="52">
        <v>2</v>
      </c>
      <c r="E411" s="60" t="s">
        <v>243</v>
      </c>
      <c r="F411" s="60" t="s">
        <v>469</v>
      </c>
      <c r="G411" s="60"/>
      <c r="H411" s="33"/>
      <c r="I411" s="33"/>
      <c r="J411" s="32">
        <f t="shared" si="24"/>
        <v>168</v>
      </c>
      <c r="K411" s="32">
        <f t="shared" si="25"/>
        <v>0</v>
      </c>
      <c r="L411" s="32">
        <f t="shared" si="26"/>
        <v>168</v>
      </c>
      <c r="M411" s="93">
        <f t="shared" si="27"/>
        <v>0</v>
      </c>
    </row>
    <row r="412" spans="1:13" s="59" customFormat="1" ht="72.5" x14ac:dyDescent="0.4">
      <c r="A412" s="16" t="s">
        <v>193</v>
      </c>
      <c r="B412" s="33"/>
      <c r="C412" s="95" t="s">
        <v>149</v>
      </c>
      <c r="D412" s="52">
        <v>3</v>
      </c>
      <c r="E412" s="60" t="s">
        <v>395</v>
      </c>
      <c r="F412" s="60" t="s">
        <v>223</v>
      </c>
      <c r="G412" s="60"/>
      <c r="H412" s="33"/>
      <c r="I412" s="33"/>
      <c r="J412" s="32">
        <f t="shared" si="24"/>
        <v>91</v>
      </c>
      <c r="K412" s="32">
        <f t="shared" si="25"/>
        <v>0</v>
      </c>
      <c r="L412" s="32">
        <f t="shared" si="26"/>
        <v>91</v>
      </c>
      <c r="M412" s="93">
        <f t="shared" si="27"/>
        <v>0</v>
      </c>
    </row>
    <row r="413" spans="1:13" s="59" customFormat="1" ht="217.5" x14ac:dyDescent="0.4">
      <c r="A413" s="16" t="s">
        <v>193</v>
      </c>
      <c r="B413" s="33"/>
      <c r="C413" s="95" t="s">
        <v>149</v>
      </c>
      <c r="D413" s="52">
        <v>4</v>
      </c>
      <c r="E413" s="60" t="s">
        <v>256</v>
      </c>
      <c r="F413" s="60" t="s">
        <v>470</v>
      </c>
      <c r="G413" s="60"/>
      <c r="H413" s="52"/>
      <c r="I413" s="33"/>
      <c r="J413" s="32">
        <f t="shared" si="24"/>
        <v>419</v>
      </c>
      <c r="K413" s="32">
        <f t="shared" si="25"/>
        <v>0</v>
      </c>
      <c r="L413" s="32">
        <f t="shared" si="26"/>
        <v>419</v>
      </c>
      <c r="M413" s="93">
        <f t="shared" si="27"/>
        <v>0</v>
      </c>
    </row>
    <row r="414" spans="1:13" s="59" customFormat="1" ht="261" x14ac:dyDescent="0.4">
      <c r="A414" s="16" t="s">
        <v>193</v>
      </c>
      <c r="B414" s="33"/>
      <c r="C414" s="95" t="s">
        <v>149</v>
      </c>
      <c r="D414" s="52">
        <v>5</v>
      </c>
      <c r="E414" s="60" t="s">
        <v>471</v>
      </c>
      <c r="F414" s="60" t="s">
        <v>259</v>
      </c>
      <c r="G414" s="60"/>
      <c r="H414" s="52"/>
      <c r="I414" s="33"/>
      <c r="J414" s="32">
        <f t="shared" si="24"/>
        <v>51</v>
      </c>
      <c r="K414" s="32">
        <f t="shared" si="25"/>
        <v>0</v>
      </c>
      <c r="L414" s="32">
        <f t="shared" si="26"/>
        <v>51</v>
      </c>
      <c r="M414" s="93">
        <f t="shared" si="27"/>
        <v>0</v>
      </c>
    </row>
    <row r="415" spans="1:13" ht="409.5" x14ac:dyDescent="0.4">
      <c r="A415" s="16" t="s">
        <v>193</v>
      </c>
      <c r="B415" s="33"/>
      <c r="C415" s="95" t="s">
        <v>149</v>
      </c>
      <c r="D415" s="52">
        <v>6</v>
      </c>
      <c r="E415" s="60" t="s">
        <v>404</v>
      </c>
      <c r="F415" s="60" t="s">
        <v>472</v>
      </c>
      <c r="G415" s="60" t="s">
        <v>418</v>
      </c>
      <c r="H415" s="52"/>
      <c r="I415" s="33"/>
      <c r="J415" s="32">
        <f t="shared" si="24"/>
        <v>1166</v>
      </c>
      <c r="K415" s="32">
        <f t="shared" si="25"/>
        <v>911</v>
      </c>
      <c r="L415" s="32">
        <f t="shared" si="26"/>
        <v>2077</v>
      </c>
      <c r="M415" s="94">
        <f t="shared" si="27"/>
        <v>1</v>
      </c>
    </row>
    <row r="416" spans="1:13" ht="275.5" x14ac:dyDescent="0.4">
      <c r="A416" s="16" t="s">
        <v>193</v>
      </c>
      <c r="B416" s="33"/>
      <c r="C416" s="95" t="s">
        <v>149</v>
      </c>
      <c r="D416" s="52">
        <v>7</v>
      </c>
      <c r="E416" s="60" t="s">
        <v>341</v>
      </c>
      <c r="F416" s="60" t="s">
        <v>473</v>
      </c>
      <c r="G416" s="60" t="s">
        <v>474</v>
      </c>
      <c r="H416" s="52"/>
      <c r="I416" s="33"/>
      <c r="J416" s="32">
        <f t="shared" si="24"/>
        <v>733</v>
      </c>
      <c r="K416" s="32">
        <f t="shared" si="25"/>
        <v>440</v>
      </c>
      <c r="L416" s="32">
        <f t="shared" si="26"/>
        <v>1173</v>
      </c>
      <c r="M416" s="94">
        <f t="shared" si="27"/>
        <v>1</v>
      </c>
    </row>
    <row r="417" spans="1:13" ht="72.5" x14ac:dyDescent="0.4">
      <c r="A417" s="16" t="s">
        <v>193</v>
      </c>
      <c r="B417" s="33"/>
      <c r="C417" s="95" t="s">
        <v>149</v>
      </c>
      <c r="D417" s="52">
        <v>8</v>
      </c>
      <c r="E417" s="60" t="s">
        <v>344</v>
      </c>
      <c r="F417" s="60" t="s">
        <v>475</v>
      </c>
      <c r="G417" s="60" t="s">
        <v>302</v>
      </c>
      <c r="H417" s="52"/>
      <c r="I417" s="33"/>
      <c r="J417" s="32">
        <f t="shared" si="24"/>
        <v>107</v>
      </c>
      <c r="K417" s="32">
        <f t="shared" si="25"/>
        <v>98</v>
      </c>
      <c r="L417" s="32">
        <f t="shared" si="26"/>
        <v>205</v>
      </c>
      <c r="M417" s="93">
        <f t="shared" si="27"/>
        <v>0</v>
      </c>
    </row>
    <row r="418" spans="1:13" ht="43.5" x14ac:dyDescent="0.4">
      <c r="A418" s="16" t="s">
        <v>193</v>
      </c>
      <c r="B418" s="33"/>
      <c r="C418" s="95" t="s">
        <v>149</v>
      </c>
      <c r="D418" s="52">
        <v>9</v>
      </c>
      <c r="E418" s="60" t="s">
        <v>228</v>
      </c>
      <c r="F418" s="60" t="s">
        <v>229</v>
      </c>
      <c r="G418" s="60"/>
      <c r="H418" s="52"/>
      <c r="I418" s="33"/>
      <c r="J418" s="32">
        <f t="shared" si="24"/>
        <v>24</v>
      </c>
      <c r="K418" s="32">
        <f t="shared" si="25"/>
        <v>0</v>
      </c>
      <c r="L418" s="32">
        <f t="shared" si="26"/>
        <v>24</v>
      </c>
      <c r="M418" s="93">
        <f t="shared" si="27"/>
        <v>0</v>
      </c>
    </row>
    <row r="419" spans="1:13" ht="15" x14ac:dyDescent="0.4">
      <c r="A419" s="55"/>
      <c r="B419" s="49" t="s">
        <v>150</v>
      </c>
      <c r="C419" s="66" t="s">
        <v>335</v>
      </c>
      <c r="D419" s="57"/>
      <c r="E419" s="56"/>
      <c r="F419" s="56"/>
      <c r="G419" s="56"/>
      <c r="H419" s="57"/>
      <c r="I419" s="58"/>
      <c r="J419" s="32">
        <f t="shared" si="24"/>
        <v>0</v>
      </c>
      <c r="K419" s="32">
        <f t="shared" si="25"/>
        <v>0</v>
      </c>
      <c r="L419" s="32">
        <f t="shared" si="26"/>
        <v>0</v>
      </c>
      <c r="M419" s="93">
        <f t="shared" si="27"/>
        <v>0</v>
      </c>
    </row>
    <row r="420" spans="1:13" ht="101.5" x14ac:dyDescent="0.4">
      <c r="A420" s="16" t="s">
        <v>193</v>
      </c>
      <c r="B420" s="33"/>
      <c r="C420" s="95" t="s">
        <v>151</v>
      </c>
      <c r="D420" s="52">
        <v>1</v>
      </c>
      <c r="E420" s="60" t="s">
        <v>238</v>
      </c>
      <c r="F420" s="60" t="s">
        <v>239</v>
      </c>
      <c r="G420" s="60" t="s">
        <v>240</v>
      </c>
      <c r="H420" s="33" t="s">
        <v>220</v>
      </c>
      <c r="I420" s="33" t="s">
        <v>309</v>
      </c>
      <c r="J420" s="32">
        <f t="shared" si="24"/>
        <v>86</v>
      </c>
      <c r="K420" s="32">
        <f t="shared" si="25"/>
        <v>84</v>
      </c>
      <c r="L420" s="32">
        <f t="shared" si="26"/>
        <v>170</v>
      </c>
      <c r="M420" s="93">
        <f t="shared" si="27"/>
        <v>0</v>
      </c>
    </row>
    <row r="421" spans="1:13" ht="72.5" x14ac:dyDescent="0.4">
      <c r="A421" s="16" t="s">
        <v>193</v>
      </c>
      <c r="B421" s="33"/>
      <c r="C421" s="95" t="s">
        <v>151</v>
      </c>
      <c r="D421" s="52">
        <v>2</v>
      </c>
      <c r="E421" s="60" t="s">
        <v>243</v>
      </c>
      <c r="F421" s="60" t="s">
        <v>218</v>
      </c>
      <c r="G421" s="60"/>
      <c r="H421" s="33"/>
      <c r="I421" s="33"/>
      <c r="J421" s="32">
        <f t="shared" si="24"/>
        <v>168</v>
      </c>
      <c r="K421" s="32">
        <f t="shared" si="25"/>
        <v>0</v>
      </c>
      <c r="L421" s="32">
        <f t="shared" si="26"/>
        <v>168</v>
      </c>
      <c r="M421" s="93">
        <f t="shared" si="27"/>
        <v>0</v>
      </c>
    </row>
    <row r="422" spans="1:13" ht="246.5" x14ac:dyDescent="0.4">
      <c r="A422" s="16" t="s">
        <v>193</v>
      </c>
      <c r="B422" s="33"/>
      <c r="C422" s="95" t="s">
        <v>151</v>
      </c>
      <c r="D422" s="52">
        <v>3</v>
      </c>
      <c r="E422" s="60" t="s">
        <v>395</v>
      </c>
      <c r="F422" s="60" t="s">
        <v>476</v>
      </c>
      <c r="G422" s="60"/>
      <c r="H422" s="33"/>
      <c r="I422" s="33"/>
      <c r="J422" s="32">
        <f t="shared" si="24"/>
        <v>361</v>
      </c>
      <c r="K422" s="32">
        <f t="shared" si="25"/>
        <v>0</v>
      </c>
      <c r="L422" s="32">
        <f t="shared" si="26"/>
        <v>361</v>
      </c>
      <c r="M422" s="93">
        <f t="shared" si="27"/>
        <v>0</v>
      </c>
    </row>
    <row r="423" spans="1:13" ht="58" x14ac:dyDescent="0.4">
      <c r="A423" s="16" t="s">
        <v>193</v>
      </c>
      <c r="B423" s="33"/>
      <c r="C423" s="95" t="s">
        <v>151</v>
      </c>
      <c r="D423" s="52">
        <v>4</v>
      </c>
      <c r="E423" s="60" t="s">
        <v>245</v>
      </c>
      <c r="F423" s="60" t="s">
        <v>246</v>
      </c>
      <c r="G423" s="60" t="s">
        <v>247</v>
      </c>
      <c r="H423" s="52"/>
      <c r="I423" s="33"/>
      <c r="J423" s="32">
        <f t="shared" si="24"/>
        <v>44</v>
      </c>
      <c r="K423" s="32">
        <f t="shared" si="25"/>
        <v>39</v>
      </c>
      <c r="L423" s="32">
        <f t="shared" si="26"/>
        <v>83</v>
      </c>
      <c r="M423" s="93">
        <f t="shared" si="27"/>
        <v>0</v>
      </c>
    </row>
    <row r="424" spans="1:13" ht="43.5" x14ac:dyDescent="0.4">
      <c r="A424" s="16" t="s">
        <v>193</v>
      </c>
      <c r="B424" s="33"/>
      <c r="C424" s="95" t="s">
        <v>151</v>
      </c>
      <c r="D424" s="52">
        <v>5</v>
      </c>
      <c r="E424" s="60" t="s">
        <v>248</v>
      </c>
      <c r="F424" s="60" t="s">
        <v>249</v>
      </c>
      <c r="G424" s="60" t="s">
        <v>397</v>
      </c>
      <c r="H424" s="52"/>
      <c r="I424" s="33"/>
      <c r="J424" s="32">
        <f t="shared" si="24"/>
        <v>50</v>
      </c>
      <c r="K424" s="32">
        <f t="shared" si="25"/>
        <v>50</v>
      </c>
      <c r="L424" s="32">
        <f t="shared" si="26"/>
        <v>100</v>
      </c>
      <c r="M424" s="93">
        <f t="shared" si="27"/>
        <v>0</v>
      </c>
    </row>
    <row r="425" spans="1:13" ht="409.5" x14ac:dyDescent="0.4">
      <c r="A425" s="16" t="s">
        <v>193</v>
      </c>
      <c r="B425" s="33"/>
      <c r="C425" s="95" t="s">
        <v>151</v>
      </c>
      <c r="D425" s="52">
        <v>6</v>
      </c>
      <c r="E425" s="60" t="s">
        <v>250</v>
      </c>
      <c r="F425" s="75" t="s">
        <v>477</v>
      </c>
      <c r="G425" s="60" t="s">
        <v>252</v>
      </c>
      <c r="H425" s="52"/>
      <c r="I425" s="33"/>
      <c r="J425" s="32">
        <f t="shared" si="24"/>
        <v>1165</v>
      </c>
      <c r="K425" s="32">
        <f t="shared" si="25"/>
        <v>1044</v>
      </c>
      <c r="L425" s="32">
        <f t="shared" si="26"/>
        <v>2209</v>
      </c>
      <c r="M425" s="94">
        <f t="shared" si="27"/>
        <v>1</v>
      </c>
    </row>
    <row r="426" spans="1:13" ht="275.5" x14ac:dyDescent="0.4">
      <c r="A426" s="16" t="s">
        <v>193</v>
      </c>
      <c r="B426" s="33"/>
      <c r="C426" s="95" t="s">
        <v>151</v>
      </c>
      <c r="D426" s="52">
        <v>7</v>
      </c>
      <c r="E426" s="60" t="s">
        <v>478</v>
      </c>
      <c r="F426" s="60" t="s">
        <v>473</v>
      </c>
      <c r="G426" s="60" t="s">
        <v>474</v>
      </c>
      <c r="H426" s="52"/>
      <c r="I426" s="33"/>
      <c r="J426" s="32">
        <f t="shared" si="24"/>
        <v>733</v>
      </c>
      <c r="K426" s="32">
        <f t="shared" si="25"/>
        <v>440</v>
      </c>
      <c r="L426" s="32">
        <f t="shared" si="26"/>
        <v>1173</v>
      </c>
      <c r="M426" s="94">
        <f t="shared" si="27"/>
        <v>1</v>
      </c>
    </row>
    <row r="427" spans="1:13" ht="72.5" x14ac:dyDescent="0.4">
      <c r="A427" s="16" t="s">
        <v>193</v>
      </c>
      <c r="B427" s="33"/>
      <c r="C427" s="95" t="s">
        <v>151</v>
      </c>
      <c r="D427" s="52">
        <v>8</v>
      </c>
      <c r="E427" s="60" t="s">
        <v>344</v>
      </c>
      <c r="F427" s="60" t="s">
        <v>475</v>
      </c>
      <c r="G427" s="60" t="s">
        <v>302</v>
      </c>
      <c r="H427" s="52"/>
      <c r="I427" s="33"/>
      <c r="J427" s="32">
        <f t="shared" si="24"/>
        <v>107</v>
      </c>
      <c r="K427" s="32">
        <f t="shared" si="25"/>
        <v>98</v>
      </c>
      <c r="L427" s="32">
        <f t="shared" si="26"/>
        <v>205</v>
      </c>
      <c r="M427" s="93">
        <f t="shared" si="27"/>
        <v>0</v>
      </c>
    </row>
    <row r="428" spans="1:13" ht="43.5" x14ac:dyDescent="0.4">
      <c r="A428" s="16" t="s">
        <v>193</v>
      </c>
      <c r="B428" s="33"/>
      <c r="C428" s="95" t="s">
        <v>151</v>
      </c>
      <c r="D428" s="52">
        <v>9</v>
      </c>
      <c r="E428" s="60" t="s">
        <v>228</v>
      </c>
      <c r="F428" s="60" t="s">
        <v>229</v>
      </c>
      <c r="G428" s="60"/>
      <c r="H428" s="52"/>
      <c r="I428" s="33"/>
      <c r="J428" s="32">
        <f t="shared" si="24"/>
        <v>24</v>
      </c>
      <c r="K428" s="32">
        <f t="shared" si="25"/>
        <v>0</v>
      </c>
      <c r="L428" s="32">
        <f t="shared" si="26"/>
        <v>24</v>
      </c>
      <c r="M428" s="93">
        <f t="shared" si="27"/>
        <v>0</v>
      </c>
    </row>
    <row r="429" spans="1:13" ht="15" x14ac:dyDescent="0.4">
      <c r="A429" s="55"/>
      <c r="B429" s="49" t="s">
        <v>152</v>
      </c>
      <c r="C429" s="66" t="s">
        <v>479</v>
      </c>
      <c r="D429" s="57"/>
      <c r="E429" s="56"/>
      <c r="F429" s="56"/>
      <c r="G429" s="56"/>
      <c r="H429" s="57"/>
      <c r="I429" s="58"/>
      <c r="J429" s="32">
        <f t="shared" si="24"/>
        <v>0</v>
      </c>
      <c r="K429" s="32">
        <f t="shared" si="25"/>
        <v>0</v>
      </c>
      <c r="L429" s="32">
        <f t="shared" si="26"/>
        <v>0</v>
      </c>
      <c r="M429" s="93">
        <f t="shared" si="27"/>
        <v>0</v>
      </c>
    </row>
    <row r="430" spans="1:13" ht="101.5" x14ac:dyDescent="0.4">
      <c r="A430" s="16" t="s">
        <v>193</v>
      </c>
      <c r="B430" s="33"/>
      <c r="C430" s="96" t="s">
        <v>153</v>
      </c>
      <c r="D430" s="52">
        <v>1</v>
      </c>
      <c r="E430" s="60" t="s">
        <v>238</v>
      </c>
      <c r="F430" s="60" t="s">
        <v>239</v>
      </c>
      <c r="G430" s="60" t="s">
        <v>264</v>
      </c>
      <c r="H430" s="33" t="s">
        <v>220</v>
      </c>
      <c r="I430" s="33" t="s">
        <v>309</v>
      </c>
      <c r="J430" s="32">
        <f t="shared" si="24"/>
        <v>86</v>
      </c>
      <c r="K430" s="32">
        <f t="shared" si="25"/>
        <v>85</v>
      </c>
      <c r="L430" s="32">
        <f t="shared" si="26"/>
        <v>171</v>
      </c>
      <c r="M430" s="93">
        <f t="shared" si="27"/>
        <v>0</v>
      </c>
    </row>
    <row r="431" spans="1:13" ht="72.5" x14ac:dyDescent="0.4">
      <c r="A431" s="16" t="s">
        <v>193</v>
      </c>
      <c r="B431" s="33"/>
      <c r="C431" s="96" t="s">
        <v>153</v>
      </c>
      <c r="D431" s="52">
        <v>2</v>
      </c>
      <c r="E431" s="60" t="s">
        <v>243</v>
      </c>
      <c r="F431" s="60" t="s">
        <v>480</v>
      </c>
      <c r="G431" s="60"/>
      <c r="H431" s="33"/>
      <c r="I431" s="33"/>
      <c r="J431" s="32">
        <f t="shared" si="24"/>
        <v>168</v>
      </c>
      <c r="K431" s="32">
        <f t="shared" si="25"/>
        <v>0</v>
      </c>
      <c r="L431" s="32">
        <f t="shared" si="26"/>
        <v>168</v>
      </c>
      <c r="M431" s="93">
        <f t="shared" si="27"/>
        <v>0</v>
      </c>
    </row>
    <row r="432" spans="1:13" ht="72.5" x14ac:dyDescent="0.4">
      <c r="A432" s="16" t="s">
        <v>193</v>
      </c>
      <c r="B432" s="33"/>
      <c r="C432" s="96" t="s">
        <v>153</v>
      </c>
      <c r="D432" s="52">
        <v>3</v>
      </c>
      <c r="E432" s="60" t="s">
        <v>395</v>
      </c>
      <c r="F432" s="60" t="s">
        <v>223</v>
      </c>
      <c r="G432" s="60"/>
      <c r="H432" s="33"/>
      <c r="I432" s="33"/>
      <c r="J432" s="32">
        <f t="shared" si="24"/>
        <v>91</v>
      </c>
      <c r="K432" s="32">
        <f t="shared" si="25"/>
        <v>0</v>
      </c>
      <c r="L432" s="32">
        <f t="shared" si="26"/>
        <v>91</v>
      </c>
      <c r="M432" s="93">
        <f t="shared" si="27"/>
        <v>0</v>
      </c>
    </row>
    <row r="433" spans="1:13" ht="217.5" x14ac:dyDescent="0.4">
      <c r="A433" s="16" t="s">
        <v>193</v>
      </c>
      <c r="B433" s="33"/>
      <c r="C433" s="96" t="s">
        <v>153</v>
      </c>
      <c r="D433" s="52">
        <v>4</v>
      </c>
      <c r="E433" s="60" t="s">
        <v>256</v>
      </c>
      <c r="F433" s="60" t="s">
        <v>481</v>
      </c>
      <c r="G433" s="60"/>
      <c r="H433" s="52"/>
      <c r="I433" s="33"/>
      <c r="J433" s="32">
        <f t="shared" si="24"/>
        <v>420</v>
      </c>
      <c r="K433" s="32">
        <f t="shared" si="25"/>
        <v>0</v>
      </c>
      <c r="L433" s="32">
        <f t="shared" si="26"/>
        <v>420</v>
      </c>
      <c r="M433" s="93">
        <f t="shared" si="27"/>
        <v>0</v>
      </c>
    </row>
    <row r="434" spans="1:13" ht="261" x14ac:dyDescent="0.4">
      <c r="A434" s="16" t="s">
        <v>193</v>
      </c>
      <c r="B434" s="33"/>
      <c r="C434" s="96" t="s">
        <v>153</v>
      </c>
      <c r="D434" s="52">
        <v>5</v>
      </c>
      <c r="E434" s="60" t="s">
        <v>482</v>
      </c>
      <c r="F434" s="60" t="s">
        <v>259</v>
      </c>
      <c r="G434" s="60"/>
      <c r="H434" s="52"/>
      <c r="I434" s="33"/>
      <c r="J434" s="32">
        <f t="shared" si="24"/>
        <v>51</v>
      </c>
      <c r="K434" s="32">
        <f t="shared" si="25"/>
        <v>0</v>
      </c>
      <c r="L434" s="32">
        <f t="shared" si="26"/>
        <v>51</v>
      </c>
      <c r="M434" s="93">
        <f t="shared" si="27"/>
        <v>0</v>
      </c>
    </row>
    <row r="435" spans="1:13" ht="409.5" x14ac:dyDescent="0.4">
      <c r="A435" s="16" t="s">
        <v>193</v>
      </c>
      <c r="B435" s="33"/>
      <c r="C435" s="96" t="s">
        <v>153</v>
      </c>
      <c r="D435" s="52">
        <v>6</v>
      </c>
      <c r="E435" s="60" t="s">
        <v>404</v>
      </c>
      <c r="F435" s="60" t="s">
        <v>405</v>
      </c>
      <c r="G435" s="60" t="s">
        <v>418</v>
      </c>
      <c r="H435" s="52"/>
      <c r="I435" s="33"/>
      <c r="J435" s="32">
        <f t="shared" si="24"/>
        <v>1167</v>
      </c>
      <c r="K435" s="32">
        <f t="shared" si="25"/>
        <v>911</v>
      </c>
      <c r="L435" s="32">
        <f t="shared" si="26"/>
        <v>2078</v>
      </c>
      <c r="M435" s="94">
        <f t="shared" si="27"/>
        <v>1</v>
      </c>
    </row>
    <row r="436" spans="1:13" ht="232" x14ac:dyDescent="0.4">
      <c r="A436" s="16" t="s">
        <v>193</v>
      </c>
      <c r="B436" s="33"/>
      <c r="C436" s="96" t="s">
        <v>153</v>
      </c>
      <c r="D436" s="52">
        <v>7</v>
      </c>
      <c r="E436" s="60" t="s">
        <v>354</v>
      </c>
      <c r="F436" s="60" t="s">
        <v>483</v>
      </c>
      <c r="G436" s="60"/>
      <c r="H436" s="52"/>
      <c r="I436" s="33"/>
      <c r="J436" s="32">
        <f t="shared" si="24"/>
        <v>610</v>
      </c>
      <c r="K436" s="32">
        <f t="shared" si="25"/>
        <v>0</v>
      </c>
      <c r="L436" s="32">
        <f t="shared" si="26"/>
        <v>610</v>
      </c>
      <c r="M436" s="93">
        <f t="shared" si="27"/>
        <v>0</v>
      </c>
    </row>
    <row r="437" spans="1:13" ht="72.5" x14ac:dyDescent="0.4">
      <c r="A437" s="16" t="s">
        <v>193</v>
      </c>
      <c r="B437" s="33"/>
      <c r="C437" s="96" t="s">
        <v>153</v>
      </c>
      <c r="D437" s="52">
        <v>8</v>
      </c>
      <c r="E437" s="60" t="s">
        <v>344</v>
      </c>
      <c r="F437" s="60" t="s">
        <v>357</v>
      </c>
      <c r="G437" s="60" t="s">
        <v>302</v>
      </c>
      <c r="H437" s="52"/>
      <c r="I437" s="33"/>
      <c r="J437" s="32">
        <f t="shared" si="24"/>
        <v>93</v>
      </c>
      <c r="K437" s="32">
        <f t="shared" si="25"/>
        <v>98</v>
      </c>
      <c r="L437" s="32">
        <f t="shared" si="26"/>
        <v>191</v>
      </c>
      <c r="M437" s="93">
        <f t="shared" si="27"/>
        <v>0</v>
      </c>
    </row>
    <row r="438" spans="1:13" ht="43.5" x14ac:dyDescent="0.4">
      <c r="A438" s="16" t="s">
        <v>193</v>
      </c>
      <c r="B438" s="33"/>
      <c r="C438" s="96" t="s">
        <v>153</v>
      </c>
      <c r="D438" s="52">
        <v>9</v>
      </c>
      <c r="E438" s="60" t="s">
        <v>228</v>
      </c>
      <c r="F438" s="60" t="s">
        <v>229</v>
      </c>
      <c r="G438" s="60"/>
      <c r="H438" s="52"/>
      <c r="I438" s="33"/>
      <c r="J438" s="32">
        <f t="shared" si="24"/>
        <v>24</v>
      </c>
      <c r="K438" s="32">
        <f t="shared" si="25"/>
        <v>0</v>
      </c>
      <c r="L438" s="32">
        <f t="shared" si="26"/>
        <v>24</v>
      </c>
      <c r="M438" s="93">
        <f t="shared" si="27"/>
        <v>0</v>
      </c>
    </row>
    <row r="439" spans="1:13" ht="15" x14ac:dyDescent="0.4">
      <c r="A439" s="55"/>
      <c r="B439" s="49" t="s">
        <v>154</v>
      </c>
      <c r="C439" s="66" t="s">
        <v>358</v>
      </c>
      <c r="D439" s="57"/>
      <c r="E439" s="56"/>
      <c r="F439" s="56"/>
      <c r="G439" s="56"/>
      <c r="H439" s="57"/>
      <c r="I439" s="58"/>
      <c r="J439" s="32">
        <f t="shared" si="24"/>
        <v>0</v>
      </c>
      <c r="K439" s="32">
        <f t="shared" si="25"/>
        <v>0</v>
      </c>
      <c r="L439" s="32">
        <f t="shared" si="26"/>
        <v>0</v>
      </c>
      <c r="M439" s="93">
        <f t="shared" si="27"/>
        <v>0</v>
      </c>
    </row>
    <row r="440" spans="1:13" ht="43.5" x14ac:dyDescent="0.4">
      <c r="A440" s="16" t="s">
        <v>193</v>
      </c>
      <c r="B440" s="33"/>
      <c r="C440" s="95" t="s">
        <v>155</v>
      </c>
      <c r="D440" s="52">
        <v>1</v>
      </c>
      <c r="E440" s="60" t="s">
        <v>238</v>
      </c>
      <c r="F440" s="60" t="s">
        <v>239</v>
      </c>
      <c r="G440" s="60"/>
      <c r="H440" s="52"/>
      <c r="I440" s="33"/>
      <c r="J440" s="32">
        <f t="shared" si="24"/>
        <v>86</v>
      </c>
      <c r="K440" s="32">
        <f t="shared" si="25"/>
        <v>0</v>
      </c>
      <c r="L440" s="32">
        <f t="shared" si="26"/>
        <v>86</v>
      </c>
      <c r="M440" s="93">
        <f t="shared" si="27"/>
        <v>0</v>
      </c>
    </row>
    <row r="441" spans="1:13" ht="101.5" x14ac:dyDescent="0.4">
      <c r="A441" s="16" t="s">
        <v>193</v>
      </c>
      <c r="B441" s="33"/>
      <c r="C441" s="95" t="s">
        <v>155</v>
      </c>
      <c r="D441" s="52">
        <v>2</v>
      </c>
      <c r="E441" s="60" t="s">
        <v>243</v>
      </c>
      <c r="F441" s="60" t="s">
        <v>484</v>
      </c>
      <c r="G441" s="60" t="s">
        <v>264</v>
      </c>
      <c r="H441" s="33" t="s">
        <v>220</v>
      </c>
      <c r="I441" s="33" t="s">
        <v>309</v>
      </c>
      <c r="J441" s="32">
        <f t="shared" si="24"/>
        <v>170</v>
      </c>
      <c r="K441" s="32">
        <f t="shared" si="25"/>
        <v>85</v>
      </c>
      <c r="L441" s="32">
        <f t="shared" si="26"/>
        <v>255</v>
      </c>
      <c r="M441" s="93">
        <f t="shared" si="27"/>
        <v>0</v>
      </c>
    </row>
    <row r="442" spans="1:13" ht="72.5" x14ac:dyDescent="0.4">
      <c r="A442" s="16" t="s">
        <v>193</v>
      </c>
      <c r="B442" s="33"/>
      <c r="C442" s="95" t="s">
        <v>155</v>
      </c>
      <c r="D442" s="52">
        <v>3</v>
      </c>
      <c r="E442" s="60" t="s">
        <v>395</v>
      </c>
      <c r="F442" s="60" t="s">
        <v>223</v>
      </c>
      <c r="G442" s="60"/>
      <c r="H442" s="33"/>
      <c r="I442" s="33"/>
      <c r="J442" s="32">
        <f t="shared" si="24"/>
        <v>91</v>
      </c>
      <c r="K442" s="32">
        <f t="shared" si="25"/>
        <v>0</v>
      </c>
      <c r="L442" s="32">
        <f t="shared" si="26"/>
        <v>91</v>
      </c>
      <c r="M442" s="93">
        <f t="shared" si="27"/>
        <v>0</v>
      </c>
    </row>
    <row r="443" spans="1:13" ht="217.5" x14ac:dyDescent="0.4">
      <c r="A443" s="16" t="s">
        <v>193</v>
      </c>
      <c r="B443" s="33"/>
      <c r="C443" s="95" t="s">
        <v>155</v>
      </c>
      <c r="D443" s="52">
        <v>4</v>
      </c>
      <c r="E443" s="60" t="s">
        <v>256</v>
      </c>
      <c r="F443" s="60" t="s">
        <v>485</v>
      </c>
      <c r="G443" s="60"/>
      <c r="H443" s="52"/>
      <c r="I443" s="33"/>
      <c r="J443" s="32">
        <f t="shared" si="24"/>
        <v>421</v>
      </c>
      <c r="K443" s="32">
        <f t="shared" si="25"/>
        <v>0</v>
      </c>
      <c r="L443" s="32">
        <f t="shared" si="26"/>
        <v>421</v>
      </c>
      <c r="M443" s="93">
        <f t="shared" si="27"/>
        <v>0</v>
      </c>
    </row>
    <row r="444" spans="1:13" ht="261" x14ac:dyDescent="0.4">
      <c r="A444" s="16" t="s">
        <v>193</v>
      </c>
      <c r="B444" s="33"/>
      <c r="C444" s="95" t="s">
        <v>155</v>
      </c>
      <c r="D444" s="52">
        <v>5</v>
      </c>
      <c r="E444" s="60" t="s">
        <v>486</v>
      </c>
      <c r="F444" s="60" t="s">
        <v>259</v>
      </c>
      <c r="G444" s="60"/>
      <c r="H444" s="52"/>
      <c r="I444" s="33"/>
      <c r="J444" s="32">
        <f t="shared" si="24"/>
        <v>51</v>
      </c>
      <c r="K444" s="32">
        <f t="shared" si="25"/>
        <v>0</v>
      </c>
      <c r="L444" s="32">
        <f t="shared" si="26"/>
        <v>51</v>
      </c>
      <c r="M444" s="93">
        <f t="shared" si="27"/>
        <v>0</v>
      </c>
    </row>
    <row r="445" spans="1:13" ht="409.5" x14ac:dyDescent="0.4">
      <c r="A445" s="16" t="s">
        <v>193</v>
      </c>
      <c r="B445" s="33"/>
      <c r="C445" s="95" t="s">
        <v>155</v>
      </c>
      <c r="D445" s="52">
        <v>6</v>
      </c>
      <c r="E445" s="60" t="s">
        <v>404</v>
      </c>
      <c r="F445" s="60" t="s">
        <v>487</v>
      </c>
      <c r="G445" s="60" t="s">
        <v>418</v>
      </c>
      <c r="H445" s="52"/>
      <c r="I445" s="33"/>
      <c r="J445" s="32">
        <f t="shared" si="24"/>
        <v>1166</v>
      </c>
      <c r="K445" s="32">
        <f t="shared" si="25"/>
        <v>911</v>
      </c>
      <c r="L445" s="32">
        <f t="shared" si="26"/>
        <v>2077</v>
      </c>
      <c r="M445" s="94">
        <f t="shared" si="27"/>
        <v>1</v>
      </c>
    </row>
    <row r="446" spans="1:13" ht="275.5" x14ac:dyDescent="0.4">
      <c r="A446" s="16" t="s">
        <v>193</v>
      </c>
      <c r="B446" s="33"/>
      <c r="C446" s="95" t="s">
        <v>155</v>
      </c>
      <c r="D446" s="52">
        <v>7</v>
      </c>
      <c r="E446" s="60" t="s">
        <v>362</v>
      </c>
      <c r="F446" s="60" t="s">
        <v>488</v>
      </c>
      <c r="G446" s="60" t="s">
        <v>489</v>
      </c>
      <c r="H446" s="52"/>
      <c r="I446" s="33"/>
      <c r="J446" s="32">
        <f t="shared" si="24"/>
        <v>740</v>
      </c>
      <c r="K446" s="32">
        <f t="shared" si="25"/>
        <v>414</v>
      </c>
      <c r="L446" s="32">
        <f t="shared" si="26"/>
        <v>1154</v>
      </c>
      <c r="M446" s="94">
        <f t="shared" si="27"/>
        <v>1</v>
      </c>
    </row>
    <row r="447" spans="1:13" ht="116" x14ac:dyDescent="0.4">
      <c r="A447" s="16" t="s">
        <v>193</v>
      </c>
      <c r="B447" s="33"/>
      <c r="C447" s="95" t="s">
        <v>155</v>
      </c>
      <c r="D447" s="52">
        <v>8</v>
      </c>
      <c r="E447" s="60" t="s">
        <v>344</v>
      </c>
      <c r="F447" s="60" t="s">
        <v>490</v>
      </c>
      <c r="G447" s="60"/>
      <c r="H447" s="52"/>
      <c r="I447" s="33"/>
      <c r="J447" s="32">
        <f t="shared" si="24"/>
        <v>292</v>
      </c>
      <c r="K447" s="32">
        <f t="shared" si="25"/>
        <v>0</v>
      </c>
      <c r="L447" s="32">
        <f t="shared" si="26"/>
        <v>292</v>
      </c>
      <c r="M447" s="93">
        <f t="shared" si="27"/>
        <v>0</v>
      </c>
    </row>
    <row r="448" spans="1:13" ht="43.5" x14ac:dyDescent="0.4">
      <c r="A448" s="16" t="s">
        <v>193</v>
      </c>
      <c r="B448" s="33"/>
      <c r="C448" s="95" t="s">
        <v>155</v>
      </c>
      <c r="D448" s="52">
        <v>9</v>
      </c>
      <c r="E448" s="60" t="s">
        <v>228</v>
      </c>
      <c r="F448" s="60" t="s">
        <v>229</v>
      </c>
      <c r="G448" s="60"/>
      <c r="H448" s="52"/>
      <c r="I448" s="33"/>
      <c r="J448" s="32">
        <f t="shared" si="24"/>
        <v>24</v>
      </c>
      <c r="K448" s="32">
        <f t="shared" si="25"/>
        <v>0</v>
      </c>
      <c r="L448" s="32">
        <f t="shared" si="26"/>
        <v>24</v>
      </c>
      <c r="M448" s="93">
        <f t="shared" si="27"/>
        <v>0</v>
      </c>
    </row>
    <row r="449" spans="1:13" ht="15" x14ac:dyDescent="0.4">
      <c r="A449" s="55"/>
      <c r="B449" s="49" t="s">
        <v>156</v>
      </c>
      <c r="C449" s="66" t="s">
        <v>358</v>
      </c>
      <c r="D449" s="57"/>
      <c r="E449" s="56"/>
      <c r="F449" s="56"/>
      <c r="G449" s="56"/>
      <c r="H449" s="57"/>
      <c r="I449" s="58"/>
      <c r="J449" s="32">
        <f t="shared" si="24"/>
        <v>0</v>
      </c>
      <c r="K449" s="32">
        <f t="shared" si="25"/>
        <v>0</v>
      </c>
      <c r="L449" s="32">
        <f t="shared" si="26"/>
        <v>0</v>
      </c>
      <c r="M449" s="93">
        <f t="shared" si="27"/>
        <v>0</v>
      </c>
    </row>
    <row r="450" spans="1:13" ht="58" x14ac:dyDescent="0.4">
      <c r="A450" s="16" t="s">
        <v>193</v>
      </c>
      <c r="B450" s="33"/>
      <c r="C450" s="95" t="s">
        <v>157</v>
      </c>
      <c r="D450" s="52">
        <v>1</v>
      </c>
      <c r="E450" s="60" t="s">
        <v>238</v>
      </c>
      <c r="F450" s="60" t="s">
        <v>239</v>
      </c>
      <c r="G450" s="60" t="s">
        <v>240</v>
      </c>
      <c r="H450" s="52"/>
      <c r="I450" s="33"/>
      <c r="J450" s="32">
        <f t="shared" si="24"/>
        <v>86</v>
      </c>
      <c r="K450" s="32">
        <f t="shared" si="25"/>
        <v>84</v>
      </c>
      <c r="L450" s="32">
        <f t="shared" si="26"/>
        <v>170</v>
      </c>
      <c r="M450" s="93">
        <f t="shared" si="27"/>
        <v>0</v>
      </c>
    </row>
    <row r="451" spans="1:13" ht="101.5" x14ac:dyDescent="0.4">
      <c r="A451" s="16" t="s">
        <v>193</v>
      </c>
      <c r="B451" s="33"/>
      <c r="C451" s="95" t="s">
        <v>157</v>
      </c>
      <c r="D451" s="52">
        <v>2</v>
      </c>
      <c r="E451" s="60" t="s">
        <v>243</v>
      </c>
      <c r="F451" s="60" t="s">
        <v>218</v>
      </c>
      <c r="G451" s="60"/>
      <c r="H451" s="33" t="s">
        <v>220</v>
      </c>
      <c r="I451" s="33" t="s">
        <v>309</v>
      </c>
      <c r="J451" s="32">
        <f t="shared" si="24"/>
        <v>168</v>
      </c>
      <c r="K451" s="32">
        <f t="shared" si="25"/>
        <v>0</v>
      </c>
      <c r="L451" s="32">
        <f t="shared" si="26"/>
        <v>168</v>
      </c>
      <c r="M451" s="93">
        <f t="shared" si="27"/>
        <v>0</v>
      </c>
    </row>
    <row r="452" spans="1:13" ht="246.5" x14ac:dyDescent="0.4">
      <c r="A452" s="16" t="s">
        <v>193</v>
      </c>
      <c r="B452" s="33"/>
      <c r="C452" s="95" t="s">
        <v>157</v>
      </c>
      <c r="D452" s="52">
        <v>3</v>
      </c>
      <c r="E452" s="60" t="s">
        <v>395</v>
      </c>
      <c r="F452" s="60" t="s">
        <v>491</v>
      </c>
      <c r="G452" s="60"/>
      <c r="H452" s="33"/>
      <c r="I452" s="33"/>
      <c r="J452" s="32">
        <f t="shared" si="24"/>
        <v>360</v>
      </c>
      <c r="K452" s="32">
        <f t="shared" si="25"/>
        <v>0</v>
      </c>
      <c r="L452" s="32">
        <f t="shared" si="26"/>
        <v>360</v>
      </c>
      <c r="M452" s="93">
        <f t="shared" si="27"/>
        <v>0</v>
      </c>
    </row>
    <row r="453" spans="1:13" ht="58" x14ac:dyDescent="0.4">
      <c r="A453" s="16" t="s">
        <v>193</v>
      </c>
      <c r="B453" s="33"/>
      <c r="C453" s="95" t="s">
        <v>157</v>
      </c>
      <c r="D453" s="52">
        <v>4</v>
      </c>
      <c r="E453" s="60" t="s">
        <v>245</v>
      </c>
      <c r="F453" s="60" t="s">
        <v>246</v>
      </c>
      <c r="G453" s="60" t="s">
        <v>247</v>
      </c>
      <c r="H453" s="52"/>
      <c r="I453" s="33"/>
      <c r="J453" s="32">
        <f t="shared" si="24"/>
        <v>44</v>
      </c>
      <c r="K453" s="32">
        <f t="shared" si="25"/>
        <v>39</v>
      </c>
      <c r="L453" s="32">
        <f t="shared" si="26"/>
        <v>83</v>
      </c>
      <c r="M453" s="93">
        <f t="shared" si="27"/>
        <v>0</v>
      </c>
    </row>
    <row r="454" spans="1:13" ht="43.5" x14ac:dyDescent="0.4">
      <c r="A454" s="16" t="s">
        <v>193</v>
      </c>
      <c r="B454" s="33"/>
      <c r="C454" s="95" t="s">
        <v>157</v>
      </c>
      <c r="D454" s="52">
        <v>5</v>
      </c>
      <c r="E454" s="60" t="s">
        <v>248</v>
      </c>
      <c r="F454" s="60" t="s">
        <v>249</v>
      </c>
      <c r="G454" s="60" t="s">
        <v>397</v>
      </c>
      <c r="H454" s="52"/>
      <c r="I454" s="33"/>
      <c r="J454" s="32">
        <f t="shared" si="24"/>
        <v>50</v>
      </c>
      <c r="K454" s="32">
        <f t="shared" si="25"/>
        <v>50</v>
      </c>
      <c r="L454" s="32">
        <f t="shared" si="26"/>
        <v>100</v>
      </c>
      <c r="M454" s="93">
        <f t="shared" si="27"/>
        <v>0</v>
      </c>
    </row>
    <row r="455" spans="1:13" ht="409.5" x14ac:dyDescent="0.4">
      <c r="A455" s="16" t="s">
        <v>193</v>
      </c>
      <c r="B455" s="33"/>
      <c r="C455" s="95" t="s">
        <v>157</v>
      </c>
      <c r="D455" s="52">
        <v>6</v>
      </c>
      <c r="E455" s="60" t="s">
        <v>250</v>
      </c>
      <c r="F455" s="60" t="s">
        <v>492</v>
      </c>
      <c r="G455" s="60" t="s">
        <v>252</v>
      </c>
      <c r="H455" s="52"/>
      <c r="I455" s="33"/>
      <c r="J455" s="32">
        <f t="shared" si="24"/>
        <v>1165</v>
      </c>
      <c r="K455" s="32">
        <f t="shared" si="25"/>
        <v>1044</v>
      </c>
      <c r="L455" s="32">
        <f t="shared" si="26"/>
        <v>2209</v>
      </c>
      <c r="M455" s="94">
        <f t="shared" si="27"/>
        <v>1</v>
      </c>
    </row>
    <row r="456" spans="1:13" ht="275.5" x14ac:dyDescent="0.4">
      <c r="A456" s="16" t="s">
        <v>193</v>
      </c>
      <c r="B456" s="33"/>
      <c r="C456" s="95" t="s">
        <v>157</v>
      </c>
      <c r="D456" s="52">
        <v>7</v>
      </c>
      <c r="E456" s="60" t="s">
        <v>362</v>
      </c>
      <c r="F456" s="60" t="s">
        <v>488</v>
      </c>
      <c r="G456" s="60" t="s">
        <v>489</v>
      </c>
      <c r="H456" s="52"/>
      <c r="I456" s="33"/>
      <c r="J456" s="32">
        <f t="shared" si="24"/>
        <v>740</v>
      </c>
      <c r="K456" s="32">
        <f t="shared" si="25"/>
        <v>414</v>
      </c>
      <c r="L456" s="32">
        <f t="shared" si="26"/>
        <v>1154</v>
      </c>
      <c r="M456" s="94">
        <f t="shared" si="27"/>
        <v>1</v>
      </c>
    </row>
    <row r="457" spans="1:13" ht="116" x14ac:dyDescent="0.4">
      <c r="A457" s="16" t="s">
        <v>193</v>
      </c>
      <c r="B457" s="33"/>
      <c r="C457" s="95" t="s">
        <v>157</v>
      </c>
      <c r="D457" s="52">
        <v>8</v>
      </c>
      <c r="E457" s="60" t="s">
        <v>344</v>
      </c>
      <c r="F457" s="60" t="s">
        <v>490</v>
      </c>
      <c r="G457" s="60"/>
      <c r="H457" s="52"/>
      <c r="I457" s="33"/>
      <c r="J457" s="32">
        <f t="shared" si="24"/>
        <v>292</v>
      </c>
      <c r="K457" s="32">
        <f t="shared" si="25"/>
        <v>0</v>
      </c>
      <c r="L457" s="32">
        <f t="shared" si="26"/>
        <v>292</v>
      </c>
      <c r="M457" s="93">
        <f t="shared" si="27"/>
        <v>0</v>
      </c>
    </row>
    <row r="458" spans="1:13" ht="43.5" x14ac:dyDescent="0.4">
      <c r="A458" s="16" t="s">
        <v>193</v>
      </c>
      <c r="B458" s="33"/>
      <c r="C458" s="95" t="s">
        <v>157</v>
      </c>
      <c r="D458" s="52">
        <v>9</v>
      </c>
      <c r="E458" s="60" t="s">
        <v>228</v>
      </c>
      <c r="F458" s="60" t="s">
        <v>229</v>
      </c>
      <c r="G458" s="60"/>
      <c r="H458" s="52"/>
      <c r="I458" s="33"/>
      <c r="J458" s="32">
        <f t="shared" si="24"/>
        <v>24</v>
      </c>
      <c r="K458" s="32">
        <f t="shared" si="25"/>
        <v>0</v>
      </c>
      <c r="L458" s="32">
        <f t="shared" si="26"/>
        <v>24</v>
      </c>
      <c r="M458" s="93">
        <f t="shared" si="27"/>
        <v>0</v>
      </c>
    </row>
    <row r="459" spans="1:13" ht="15" x14ac:dyDescent="0.4">
      <c r="A459" s="55"/>
      <c r="B459" s="49" t="s">
        <v>158</v>
      </c>
      <c r="C459" s="66" t="s">
        <v>493</v>
      </c>
      <c r="D459" s="57"/>
      <c r="E459" s="56"/>
      <c r="F459" s="56"/>
      <c r="G459" s="56"/>
      <c r="H459" s="57"/>
      <c r="I459" s="58"/>
      <c r="J459" s="32">
        <f t="shared" si="24"/>
        <v>0</v>
      </c>
      <c r="K459" s="32">
        <f t="shared" si="25"/>
        <v>0</v>
      </c>
      <c r="L459" s="32">
        <f t="shared" si="26"/>
        <v>0</v>
      </c>
      <c r="M459" s="93">
        <f t="shared" si="27"/>
        <v>0</v>
      </c>
    </row>
    <row r="460" spans="1:13" ht="101.5" x14ac:dyDescent="0.4">
      <c r="A460" s="16" t="s">
        <v>193</v>
      </c>
      <c r="B460" s="33"/>
      <c r="C460" s="97" t="s">
        <v>159</v>
      </c>
      <c r="D460" s="52">
        <v>1</v>
      </c>
      <c r="E460" s="60" t="s">
        <v>238</v>
      </c>
      <c r="F460" s="60" t="s">
        <v>239</v>
      </c>
      <c r="G460" s="60" t="s">
        <v>264</v>
      </c>
      <c r="H460" s="33" t="s">
        <v>220</v>
      </c>
      <c r="I460" s="33" t="s">
        <v>309</v>
      </c>
      <c r="J460" s="32">
        <f t="shared" si="24"/>
        <v>86</v>
      </c>
      <c r="K460" s="32">
        <f t="shared" si="25"/>
        <v>85</v>
      </c>
      <c r="L460" s="32">
        <f t="shared" si="26"/>
        <v>171</v>
      </c>
      <c r="M460" s="93">
        <f t="shared" si="27"/>
        <v>0</v>
      </c>
    </row>
    <row r="461" spans="1:13" ht="87" x14ac:dyDescent="0.4">
      <c r="A461" s="16" t="s">
        <v>193</v>
      </c>
      <c r="B461" s="33"/>
      <c r="C461" s="97" t="s">
        <v>159</v>
      </c>
      <c r="D461" s="52">
        <v>2</v>
      </c>
      <c r="E461" s="60" t="s">
        <v>243</v>
      </c>
      <c r="F461" s="60" t="s">
        <v>494</v>
      </c>
      <c r="G461" s="60"/>
      <c r="H461" s="33"/>
      <c r="I461" s="33"/>
      <c r="J461" s="32">
        <f t="shared" si="24"/>
        <v>168</v>
      </c>
      <c r="K461" s="32">
        <f t="shared" si="25"/>
        <v>0</v>
      </c>
      <c r="L461" s="32">
        <f t="shared" si="26"/>
        <v>168</v>
      </c>
      <c r="M461" s="93">
        <f t="shared" si="27"/>
        <v>0</v>
      </c>
    </row>
    <row r="462" spans="1:13" ht="72.5" x14ac:dyDescent="0.4">
      <c r="A462" s="16" t="s">
        <v>193</v>
      </c>
      <c r="B462" s="33"/>
      <c r="C462" s="97" t="s">
        <v>159</v>
      </c>
      <c r="D462" s="52">
        <v>3</v>
      </c>
      <c r="E462" s="60" t="s">
        <v>395</v>
      </c>
      <c r="F462" s="60" t="s">
        <v>495</v>
      </c>
      <c r="G462" s="60"/>
      <c r="H462" s="33"/>
      <c r="I462" s="33"/>
      <c r="J462" s="32">
        <f t="shared" si="24"/>
        <v>133</v>
      </c>
      <c r="K462" s="32">
        <f t="shared" si="25"/>
        <v>0</v>
      </c>
      <c r="L462" s="32">
        <f t="shared" si="26"/>
        <v>133</v>
      </c>
      <c r="M462" s="93">
        <f t="shared" si="27"/>
        <v>0</v>
      </c>
    </row>
    <row r="463" spans="1:13" ht="232" x14ac:dyDescent="0.4">
      <c r="A463" s="16" t="s">
        <v>193</v>
      </c>
      <c r="B463" s="33"/>
      <c r="C463" s="97" t="s">
        <v>159</v>
      </c>
      <c r="D463" s="52">
        <v>4</v>
      </c>
      <c r="E463" s="60" t="s">
        <v>256</v>
      </c>
      <c r="F463" s="75" t="s">
        <v>496</v>
      </c>
      <c r="G463" s="60"/>
      <c r="H463" s="52"/>
      <c r="I463" s="33"/>
      <c r="J463" s="32">
        <f t="shared" si="24"/>
        <v>425</v>
      </c>
      <c r="K463" s="32">
        <f t="shared" si="25"/>
        <v>0</v>
      </c>
      <c r="L463" s="32">
        <f t="shared" si="26"/>
        <v>425</v>
      </c>
      <c r="M463" s="93">
        <f t="shared" si="27"/>
        <v>0</v>
      </c>
    </row>
    <row r="464" spans="1:13" ht="409.5" x14ac:dyDescent="0.4">
      <c r="A464" s="16" t="s">
        <v>193</v>
      </c>
      <c r="B464" s="33"/>
      <c r="C464" s="97" t="s">
        <v>159</v>
      </c>
      <c r="D464" s="52">
        <v>6</v>
      </c>
      <c r="E464" s="60" t="s">
        <v>404</v>
      </c>
      <c r="F464" s="60" t="s">
        <v>456</v>
      </c>
      <c r="G464" s="60" t="s">
        <v>418</v>
      </c>
      <c r="H464" s="52"/>
      <c r="I464" s="33"/>
      <c r="J464" s="32">
        <f t="shared" si="24"/>
        <v>1168</v>
      </c>
      <c r="K464" s="32">
        <f t="shared" si="25"/>
        <v>911</v>
      </c>
      <c r="L464" s="32">
        <f t="shared" si="26"/>
        <v>2079</v>
      </c>
      <c r="M464" s="94">
        <f t="shared" si="27"/>
        <v>1</v>
      </c>
    </row>
    <row r="465" spans="1:13" ht="261" x14ac:dyDescent="0.4">
      <c r="A465" s="16" t="s">
        <v>193</v>
      </c>
      <c r="B465" s="33"/>
      <c r="C465" s="97" t="s">
        <v>159</v>
      </c>
      <c r="D465" s="52">
        <v>7</v>
      </c>
      <c r="E465" s="60" t="s">
        <v>370</v>
      </c>
      <c r="F465" s="60" t="s">
        <v>497</v>
      </c>
      <c r="G465" s="60" t="s">
        <v>498</v>
      </c>
      <c r="H465" s="52"/>
      <c r="I465" s="33"/>
      <c r="J465" s="32">
        <f t="shared" si="24"/>
        <v>418</v>
      </c>
      <c r="K465" s="32">
        <f t="shared" si="25"/>
        <v>259</v>
      </c>
      <c r="L465" s="32">
        <f t="shared" si="26"/>
        <v>677</v>
      </c>
      <c r="M465" s="93">
        <f t="shared" si="27"/>
        <v>0</v>
      </c>
    </row>
    <row r="466" spans="1:13" ht="43.5" x14ac:dyDescent="0.4">
      <c r="A466" s="16" t="s">
        <v>193</v>
      </c>
      <c r="B466" s="33"/>
      <c r="C466" s="97" t="s">
        <v>159</v>
      </c>
      <c r="D466" s="52">
        <v>8</v>
      </c>
      <c r="E466" s="60" t="s">
        <v>228</v>
      </c>
      <c r="F466" s="60" t="s">
        <v>229</v>
      </c>
      <c r="G466" s="60"/>
      <c r="H466" s="52"/>
      <c r="I466" s="33"/>
      <c r="J466" s="32">
        <f t="shared" si="24"/>
        <v>24</v>
      </c>
      <c r="K466" s="32">
        <f t="shared" si="25"/>
        <v>0</v>
      </c>
      <c r="L466" s="32">
        <f t="shared" si="26"/>
        <v>24</v>
      </c>
      <c r="M466" s="93">
        <f t="shared" si="27"/>
        <v>0</v>
      </c>
    </row>
    <row r="467" spans="1:13" ht="15" x14ac:dyDescent="0.4">
      <c r="A467" s="55"/>
      <c r="B467" s="49" t="s">
        <v>160</v>
      </c>
      <c r="C467" s="66" t="s">
        <v>493</v>
      </c>
      <c r="D467" s="57"/>
      <c r="E467" s="56"/>
      <c r="F467" s="56"/>
      <c r="G467" s="56"/>
      <c r="H467" s="57"/>
      <c r="I467" s="58"/>
      <c r="J467" s="32">
        <f t="shared" si="24"/>
        <v>0</v>
      </c>
      <c r="K467" s="32">
        <f t="shared" si="25"/>
        <v>0</v>
      </c>
      <c r="L467" s="32">
        <f t="shared" si="26"/>
        <v>0</v>
      </c>
      <c r="M467" s="93">
        <f t="shared" si="27"/>
        <v>0</v>
      </c>
    </row>
    <row r="468" spans="1:13" ht="101.5" x14ac:dyDescent="0.4">
      <c r="A468" s="16" t="s">
        <v>193</v>
      </c>
      <c r="B468" s="33"/>
      <c r="C468" s="95" t="s">
        <v>161</v>
      </c>
      <c r="D468" s="52">
        <v>1</v>
      </c>
      <c r="E468" s="60" t="s">
        <v>238</v>
      </c>
      <c r="F468" s="60" t="s">
        <v>239</v>
      </c>
      <c r="G468" s="60" t="s">
        <v>264</v>
      </c>
      <c r="H468" s="33" t="s">
        <v>220</v>
      </c>
      <c r="I468" s="33" t="s">
        <v>309</v>
      </c>
      <c r="J468" s="32">
        <f t="shared" si="24"/>
        <v>86</v>
      </c>
      <c r="K468" s="32">
        <f t="shared" si="25"/>
        <v>85</v>
      </c>
      <c r="L468" s="32">
        <f t="shared" si="26"/>
        <v>171</v>
      </c>
      <c r="M468" s="93">
        <f t="shared" si="27"/>
        <v>0</v>
      </c>
    </row>
    <row r="469" spans="1:13" ht="87" x14ac:dyDescent="0.4">
      <c r="A469" s="16" t="s">
        <v>193</v>
      </c>
      <c r="B469" s="33"/>
      <c r="C469" s="95" t="s">
        <v>161</v>
      </c>
      <c r="D469" s="52">
        <v>2</v>
      </c>
      <c r="E469" s="60" t="s">
        <v>243</v>
      </c>
      <c r="F469" s="60" t="s">
        <v>499</v>
      </c>
      <c r="G469" s="60"/>
      <c r="H469" s="33"/>
      <c r="I469" s="33"/>
      <c r="J469" s="32">
        <f t="shared" ref="J469:J499" si="28">+LEN(F469)</f>
        <v>170</v>
      </c>
      <c r="K469" s="32">
        <f t="shared" ref="K469:K499" si="29">+LEN(G469)</f>
        <v>0</v>
      </c>
      <c r="L469" s="32">
        <f t="shared" ref="L469:L499" si="30">+J469+K469</f>
        <v>170</v>
      </c>
      <c r="M469" s="93">
        <f t="shared" ref="M469:M499" si="31">+IF(L469&lt;=1000,0,1)</f>
        <v>0</v>
      </c>
    </row>
    <row r="470" spans="1:13" ht="72.5" x14ac:dyDescent="0.4">
      <c r="A470" s="16" t="s">
        <v>193</v>
      </c>
      <c r="B470" s="33"/>
      <c r="C470" s="95" t="s">
        <v>161</v>
      </c>
      <c r="D470" s="52">
        <v>3</v>
      </c>
      <c r="E470" s="60" t="s">
        <v>395</v>
      </c>
      <c r="F470" s="60" t="s">
        <v>223</v>
      </c>
      <c r="G470" s="60"/>
      <c r="H470" s="33"/>
      <c r="I470" s="33"/>
      <c r="J470" s="32">
        <f t="shared" si="28"/>
        <v>91</v>
      </c>
      <c r="K470" s="32">
        <f t="shared" si="29"/>
        <v>0</v>
      </c>
      <c r="L470" s="32">
        <f t="shared" si="30"/>
        <v>91</v>
      </c>
      <c r="M470" s="93">
        <f t="shared" si="31"/>
        <v>0</v>
      </c>
    </row>
    <row r="471" spans="1:13" ht="217.5" x14ac:dyDescent="0.4">
      <c r="A471" s="16" t="s">
        <v>193</v>
      </c>
      <c r="B471" s="33"/>
      <c r="C471" s="95" t="s">
        <v>161</v>
      </c>
      <c r="D471" s="52">
        <v>4</v>
      </c>
      <c r="E471" s="60" t="s">
        <v>256</v>
      </c>
      <c r="F471" s="60" t="s">
        <v>500</v>
      </c>
      <c r="G471" s="60"/>
      <c r="H471" s="52"/>
      <c r="I471" s="33"/>
      <c r="J471" s="32">
        <f t="shared" si="28"/>
        <v>420</v>
      </c>
      <c r="K471" s="32">
        <f t="shared" si="29"/>
        <v>0</v>
      </c>
      <c r="L471" s="32">
        <f t="shared" si="30"/>
        <v>420</v>
      </c>
      <c r="M471" s="93">
        <f t="shared" si="31"/>
        <v>0</v>
      </c>
    </row>
    <row r="472" spans="1:13" ht="348" x14ac:dyDescent="0.4">
      <c r="A472" s="16" t="s">
        <v>193</v>
      </c>
      <c r="B472" s="33"/>
      <c r="C472" s="95" t="s">
        <v>161</v>
      </c>
      <c r="D472" s="52">
        <v>5</v>
      </c>
      <c r="E472" s="60" t="s">
        <v>501</v>
      </c>
      <c r="F472" s="60" t="s">
        <v>259</v>
      </c>
      <c r="G472" s="60"/>
      <c r="H472" s="52"/>
      <c r="I472" s="33"/>
      <c r="J472" s="32">
        <f t="shared" si="28"/>
        <v>51</v>
      </c>
      <c r="K472" s="32">
        <f t="shared" si="29"/>
        <v>0</v>
      </c>
      <c r="L472" s="32">
        <f t="shared" si="30"/>
        <v>51</v>
      </c>
      <c r="M472" s="93">
        <f t="shared" si="31"/>
        <v>0</v>
      </c>
    </row>
    <row r="473" spans="1:13" ht="409.5" x14ac:dyDescent="0.4">
      <c r="A473" s="16" t="s">
        <v>193</v>
      </c>
      <c r="B473" s="33"/>
      <c r="C473" s="95" t="s">
        <v>161</v>
      </c>
      <c r="D473" s="52">
        <v>6</v>
      </c>
      <c r="E473" s="60" t="s">
        <v>404</v>
      </c>
      <c r="F473" s="60" t="s">
        <v>456</v>
      </c>
      <c r="G473" s="60" t="s">
        <v>418</v>
      </c>
      <c r="H473" s="52"/>
      <c r="I473" s="33"/>
      <c r="J473" s="32">
        <f t="shared" si="28"/>
        <v>1168</v>
      </c>
      <c r="K473" s="32">
        <f t="shared" si="29"/>
        <v>911</v>
      </c>
      <c r="L473" s="32">
        <f t="shared" si="30"/>
        <v>2079</v>
      </c>
      <c r="M473" s="94">
        <f t="shared" si="31"/>
        <v>1</v>
      </c>
    </row>
    <row r="474" spans="1:13" ht="261" x14ac:dyDescent="0.4">
      <c r="A474" s="16" t="s">
        <v>193</v>
      </c>
      <c r="B474" s="33"/>
      <c r="C474" s="95" t="s">
        <v>161</v>
      </c>
      <c r="D474" s="52">
        <v>7</v>
      </c>
      <c r="E474" s="60" t="s">
        <v>370</v>
      </c>
      <c r="F474" s="60" t="s">
        <v>497</v>
      </c>
      <c r="G474" s="60" t="s">
        <v>498</v>
      </c>
      <c r="H474" s="52"/>
      <c r="I474" s="33"/>
      <c r="J474" s="32">
        <f t="shared" si="28"/>
        <v>418</v>
      </c>
      <c r="K474" s="32">
        <f t="shared" si="29"/>
        <v>259</v>
      </c>
      <c r="L474" s="32">
        <f t="shared" si="30"/>
        <v>677</v>
      </c>
      <c r="M474" s="93">
        <f t="shared" si="31"/>
        <v>0</v>
      </c>
    </row>
    <row r="475" spans="1:13" ht="43.5" x14ac:dyDescent="0.4">
      <c r="A475" s="16" t="s">
        <v>193</v>
      </c>
      <c r="B475" s="33"/>
      <c r="C475" s="95" t="s">
        <v>161</v>
      </c>
      <c r="D475" s="52">
        <v>8</v>
      </c>
      <c r="E475" s="60" t="s">
        <v>228</v>
      </c>
      <c r="F475" s="60" t="s">
        <v>229</v>
      </c>
      <c r="G475" s="60"/>
      <c r="H475" s="52"/>
      <c r="I475" s="33"/>
      <c r="J475" s="32">
        <f t="shared" si="28"/>
        <v>24</v>
      </c>
      <c r="K475" s="32">
        <f t="shared" si="29"/>
        <v>0</v>
      </c>
      <c r="L475" s="32">
        <f t="shared" si="30"/>
        <v>24</v>
      </c>
      <c r="M475" s="93">
        <f t="shared" si="31"/>
        <v>0</v>
      </c>
    </row>
    <row r="476" spans="1:13" ht="15" x14ac:dyDescent="0.4">
      <c r="A476" s="55"/>
      <c r="B476" s="49" t="s">
        <v>163</v>
      </c>
      <c r="C476" s="66" t="s">
        <v>162</v>
      </c>
      <c r="D476" s="57"/>
      <c r="E476" s="56"/>
      <c r="F476" s="56"/>
      <c r="G476" s="56"/>
      <c r="H476" s="57"/>
      <c r="I476" s="58"/>
      <c r="J476" s="32">
        <f t="shared" si="28"/>
        <v>0</v>
      </c>
      <c r="K476" s="32">
        <f t="shared" si="29"/>
        <v>0</v>
      </c>
      <c r="L476" s="32">
        <f t="shared" si="30"/>
        <v>0</v>
      </c>
      <c r="M476" s="93">
        <f t="shared" si="31"/>
        <v>0</v>
      </c>
    </row>
    <row r="477" spans="1:13" ht="72.5" x14ac:dyDescent="0.4">
      <c r="A477" s="16" t="s">
        <v>193</v>
      </c>
      <c r="B477" s="33"/>
      <c r="C477" s="95" t="s">
        <v>164</v>
      </c>
      <c r="D477" s="52">
        <v>1</v>
      </c>
      <c r="E477" s="60" t="s">
        <v>238</v>
      </c>
      <c r="F477" s="60" t="s">
        <v>239</v>
      </c>
      <c r="G477" s="60" t="s">
        <v>264</v>
      </c>
      <c r="H477" s="33" t="s">
        <v>220</v>
      </c>
      <c r="I477" s="33"/>
      <c r="J477" s="32">
        <f t="shared" si="28"/>
        <v>86</v>
      </c>
      <c r="K477" s="32">
        <f t="shared" si="29"/>
        <v>85</v>
      </c>
      <c r="L477" s="32">
        <f t="shared" si="30"/>
        <v>171</v>
      </c>
      <c r="M477" s="93">
        <f t="shared" si="31"/>
        <v>0</v>
      </c>
    </row>
    <row r="478" spans="1:13" ht="72.5" x14ac:dyDescent="0.4">
      <c r="A478" s="16" t="s">
        <v>193</v>
      </c>
      <c r="B478" s="33"/>
      <c r="C478" s="95" t="s">
        <v>164</v>
      </c>
      <c r="D478" s="52">
        <v>2</v>
      </c>
      <c r="E478" s="60" t="s">
        <v>243</v>
      </c>
      <c r="F478" s="60" t="s">
        <v>218</v>
      </c>
      <c r="G478" s="60"/>
      <c r="H478" s="33"/>
      <c r="I478" s="33"/>
      <c r="J478" s="32">
        <f t="shared" si="28"/>
        <v>168</v>
      </c>
      <c r="K478" s="32">
        <f t="shared" si="29"/>
        <v>0</v>
      </c>
      <c r="L478" s="32">
        <f t="shared" si="30"/>
        <v>168</v>
      </c>
      <c r="M478" s="93">
        <f t="shared" si="31"/>
        <v>0</v>
      </c>
    </row>
    <row r="479" spans="1:13" ht="159.5" x14ac:dyDescent="0.4">
      <c r="A479" s="16" t="s">
        <v>193</v>
      </c>
      <c r="B479" s="33"/>
      <c r="C479" s="95" t="s">
        <v>164</v>
      </c>
      <c r="D479" s="52">
        <v>3</v>
      </c>
      <c r="E479" s="60" t="s">
        <v>502</v>
      </c>
      <c r="F479" s="60" t="s">
        <v>503</v>
      </c>
      <c r="G479" s="60" t="s">
        <v>504</v>
      </c>
      <c r="H479" s="33"/>
      <c r="I479" s="33"/>
      <c r="J479" s="32">
        <f t="shared" si="28"/>
        <v>260</v>
      </c>
      <c r="K479" s="32">
        <f t="shared" si="29"/>
        <v>270</v>
      </c>
      <c r="L479" s="32">
        <f t="shared" si="30"/>
        <v>530</v>
      </c>
      <c r="M479" s="93">
        <f t="shared" si="31"/>
        <v>0</v>
      </c>
    </row>
    <row r="480" spans="1:13" ht="101.5" x14ac:dyDescent="0.4">
      <c r="A480" s="16" t="s">
        <v>193</v>
      </c>
      <c r="B480" s="33"/>
      <c r="C480" s="95" t="s">
        <v>164</v>
      </c>
      <c r="D480" s="52">
        <v>4</v>
      </c>
      <c r="E480" s="60" t="s">
        <v>505</v>
      </c>
      <c r="F480" s="60" t="s">
        <v>506</v>
      </c>
      <c r="G480" s="60" t="s">
        <v>507</v>
      </c>
      <c r="H480" s="52"/>
      <c r="I480" s="33"/>
      <c r="J480" s="32">
        <f t="shared" si="28"/>
        <v>81</v>
      </c>
      <c r="K480" s="32">
        <f t="shared" si="29"/>
        <v>173</v>
      </c>
      <c r="L480" s="32">
        <f t="shared" si="30"/>
        <v>254</v>
      </c>
      <c r="M480" s="93">
        <f t="shared" si="31"/>
        <v>0</v>
      </c>
    </row>
    <row r="481" spans="1:13" ht="43.5" x14ac:dyDescent="0.4">
      <c r="A481" s="16" t="s">
        <v>193</v>
      </c>
      <c r="B481" s="33"/>
      <c r="C481" s="95" t="s">
        <v>164</v>
      </c>
      <c r="D481" s="52">
        <v>5</v>
      </c>
      <c r="E481" s="60" t="s">
        <v>228</v>
      </c>
      <c r="F481" s="60" t="s">
        <v>229</v>
      </c>
      <c r="G481" s="60"/>
      <c r="H481" s="52"/>
      <c r="I481" s="33"/>
      <c r="J481" s="32">
        <f t="shared" si="28"/>
        <v>24</v>
      </c>
      <c r="K481" s="32">
        <f t="shared" si="29"/>
        <v>0</v>
      </c>
      <c r="L481" s="32">
        <f t="shared" si="30"/>
        <v>24</v>
      </c>
      <c r="M481" s="93">
        <f t="shared" si="31"/>
        <v>0</v>
      </c>
    </row>
    <row r="482" spans="1:13" ht="15" x14ac:dyDescent="0.4">
      <c r="A482" s="55"/>
      <c r="B482" s="49" t="s">
        <v>165</v>
      </c>
      <c r="C482" s="66" t="s">
        <v>508</v>
      </c>
      <c r="D482" s="57"/>
      <c r="E482" s="56"/>
      <c r="F482" s="56"/>
      <c r="G482" s="56"/>
      <c r="H482" s="57"/>
      <c r="I482" s="58"/>
      <c r="J482" s="32">
        <f t="shared" si="28"/>
        <v>0</v>
      </c>
      <c r="K482" s="32">
        <f t="shared" si="29"/>
        <v>0</v>
      </c>
      <c r="L482" s="32">
        <f t="shared" si="30"/>
        <v>0</v>
      </c>
      <c r="M482" s="93">
        <f t="shared" si="31"/>
        <v>0</v>
      </c>
    </row>
    <row r="483" spans="1:13" ht="72.5" x14ac:dyDescent="0.4">
      <c r="A483" s="16" t="s">
        <v>193</v>
      </c>
      <c r="B483" s="33"/>
      <c r="C483" s="95" t="s">
        <v>166</v>
      </c>
      <c r="D483" s="52">
        <v>1</v>
      </c>
      <c r="E483" s="60" t="s">
        <v>238</v>
      </c>
      <c r="F483" s="60" t="s">
        <v>239</v>
      </c>
      <c r="G483" s="60" t="s">
        <v>264</v>
      </c>
      <c r="H483" s="33" t="s">
        <v>220</v>
      </c>
      <c r="I483" s="33"/>
      <c r="J483" s="32">
        <f t="shared" si="28"/>
        <v>86</v>
      </c>
      <c r="K483" s="32">
        <f t="shared" si="29"/>
        <v>85</v>
      </c>
      <c r="L483" s="32">
        <f t="shared" si="30"/>
        <v>171</v>
      </c>
      <c r="M483" s="93">
        <f t="shared" si="31"/>
        <v>0</v>
      </c>
    </row>
    <row r="484" spans="1:13" ht="72.5" x14ac:dyDescent="0.4">
      <c r="A484" s="16" t="s">
        <v>193</v>
      </c>
      <c r="B484" s="33"/>
      <c r="C484" s="95" t="s">
        <v>166</v>
      </c>
      <c r="D484" s="52">
        <v>2</v>
      </c>
      <c r="E484" s="60" t="s">
        <v>243</v>
      </c>
      <c r="F484" s="60" t="s">
        <v>218</v>
      </c>
      <c r="G484" s="60"/>
      <c r="H484" s="33"/>
      <c r="I484" s="33"/>
      <c r="J484" s="32">
        <f t="shared" si="28"/>
        <v>168</v>
      </c>
      <c r="K484" s="32">
        <f t="shared" si="29"/>
        <v>0</v>
      </c>
      <c r="L484" s="32">
        <f t="shared" si="30"/>
        <v>168</v>
      </c>
      <c r="M484" s="93">
        <f t="shared" si="31"/>
        <v>0</v>
      </c>
    </row>
    <row r="485" spans="1:13" ht="72.5" x14ac:dyDescent="0.4">
      <c r="A485" s="16" t="s">
        <v>193</v>
      </c>
      <c r="B485" s="33"/>
      <c r="C485" s="95" t="s">
        <v>166</v>
      </c>
      <c r="D485" s="52">
        <v>3</v>
      </c>
      <c r="E485" s="60" t="s">
        <v>502</v>
      </c>
      <c r="F485" s="60" t="s">
        <v>509</v>
      </c>
      <c r="G485" s="60"/>
      <c r="H485" s="33"/>
      <c r="I485" s="33"/>
      <c r="J485" s="32">
        <f t="shared" si="28"/>
        <v>198</v>
      </c>
      <c r="K485" s="32">
        <f t="shared" si="29"/>
        <v>0</v>
      </c>
      <c r="L485" s="32">
        <f t="shared" si="30"/>
        <v>198</v>
      </c>
      <c r="M485" s="93">
        <f t="shared" si="31"/>
        <v>0</v>
      </c>
    </row>
    <row r="486" spans="1:13" ht="43.5" x14ac:dyDescent="0.4">
      <c r="A486" s="16" t="s">
        <v>193</v>
      </c>
      <c r="B486" s="33"/>
      <c r="C486" s="95" t="s">
        <v>166</v>
      </c>
      <c r="D486" s="52">
        <v>4</v>
      </c>
      <c r="E486" s="60" t="s">
        <v>228</v>
      </c>
      <c r="F486" s="60" t="s">
        <v>229</v>
      </c>
      <c r="G486" s="60"/>
      <c r="H486" s="52"/>
      <c r="I486" s="33"/>
      <c r="J486" s="32">
        <f t="shared" si="28"/>
        <v>24</v>
      </c>
      <c r="K486" s="32">
        <f t="shared" si="29"/>
        <v>0</v>
      </c>
      <c r="L486" s="32">
        <f t="shared" si="30"/>
        <v>24</v>
      </c>
      <c r="M486" s="93">
        <f t="shared" si="31"/>
        <v>0</v>
      </c>
    </row>
    <row r="487" spans="1:13" ht="15" x14ac:dyDescent="0.4">
      <c r="A487" s="55"/>
      <c r="B487" s="49" t="s">
        <v>168</v>
      </c>
      <c r="C487" s="66" t="s">
        <v>510</v>
      </c>
      <c r="D487" s="57"/>
      <c r="E487" s="56"/>
      <c r="F487" s="56"/>
      <c r="G487" s="56"/>
      <c r="H487" s="57"/>
      <c r="I487" s="58"/>
      <c r="J487" s="32">
        <f t="shared" si="28"/>
        <v>0</v>
      </c>
      <c r="K487" s="32">
        <f t="shared" si="29"/>
        <v>0</v>
      </c>
      <c r="L487" s="32">
        <f t="shared" si="30"/>
        <v>0</v>
      </c>
      <c r="M487" s="93">
        <f t="shared" si="31"/>
        <v>0</v>
      </c>
    </row>
    <row r="488" spans="1:13" ht="203" x14ac:dyDescent="0.4">
      <c r="A488" s="16" t="s">
        <v>193</v>
      </c>
      <c r="B488" s="33"/>
      <c r="C488" s="96" t="s">
        <v>169</v>
      </c>
      <c r="D488" s="52">
        <v>1</v>
      </c>
      <c r="E488" s="60" t="s">
        <v>511</v>
      </c>
      <c r="F488" s="60" t="s">
        <v>512</v>
      </c>
      <c r="G488" s="60" t="s">
        <v>513</v>
      </c>
      <c r="H488" s="33" t="s">
        <v>220</v>
      </c>
      <c r="I488" s="33"/>
      <c r="J488" s="32">
        <f t="shared" si="28"/>
        <v>128</v>
      </c>
      <c r="K488" s="32">
        <f t="shared" si="29"/>
        <v>320</v>
      </c>
      <c r="L488" s="32">
        <f t="shared" si="30"/>
        <v>448</v>
      </c>
      <c r="M488" s="93">
        <f t="shared" si="31"/>
        <v>0</v>
      </c>
    </row>
    <row r="489" spans="1:13" ht="58" x14ac:dyDescent="0.4">
      <c r="A489" s="16" t="s">
        <v>193</v>
      </c>
      <c r="B489" s="33"/>
      <c r="C489" s="96" t="s">
        <v>169</v>
      </c>
      <c r="D489" s="52">
        <v>2</v>
      </c>
      <c r="E489" s="60" t="s">
        <v>514</v>
      </c>
      <c r="F489" s="60" t="s">
        <v>515</v>
      </c>
      <c r="G489" s="60"/>
      <c r="H489" s="33"/>
      <c r="I489" s="33"/>
      <c r="J489" s="32">
        <f t="shared" si="28"/>
        <v>107</v>
      </c>
      <c r="K489" s="32">
        <f t="shared" si="29"/>
        <v>0</v>
      </c>
      <c r="L489" s="32">
        <f t="shared" si="30"/>
        <v>107</v>
      </c>
      <c r="M489" s="93">
        <f t="shared" si="31"/>
        <v>0</v>
      </c>
    </row>
    <row r="490" spans="1:13" ht="43.5" x14ac:dyDescent="0.4">
      <c r="A490" s="16" t="s">
        <v>193</v>
      </c>
      <c r="B490" s="33"/>
      <c r="C490" s="96" t="s">
        <v>169</v>
      </c>
      <c r="D490" s="52">
        <v>3</v>
      </c>
      <c r="E490" s="60" t="s">
        <v>516</v>
      </c>
      <c r="F490" s="60" t="s">
        <v>517</v>
      </c>
      <c r="G490" s="60"/>
      <c r="H490" s="33"/>
      <c r="I490" s="33"/>
      <c r="J490" s="32">
        <f t="shared" si="28"/>
        <v>63</v>
      </c>
      <c r="K490" s="32">
        <f t="shared" si="29"/>
        <v>0</v>
      </c>
      <c r="L490" s="32">
        <f t="shared" si="30"/>
        <v>63</v>
      </c>
      <c r="M490" s="93">
        <f t="shared" si="31"/>
        <v>0</v>
      </c>
    </row>
    <row r="491" spans="1:13" ht="43.5" x14ac:dyDescent="0.4">
      <c r="A491" s="16" t="s">
        <v>193</v>
      </c>
      <c r="B491" s="33"/>
      <c r="C491" s="96" t="s">
        <v>169</v>
      </c>
      <c r="D491" s="52">
        <v>4</v>
      </c>
      <c r="E491" s="60" t="s">
        <v>228</v>
      </c>
      <c r="F491" s="60" t="s">
        <v>229</v>
      </c>
      <c r="G491" s="60"/>
      <c r="H491" s="52"/>
      <c r="I491" s="33"/>
      <c r="J491" s="32">
        <f t="shared" si="28"/>
        <v>24</v>
      </c>
      <c r="K491" s="32">
        <f t="shared" si="29"/>
        <v>0</v>
      </c>
      <c r="L491" s="32">
        <f t="shared" si="30"/>
        <v>24</v>
      </c>
      <c r="M491" s="93">
        <f t="shared" si="31"/>
        <v>0</v>
      </c>
    </row>
    <row r="492" spans="1:13" ht="15" x14ac:dyDescent="0.4">
      <c r="A492" s="55"/>
      <c r="B492" s="49" t="s">
        <v>549</v>
      </c>
      <c r="C492" s="66" t="s">
        <v>551</v>
      </c>
      <c r="D492" s="57"/>
      <c r="E492" s="56"/>
      <c r="F492" s="56"/>
      <c r="G492" s="56"/>
      <c r="H492" s="57"/>
      <c r="I492" s="58"/>
      <c r="J492" s="32">
        <f t="shared" si="28"/>
        <v>0</v>
      </c>
      <c r="K492" s="32">
        <f t="shared" si="29"/>
        <v>0</v>
      </c>
      <c r="L492" s="32">
        <f t="shared" si="30"/>
        <v>0</v>
      </c>
      <c r="M492" s="93">
        <f t="shared" si="31"/>
        <v>0</v>
      </c>
    </row>
    <row r="493" spans="1:13" ht="43.5" x14ac:dyDescent="0.4">
      <c r="A493" s="16" t="s">
        <v>193</v>
      </c>
      <c r="B493" s="16"/>
      <c r="C493" s="98" t="s">
        <v>550</v>
      </c>
      <c r="D493" s="52">
        <v>1</v>
      </c>
      <c r="E493" s="33" t="s">
        <v>194</v>
      </c>
      <c r="F493" s="16"/>
      <c r="G493" s="16"/>
      <c r="H493" s="16"/>
      <c r="I493" s="16"/>
      <c r="J493" s="32">
        <f t="shared" si="28"/>
        <v>0</v>
      </c>
      <c r="K493" s="32">
        <f t="shared" si="29"/>
        <v>0</v>
      </c>
      <c r="L493" s="32">
        <f t="shared" si="30"/>
        <v>0</v>
      </c>
      <c r="M493" s="93">
        <f t="shared" si="31"/>
        <v>0</v>
      </c>
    </row>
    <row r="494" spans="1:13" ht="130.5" x14ac:dyDescent="0.4">
      <c r="A494" s="16" t="s">
        <v>193</v>
      </c>
      <c r="B494" s="16"/>
      <c r="C494" s="98" t="s">
        <v>550</v>
      </c>
      <c r="D494" s="52">
        <v>2</v>
      </c>
      <c r="E494" s="33" t="s">
        <v>552</v>
      </c>
      <c r="F494" s="60" t="s">
        <v>197</v>
      </c>
      <c r="G494" s="16" t="s">
        <v>553</v>
      </c>
      <c r="H494" s="16"/>
      <c r="I494" s="33" t="s">
        <v>195</v>
      </c>
      <c r="J494" s="32">
        <f t="shared" si="28"/>
        <v>130</v>
      </c>
      <c r="K494" s="32">
        <f t="shared" si="29"/>
        <v>2</v>
      </c>
      <c r="L494" s="32">
        <f t="shared" si="30"/>
        <v>132</v>
      </c>
      <c r="M494" s="93">
        <f t="shared" si="31"/>
        <v>0</v>
      </c>
    </row>
    <row r="495" spans="1:13" ht="43.5" x14ac:dyDescent="0.4">
      <c r="A495" s="16" t="s">
        <v>193</v>
      </c>
      <c r="B495" s="16"/>
      <c r="C495" s="98" t="s">
        <v>550</v>
      </c>
      <c r="D495" s="52">
        <v>3</v>
      </c>
      <c r="E495" s="33" t="s">
        <v>555</v>
      </c>
      <c r="F495" s="33" t="s">
        <v>200</v>
      </c>
      <c r="G495" s="33"/>
      <c r="H495" s="33"/>
      <c r="I495" s="33"/>
      <c r="J495" s="32">
        <f t="shared" si="28"/>
        <v>95</v>
      </c>
      <c r="K495" s="32">
        <f t="shared" si="29"/>
        <v>0</v>
      </c>
      <c r="L495" s="32">
        <f t="shared" si="30"/>
        <v>95</v>
      </c>
      <c r="M495" s="93">
        <f t="shared" si="31"/>
        <v>0</v>
      </c>
    </row>
    <row r="496" spans="1:13" ht="43.5" x14ac:dyDescent="0.4">
      <c r="A496" s="16" t="s">
        <v>193</v>
      </c>
      <c r="B496" s="16"/>
      <c r="C496" s="98" t="s">
        <v>550</v>
      </c>
      <c r="D496" s="52">
        <v>4</v>
      </c>
      <c r="E496" s="33" t="s">
        <v>556</v>
      </c>
      <c r="F496" s="33" t="s">
        <v>202</v>
      </c>
      <c r="G496" s="33"/>
      <c r="H496" s="33"/>
      <c r="I496" s="33"/>
      <c r="J496" s="32">
        <f t="shared" si="28"/>
        <v>44</v>
      </c>
      <c r="K496" s="32">
        <f t="shared" si="29"/>
        <v>0</v>
      </c>
      <c r="L496" s="32">
        <f t="shared" si="30"/>
        <v>44</v>
      </c>
      <c r="M496" s="93">
        <f t="shared" si="31"/>
        <v>0</v>
      </c>
    </row>
    <row r="497" spans="1:13" ht="43.5" x14ac:dyDescent="0.4">
      <c r="A497" s="16" t="s">
        <v>193</v>
      </c>
      <c r="B497" s="16"/>
      <c r="C497" s="98" t="s">
        <v>550</v>
      </c>
      <c r="D497" s="52">
        <v>5</v>
      </c>
      <c r="E497" s="33" t="s">
        <v>203</v>
      </c>
      <c r="F497" s="33" t="s">
        <v>204</v>
      </c>
      <c r="G497" s="33"/>
      <c r="H497" s="33"/>
      <c r="I497" s="33"/>
      <c r="J497" s="32">
        <f t="shared" si="28"/>
        <v>48</v>
      </c>
      <c r="K497" s="32">
        <f t="shared" si="29"/>
        <v>0</v>
      </c>
      <c r="L497" s="32">
        <f t="shared" si="30"/>
        <v>48</v>
      </c>
      <c r="M497" s="93">
        <f t="shared" si="31"/>
        <v>0</v>
      </c>
    </row>
    <row r="498" spans="1:13" ht="87" x14ac:dyDescent="0.4">
      <c r="A498" s="16" t="s">
        <v>193</v>
      </c>
      <c r="B498" s="16"/>
      <c r="C498" s="98" t="s">
        <v>550</v>
      </c>
      <c r="D498" s="52">
        <v>6</v>
      </c>
      <c r="E498" s="33" t="s">
        <v>205</v>
      </c>
      <c r="F498" s="33" t="s">
        <v>206</v>
      </c>
      <c r="G498" s="33" t="s">
        <v>207</v>
      </c>
      <c r="H498" s="33"/>
      <c r="I498" s="33"/>
      <c r="J498" s="32">
        <f t="shared" si="28"/>
        <v>111</v>
      </c>
      <c r="K498" s="32">
        <f t="shared" si="29"/>
        <v>178</v>
      </c>
      <c r="L498" s="32">
        <f t="shared" si="30"/>
        <v>289</v>
      </c>
      <c r="M498" s="93">
        <f t="shared" si="31"/>
        <v>0</v>
      </c>
    </row>
    <row r="499" spans="1:13" ht="275.5" x14ac:dyDescent="0.4">
      <c r="A499" s="16" t="s">
        <v>193</v>
      </c>
      <c r="B499" s="16"/>
      <c r="C499" s="98" t="s">
        <v>550</v>
      </c>
      <c r="D499" s="52">
        <v>7</v>
      </c>
      <c r="E499" s="60" t="s">
        <v>554</v>
      </c>
      <c r="F499" s="60" t="s">
        <v>557</v>
      </c>
      <c r="G499" s="60" t="s">
        <v>558</v>
      </c>
      <c r="H499" s="60"/>
      <c r="I499" s="60"/>
      <c r="J499" s="32">
        <f t="shared" si="28"/>
        <v>402</v>
      </c>
      <c r="K499" s="32">
        <f t="shared" si="29"/>
        <v>262</v>
      </c>
      <c r="L499" s="32">
        <f t="shared" si="30"/>
        <v>664</v>
      </c>
      <c r="M499" s="93">
        <f t="shared" si="31"/>
        <v>0</v>
      </c>
    </row>
    <row r="500" spans="1:13" x14ac:dyDescent="0.35">
      <c r="A500" s="61"/>
      <c r="B500" s="61"/>
      <c r="C500" s="61"/>
      <c r="D500" s="62"/>
      <c r="E500" s="41"/>
      <c r="F500" s="41"/>
      <c r="G500" s="41"/>
      <c r="H500" s="41"/>
      <c r="I500" s="41"/>
    </row>
    <row r="501" spans="1:13" x14ac:dyDescent="0.35">
      <c r="A501" s="61"/>
      <c r="B501" s="61"/>
      <c r="C501" s="61"/>
      <c r="D501" s="62"/>
      <c r="E501" s="41"/>
      <c r="F501" s="41"/>
      <c r="G501" s="41"/>
      <c r="H501" s="41"/>
      <c r="I501" s="41"/>
    </row>
    <row r="503" spans="1:13" s="59" customFormat="1" x14ac:dyDescent="0.35">
      <c r="A503" s="30"/>
      <c r="B503" s="30"/>
      <c r="C503" s="30"/>
      <c r="D503" s="30"/>
      <c r="E503" s="30"/>
      <c r="F503" s="30"/>
      <c r="G503" s="30"/>
      <c r="H503" s="30"/>
      <c r="I503" s="30"/>
    </row>
    <row r="504" spans="1:13" s="59" customFormat="1" x14ac:dyDescent="0.35">
      <c r="A504" s="30"/>
      <c r="B504" s="30"/>
      <c r="C504" s="30"/>
      <c r="D504" s="30"/>
      <c r="E504" s="30"/>
      <c r="F504" s="30"/>
      <c r="G504" s="30"/>
      <c r="H504" s="30"/>
      <c r="I504" s="30"/>
    </row>
    <row r="505" spans="1:13" s="59" customFormat="1" x14ac:dyDescent="0.35">
      <c r="A505" s="30"/>
      <c r="B505" s="30"/>
      <c r="C505" s="30"/>
      <c r="D505" s="30"/>
      <c r="E505" s="30"/>
      <c r="F505" s="30"/>
      <c r="G505" s="30"/>
      <c r="H505" s="30"/>
      <c r="I505" s="30"/>
    </row>
    <row r="506" spans="1:13" s="59" customFormat="1" x14ac:dyDescent="0.35">
      <c r="A506" s="30"/>
      <c r="B506" s="30"/>
      <c r="C506" s="30"/>
      <c r="D506" s="30"/>
      <c r="E506" s="30"/>
      <c r="F506" s="30"/>
      <c r="G506" s="30"/>
      <c r="H506" s="30"/>
      <c r="I506" s="30"/>
    </row>
    <row r="507" spans="1:13" s="59" customFormat="1" ht="12.5" x14ac:dyDescent="0.25"/>
    <row r="508" spans="1:13" s="59" customFormat="1" ht="12.5" x14ac:dyDescent="0.25"/>
    <row r="509" spans="1:13" s="59" customFormat="1" ht="12.5" x14ac:dyDescent="0.25"/>
    <row r="510" spans="1:13" s="59" customFormat="1" ht="12.5" x14ac:dyDescent="0.25"/>
    <row r="511" spans="1:13" s="59" customFormat="1" ht="12.5" x14ac:dyDescent="0.25"/>
    <row r="512" spans="1:13" x14ac:dyDescent="0.35">
      <c r="A512" s="59"/>
      <c r="B512" s="59"/>
      <c r="C512" s="59"/>
      <c r="D512" s="59"/>
      <c r="E512" s="59"/>
      <c r="F512" s="59"/>
      <c r="G512" s="59"/>
      <c r="H512" s="59"/>
      <c r="I512" s="59"/>
    </row>
    <row r="513" spans="1:9" x14ac:dyDescent="0.35">
      <c r="A513" s="59"/>
      <c r="B513" s="59"/>
      <c r="C513" s="59"/>
      <c r="D513" s="59"/>
      <c r="E513" s="59"/>
      <c r="F513" s="59"/>
      <c r="G513" s="59"/>
      <c r="H513" s="59"/>
      <c r="I513" s="59"/>
    </row>
    <row r="514" spans="1:9" x14ac:dyDescent="0.35">
      <c r="A514" s="59"/>
      <c r="B514" s="59"/>
      <c r="C514" s="59"/>
      <c r="D514" s="59"/>
      <c r="E514" s="59"/>
      <c r="F514" s="59"/>
      <c r="G514" s="59"/>
      <c r="H514" s="59"/>
      <c r="I514" s="59"/>
    </row>
    <row r="515" spans="1:9" x14ac:dyDescent="0.35">
      <c r="A515" s="59"/>
      <c r="B515" s="59"/>
      <c r="C515" s="59"/>
      <c r="D515" s="59"/>
      <c r="E515" s="59"/>
      <c r="F515" s="59"/>
      <c r="G515" s="59"/>
      <c r="H515" s="59"/>
      <c r="I515" s="59"/>
    </row>
  </sheetData>
  <autoFilter ref="M20:M499" xr:uid="{00000000-0001-0000-0300-000000000000}"/>
  <mergeCells count="4">
    <mergeCell ref="D10:E10"/>
    <mergeCell ref="A12:B12"/>
    <mergeCell ref="A13:B13"/>
    <mergeCell ref="A14:B14"/>
  </mergeCells>
  <pageMargins left="0.25" right="0.25" top="0.75" bottom="0.75" header="0.511811023622047" footer="0.3"/>
  <pageSetup fitToHeight="0" orientation="landscape" horizontalDpi="300" verticalDpi="300"/>
  <headerFooter>
    <oddFooter>&amp;R&amp;"Montserrat,Normal"&amp;10Página &amp;P de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AEF0-34EE-4B7B-853D-219190E2EAD6}">
  <dimension ref="C19:G526"/>
  <sheetViews>
    <sheetView topLeftCell="A13" zoomScale="85" zoomScaleNormal="85" workbookViewId="0">
      <selection activeCell="H24" sqref="H24"/>
    </sheetView>
  </sheetViews>
  <sheetFormatPr baseColWidth="10" defaultRowHeight="14.5" x14ac:dyDescent="0.35"/>
  <cols>
    <col min="6" max="6" width="23.453125" customWidth="1"/>
  </cols>
  <sheetData>
    <row r="19" spans="3:7" x14ac:dyDescent="0.35">
      <c r="C19" t="s">
        <v>559</v>
      </c>
      <c r="D19" s="92" t="str">
        <f>IF('Casos de Prueba'!B19&lt;&gt;0,'Casos de Prueba'!B19&amp;"-"&amp;'Casos de Prueba'!C19,"")</f>
        <v>CP01-Autenticación - e.Firma</v>
      </c>
    </row>
    <row r="20" spans="3:7" x14ac:dyDescent="0.35">
      <c r="D20" s="92" t="str">
        <f>IF('Casos de Prueba'!B20&lt;&gt;0,'Casos de Prueba'!B20&amp;"-"&amp;'Casos de Prueba'!C20,"")</f>
        <v/>
      </c>
      <c r="E20" s="92">
        <f>IF(LEN($C20)&gt;0,"",'Casos de Prueba'!D20)</f>
        <v>1</v>
      </c>
      <c r="F20" s="92" t="str">
        <f>IF(LEN($C20)&gt;0,"",'Casos de Prueba'!E20)</f>
        <v>Usuario abre explorador</v>
      </c>
      <c r="G20" s="92" t="str">
        <f>IF(LEN($C20)&gt;0,"",'Casos de Prueba'!F20&amp;CHAR(10)&amp;'Casos de Prueba'!G20)</f>
        <v xml:space="preserve">
</v>
      </c>
    </row>
    <row r="21" spans="3:7" x14ac:dyDescent="0.35">
      <c r="D21" s="92" t="str">
        <f>IF('Casos de Prueba'!B21&lt;&gt;0,'Casos de Prueba'!B21&amp;"-"&amp;'Casos de Prueba'!C21,"")</f>
        <v/>
      </c>
      <c r="E21" s="92">
        <f>IF(LEN($C21)&gt;0,"",'Casos de Prueba'!D21)</f>
        <v>2</v>
      </c>
      <c r="F21" s="92" t="str">
        <f>IF(LEN($C21)&gt;0,"",'Casos de Prueba'!E21)</f>
        <v>Usuario ingresa a la URL correspondiente del Portal Privado Contribuyente CFDI .
-Selecciona la opción por e.firma</v>
      </c>
      <c r="G21" s="92" t="str">
        <f>IF(LEN($C21)&gt;0,"",'Casos de Prueba'!F21&amp;CHAR(10)&amp;'Casos de Prueba'!G21)</f>
        <v xml:space="preserve">Se muestran los datos para ingresar:
Certificado (.cer)
Clave privada (.Key)
Contraseña de clave privada: 
Se muestra el campo RFC
Se requiere que el usuario al ingresar al aplicativo cuente con una opción que le permita autenticarse mediante su firma electrónica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Contribuyente conforme a los lineamientos institucionales vigentes por el área de Seguridad del SAT. </v>
      </c>
    </row>
    <row r="22" spans="3:7" x14ac:dyDescent="0.35">
      <c r="D22" s="92" t="str">
        <f>IF('Casos de Prueba'!B22&lt;&gt;0,'Casos de Prueba'!B22&amp;"-"&amp;'Casos de Prueba'!C22,"")</f>
        <v/>
      </c>
      <c r="E22" s="92">
        <f>IF(LEN($C22)&gt;0,"",'Casos de Prueba'!D22)</f>
        <v>3</v>
      </c>
      <c r="F22" s="92" t="str">
        <f>IF(LEN($C22)&gt;0,"",'Casos de Prueba'!E22)</f>
        <v>Usuario da clic en buscar y selecciona el archivo correspondiente a su certificado</v>
      </c>
      <c r="G22" s="92" t="str">
        <f>IF(LEN($C22)&gt;0,"",'Casos de Prueba'!F22&amp;CHAR(10)&amp;'Casos de Prueba'!G22)</f>
        <v xml:space="preserve">Se muestra el dato en el  campo certificado y en el campo RFC el dato del RFC del Contribuyente
</v>
      </c>
    </row>
    <row r="23" spans="3:7" x14ac:dyDescent="0.35">
      <c r="D23" s="92" t="str">
        <f>IF('Casos de Prueba'!B23&lt;&gt;0,'Casos de Prueba'!B23&amp;"-"&amp;'Casos de Prueba'!C23,"")</f>
        <v/>
      </c>
      <c r="E23" s="92">
        <f>IF(LEN($C23)&gt;0,"",'Casos de Prueba'!D23)</f>
        <v>4</v>
      </c>
      <c r="F23" s="92" t="str">
        <f>IF(LEN($C23)&gt;0,"",'Casos de Prueba'!E23)</f>
        <v>Usuario da clic en buscar y selecciona el archivo correspondiente a su clave privada</v>
      </c>
      <c r="G23" s="92" t="str">
        <f>IF(LEN($C23)&gt;0,"",'Casos de Prueba'!F23&amp;CHAR(10)&amp;'Casos de Prueba'!G23)</f>
        <v xml:space="preserve">Se muestra el dato en el campo clave privada
</v>
      </c>
    </row>
    <row r="24" spans="3:7" x14ac:dyDescent="0.35">
      <c r="D24" s="92" t="str">
        <f>IF('Casos de Prueba'!B24&lt;&gt;0,'Casos de Prueba'!B24&amp;"-"&amp;'Casos de Prueba'!C24,"")</f>
        <v/>
      </c>
      <c r="E24" s="92">
        <f>IF(LEN($C24)&gt;0,"",'Casos de Prueba'!D24)</f>
        <v>5</v>
      </c>
      <c r="F24" s="92" t="str">
        <f>IF(LEN($C24)&gt;0,"",'Casos de Prueba'!E24)</f>
        <v>Usuario ingresa su contraseña</v>
      </c>
      <c r="G24" s="92" t="str">
        <f>IF(LEN($C24)&gt;0,"",'Casos de Prueba'!F24&amp;CHAR(10)&amp;'Casos de Prueba'!G24)</f>
        <v xml:space="preserve">Se muestra oculto el dato en el campo contraseña
</v>
      </c>
    </row>
    <row r="25" spans="3:7" x14ac:dyDescent="0.35">
      <c r="D25" s="92" t="str">
        <f>IF('Casos de Prueba'!B25&lt;&gt;0,'Casos de Prueba'!B25&amp;"-"&amp;'Casos de Prueba'!C25,"")</f>
        <v/>
      </c>
      <c r="E25" s="92">
        <f>IF(LEN($C25)&gt;0,"",'Casos de Prueba'!D25)</f>
        <v>6</v>
      </c>
      <c r="F25" s="92" t="str">
        <f>IF(LEN($C25)&gt;0,"",'Casos de Prueba'!E25)</f>
        <v>Da clic en enviar</v>
      </c>
      <c r="G25" s="92" t="str">
        <f>IF(LEN($C25)&gt;0,"",'Casos de Prueba'!F25&amp;CHAR(10)&amp;'Casos de Prueba'!G25)</f>
        <v xml:space="preserve">Si la autenticación es correcta, el aplicativo abre la página principal del Portal Privado Contribuyente CFDI .
En caso de que el Contribuyente no cuente con los permisos, el aplicativo mostrará el mensaje: “El Usuario no cuenta con los privilegios de acceso” y no va a permitir su acceso. </v>
      </c>
    </row>
    <row r="26" spans="3:7" x14ac:dyDescent="0.35">
      <c r="D26" s="92" t="str">
        <f>IF('Casos de Prueba'!B26&lt;&gt;0,'Casos de Prueba'!B26&amp;"-"&amp;'Casos de Prueba'!C26,"")</f>
        <v>CP02-Autenticación - Contraseña</v>
      </c>
      <c r="E26" s="92"/>
      <c r="F26" s="92"/>
      <c r="G26" s="92"/>
    </row>
    <row r="27" spans="3:7" x14ac:dyDescent="0.35">
      <c r="D27" s="92" t="str">
        <f>IF('Casos de Prueba'!B27&lt;&gt;0,'Casos de Prueba'!B27&amp;"-"&amp;'Casos de Prueba'!C27,"")</f>
        <v/>
      </c>
      <c r="E27" s="92">
        <f>IF(LEN($C27)&gt;0,"",'Casos de Prueba'!D27)</f>
        <v>1</v>
      </c>
      <c r="F27" s="92" t="str">
        <f>IF(LEN($C27)&gt;0,"",'Casos de Prueba'!E27)</f>
        <v>Usuario abre explorador</v>
      </c>
      <c r="G27" s="92" t="str">
        <f>IF(LEN($C27)&gt;0,"",'Casos de Prueba'!F27&amp;CHAR(10)&amp;'Casos de Prueba'!G27)</f>
        <v xml:space="preserve">
</v>
      </c>
    </row>
    <row r="28" spans="3:7" x14ac:dyDescent="0.35">
      <c r="D28" s="92" t="str">
        <f>IF('Casos de Prueba'!B28&lt;&gt;0,'Casos de Prueba'!B28&amp;"-"&amp;'Casos de Prueba'!C28,"")</f>
        <v/>
      </c>
      <c r="E28" s="92">
        <f>IF(LEN($C28)&gt;0,"",'Casos de Prueba'!D28)</f>
        <v>2</v>
      </c>
      <c r="F28" s="92" t="str">
        <f>IF(LEN($C28)&gt;0,"",'Casos de Prueba'!E28)</f>
        <v>Usuario ingresa a la URL correspondiente del Portal Privado Contribuyente CFDI .
-Selecciona la opción por contraseña (Default)</v>
      </c>
      <c r="G28" s="92" t="str">
        <f>IF(LEN($C28)&gt;0,"",'Casos de Prueba'!F28&amp;CHAR(10)&amp;'Casos de Prueba'!G28)</f>
        <v xml:space="preserve">Se muestran los datos para ingresar:
.RFC
.Contraseña
.e.firma portable 
.Captcha
Se mostrarán los mensajes de validación de los campos proporcionados por el Contribuyente conforme a los lineamientos institucionales vigentes por el área de Seguridad del SAT. </v>
      </c>
    </row>
    <row r="29" spans="3:7" x14ac:dyDescent="0.35">
      <c r="D29" s="92" t="str">
        <f>IF('Casos de Prueba'!B29&lt;&gt;0,'Casos de Prueba'!B29&amp;"-"&amp;'Casos de Prueba'!C29,"")</f>
        <v/>
      </c>
      <c r="E29" s="92">
        <f>IF(LEN($C29)&gt;0,"",'Casos de Prueba'!D29)</f>
        <v>3</v>
      </c>
      <c r="F29" s="92" t="str">
        <f>IF(LEN($C29)&gt;0,"",'Casos de Prueba'!E29)</f>
        <v>Usuario ingresa los datos requeridos
.RFC</v>
      </c>
      <c r="G29" s="92" t="str">
        <f>IF(LEN($C29)&gt;0,"",'Casos de Prueba'!F29&amp;CHAR(10)&amp;'Casos de Prueba'!G29)</f>
        <v xml:space="preserve">
</v>
      </c>
    </row>
    <row r="30" spans="3:7" x14ac:dyDescent="0.35">
      <c r="D30" s="92" t="str">
        <f>IF('Casos de Prueba'!B30&lt;&gt;0,'Casos de Prueba'!B30&amp;"-"&amp;'Casos de Prueba'!C30,"")</f>
        <v/>
      </c>
      <c r="E30" s="92">
        <f>IF(LEN($C30)&gt;0,"",'Casos de Prueba'!D30)</f>
        <v>4</v>
      </c>
      <c r="F30" s="92" t="str">
        <f>IF(LEN($C30)&gt;0,"",'Casos de Prueba'!E30)</f>
        <v>Usuario ingresa su contraseña</v>
      </c>
      <c r="G30" s="92" t="str">
        <f>IF(LEN($C30)&gt;0,"",'Casos de Prueba'!F30&amp;CHAR(10)&amp;'Casos de Prueba'!G30)</f>
        <v xml:space="preserve">Se muestra oculto el dato en el campo contraseña
</v>
      </c>
    </row>
    <row r="31" spans="3:7" x14ac:dyDescent="0.35">
      <c r="D31" s="92" t="str">
        <f>IF('Casos de Prueba'!B31&lt;&gt;0,'Casos de Prueba'!B31&amp;"-"&amp;'Casos de Prueba'!C31,"")</f>
        <v/>
      </c>
      <c r="E31" s="92">
        <f>IF(LEN($C31)&gt;0,"",'Casos de Prueba'!D31)</f>
        <v>5</v>
      </c>
      <c r="F31" s="92" t="str">
        <f>IF(LEN($C31)&gt;0,"",'Casos de Prueba'!E31)</f>
        <v>Usuario ingresa el valor del la imagen Captcha</v>
      </c>
      <c r="G31" s="92" t="str">
        <f>IF(LEN($C31)&gt;0,"",'Casos de Prueba'!F31&amp;CHAR(10)&amp;'Casos de Prueba'!G31)</f>
        <v xml:space="preserve">La imagen del campo captcha es dinámico por lo que cambia cada que se actualice la página. Y debe coincidir con los valores ingresados por el usuario
</v>
      </c>
    </row>
    <row r="32" spans="3:7" x14ac:dyDescent="0.35">
      <c r="D32" s="92" t="str">
        <f>IF('Casos de Prueba'!B32&lt;&gt;0,'Casos de Prueba'!B32&amp;"-"&amp;'Casos de Prueba'!C32,"")</f>
        <v/>
      </c>
      <c r="E32" s="92">
        <f>IF(LEN($C32)&gt;0,"",'Casos de Prueba'!D32)</f>
        <v>6</v>
      </c>
      <c r="F32" s="92" t="str">
        <f>IF(LEN($C32)&gt;0,"",'Casos de Prueba'!E32)</f>
        <v>Da clic en enviar</v>
      </c>
      <c r="G32" s="92" t="str">
        <f>IF(LEN($C32)&gt;0,"",'Casos de Prueba'!F32&amp;CHAR(10)&amp;'Casos de Prueba'!G32)</f>
        <v xml:space="preserve">Si la autenticación es correcta, el aplicativo abre la página principal del Portal Privado Contribuyente CFDI .
En caso de que el Contribuyente no cuente con los permisos, el aplicativo mostrará el mensaje: “El Usuario no cuenta con los privilegios de acceso” y no va a permitir su acceso. </v>
      </c>
    </row>
    <row r="33" spans="4:7" x14ac:dyDescent="0.35">
      <c r="D33" s="92" t="str">
        <f>IF('Casos de Prueba'!B33&lt;&gt;0,'Casos de Prueba'!B33&amp;"-"&amp;'Casos de Prueba'!C33,"")</f>
        <v>CP03-Inactividad</v>
      </c>
      <c r="E33" s="92"/>
      <c r="F33" s="92"/>
      <c r="G33" s="92"/>
    </row>
    <row r="34" spans="4:7" x14ac:dyDescent="0.35">
      <c r="D34" s="92" t="str">
        <f>IF('Casos de Prueba'!B34&lt;&gt;0,'Casos de Prueba'!B34&amp;"-"&amp;'Casos de Prueba'!C34,"")</f>
        <v/>
      </c>
      <c r="E34" s="92">
        <f>IF(LEN($C34)&gt;0,"",'Casos de Prueba'!D34)</f>
        <v>1</v>
      </c>
      <c r="F34" s="92" t="str">
        <f>IF(LEN($C34)&gt;0,"",'Casos de Prueba'!E34)</f>
        <v xml:space="preserve">Usuario ingresa al Portal Privado Contribuyente CFDI 
</v>
      </c>
      <c r="G34" s="92" t="str">
        <f>IF(LEN($C34)&gt;0,"",'Casos de Prueba'!F34&amp;CHAR(10)&amp;'Casos de Prueba'!G34)</f>
        <v>El sistema muestra las siguientes opciones:
-Consultar Facturas Emitidas
-Consulta Facturas Recibidas
-Recuperar Descargas de CFDI
-Consultar Solicitudes de Cancelación
El Usuario previamente se autenticó  y accedió al Portal Privado Contribuyente CFDI</v>
      </c>
    </row>
    <row r="35" spans="4:7" x14ac:dyDescent="0.35">
      <c r="D35" s="92" t="str">
        <f>IF('Casos de Prueba'!B35&lt;&gt;0,'Casos de Prueba'!B35&amp;"-"&amp;'Casos de Prueba'!C35,"")</f>
        <v/>
      </c>
      <c r="E35" s="92">
        <f>IF(LEN($C35)&gt;0,"",'Casos de Prueba'!D35)</f>
        <v>2</v>
      </c>
      <c r="F35" s="92" t="str">
        <f>IF(LEN($C35)&gt;0,"",'Casos de Prueba'!E35)</f>
        <v>Da clic en "Consultar Facturas Emitidas"</v>
      </c>
      <c r="G35" s="92" t="str">
        <f>IF(LEN($C35)&gt;0,"",'Casos de Prueba'!F35&amp;CHAR(10)&amp;'Casos de Prueba'!G35)</f>
        <v xml:space="preserve">El sistema muestra las siguientes opciones de búsqueda:
- Folio Fiscal
- Periodo de Fechas
</v>
      </c>
    </row>
    <row r="36" spans="4:7" x14ac:dyDescent="0.35">
      <c r="D36" s="92" t="str">
        <f>IF('Casos de Prueba'!B36&lt;&gt;0,'Casos de Prueba'!B36&amp;"-"&amp;'Casos de Prueba'!C36,"")</f>
        <v/>
      </c>
      <c r="E36" s="92">
        <f>IF(LEN($C36)&gt;0,"",'Casos de Prueba'!D36)</f>
        <v>3</v>
      </c>
      <c r="F36" s="92" t="str">
        <f>IF(LEN($C36)&gt;0,"",'Casos de Prueba'!E36)</f>
        <v xml:space="preserve">Dejar la sesión abierta </v>
      </c>
      <c r="G36" s="92" t="str">
        <f>IF(LEN($C36)&gt;0,"",'Casos de Prueba'!F36&amp;CHAR(10)&amp;'Casos de Prueba'!G36)</f>
        <v xml:space="preserve">Después de 15 minutos de inactividad, se cerrará la sesión en automático.
</v>
      </c>
    </row>
    <row r="37" spans="4:7" x14ac:dyDescent="0.35">
      <c r="D37" s="92" t="str">
        <f>IF('Casos de Prueba'!B37&lt;&gt;0,'Casos de Prueba'!B37&amp;"-"&amp;'Casos de Prueba'!C37,"")</f>
        <v>CP04-Salir</v>
      </c>
      <c r="E37" s="92"/>
      <c r="F37" s="92"/>
      <c r="G37" s="92"/>
    </row>
    <row r="38" spans="4:7" x14ac:dyDescent="0.35">
      <c r="D38" s="92" t="str">
        <f>IF('Casos de Prueba'!B38&lt;&gt;0,'Casos de Prueba'!B38&amp;"-"&amp;'Casos de Prueba'!C38,"")</f>
        <v/>
      </c>
      <c r="E38" s="92">
        <f>IF(LEN($C38)&gt;0,"",'Casos de Prueba'!D38)</f>
        <v>1</v>
      </c>
      <c r="F38" s="92" t="str">
        <f>IF(LEN($C38)&gt;0,"",'Casos de Prueba'!E38)</f>
        <v xml:space="preserve">Usuario ingresa al Portal de Contribuyente - Servicio de Factura Electrónica 
</v>
      </c>
      <c r="G38" s="92" t="str">
        <f>IF(LEN($C38)&gt;0,"",'Casos de Prueba'!F38&amp;CHAR(10)&amp;'Casos de Prueba'!G38)</f>
        <v>El sistema muestra las siguientes opciones:
-Consultar Facturas Emitidas
-Consulta Facturas Recibidas
-Recuperar Descargas de CFDI
-Consultar Solicitudes de Cancelación
El Usuario previamente se autenticó  y accedió al Portal Privado Contribuyente CFDI</v>
      </c>
    </row>
    <row r="39" spans="4:7" x14ac:dyDescent="0.35">
      <c r="D39" s="92" t="str">
        <f>IF('Casos de Prueba'!B39&lt;&gt;0,'Casos de Prueba'!B39&amp;"-"&amp;'Casos de Prueba'!C39,"")</f>
        <v/>
      </c>
      <c r="E39" s="92">
        <f>IF(LEN($C39)&gt;0,"",'Casos de Prueba'!D39)</f>
        <v>2</v>
      </c>
      <c r="F39" s="92" t="str">
        <f>IF(LEN($C39)&gt;0,"",'Casos de Prueba'!E39)</f>
        <v>Da clic en "Consultar Facturas Emitidas"</v>
      </c>
      <c r="G39" s="92" t="str">
        <f>IF(LEN($C39)&gt;0,"",'Casos de Prueba'!F39&amp;CHAR(10)&amp;'Casos de Prueba'!G39)</f>
        <v xml:space="preserve">El sistema muestra las siguientes opciones de búsqueda:
- Folio Fiscal
- Periodo de Fechas
</v>
      </c>
    </row>
    <row r="40" spans="4:7" x14ac:dyDescent="0.35">
      <c r="D40" s="92" t="str">
        <f>IF('Casos de Prueba'!B40&lt;&gt;0,'Casos de Prueba'!B40&amp;"-"&amp;'Casos de Prueba'!C40,"")</f>
        <v/>
      </c>
      <c r="E40" s="92">
        <f>IF(LEN($C40)&gt;0,"",'Casos de Prueba'!D40)</f>
        <v>3</v>
      </c>
      <c r="F40" s="92" t="str">
        <f>IF(LEN($C40)&gt;0,"",'Casos de Prueba'!E40)</f>
        <v>Da clic en Salir</v>
      </c>
      <c r="G40" s="92" t="str">
        <f>IF(LEN($C40)&gt;0,"",'Casos de Prueba'!F40&amp;CHAR(10)&amp;'Casos de Prueba'!G40)</f>
        <v xml:space="preserve">Cierra la sesión del RFC
</v>
      </c>
    </row>
    <row r="41" spans="4:7" x14ac:dyDescent="0.35">
      <c r="D41" s="92" t="str">
        <f>IF('Casos de Prueba'!B41&lt;&gt;0,'Casos de Prueba'!B41&amp;"-"&amp;'Casos de Prueba'!C41,"")</f>
        <v>CP05-Menú - Contribuyente</v>
      </c>
      <c r="E41" s="92"/>
      <c r="F41" s="92"/>
      <c r="G41" s="92"/>
    </row>
    <row r="42" spans="4:7" x14ac:dyDescent="0.35">
      <c r="D42" s="92" t="str">
        <f>IF('Casos de Prueba'!B42&lt;&gt;0,'Casos de Prueba'!B42&amp;"-"&amp;'Casos de Prueba'!C42,"")</f>
        <v/>
      </c>
      <c r="E42" s="92">
        <f>IF(LEN($C42)&gt;0,"",'Casos de Prueba'!D42)</f>
        <v>1</v>
      </c>
      <c r="F42" s="92" t="str">
        <f>IF(LEN($C42)&gt;0,"",'Casos de Prueba'!E42)</f>
        <v xml:space="preserve">Usuario ingresa al Portal de Contribuyente - Servicio de Factura Electrónica 
</v>
      </c>
      <c r="G42" s="92" t="str">
        <f>IF(LEN($C42)&gt;0,"",'Casos de Prueba'!F42&amp;CHAR(10)&amp;'Casos de Prueba'!G42)</f>
        <v>El sistema muestra las siguientes opciones del menú:
-Consultar Facturas Emitidas
-Consultar Facturas Recibidas
-Recuperar Descargas de CFDI
-Consultar Solicitudes de Cancelación
El Usuario previamente se autenticó como un contribuyente y accedió al Portal Privado Contribuyente CFDI</v>
      </c>
    </row>
    <row r="43" spans="4:7" x14ac:dyDescent="0.35">
      <c r="D43" s="92" t="str">
        <f>IF('Casos de Prueba'!B43&lt;&gt;0,'Casos de Prueba'!B43&amp;"-"&amp;'Casos de Prueba'!C43,"")</f>
        <v/>
      </c>
      <c r="E43" s="92">
        <f>IF(LEN($C43)&gt;0,"",'Casos de Prueba'!D43)</f>
        <v>2</v>
      </c>
      <c r="F43" s="92" t="str">
        <f>IF(LEN($C43)&gt;0,"",'Casos de Prueba'!E43)</f>
        <v>Da clic en Salir</v>
      </c>
      <c r="G43" s="92" t="str">
        <f>IF(LEN($C43)&gt;0,"",'Casos de Prueba'!F43&amp;CHAR(10)&amp;'Casos de Prueba'!G43)</f>
        <v xml:space="preserve">Cierra la sesión del RFC
</v>
      </c>
    </row>
    <row r="44" spans="4:7" x14ac:dyDescent="0.35">
      <c r="D44" s="92" t="str">
        <f>IF('Casos de Prueba'!B44&lt;&gt;0,'Casos de Prueba'!B44&amp;"-"&amp;'Casos de Prueba'!C44,"")</f>
        <v>CP06-Menú - PAC</v>
      </c>
      <c r="E44" s="92"/>
      <c r="F44" s="92"/>
      <c r="G44" s="92"/>
    </row>
    <row r="45" spans="4:7" x14ac:dyDescent="0.35">
      <c r="D45" s="92" t="str">
        <f>IF('Casos de Prueba'!B45&lt;&gt;0,'Casos de Prueba'!B45&amp;"-"&amp;'Casos de Prueba'!C45,"")</f>
        <v/>
      </c>
      <c r="E45" s="92">
        <f>IF(LEN($C45)&gt;0,"",'Casos de Prueba'!D45)</f>
        <v>1</v>
      </c>
      <c r="F45" s="92" t="str">
        <f>IF(LEN($C45)&gt;0,"",'Casos de Prueba'!E45)</f>
        <v xml:space="preserve">Usuario ingresa al Portal de Contribuyente - Servicio de Factura Electrónica 
</v>
      </c>
      <c r="G45" s="92" t="str">
        <f>IF(LEN($C45)&gt;0,"",'Casos de Prueba'!F45&amp;CHAR(10)&amp;'Casos de Prueba'!G45)</f>
        <v>El sistema muestra las siguientes opciones del menú:
-Consultar Facturas Emitidas
-Consultar Facturas Recibidas
-Recuperar Descargas de CFDI
-Consultar Solicitudes de Cancelación
-Consulta Incidentes CFDI
-Consulta Incidentes CFDI de Retenciones
El Usuario previamente se autenticó como un PAC y accedió al Portal Privado Contribuyente CFDI</v>
      </c>
    </row>
    <row r="46" spans="4:7" x14ac:dyDescent="0.35">
      <c r="D46" s="92" t="str">
        <f>IF('Casos de Prueba'!B46&lt;&gt;0,'Casos de Prueba'!B46&amp;"-"&amp;'Casos de Prueba'!C46,"")</f>
        <v/>
      </c>
      <c r="E46" s="92">
        <f>IF(LEN($C46)&gt;0,"",'Casos de Prueba'!D46)</f>
        <v>2</v>
      </c>
      <c r="F46" s="92" t="str">
        <f>IF(LEN($C46)&gt;0,"",'Casos de Prueba'!E46)</f>
        <v>Da clic en Salir</v>
      </c>
      <c r="G46" s="92" t="str">
        <f>IF(LEN($C46)&gt;0,"",'Casos de Prueba'!F46&amp;CHAR(10)&amp;'Casos de Prueba'!G46)</f>
        <v xml:space="preserve">Cierra la sesión del RFC
</v>
      </c>
    </row>
    <row r="47" spans="4:7" x14ac:dyDescent="0.35">
      <c r="D47" s="92" t="str">
        <f>IF('Casos de Prueba'!B47&lt;&gt;0,'Casos de Prueba'!B47&amp;"-"&amp;'Casos de Prueba'!C47,"")</f>
        <v>CP07-Facturas Emitidas - Por Folio Fiscal</v>
      </c>
      <c r="E47" s="92"/>
      <c r="F47" s="92"/>
      <c r="G47" s="92"/>
    </row>
    <row r="48" spans="4:7" x14ac:dyDescent="0.35">
      <c r="D48" s="92" t="str">
        <f>IF('Casos de Prueba'!B48&lt;&gt;0,'Casos de Prueba'!B48&amp;"-"&amp;'Casos de Prueba'!C48,"")</f>
        <v/>
      </c>
      <c r="E48" s="92">
        <f>IF(LEN($C48)&gt;0,"",'Casos de Prueba'!D48)</f>
        <v>1</v>
      </c>
      <c r="F48" s="92" t="str">
        <f>IF(LEN($C48)&gt;0,"",'Casos de Prueba'!E48)</f>
        <v>Seleccionar la opción Consulta CFDI</v>
      </c>
      <c r="G48" s="92" t="str">
        <f>IF(LEN($C48)&gt;0,"",'Casos de Prueba'!F48&amp;CHAR(10)&amp;'Casos de Prueba'!G48)</f>
        <v xml:space="preserve">El sistema muestra las opciones:
 - Factura Electrónica
 - Retenciones e Inf. de Pagos
El Usuario previamente se autenticó  y accedió al Portal Privado Contribuyente CFDI
</v>
      </c>
    </row>
    <row r="49" spans="4:7" x14ac:dyDescent="0.35">
      <c r="D49" s="92" t="str">
        <f>IF('Casos de Prueba'!B49&lt;&gt;0,'Casos de Prueba'!B49&amp;"-"&amp;'Casos de Prueba'!C49,"")</f>
        <v/>
      </c>
      <c r="E49" s="92">
        <f>IF(LEN($C49)&gt;0,"",'Casos de Prueba'!D49)</f>
        <v>2</v>
      </c>
      <c r="F49" s="92" t="str">
        <f>IF(LEN($C49)&gt;0,"",'Casos de Prueba'!E49)</f>
        <v>Selecciona la opción Factura Electrónica</v>
      </c>
      <c r="G49" s="92" t="str">
        <f>IF(LEN($C49)&gt;0,"",'Casos de Prueba'!F49&amp;CHAR(10)&amp;'Casos de Prueba'!G49)</f>
        <v xml:space="preserve">El sistema muestra las siguientes opciones:
-Consultar Facturas Emitidas
-Consulta Facturas Recibidas
-Recuperar Descargas de CFDI
-Consultar Solicitudes de Cancelación
</v>
      </c>
    </row>
    <row r="50" spans="4:7" x14ac:dyDescent="0.35">
      <c r="D50" s="92" t="str">
        <f>IF('Casos de Prueba'!B50&lt;&gt;0,'Casos de Prueba'!B50&amp;"-"&amp;'Casos de Prueba'!C50,"")</f>
        <v/>
      </c>
      <c r="E50" s="92">
        <f>IF(LEN($C50)&gt;0,"",'Casos de Prueba'!D50)</f>
        <v>3</v>
      </c>
      <c r="F50" s="92" t="str">
        <f>IF(LEN($C50)&gt;0,"",'Casos de Prueba'!E50)</f>
        <v>Da clic en "Consultar Facturas Emitidas"</v>
      </c>
      <c r="G50" s="92" t="str">
        <f>IF(LEN($C50)&gt;0,"",'Casos de Prueba'!F50&amp;CHAR(10)&amp;'Casos de Prueba'!G50)</f>
        <v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 Estatus cancelación 
*campos obligatorios
Opción: Buscar CFDI (RN08 - Inciso a, d).
</v>
      </c>
    </row>
    <row r="51" spans="4:7" x14ac:dyDescent="0.35">
      <c r="D51" s="92" t="str">
        <f>IF('Casos de Prueba'!B51&lt;&gt;0,'Casos de Prueba'!B51&amp;"-"&amp;'Casos de Prueba'!C51,"")</f>
        <v/>
      </c>
      <c r="E51" s="92">
        <f>IF(LEN($C51)&gt;0,"",'Casos de Prueba'!D51)</f>
        <v>4</v>
      </c>
      <c r="F51" s="92" t="str">
        <f>IF(LEN($C51)&gt;0,"",'Casos de Prueba'!E51)</f>
        <v>Selecciona la opción Folio Fiscal</v>
      </c>
      <c r="G51" s="92" t="str">
        <f>IF(LEN($C51)&gt;0,"",'Casos de Prueba'!F51&amp;CHAR(10)&amp;'Casos de Prueba'!G51)</f>
        <v xml:space="preserve">El sistema habilita el campo de FOLIO FISCAL
Aplica las Reglas de Negocio: (RN02) 
</v>
      </c>
    </row>
    <row r="52" spans="4:7" x14ac:dyDescent="0.35">
      <c r="D52" s="92" t="str">
        <f>IF('Casos de Prueba'!B52&lt;&gt;0,'Casos de Prueba'!B52&amp;"-"&amp;'Casos de Prueba'!C52,"")</f>
        <v/>
      </c>
      <c r="E52" s="92">
        <f>IF(LEN($C52)&gt;0,"",'Casos de Prueba'!D52)</f>
        <v>5</v>
      </c>
      <c r="F52" s="92" t="str">
        <f>IF(LEN($C52)&gt;0,"",'Casos de Prueba'!E52)</f>
        <v>Ingresa los datos del número de Folio Fiscal a buscar</v>
      </c>
      <c r="G52" s="92" t="str">
        <f>IF(LEN($C52)&gt;0,"",'Casos de Prueba'!F52&amp;CHAR(10)&amp;'Casos de Prueba'!G52)</f>
        <v xml:space="preserve">El sistema muestra los datos que se van ingresando
</v>
      </c>
    </row>
    <row r="53" spans="4:7" x14ac:dyDescent="0.35">
      <c r="D53" s="92" t="str">
        <f>IF('Casos de Prueba'!B53&lt;&gt;0,'Casos de Prueba'!B53&amp;"-"&amp;'Casos de Prueba'!C53,"")</f>
        <v/>
      </c>
      <c r="E53" s="92">
        <f>IF(LEN($C53)&gt;0,"",'Casos de Prueba'!D53)</f>
        <v>6</v>
      </c>
      <c r="F53" s="92" t="str">
        <f>IF(LEN($C53)&gt;0,"",'Casos de Prueba'!E53)</f>
        <v xml:space="preserve">Da clic en el botón Buscar CFDI
</v>
      </c>
      <c r="G53" s="92" t="str">
        <f>IF(LEN($C53)&gt;0,"",'Casos de Prueba'!F53&amp;CHAR(10)&amp;'Casos de Prueba'!G53)</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54" spans="4:7" x14ac:dyDescent="0.35">
      <c r="D54" s="92" t="str">
        <f>IF('Casos de Prueba'!B54&lt;&gt;0,'Casos de Prueba'!B54&amp;"-"&amp;'Casos de Prueba'!C54,"")</f>
        <v/>
      </c>
      <c r="E54" s="92">
        <f>IF(LEN($C54)&gt;0,"",'Casos de Prueba'!D54)</f>
        <v>7</v>
      </c>
      <c r="F54" s="92" t="str">
        <f>IF(LEN($C54)&gt;0,"",'Casos de Prueba'!E54)</f>
        <v>Da clic en Salir</v>
      </c>
      <c r="G54" s="92" t="str">
        <f>IF(LEN($C54)&gt;0,"",'Casos de Prueba'!F54&amp;CHAR(10)&amp;'Casos de Prueba'!G54)</f>
        <v xml:space="preserve">Cierra la sesión del RFC
</v>
      </c>
    </row>
    <row r="55" spans="4:7" x14ac:dyDescent="0.35">
      <c r="D55" s="92" t="str">
        <f>IF('Casos de Prueba'!B55&lt;&gt;0,'Casos de Prueba'!B55&amp;"-"&amp;'Casos de Prueba'!C55,"")</f>
        <v>CP08-Facturas Emitidas -Periodo Fechas</v>
      </c>
      <c r="E55" s="92"/>
      <c r="F55" s="92"/>
      <c r="G55" s="92"/>
    </row>
    <row r="56" spans="4:7" x14ac:dyDescent="0.35">
      <c r="D56" s="92" t="str">
        <f>IF('Casos de Prueba'!B56&lt;&gt;0,'Casos de Prueba'!B56&amp;"-"&amp;'Casos de Prueba'!C56,"")</f>
        <v/>
      </c>
      <c r="E56" s="92">
        <f>IF(LEN($C56)&gt;0,"",'Casos de Prueba'!D56)</f>
        <v>1</v>
      </c>
      <c r="F56" s="92" t="str">
        <f>IF(LEN($C56)&gt;0,"",'Casos de Prueba'!E56)</f>
        <v>Seleccionar la opción Consulta CFDI</v>
      </c>
      <c r="G56" s="92" t="str">
        <f>IF(LEN($C56)&gt;0,"",'Casos de Prueba'!F56&amp;CHAR(10)&amp;'Casos de Prueba'!G56)</f>
        <v xml:space="preserve">El sistema muestra las opciones:
 - Factura Electrónica
 - Retenciones e Inf. de Pagos
El Usuario previamente se autenticó  y accedió al Portal Privado Contribuyente CFDI
</v>
      </c>
    </row>
    <row r="57" spans="4:7" x14ac:dyDescent="0.35">
      <c r="D57" s="92" t="str">
        <f>IF('Casos de Prueba'!B57&lt;&gt;0,'Casos de Prueba'!B57&amp;"-"&amp;'Casos de Prueba'!C57,"")</f>
        <v/>
      </c>
      <c r="E57" s="92">
        <f>IF(LEN($C57)&gt;0,"",'Casos de Prueba'!D57)</f>
        <v>2</v>
      </c>
      <c r="F57" s="92" t="str">
        <f>IF(LEN($C57)&gt;0,"",'Casos de Prueba'!E57)</f>
        <v>Selecciona la opción Factura Electrónica</v>
      </c>
      <c r="G57" s="92" t="str">
        <f>IF(LEN($C57)&gt;0,"",'Casos de Prueba'!F57&amp;CHAR(10)&amp;'Casos de Prueba'!G57)</f>
        <v xml:space="preserve">El sistema muestra las siguientes opciones:
-Consultar Facturas Emitidas
-Consulta Facturas Recibidas
-Recuperar Descargas de CFDI
-Consultar Solicitudes de Cancelación
</v>
      </c>
    </row>
    <row r="58" spans="4:7" x14ac:dyDescent="0.35">
      <c r="D58" s="92" t="str">
        <f>IF('Casos de Prueba'!B58&lt;&gt;0,'Casos de Prueba'!B58&amp;"-"&amp;'Casos de Prueba'!C58,"")</f>
        <v/>
      </c>
      <c r="E58" s="92">
        <f>IF(LEN($C58)&gt;0,"",'Casos de Prueba'!D58)</f>
        <v>3</v>
      </c>
      <c r="F58" s="92" t="str">
        <f>IF(LEN($C58)&gt;0,"",'Casos de Prueba'!E58)</f>
        <v>Da clic en "Consultar Facturas Emitidas"</v>
      </c>
      <c r="G58" s="92" t="str">
        <f>IF(LEN($C58)&gt;0,"",'Casos de Prueba'!F58&amp;CHAR(10)&amp;'Casos de Prueba'!G58)</f>
        <v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v>
      </c>
    </row>
    <row r="59" spans="4:7" x14ac:dyDescent="0.35">
      <c r="D59" s="92" t="str">
        <f>IF('Casos de Prueba'!B59&lt;&gt;0,'Casos de Prueba'!B59&amp;"-"&amp;'Casos de Prueba'!C59,"")</f>
        <v/>
      </c>
      <c r="E59" s="92">
        <f>IF(LEN($C59)&gt;0,"",'Casos de Prueba'!D59)</f>
        <v>4</v>
      </c>
      <c r="F59" s="92" t="str">
        <f>IF(LEN($C59)&gt;0,"",'Casos de Prueba'!E59)</f>
        <v>Selecciona la opción de Periodo de Fechas</v>
      </c>
      <c r="G59" s="92" t="str">
        <f>IF(LEN($C59)&gt;0,"",'Casos de Prueba'!F59&amp;CHAR(10)&amp;'Casos de Prueba'!G59)</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v>
      </c>
    </row>
    <row r="60" spans="4:7" x14ac:dyDescent="0.35">
      <c r="D60" s="92" t="str">
        <f>IF('Casos de Prueba'!B60&lt;&gt;0,'Casos de Prueba'!B60&amp;"-"&amp;'Casos de Prueba'!C60,"")</f>
        <v/>
      </c>
      <c r="E60" s="92">
        <f>IF(LEN($C60)&gt;0,"",'Casos de Prueba'!D60)</f>
        <v>5</v>
      </c>
      <c r="F60" s="92" t="str">
        <f>IF(LEN($C60)&gt;0,"",'Casos de Prueba'!E60)</f>
        <v xml:space="preserve">Ingresa los datos:
Obligatorios
•	Fecha Inicial de Emisión (*)
•	Fecha Final de Emisión (*)
Opcionales
•	RFC Receptor.
•	RFC a cuenta terceros 
•	Estado del Comprobante 
•	Tipo de Comprobante(Complemento)
•Estatus cancelación </v>
      </c>
      <c r="G60" s="92" t="str">
        <f>IF(LEN($C60)&gt;0,"",'Casos de Prueba'!F60&amp;CHAR(10)&amp;'Casos de Prueba'!G60)</f>
        <v xml:space="preserve">El sistema muestra los datos que se van ingresando 
</v>
      </c>
    </row>
    <row r="61" spans="4:7" x14ac:dyDescent="0.35">
      <c r="D61" s="92" t="str">
        <f>IF('Casos de Prueba'!B61&lt;&gt;0,'Casos de Prueba'!B61&amp;"-"&amp;'Casos de Prueba'!C61,"")</f>
        <v/>
      </c>
      <c r="E61" s="92">
        <f>IF(LEN($C61)&gt;0,"",'Casos de Prueba'!D61)</f>
        <v>6</v>
      </c>
      <c r="F61" s="92" t="str">
        <f>IF(LEN($C61)&gt;0,"",'Casos de Prueba'!E61)</f>
        <v>Da clic en el botón Buscar CFDI 
Aplica (RN08).</v>
      </c>
      <c r="G61" s="92" t="str">
        <f>IF(LEN($C61)&gt;0,"",'Casos de Prueba'!F61&amp;CHAR(10)&amp;'Casos de Prueba'!G61)</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62" spans="4:7" x14ac:dyDescent="0.35">
      <c r="D62" s="92" t="str">
        <f>IF('Casos de Prueba'!B62&lt;&gt;0,'Casos de Prueba'!B62&amp;"-"&amp;'Casos de Prueba'!C62,"")</f>
        <v/>
      </c>
      <c r="E62" s="92">
        <f>IF(LEN($C62)&gt;0,"",'Casos de Prueba'!D62)</f>
        <v>7</v>
      </c>
      <c r="F62" s="92" t="str">
        <f>IF(LEN($C62)&gt;0,"",'Casos de Prueba'!E62)</f>
        <v>Da clic en Salir</v>
      </c>
      <c r="G62" s="92" t="str">
        <f>IF(LEN($C62)&gt;0,"",'Casos de Prueba'!F62&amp;CHAR(10)&amp;'Casos de Prueba'!G62)</f>
        <v xml:space="preserve">Cierra la sesión del RFC
</v>
      </c>
    </row>
    <row r="63" spans="4:7" x14ac:dyDescent="0.35">
      <c r="D63" s="92" t="str">
        <f>IF('Casos de Prueba'!B63&lt;&gt;0,'Casos de Prueba'!B63&amp;"-"&amp;'Casos de Prueba'!C63,"")</f>
        <v>CP09-Acciones Recuperar Acuse Estatus Final</v>
      </c>
      <c r="E63" s="92"/>
      <c r="F63" s="92"/>
      <c r="G63" s="92"/>
    </row>
    <row r="64" spans="4:7" x14ac:dyDescent="0.35">
      <c r="D64" s="92" t="str">
        <f>IF('Casos de Prueba'!B64&lt;&gt;0,'Casos de Prueba'!B64&amp;"-"&amp;'Casos de Prueba'!C64,"")</f>
        <v/>
      </c>
      <c r="E64" s="92">
        <f>IF(LEN($C64)&gt;0,"",'Casos de Prueba'!D64)</f>
        <v>1</v>
      </c>
      <c r="F64" s="92" t="str">
        <f>IF(LEN($C64)&gt;0,"",'Casos de Prueba'!E64)</f>
        <v>Seleccionar la opción Consulta CFDI</v>
      </c>
      <c r="G64" s="92" t="str">
        <f>IF(LEN($C64)&gt;0,"",'Casos de Prueba'!F64&amp;CHAR(10)&amp;'Casos de Prueba'!G64)</f>
        <v xml:space="preserve">El sistema muestra las opciones:
 - Factura Electrónica
 - Retenciones e Inf. de Pagos
El Usuario previamente se autenticó  y accedió al Portal Privado Contribuyente CFDI
</v>
      </c>
    </row>
    <row r="65" spans="4:7" x14ac:dyDescent="0.35">
      <c r="D65" s="92" t="str">
        <f>IF('Casos de Prueba'!B65&lt;&gt;0,'Casos de Prueba'!B65&amp;"-"&amp;'Casos de Prueba'!C65,"")</f>
        <v/>
      </c>
      <c r="E65" s="92">
        <f>IF(LEN($C65)&gt;0,"",'Casos de Prueba'!D65)</f>
        <v>2</v>
      </c>
      <c r="F65" s="92" t="str">
        <f>IF(LEN($C65)&gt;0,"",'Casos de Prueba'!E65)</f>
        <v>Selecciona la opción Factura Electrónica</v>
      </c>
      <c r="G65" s="92" t="str">
        <f>IF(LEN($C65)&gt;0,"",'Casos de Prueba'!F65&amp;CHAR(10)&amp;'Casos de Prueba'!G65)</f>
        <v xml:space="preserve">El sistema muestra las siguientes opciones:
-Consultar Facturas Emitidas
-Consulta Facturas Recibidas
-Recuperar Descargas de CFDI
-Consultar Solicitudes de Cancelación
</v>
      </c>
    </row>
    <row r="66" spans="4:7" x14ac:dyDescent="0.35">
      <c r="D66" s="92" t="str">
        <f>IF('Casos de Prueba'!B66&lt;&gt;0,'Casos de Prueba'!B66&amp;"-"&amp;'Casos de Prueba'!C66,"")</f>
        <v/>
      </c>
      <c r="E66" s="92">
        <f>IF(LEN($C66)&gt;0,"",'Casos de Prueba'!D66)</f>
        <v>3</v>
      </c>
      <c r="F66" s="92" t="str">
        <f>IF(LEN($C66)&gt;0,"",'Casos de Prueba'!E66)</f>
        <v>Da clic en "Consultar Facturas Emitidas"</v>
      </c>
      <c r="G66" s="92" t="str">
        <f>IF(LEN($C66)&gt;0,"",'Casos de Prueba'!F66&amp;CHAR(10)&amp;'Casos de Prueba'!G66)</f>
        <v xml:space="preserve">El sistema muestra las siguientes opciones de búsqueda:
- Folio Fiscal
- Periodo de Fechas
</v>
      </c>
    </row>
    <row r="67" spans="4:7" x14ac:dyDescent="0.35">
      <c r="D67" s="92" t="str">
        <f>IF('Casos de Prueba'!B67&lt;&gt;0,'Casos de Prueba'!B67&amp;"-"&amp;'Casos de Prueba'!C67,"")</f>
        <v/>
      </c>
      <c r="E67" s="92">
        <f>IF(LEN($C67)&gt;0,"",'Casos de Prueba'!D67)</f>
        <v>4</v>
      </c>
      <c r="F67" s="92" t="str">
        <f>IF(LEN($C67)&gt;0,"",'Casos de Prueba'!E67)</f>
        <v>Selecciona la opción Folio Fiscal</v>
      </c>
      <c r="G67" s="92" t="str">
        <f>IF(LEN($C67)&gt;0,"",'Casos de Prueba'!F67&amp;CHAR(10)&amp;'Casos de Prueba'!G67)</f>
        <v xml:space="preserve">El sistema habilita el campo de FOLIO FISCAL
</v>
      </c>
    </row>
    <row r="68" spans="4:7" x14ac:dyDescent="0.35">
      <c r="D68" s="92" t="str">
        <f>IF('Casos de Prueba'!B68&lt;&gt;0,'Casos de Prueba'!B68&amp;"-"&amp;'Casos de Prueba'!C68,"")</f>
        <v/>
      </c>
      <c r="E68" s="92">
        <f>IF(LEN($C68)&gt;0,"",'Casos de Prueba'!D68)</f>
        <v>5</v>
      </c>
      <c r="F68" s="92" t="str">
        <f>IF(LEN($C68)&gt;0,"",'Casos de Prueba'!E68)</f>
        <v>Ingresa los datos del número de Folio Fiscal a buscar</v>
      </c>
      <c r="G68" s="92" t="str">
        <f>IF(LEN($C68)&gt;0,"",'Casos de Prueba'!F68&amp;CHAR(10)&amp;'Casos de Prueba'!G68)</f>
        <v xml:space="preserve">El sistema muestra los datos que se van ingresando
</v>
      </c>
    </row>
    <row r="69" spans="4:7" x14ac:dyDescent="0.35">
      <c r="D69" s="92" t="str">
        <f>IF('Casos de Prueba'!B69&lt;&gt;0,'Casos de Prueba'!B69&amp;"-"&amp;'Casos de Prueba'!C69,"")</f>
        <v/>
      </c>
      <c r="E69" s="92">
        <f>IF(LEN($C69)&gt;0,"",'Casos de Prueba'!D69)</f>
        <v>6</v>
      </c>
      <c r="F69" s="92" t="str">
        <f>IF(LEN($C69)&gt;0,"",'Casos de Prueba'!E69)</f>
        <v xml:space="preserve">Da clic en el botón Buscar CFDI
</v>
      </c>
      <c r="G69" s="92" t="str">
        <f>IF(LEN($C69)&gt;0,"",'Casos de Prueba'!F69&amp;CHAR(10)&amp;'Casos de Prueba'!G69)</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70" spans="4:7" x14ac:dyDescent="0.35">
      <c r="D70" s="92" t="str">
        <f>IF('Casos de Prueba'!B70&lt;&gt;0,'Casos de Prueba'!B70&amp;"-"&amp;'Casos de Prueba'!C70,"")</f>
        <v/>
      </c>
      <c r="E70" s="92">
        <f>IF(LEN($C70)&gt;0,"",'Casos de Prueba'!D70)</f>
        <v>7</v>
      </c>
      <c r="F70" s="92" t="str">
        <f>IF(LEN($C70)&gt;0,"",'Casos de Prueba'!E70)</f>
        <v xml:space="preserve">1.- Dar clic en la imagen 
Recuperar acuse estatus final </v>
      </c>
      <c r="G70" s="92" t="str">
        <f>IF(LEN($C70)&gt;0,"",'Casos de Prueba'!F70&amp;CHAR(10)&amp;'Casos de Prueba'!G70)</f>
        <v xml:space="preserve">Se descarga el PDF que contendrá la siguiente información:
•	Folio Fiscal
•	RFC Receptor
•	RFC Emisor
•	Estado CFDI
•	Estado de Cancelación
•	Motivo de Cancelación
•	Número de serie de la e.firma o CSD
•	Fecha de solicitud de la cancelación
•	Mensaje de Error
•	Fecha
•	Sello digital SAT
Esta opción solo será visible en la barra de acciones, cuando exista un acuse de solicitud de cancelación CFDI y se podrá realizar la descargar en formato PDF para recuperar el acuse estatus final. (RN12). 
</v>
      </c>
    </row>
    <row r="71" spans="4:7" x14ac:dyDescent="0.35">
      <c r="D71" s="92" t="str">
        <f>IF('Casos de Prueba'!B71&lt;&gt;0,'Casos de Prueba'!B71&amp;"-"&amp;'Casos de Prueba'!C71,"")</f>
        <v/>
      </c>
      <c r="E71" s="92">
        <f>IF(LEN($C71)&gt;0,"",'Casos de Prueba'!D71)</f>
        <v>8</v>
      </c>
      <c r="F71" s="92" t="str">
        <f>IF(LEN($C71)&gt;0,"",'Casos de Prueba'!E71)</f>
        <v>Da clic en Salir</v>
      </c>
      <c r="G71" s="92" t="str">
        <f>IF(LEN($C71)&gt;0,"",'Casos de Prueba'!F71&amp;CHAR(10)&amp;'Casos de Prueba'!G71)</f>
        <v xml:space="preserve">Cierra la sesión del RFC
</v>
      </c>
    </row>
    <row r="72" spans="4:7" x14ac:dyDescent="0.35">
      <c r="D72" s="92" t="str">
        <f>IF('Casos de Prueba'!B72&lt;&gt;0,'Casos de Prueba'!B72&amp;"-"&amp;'Casos de Prueba'!C72,"")</f>
        <v>CP10-Acciones Recuperar Acuse Estatus Final</v>
      </c>
      <c r="E72" s="92"/>
      <c r="F72" s="92"/>
      <c r="G72" s="92"/>
    </row>
    <row r="73" spans="4:7" x14ac:dyDescent="0.35">
      <c r="D73" s="92" t="str">
        <f>IF('Casos de Prueba'!B73&lt;&gt;0,'Casos de Prueba'!B73&amp;"-"&amp;'Casos de Prueba'!C73,"")</f>
        <v/>
      </c>
      <c r="E73" s="92">
        <f>IF(LEN($C73)&gt;0,"",'Casos de Prueba'!D73)</f>
        <v>1</v>
      </c>
      <c r="F73" s="92" t="str">
        <f>IF(LEN($C73)&gt;0,"",'Casos de Prueba'!E73)</f>
        <v>Seleccionar la opción Consulta CFDI</v>
      </c>
      <c r="G73" s="92" t="str">
        <f>IF(LEN($C73)&gt;0,"",'Casos de Prueba'!F73&amp;CHAR(10)&amp;'Casos de Prueba'!G73)</f>
        <v xml:space="preserve">El sistema muestra las opciones:
 - Factura Electrónica
 - Retenciones e Inf. de Pagos
El Usuario previamente se autenticó  y accedió al Portal Privado Contribuyente CFDI
</v>
      </c>
    </row>
    <row r="74" spans="4:7" x14ac:dyDescent="0.35">
      <c r="D74" s="92" t="str">
        <f>IF('Casos de Prueba'!B74&lt;&gt;0,'Casos de Prueba'!B74&amp;"-"&amp;'Casos de Prueba'!C74,"")</f>
        <v/>
      </c>
      <c r="E74" s="92">
        <f>IF(LEN($C74)&gt;0,"",'Casos de Prueba'!D74)</f>
        <v>2</v>
      </c>
      <c r="F74" s="92" t="str">
        <f>IF(LEN($C74)&gt;0,"",'Casos de Prueba'!E74)</f>
        <v>Selecciona la opción Factura Electrónica</v>
      </c>
      <c r="G74" s="92" t="str">
        <f>IF(LEN($C74)&gt;0,"",'Casos de Prueba'!F74&amp;CHAR(10)&amp;'Casos de Prueba'!G74)</f>
        <v xml:space="preserve">El sistema muestra las siguientes opciones:
-Consultar Facturas Emitidas
-Consulta Facturas Recibidas
-Recuperar Descargas de CFDI
-Consultar Solicitudes de Cancelación
</v>
      </c>
    </row>
    <row r="75" spans="4:7" x14ac:dyDescent="0.35">
      <c r="D75" s="92" t="str">
        <f>IF('Casos de Prueba'!B75&lt;&gt;0,'Casos de Prueba'!B75&amp;"-"&amp;'Casos de Prueba'!C75,"")</f>
        <v/>
      </c>
      <c r="E75" s="92">
        <f>IF(LEN($C75)&gt;0,"",'Casos de Prueba'!D75)</f>
        <v>3</v>
      </c>
      <c r="F75" s="92" t="str">
        <f>IF(LEN($C75)&gt;0,"",'Casos de Prueba'!E75)</f>
        <v>Da clic en "Consultar Facturas Emitidas"</v>
      </c>
      <c r="G75" s="92" t="str">
        <f>IF(LEN($C75)&gt;0,"",'Casos de Prueba'!F75&amp;CHAR(10)&amp;'Casos de Prueba'!G75)</f>
        <v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con las diversas opciones
- Estatus Cancelación
*campos obligatorios
Opción: Buscar CFDI
</v>
      </c>
    </row>
    <row r="76" spans="4:7" x14ac:dyDescent="0.35">
      <c r="D76" s="92" t="str">
        <f>IF('Casos de Prueba'!B76&lt;&gt;0,'Casos de Prueba'!B76&amp;"-"&amp;'Casos de Prueba'!C76,"")</f>
        <v/>
      </c>
      <c r="E76" s="92">
        <f>IF(LEN($C76)&gt;0,"",'Casos de Prueba'!D76)</f>
        <v>4</v>
      </c>
      <c r="F76" s="92" t="str">
        <f>IF(LEN($C76)&gt;0,"",'Casos de Prueba'!E76)</f>
        <v>Selecciona la opción de Periodo de Fechas</v>
      </c>
      <c r="G76" s="92" t="str">
        <f>IF(LEN($C76)&gt;0,"",'Casos de Prueba'!F76&amp;CHAR(10)&amp;'Casos de Prueba'!G76)</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v>
      </c>
    </row>
    <row r="77" spans="4:7" x14ac:dyDescent="0.35">
      <c r="D77" s="92" t="str">
        <f>IF('Casos de Prueba'!B77&lt;&gt;0,'Casos de Prueba'!B77&amp;"-"&amp;'Casos de Prueba'!C77,"")</f>
        <v/>
      </c>
      <c r="E77" s="92">
        <f>IF(LEN($C77)&gt;0,"",'Casos de Prueba'!D77)</f>
        <v>5</v>
      </c>
      <c r="F77" s="92" t="str">
        <f>IF(LEN($C77)&gt;0,"",'Casos de Prueba'!E77)</f>
        <v xml:space="preserve">Ingresa los datos:
Obligatorios
•	Fecha Inicial de Emisión (*)
•	Fecha Final de Emisión (*)
Opcionales
•	RFC Receptor.
•	RFC a cuenta terceros 
•	Estado del Comprobante 
•	Tipo de Comprobante(Complemento)
•	Estatus  cancelación </v>
      </c>
      <c r="G77" s="92" t="str">
        <f>IF(LEN($C77)&gt;0,"",'Casos de Prueba'!F77&amp;CHAR(10)&amp;'Casos de Prueba'!G77)</f>
        <v xml:space="preserve">El sistema muestra los datos que se van ingresando 
</v>
      </c>
    </row>
    <row r="78" spans="4:7" x14ac:dyDescent="0.35">
      <c r="D78" s="92" t="str">
        <f>IF('Casos de Prueba'!B78&lt;&gt;0,'Casos de Prueba'!B78&amp;"-"&amp;'Casos de Prueba'!C78,"")</f>
        <v/>
      </c>
      <c r="E78" s="92">
        <f>IF(LEN($C78)&gt;0,"",'Casos de Prueba'!D78)</f>
        <v>6</v>
      </c>
      <c r="F78" s="92" t="str">
        <f>IF(LEN($C78)&gt;0,"",'Casos de Prueba'!E78)</f>
        <v>Da clic en el botón Buscar CFDI 
Aplica (RN08).</v>
      </c>
      <c r="G78" s="92" t="str">
        <f>IF(LEN($C78)&gt;0,"",'Casos de Prueba'!F78&amp;CHAR(10)&amp;'Casos de Prueba'!G78)</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79" spans="4:7" x14ac:dyDescent="0.35">
      <c r="D79" s="92" t="str">
        <f>IF('Casos de Prueba'!B79&lt;&gt;0,'Casos de Prueba'!B79&amp;"-"&amp;'Casos de Prueba'!C79,"")</f>
        <v/>
      </c>
      <c r="E79" s="92">
        <f>IF(LEN($C79)&gt;0,"",'Casos de Prueba'!D79)</f>
        <v>7</v>
      </c>
      <c r="F79" s="92" t="str">
        <f>IF(LEN($C79)&gt;0,"",'Casos de Prueba'!E79)</f>
        <v>1.-Seleccionar un registro y dar clic en la imagen 
Recuperar acuse estatus final 
Para este caso de prueba, los resultados deben incluir un comprobante Cancelado</v>
      </c>
      <c r="G79" s="92" t="str">
        <f>IF(LEN($C79)&gt;0,"",'Casos de Prueba'!F79&amp;CHAR(10)&amp;'Casos de Prueba'!G79)</f>
        <v xml:space="preserve">Se descarga el PDF que contendrá la siguiente información:
•	Folio Fiscal
•	RFC Receptor
•	RFC Emisor
•	Estado CFDI
•	Estado de Cancelación
•	Motivo de Cancelación
•	Número de serie de la e.firma o CSD 
•	Fecha de solicitud de la cancelación 
•	Mensaje de Error
•	Fecha
•	Sello digital SAT
Esta opción solo será visible en la barra de acciones, cuando exista un acuse de solicitud de cancelación CFDI y se podrá realizar la descargar en formato PDF para recuperar el acuse estatus final. (RN12). 
</v>
      </c>
    </row>
    <row r="80" spans="4:7" x14ac:dyDescent="0.35">
      <c r="D80" s="92" t="str">
        <f>IF('Casos de Prueba'!B80&lt;&gt;0,'Casos de Prueba'!B80&amp;"-"&amp;'Casos de Prueba'!C80,"")</f>
        <v/>
      </c>
      <c r="E80" s="92">
        <f>IF(LEN($C80)&gt;0,"",'Casos de Prueba'!D80)</f>
        <v>8</v>
      </c>
      <c r="F80" s="92" t="str">
        <f>IF(LEN($C80)&gt;0,"",'Casos de Prueba'!E80)</f>
        <v>Da clic en Salir</v>
      </c>
      <c r="G80" s="92" t="str">
        <f>IF(LEN($C80)&gt;0,"",'Casos de Prueba'!F80&amp;CHAR(10)&amp;'Casos de Prueba'!G80)</f>
        <v xml:space="preserve">Cierra la sesión del RFC
</v>
      </c>
    </row>
    <row r="81" spans="4:7" x14ac:dyDescent="0.35">
      <c r="D81" s="92" t="str">
        <f>IF('Casos de Prueba'!B81&lt;&gt;0,'Casos de Prueba'!B81&amp;"-"&amp;'Casos de Prueba'!C81,"")</f>
        <v>CP11-Acciones Recuperar Acuse Solicitud Cancelación</v>
      </c>
      <c r="E81" s="92"/>
      <c r="F81" s="92"/>
      <c r="G81" s="92"/>
    </row>
    <row r="82" spans="4:7" x14ac:dyDescent="0.35">
      <c r="D82" s="92" t="str">
        <f>IF('Casos de Prueba'!B82&lt;&gt;0,'Casos de Prueba'!B82&amp;"-"&amp;'Casos de Prueba'!C82,"")</f>
        <v/>
      </c>
      <c r="E82" s="92">
        <f>IF(LEN($C82)&gt;0,"",'Casos de Prueba'!D82)</f>
        <v>1</v>
      </c>
      <c r="F82" s="92" t="str">
        <f>IF(LEN($C82)&gt;0,"",'Casos de Prueba'!E82)</f>
        <v>Seleccionar la opción Consulta CFDI</v>
      </c>
      <c r="G82" s="92" t="str">
        <f>IF(LEN($C82)&gt;0,"",'Casos de Prueba'!F82&amp;CHAR(10)&amp;'Casos de Prueba'!G82)</f>
        <v xml:space="preserve">El sistema muestra las opciones:
 - Factura Electrónica
 - Retenciones e Inf. de Pagos
El Usuario previamente se autenticó  y accedió al Portal Privado Contribuyente CFDI
</v>
      </c>
    </row>
    <row r="83" spans="4:7" x14ac:dyDescent="0.35">
      <c r="D83" s="92" t="str">
        <f>IF('Casos de Prueba'!B83&lt;&gt;0,'Casos de Prueba'!B83&amp;"-"&amp;'Casos de Prueba'!C83,"")</f>
        <v/>
      </c>
      <c r="E83" s="92">
        <f>IF(LEN($C83)&gt;0,"",'Casos de Prueba'!D83)</f>
        <v>2</v>
      </c>
      <c r="F83" s="92" t="str">
        <f>IF(LEN($C83)&gt;0,"",'Casos de Prueba'!E83)</f>
        <v>Selecciona la opción Factura Electrónica</v>
      </c>
      <c r="G83" s="92" t="str">
        <f>IF(LEN($C83)&gt;0,"",'Casos de Prueba'!F83&amp;CHAR(10)&amp;'Casos de Prueba'!G83)</f>
        <v xml:space="preserve">El sistema muestra las siguientes opciones:
-Consultar Facturas Emitidas
-Consulta Facturas Recibidas
-Recuperar Descargas de CFDI
-Consultar Solicitudes de Cancelación
</v>
      </c>
    </row>
    <row r="84" spans="4:7" x14ac:dyDescent="0.35">
      <c r="D84" s="92" t="str">
        <f>IF('Casos de Prueba'!B84&lt;&gt;0,'Casos de Prueba'!B84&amp;"-"&amp;'Casos de Prueba'!C84,"")</f>
        <v/>
      </c>
      <c r="E84" s="92">
        <f>IF(LEN($C84)&gt;0,"",'Casos de Prueba'!D84)</f>
        <v>3</v>
      </c>
      <c r="F84" s="92" t="str">
        <f>IF(LEN($C84)&gt;0,"",'Casos de Prueba'!E84)</f>
        <v>Da clic en "Consultar Facturas Emitidas"</v>
      </c>
      <c r="G84" s="92" t="str">
        <f>IF(LEN($C84)&gt;0,"",'Casos de Prueba'!F84&amp;CHAR(10)&amp;'Casos de Prueba'!G84)</f>
        <v xml:space="preserve">El sistema muestra las siguientes opciones de búsqueda:
- Folio Fiscal
- Periodo de Fechas
</v>
      </c>
    </row>
    <row r="85" spans="4:7" x14ac:dyDescent="0.35">
      <c r="D85" s="92" t="str">
        <f>IF('Casos de Prueba'!B85&lt;&gt;0,'Casos de Prueba'!B85&amp;"-"&amp;'Casos de Prueba'!C85,"")</f>
        <v/>
      </c>
      <c r="E85" s="92">
        <f>IF(LEN($C85)&gt;0,"",'Casos de Prueba'!D85)</f>
        <v>4</v>
      </c>
      <c r="F85" s="92" t="str">
        <f>IF(LEN($C85)&gt;0,"",'Casos de Prueba'!E85)</f>
        <v>Selecciona la opción Folio Fiscal</v>
      </c>
      <c r="G85" s="92" t="str">
        <f>IF(LEN($C85)&gt;0,"",'Casos de Prueba'!F85&amp;CHAR(10)&amp;'Casos de Prueba'!G85)</f>
        <v xml:space="preserve">El sistema habilita el campo de FOLIO FISCAL
</v>
      </c>
    </row>
    <row r="86" spans="4:7" x14ac:dyDescent="0.35">
      <c r="D86" s="92" t="str">
        <f>IF('Casos de Prueba'!B86&lt;&gt;0,'Casos de Prueba'!B86&amp;"-"&amp;'Casos de Prueba'!C86,"")</f>
        <v/>
      </c>
      <c r="E86" s="92">
        <f>IF(LEN($C86)&gt;0,"",'Casos de Prueba'!D86)</f>
        <v>5</v>
      </c>
      <c r="F86" s="92" t="str">
        <f>IF(LEN($C86)&gt;0,"",'Casos de Prueba'!E86)</f>
        <v>Ingresa los datos del número de Folio Fiscal a buscar</v>
      </c>
      <c r="G86" s="92" t="str">
        <f>IF(LEN($C86)&gt;0,"",'Casos de Prueba'!F86&amp;CHAR(10)&amp;'Casos de Prueba'!G86)</f>
        <v xml:space="preserve">El sistema muestra los datos que se van ingresando
</v>
      </c>
    </row>
    <row r="87" spans="4:7" x14ac:dyDescent="0.35">
      <c r="D87" s="92" t="str">
        <f>IF('Casos de Prueba'!B87&lt;&gt;0,'Casos de Prueba'!B87&amp;"-"&amp;'Casos de Prueba'!C87,"")</f>
        <v/>
      </c>
      <c r="E87" s="92">
        <f>IF(LEN($C87)&gt;0,"",'Casos de Prueba'!D87)</f>
        <v>6</v>
      </c>
      <c r="F87" s="92" t="str">
        <f>IF(LEN($C87)&gt;0,"",'Casos de Prueba'!E87)</f>
        <v xml:space="preserve">Da clic en el botón Buscar CFDI
</v>
      </c>
      <c r="G87" s="92" t="str">
        <f>IF(LEN($C87)&gt;0,"",'Casos de Prueba'!F87&amp;CHAR(10)&amp;'Casos de Prueba'!G87)</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88" spans="4:7" x14ac:dyDescent="0.35">
      <c r="D88" s="92" t="str">
        <f>IF('Casos de Prueba'!B88&lt;&gt;0,'Casos de Prueba'!B88&amp;"-"&amp;'Casos de Prueba'!C88,"")</f>
        <v/>
      </c>
      <c r="E88" s="92">
        <f>IF(LEN($C88)&gt;0,"",'Casos de Prueba'!D88)</f>
        <v>7</v>
      </c>
      <c r="F88" s="92" t="str">
        <f>IF(LEN($C88)&gt;0,"",'Casos de Prueba'!E88)</f>
        <v>Dar clic en la imagen 
Recuperar acuse de solicitud de cancelación (RN13)</v>
      </c>
      <c r="G88" s="92" t="str">
        <f>IF(LEN($C88)&gt;0,"",'Casos de Prueba'!F88&amp;CHAR(10)&amp;'Casos de Prueba'!G88)</f>
        <v xml:space="preserve">Se descarga el PDF que contendrá la siguiente información:
•	Fecha y hora de solicitud
•	RFC Emisor
•	Folio Fiscal
•	Estatus de Proceso de Cancelación
•	Motivo de Cancelación
•	CFDI Reemplaza
•	Número de serie de la e.firma o CSD
•	Sello digital SAT
Esta opción solo será visible en la barra de acciones, cuando exista un acuse de solicitud de cancelación CFDI y se podrá realizar la descargar en formato PDF.
</v>
      </c>
    </row>
    <row r="89" spans="4:7" x14ac:dyDescent="0.35">
      <c r="D89" s="92" t="str">
        <f>IF('Casos de Prueba'!B89&lt;&gt;0,'Casos de Prueba'!B89&amp;"-"&amp;'Casos de Prueba'!C89,"")</f>
        <v/>
      </c>
      <c r="E89" s="92">
        <f>IF(LEN($C89)&gt;0,"",'Casos de Prueba'!D89)</f>
        <v>8</v>
      </c>
      <c r="F89" s="92" t="str">
        <f>IF(LEN($C89)&gt;0,"",'Casos de Prueba'!E89)</f>
        <v>Da clic en Salir</v>
      </c>
      <c r="G89" s="92" t="str">
        <f>IF(LEN($C89)&gt;0,"",'Casos de Prueba'!F89&amp;CHAR(10)&amp;'Casos de Prueba'!G89)</f>
        <v xml:space="preserve">Cierra la sesión del RFC
</v>
      </c>
    </row>
    <row r="90" spans="4:7" x14ac:dyDescent="0.35">
      <c r="D90" s="92" t="str">
        <f>IF('Casos de Prueba'!B90&lt;&gt;0,'Casos de Prueba'!B90&amp;"-"&amp;'Casos de Prueba'!C90,"")</f>
        <v>CP12-Acciones Recuperar Acuse Solicitud Cancelación</v>
      </c>
      <c r="E90" s="92"/>
      <c r="F90" s="92"/>
      <c r="G90" s="92"/>
    </row>
    <row r="91" spans="4:7" x14ac:dyDescent="0.35">
      <c r="D91" s="92" t="str">
        <f>IF('Casos de Prueba'!B91&lt;&gt;0,'Casos de Prueba'!B91&amp;"-"&amp;'Casos de Prueba'!C91,"")</f>
        <v/>
      </c>
      <c r="E91" s="92">
        <f>IF(LEN($C91)&gt;0,"",'Casos de Prueba'!D91)</f>
        <v>1</v>
      </c>
      <c r="F91" s="92" t="str">
        <f>IF(LEN($C91)&gt;0,"",'Casos de Prueba'!E91)</f>
        <v>Seleccionar la opción Consulta CFDI</v>
      </c>
      <c r="G91" s="92" t="str">
        <f>IF(LEN($C91)&gt;0,"",'Casos de Prueba'!F91&amp;CHAR(10)&amp;'Casos de Prueba'!G91)</f>
        <v xml:space="preserve">El sistema muestra las opciones:
 - Factura Electrónica
 - Retenciones e Inf. de Pagos
El Usuario previamente se autenticó  y accedió al Portal Privado Contribuyente CFDI
</v>
      </c>
    </row>
    <row r="92" spans="4:7" x14ac:dyDescent="0.35">
      <c r="D92" s="92" t="str">
        <f>IF('Casos de Prueba'!B92&lt;&gt;0,'Casos de Prueba'!B92&amp;"-"&amp;'Casos de Prueba'!C92,"")</f>
        <v/>
      </c>
      <c r="E92" s="92">
        <f>IF(LEN($C92)&gt;0,"",'Casos de Prueba'!D92)</f>
        <v>2</v>
      </c>
      <c r="F92" s="92" t="str">
        <f>IF(LEN($C92)&gt;0,"",'Casos de Prueba'!E92)</f>
        <v>Selecciona la opción Factura Electrónica</v>
      </c>
      <c r="G92" s="92" t="str">
        <f>IF(LEN($C92)&gt;0,"",'Casos de Prueba'!F92&amp;CHAR(10)&amp;'Casos de Prueba'!G92)</f>
        <v xml:space="preserve">El sistema muestra las siguientes opciones:
-Consultar Facturas Emitidas
-Consulta Facturas Recibidas
-Recuperar Descargas de CFDI
-Consultar Solicitudes de Cancelación
</v>
      </c>
    </row>
    <row r="93" spans="4:7" x14ac:dyDescent="0.35">
      <c r="D93" s="92" t="str">
        <f>IF('Casos de Prueba'!B93&lt;&gt;0,'Casos de Prueba'!B93&amp;"-"&amp;'Casos de Prueba'!C93,"")</f>
        <v/>
      </c>
      <c r="E93" s="92">
        <f>IF(LEN($C93)&gt;0,"",'Casos de Prueba'!D93)</f>
        <v>3</v>
      </c>
      <c r="F93" s="92" t="str">
        <f>IF(LEN($C93)&gt;0,"",'Casos de Prueba'!E93)</f>
        <v>Da clic en "Consultar Facturas Emitidas"</v>
      </c>
      <c r="G93" s="92" t="str">
        <f>IF(LEN($C93)&gt;0,"",'Casos de Prueba'!F93&amp;CHAR(10)&amp;'Casos de Prueba'!G93)</f>
        <v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con las diversas opciones
- Estatus Cancelación
*campos obligatorios
Opción: Buscar CFDI
</v>
      </c>
    </row>
    <row r="94" spans="4:7" x14ac:dyDescent="0.35">
      <c r="D94" s="92" t="str">
        <f>IF('Casos de Prueba'!B94&lt;&gt;0,'Casos de Prueba'!B94&amp;"-"&amp;'Casos de Prueba'!C94,"")</f>
        <v/>
      </c>
      <c r="E94" s="92">
        <f>IF(LEN($C94)&gt;0,"",'Casos de Prueba'!D94)</f>
        <v>4</v>
      </c>
      <c r="F94" s="92" t="str">
        <f>IF(LEN($C94)&gt;0,"",'Casos de Prueba'!E94)</f>
        <v>Selecciona la opción de Periodo de Fechas</v>
      </c>
      <c r="G94" s="92" t="str">
        <f>IF(LEN($C94)&gt;0,"",'Casos de Prueba'!F94&amp;CHAR(10)&amp;'Casos de Prueba'!G94)</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v>
      </c>
    </row>
    <row r="95" spans="4:7" x14ac:dyDescent="0.35">
      <c r="D95" s="92" t="str">
        <f>IF('Casos de Prueba'!B95&lt;&gt;0,'Casos de Prueba'!B95&amp;"-"&amp;'Casos de Prueba'!C95,"")</f>
        <v/>
      </c>
      <c r="E95" s="92">
        <f>IF(LEN($C95)&gt;0,"",'Casos de Prueba'!D95)</f>
        <v>5</v>
      </c>
      <c r="F95" s="92" t="str">
        <f>IF(LEN($C95)&gt;0,"",'Casos de Prueba'!E95)</f>
        <v>Ingresa los datos:
Obligatorios
•	Fecha Inicial de Emisión (*)
•	Fecha Final de Emisión (*)
Opcionales
•	RFC Receptor.
•	RFC a cuenta terceros 
•	Estado del Comprobante 
•	Tipo de Comprobante(Complemento)
• Estatus cancelación</v>
      </c>
      <c r="G95" s="92" t="str">
        <f>IF(LEN($C95)&gt;0,"",'Casos de Prueba'!F95&amp;CHAR(10)&amp;'Casos de Prueba'!G95)</f>
        <v xml:space="preserve">El sistema muestra los datos que se van ingresando 
</v>
      </c>
    </row>
    <row r="96" spans="4:7" x14ac:dyDescent="0.35">
      <c r="D96" s="92" t="str">
        <f>IF('Casos de Prueba'!B96&lt;&gt;0,'Casos de Prueba'!B96&amp;"-"&amp;'Casos de Prueba'!C96,"")</f>
        <v/>
      </c>
      <c r="E96" s="92">
        <f>IF(LEN($C96)&gt;0,"",'Casos de Prueba'!D96)</f>
        <v>6</v>
      </c>
      <c r="F96" s="92" t="str">
        <f>IF(LEN($C96)&gt;0,"",'Casos de Prueba'!E96)</f>
        <v>Da clic en el botón Buscar CFDI 
Aplica (RN08).</v>
      </c>
      <c r="G96" s="92" t="str">
        <f>IF(LEN($C96)&gt;0,"",'Casos de Prueba'!F96&amp;CHAR(10)&amp;'Casos de Prueba'!G96)</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97" spans="4:7" x14ac:dyDescent="0.35">
      <c r="D97" s="92" t="str">
        <f>IF('Casos de Prueba'!B97&lt;&gt;0,'Casos de Prueba'!B97&amp;"-"&amp;'Casos de Prueba'!C97,"")</f>
        <v/>
      </c>
      <c r="E97" s="92">
        <f>IF(LEN($C97)&gt;0,"",'Casos de Prueba'!D97)</f>
        <v>7</v>
      </c>
      <c r="F97" s="92" t="str">
        <f>IF(LEN($C97)&gt;0,"",'Casos de Prueba'!E97)</f>
        <v>1.- Seleccionar un registro y dar clic en la imagen 
Recuperar acuse de solicitud de cancelación (RN13)
Para este caso de prueba, los resultados deben incluir un comprobante cuya cancelación esté en proceso</v>
      </c>
      <c r="G97" s="92" t="str">
        <f>IF(LEN($C97)&gt;0,"",'Casos de Prueba'!F97&amp;CHAR(10)&amp;'Casos de Prueba'!G97)</f>
        <v xml:space="preserve">Se descarga el PDF que contendrá la siguiente información:
•	Fecha y hora de solicitud
•	RFC Emisor
•	Folio Fiscal
•	Estatus de Proceso de Cancelación
•	Motivo de Cancelación
•	CFDI Reemplaza
•	Número de serie de la e.firma o CSD 
•	Sello digital SAT
Esta opción solo será visible en la barra de acciones, cuando exista un acuse de solicitud de cancelación CFDI y se podrá realizar la descargar en formato PDF
</v>
      </c>
    </row>
    <row r="98" spans="4:7" x14ac:dyDescent="0.35">
      <c r="D98" s="92" t="str">
        <f>IF('Casos de Prueba'!B98&lt;&gt;0,'Casos de Prueba'!B98&amp;"-"&amp;'Casos de Prueba'!C98,"")</f>
        <v/>
      </c>
      <c r="E98" s="92">
        <f>IF(LEN($C98)&gt;0,"",'Casos de Prueba'!D98)</f>
        <v>8</v>
      </c>
      <c r="F98" s="92" t="str">
        <f>IF(LEN($C98)&gt;0,"",'Casos de Prueba'!E98)</f>
        <v>Da clic en Salir</v>
      </c>
      <c r="G98" s="92" t="str">
        <f>IF(LEN($C98)&gt;0,"",'Casos de Prueba'!F98&amp;CHAR(10)&amp;'Casos de Prueba'!G98)</f>
        <v xml:space="preserve">Cierra la sesión del RFC
</v>
      </c>
    </row>
    <row r="99" spans="4:7" x14ac:dyDescent="0.35">
      <c r="D99" s="92" t="str">
        <f>IF('Casos de Prueba'!B99&lt;&gt;0,'Casos de Prueba'!B99&amp;"-"&amp;'Casos de Prueba'!C99,"")</f>
        <v xml:space="preserve">CP13-Detalle CFDI (Ver detalle) </v>
      </c>
      <c r="E99" s="92"/>
      <c r="F99" s="92"/>
      <c r="G99" s="92"/>
    </row>
    <row r="100" spans="4:7" x14ac:dyDescent="0.35">
      <c r="D100" s="92" t="str">
        <f>IF('Casos de Prueba'!B100&lt;&gt;0,'Casos de Prueba'!B100&amp;"-"&amp;'Casos de Prueba'!C100,"")</f>
        <v/>
      </c>
      <c r="E100" s="92">
        <f>IF(LEN($C100)&gt;0,"",'Casos de Prueba'!D100)</f>
        <v>1</v>
      </c>
      <c r="F100" s="92" t="str">
        <f>IF(LEN($C100)&gt;0,"",'Casos de Prueba'!E100)</f>
        <v>Seleccionar la opción Consulta CFDI</v>
      </c>
      <c r="G100" s="92" t="str">
        <f>IF(LEN($C100)&gt;0,"",'Casos de Prueba'!F100&amp;CHAR(10)&amp;'Casos de Prueba'!G100)</f>
        <v xml:space="preserve">El sistema muestra las opciones:
 - Factura Electrónica
 - Retenciones e Inf. de Pagos
El Usuario previamente se autenticó  y accedió al Portal Privado Contribuyente CFDI
</v>
      </c>
    </row>
    <row r="101" spans="4:7" x14ac:dyDescent="0.35">
      <c r="D101" s="92" t="str">
        <f>IF('Casos de Prueba'!B101&lt;&gt;0,'Casos de Prueba'!B101&amp;"-"&amp;'Casos de Prueba'!C101,"")</f>
        <v/>
      </c>
      <c r="E101" s="92">
        <f>IF(LEN($C101)&gt;0,"",'Casos de Prueba'!D101)</f>
        <v>2</v>
      </c>
      <c r="F101" s="92" t="str">
        <f>IF(LEN($C101)&gt;0,"",'Casos de Prueba'!E101)</f>
        <v>Selecciona la opción Factura Electrónica</v>
      </c>
      <c r="G101" s="92" t="str">
        <f>IF(LEN($C101)&gt;0,"",'Casos de Prueba'!F101&amp;CHAR(10)&amp;'Casos de Prueba'!G101)</f>
        <v xml:space="preserve">El sistema muestra las siguientes opciones:
-Consultar Facturas Emitidas
-Consulta Facturas Recibidas
-Recuperar Descargas de CFDI
-Consultar Solicitudes de Cancelación
</v>
      </c>
    </row>
    <row r="102" spans="4:7" x14ac:dyDescent="0.35">
      <c r="D102" s="92" t="str">
        <f>IF('Casos de Prueba'!B102&lt;&gt;0,'Casos de Prueba'!B102&amp;"-"&amp;'Casos de Prueba'!C102,"")</f>
        <v/>
      </c>
      <c r="E102" s="92">
        <f>IF(LEN($C102)&gt;0,"",'Casos de Prueba'!D102)</f>
        <v>3</v>
      </c>
      <c r="F102" s="92" t="str">
        <f>IF(LEN($C102)&gt;0,"",'Casos de Prueba'!E102)</f>
        <v>Da clic en "Consultar Facturas Emitidas"</v>
      </c>
      <c r="G102" s="92" t="str">
        <f>IF(LEN($C102)&gt;0,"",'Casos de Prueba'!F102&amp;CHAR(10)&amp;'Casos de Prueba'!G102)</f>
        <v xml:space="preserve">El sistema muestra las siguientes opciones de búsqueda:
- Folio Fiscal
- Periodo de Fechas
</v>
      </c>
    </row>
    <row r="103" spans="4:7" x14ac:dyDescent="0.35">
      <c r="D103" s="92" t="str">
        <f>IF('Casos de Prueba'!B103&lt;&gt;0,'Casos de Prueba'!B103&amp;"-"&amp;'Casos de Prueba'!C103,"")</f>
        <v/>
      </c>
      <c r="E103" s="92">
        <f>IF(LEN($C103)&gt;0,"",'Casos de Prueba'!D103)</f>
        <v>4</v>
      </c>
      <c r="F103" s="92" t="str">
        <f>IF(LEN($C103)&gt;0,"",'Casos de Prueba'!E103)</f>
        <v>Selecciona la opción Folio Fiscal</v>
      </c>
      <c r="G103" s="92" t="str">
        <f>IF(LEN($C103)&gt;0,"",'Casos de Prueba'!F103&amp;CHAR(10)&amp;'Casos de Prueba'!G103)</f>
        <v xml:space="preserve">El sistema habilita el campo de FOLIO FISCAL
</v>
      </c>
    </row>
    <row r="104" spans="4:7" x14ac:dyDescent="0.35">
      <c r="D104" s="92" t="str">
        <f>IF('Casos de Prueba'!B104&lt;&gt;0,'Casos de Prueba'!B104&amp;"-"&amp;'Casos de Prueba'!C104,"")</f>
        <v/>
      </c>
      <c r="E104" s="92">
        <f>IF(LEN($C104)&gt;0,"",'Casos de Prueba'!D104)</f>
        <v>5</v>
      </c>
      <c r="F104" s="92" t="str">
        <f>IF(LEN($C104)&gt;0,"",'Casos de Prueba'!E104)</f>
        <v>Ingresa los datos del número de Folio Fiscal a buscar</v>
      </c>
      <c r="G104" s="92" t="str">
        <f>IF(LEN($C104)&gt;0,"",'Casos de Prueba'!F104&amp;CHAR(10)&amp;'Casos de Prueba'!G104)</f>
        <v xml:space="preserve">El sistema muestra los datos que se van ingresando
</v>
      </c>
    </row>
    <row r="105" spans="4:7" x14ac:dyDescent="0.35">
      <c r="D105" s="92" t="str">
        <f>IF('Casos de Prueba'!B105&lt;&gt;0,'Casos de Prueba'!B105&amp;"-"&amp;'Casos de Prueba'!C105,"")</f>
        <v/>
      </c>
      <c r="E105" s="92">
        <f>IF(LEN($C105)&gt;0,"",'Casos de Prueba'!D105)</f>
        <v>6</v>
      </c>
      <c r="F105" s="92" t="str">
        <f>IF(LEN($C105)&gt;0,"",'Casos de Prueba'!E105)</f>
        <v xml:space="preserve">Da clic en el botón Buscar CFDI
</v>
      </c>
      <c r="G105" s="92" t="str">
        <f>IF(LEN($C105)&gt;0,"",'Casos de Prueba'!F105&amp;CHAR(10)&amp;'Casos de Prueba'!G105)</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106" spans="4:7" x14ac:dyDescent="0.35">
      <c r="D106" s="92" t="str">
        <f>IF('Casos de Prueba'!B106&lt;&gt;0,'Casos de Prueba'!B106&amp;"-"&amp;'Casos de Prueba'!C106,"")</f>
        <v/>
      </c>
      <c r="E106" s="92">
        <f>IF(LEN($C106)&gt;0,"",'Casos de Prueba'!D106)</f>
        <v>7</v>
      </c>
      <c r="F106" s="92" t="str">
        <f>IF(LEN($C106)&gt;0,"",'Casos de Prueba'!E106)</f>
        <v xml:space="preserve">Dar clic en la imagen 
Detalle CFDI (Ver detalle) </v>
      </c>
      <c r="G106" s="92" t="str">
        <f>IF(LEN($C106)&gt;0,"",'Casos de Prueba'!F106&amp;CHAR(10)&amp;'Casos de Prueba'!G106)</f>
        <v xml:space="preserve">Con esta opción en la barra de acciones se podrá descargar el detalle del CFDI en formato PDF. 
El PDF contendrá la siguiente información:
•	Folio Fiscal.
•	Fecha y hora de Expedición.
•	Fecha y hora de Certificación.
•	Nombre o Razón Social del Receptor.
•	RFC del Receptor.
•	Estado del Comprobante.
•	Efecto del Comprobante.
•	Moneda.
•	Monto Total.
•	Total Impuestos Trasladados.
•Total de Impuestos retenidos.
</v>
      </c>
    </row>
    <row r="107" spans="4:7" x14ac:dyDescent="0.35">
      <c r="D107" s="92" t="str">
        <f>IF('Casos de Prueba'!B107&lt;&gt;0,'Casos de Prueba'!B107&amp;"-"&amp;'Casos de Prueba'!C107,"")</f>
        <v/>
      </c>
      <c r="E107" s="92">
        <f>IF(LEN($C107)&gt;0,"",'Casos de Prueba'!D107)</f>
        <v>8</v>
      </c>
      <c r="F107" s="92" t="str">
        <f>IF(LEN($C107)&gt;0,"",'Casos de Prueba'!E107)</f>
        <v>Da clic en Salir</v>
      </c>
      <c r="G107" s="92" t="str">
        <f>IF(LEN($C107)&gt;0,"",'Casos de Prueba'!F107&amp;CHAR(10)&amp;'Casos de Prueba'!G107)</f>
        <v xml:space="preserve">Cierra la sesión del RFC
</v>
      </c>
    </row>
    <row r="108" spans="4:7" x14ac:dyDescent="0.35">
      <c r="D108" s="92" t="str">
        <f>IF('Casos de Prueba'!B108&lt;&gt;0,'Casos de Prueba'!B108&amp;"-"&amp;'Casos de Prueba'!C108,"")</f>
        <v xml:space="preserve">CP14-Detalle CFDI (Ver detalle) </v>
      </c>
      <c r="E108" s="92"/>
      <c r="F108" s="92"/>
      <c r="G108" s="92"/>
    </row>
    <row r="109" spans="4:7" x14ac:dyDescent="0.35">
      <c r="D109" s="92" t="str">
        <f>IF('Casos de Prueba'!B109&lt;&gt;0,'Casos de Prueba'!B109&amp;"-"&amp;'Casos de Prueba'!C109,"")</f>
        <v/>
      </c>
      <c r="E109" s="92">
        <f>IF(LEN($C109)&gt;0,"",'Casos de Prueba'!D109)</f>
        <v>1</v>
      </c>
      <c r="F109" s="92" t="str">
        <f>IF(LEN($C109)&gt;0,"",'Casos de Prueba'!E109)</f>
        <v>Seleccionar la opción Consulta CFDI</v>
      </c>
      <c r="G109" s="92" t="str">
        <f>IF(LEN($C109)&gt;0,"",'Casos de Prueba'!F109&amp;CHAR(10)&amp;'Casos de Prueba'!G109)</f>
        <v xml:space="preserve">El sistema muestra las opciones:
 - Factura Electrónica
 - Retenciones e Inf. de Pagos
El Usuario previamente se autenticó  y accedió al Portal Privado Contribuyente CFDI
</v>
      </c>
    </row>
    <row r="110" spans="4:7" x14ac:dyDescent="0.35">
      <c r="D110" s="92" t="str">
        <f>IF('Casos de Prueba'!B110&lt;&gt;0,'Casos de Prueba'!B110&amp;"-"&amp;'Casos de Prueba'!C110,"")</f>
        <v/>
      </c>
      <c r="E110" s="92">
        <f>IF(LEN($C110)&gt;0,"",'Casos de Prueba'!D110)</f>
        <v>2</v>
      </c>
      <c r="F110" s="92" t="str">
        <f>IF(LEN($C110)&gt;0,"",'Casos de Prueba'!E110)</f>
        <v>Selecciona la opción Factura Electrónica</v>
      </c>
      <c r="G110" s="92" t="str">
        <f>IF(LEN($C110)&gt;0,"",'Casos de Prueba'!F110&amp;CHAR(10)&amp;'Casos de Prueba'!G110)</f>
        <v xml:space="preserve">El sistema muestra las siguientes opciones:
-Consultar Facturas Emitidas
-Consulta Facturas Recibidas
-Recuperar Descargas de CFDI
-Consultar Solicitudes de Cancelación
</v>
      </c>
    </row>
    <row r="111" spans="4:7" x14ac:dyDescent="0.35">
      <c r="D111" s="92" t="str">
        <f>IF('Casos de Prueba'!B111&lt;&gt;0,'Casos de Prueba'!B111&amp;"-"&amp;'Casos de Prueba'!C111,"")</f>
        <v/>
      </c>
      <c r="E111" s="92">
        <f>IF(LEN($C111)&gt;0,"",'Casos de Prueba'!D111)</f>
        <v>3</v>
      </c>
      <c r="F111" s="92" t="str">
        <f>IF(LEN($C111)&gt;0,"",'Casos de Prueba'!E111)</f>
        <v>Da clic en "Consultar Facturas Emitidas"</v>
      </c>
      <c r="G111" s="92" t="str">
        <f>IF(LEN($C111)&gt;0,"",'Casos de Prueba'!F111&amp;CHAR(10)&amp;'Casos de Prueba'!G111)</f>
        <v xml:space="preserve">El sistema muestra las opciones:
- Folio Fiscal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v>
      </c>
    </row>
    <row r="112" spans="4:7" x14ac:dyDescent="0.35">
      <c r="D112" s="92" t="str">
        <f>IF('Casos de Prueba'!B112&lt;&gt;0,'Casos de Prueba'!B112&amp;"-"&amp;'Casos de Prueba'!C112,"")</f>
        <v/>
      </c>
      <c r="E112" s="92">
        <f>IF(LEN($C112)&gt;0,"",'Casos de Prueba'!D112)</f>
        <v>4</v>
      </c>
      <c r="F112" s="92" t="str">
        <f>IF(LEN($C112)&gt;0,"",'Casos de Prueba'!E112)</f>
        <v>Selecciona la opción de Periodo de Fechas</v>
      </c>
      <c r="G112" s="92" t="str">
        <f>IF(LEN($C112)&gt;0,"",'Casos de Prueba'!F112&amp;CHAR(10)&amp;'Casos de Prueba'!G112)</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v>
      </c>
    </row>
    <row r="113" spans="4:7" x14ac:dyDescent="0.35">
      <c r="D113" s="92" t="str">
        <f>IF('Casos de Prueba'!B113&lt;&gt;0,'Casos de Prueba'!B113&amp;"-"&amp;'Casos de Prueba'!C113,"")</f>
        <v/>
      </c>
      <c r="E113" s="92">
        <f>IF(LEN($C113)&gt;0,"",'Casos de Prueba'!D113)</f>
        <v>5</v>
      </c>
      <c r="F113" s="92" t="str">
        <f>IF(LEN($C113)&gt;0,"",'Casos de Prueba'!E113)</f>
        <v>Ingresa los datos:
Obligatorios
•	Fecha Inicial de Emisión (*)
•	Fecha Final de Emisión (*)
Opcionales
•	RFC Receptor.
•	RFC a cuenta terceros 
•	Estado del Comprobante 
•	Tipo de Comprobante(Complemento)
•Estatus cancelación</v>
      </c>
      <c r="G113" s="92" t="str">
        <f>IF(LEN($C113)&gt;0,"",'Casos de Prueba'!F113&amp;CHAR(10)&amp;'Casos de Prueba'!G113)</f>
        <v xml:space="preserve">El sistema muestra los datos que se van ingresando 
</v>
      </c>
    </row>
    <row r="114" spans="4:7" x14ac:dyDescent="0.35">
      <c r="D114" s="92" t="str">
        <f>IF('Casos de Prueba'!B114&lt;&gt;0,'Casos de Prueba'!B114&amp;"-"&amp;'Casos de Prueba'!C114,"")</f>
        <v/>
      </c>
      <c r="E114" s="92">
        <f>IF(LEN($C114)&gt;0,"",'Casos de Prueba'!D114)</f>
        <v>6</v>
      </c>
      <c r="F114" s="92" t="str">
        <f>IF(LEN($C114)&gt;0,"",'Casos de Prueba'!E114)</f>
        <v>Da clic en el botón Buscar CFDI 
Aplica (RN08).</v>
      </c>
      <c r="G114" s="92" t="str">
        <f>IF(LEN($C114)&gt;0,"",'Casos de Prueba'!F114&amp;CHAR(10)&amp;'Casos de Prueba'!G114)</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115" spans="4:7" x14ac:dyDescent="0.35">
      <c r="D115" s="92" t="str">
        <f>IF('Casos de Prueba'!B115&lt;&gt;0,'Casos de Prueba'!B115&amp;"-"&amp;'Casos de Prueba'!C115,"")</f>
        <v/>
      </c>
      <c r="E115" s="92">
        <f>IF(LEN($C115)&gt;0,"",'Casos de Prueba'!D115)</f>
        <v>7</v>
      </c>
      <c r="F115" s="92" t="str">
        <f>IF(LEN($C115)&gt;0,"",'Casos de Prueba'!E115)</f>
        <v xml:space="preserve">1- Seleccionar un registro y dar clic en la imagen 
Detalle CFDI (Ver detalle) </v>
      </c>
      <c r="G115" s="92" t="str">
        <f>IF(LEN($C115)&gt;0,"",'Casos de Prueba'!F115&amp;CHAR(10)&amp;'Casos de Prueba'!G115)</f>
        <v xml:space="preserve">Con esta opción en la barra de acciones se podrá descargar el detalle del CFDI en formato PDF. 
El PDF contendrá la siguiente información:
•	Folio Fiscal.
•	Fecha y hora de Expedición.
•	Fecha y hora de Certificación.
•	Nombre o Razón Social del Receptor.
•	RFC del Receptor.
•	Estado del Comprobante.
•	Efecto del Comprobante.
•	Moneda.
•	Monto Total.
•	Total Impuestos Trasladados.
•Total de Impuestos retenidos.
</v>
      </c>
    </row>
    <row r="116" spans="4:7" x14ac:dyDescent="0.35">
      <c r="D116" s="92" t="str">
        <f>IF('Casos de Prueba'!B116&lt;&gt;0,'Casos de Prueba'!B116&amp;"-"&amp;'Casos de Prueba'!C116,"")</f>
        <v/>
      </c>
      <c r="E116" s="92">
        <f>IF(LEN($C116)&gt;0,"",'Casos de Prueba'!D116)</f>
        <v>8</v>
      </c>
      <c r="F116" s="92" t="str">
        <f>IF(LEN($C116)&gt;0,"",'Casos de Prueba'!E116)</f>
        <v>Da clic en Salir</v>
      </c>
      <c r="G116" s="92" t="str">
        <f>IF(LEN($C116)&gt;0,"",'Casos de Prueba'!F116&amp;CHAR(10)&amp;'Casos de Prueba'!G116)</f>
        <v xml:space="preserve">Cierra la sesión del RFC
</v>
      </c>
    </row>
    <row r="117" spans="4:7" x14ac:dyDescent="0.35">
      <c r="D117" s="92" t="str">
        <f>IF('Casos de Prueba'!B117&lt;&gt;0,'Casos de Prueba'!B117&amp;"-"&amp;'Casos de Prueba'!C117,"")</f>
        <v>CP15-Descargar</v>
      </c>
      <c r="E117" s="92"/>
      <c r="F117" s="92"/>
      <c r="G117" s="92"/>
    </row>
    <row r="118" spans="4:7" x14ac:dyDescent="0.35">
      <c r="D118" s="92" t="str">
        <f>IF('Casos de Prueba'!B118&lt;&gt;0,'Casos de Prueba'!B118&amp;"-"&amp;'Casos de Prueba'!C118,"")</f>
        <v/>
      </c>
      <c r="E118" s="92">
        <f>IF(LEN($C118)&gt;0,"",'Casos de Prueba'!D118)</f>
        <v>1</v>
      </c>
      <c r="F118" s="92" t="str">
        <f>IF(LEN($C118)&gt;0,"",'Casos de Prueba'!E118)</f>
        <v>Seleccionar la opción Consulta CFDI</v>
      </c>
      <c r="G118" s="92" t="str">
        <f>IF(LEN($C118)&gt;0,"",'Casos de Prueba'!F118&amp;CHAR(10)&amp;'Casos de Prueba'!G118)</f>
        <v xml:space="preserve">El sistema muestra las opciones:
 - Factura Electrónica
 - Retenciones e Inf. de Pagos
El Usuario previamente se autenticó  y accedió al Portal Privado Contribuyente CFDI
</v>
      </c>
    </row>
    <row r="119" spans="4:7" x14ac:dyDescent="0.35">
      <c r="D119" s="92" t="str">
        <f>IF('Casos de Prueba'!B119&lt;&gt;0,'Casos de Prueba'!B119&amp;"-"&amp;'Casos de Prueba'!C119,"")</f>
        <v/>
      </c>
      <c r="E119" s="92">
        <f>IF(LEN($C119)&gt;0,"",'Casos de Prueba'!D119)</f>
        <v>2</v>
      </c>
      <c r="F119" s="92" t="str">
        <f>IF(LEN($C119)&gt;0,"",'Casos de Prueba'!E119)</f>
        <v>Selecciona la opción Factura Electrónica</v>
      </c>
      <c r="G119" s="92" t="str">
        <f>IF(LEN($C119)&gt;0,"",'Casos de Prueba'!F119&amp;CHAR(10)&amp;'Casos de Prueba'!G119)</f>
        <v xml:space="preserve">El sistema muestra las siguientes opciones:
-Consultar Facturas Emitidas
-Consulta Facturas Recibidas
-Recuperar Descargas de CFDI
-Consultar Solicitudes de Cancelación
</v>
      </c>
    </row>
    <row r="120" spans="4:7" x14ac:dyDescent="0.35">
      <c r="D120" s="92" t="str">
        <f>IF('Casos de Prueba'!B120&lt;&gt;0,'Casos de Prueba'!B120&amp;"-"&amp;'Casos de Prueba'!C120,"")</f>
        <v/>
      </c>
      <c r="E120" s="92">
        <f>IF(LEN($C120)&gt;0,"",'Casos de Prueba'!D120)</f>
        <v>3</v>
      </c>
      <c r="F120" s="92" t="str">
        <f>IF(LEN($C120)&gt;0,"",'Casos de Prueba'!E120)</f>
        <v>Da clic en "Consultar Facturas Emitidas"</v>
      </c>
      <c r="G120" s="92" t="str">
        <f>IF(LEN($C120)&gt;0,"",'Casos de Prueba'!F120&amp;CHAR(10)&amp;'Casos de Prueba'!G120)</f>
        <v xml:space="preserve">El sistema muestra las siguientes opciones de búsqueda:
- Folio Fiscal
- Periodo de Fechas
</v>
      </c>
    </row>
    <row r="121" spans="4:7" x14ac:dyDescent="0.35">
      <c r="D121" s="92" t="str">
        <f>IF('Casos de Prueba'!B121&lt;&gt;0,'Casos de Prueba'!B121&amp;"-"&amp;'Casos de Prueba'!C121,"")</f>
        <v/>
      </c>
      <c r="E121" s="92">
        <f>IF(LEN($C121)&gt;0,"",'Casos de Prueba'!D121)</f>
        <v>4</v>
      </c>
      <c r="F121" s="92" t="str">
        <f>IF(LEN($C121)&gt;0,"",'Casos de Prueba'!E121)</f>
        <v>Selecciona la opción Folio Fiscal</v>
      </c>
      <c r="G121" s="92" t="str">
        <f>IF(LEN($C121)&gt;0,"",'Casos de Prueba'!F121&amp;CHAR(10)&amp;'Casos de Prueba'!G121)</f>
        <v xml:space="preserve">El sistema habilita el campo de FOLIO FISCAL
</v>
      </c>
    </row>
    <row r="122" spans="4:7" x14ac:dyDescent="0.35">
      <c r="D122" s="92" t="str">
        <f>IF('Casos de Prueba'!B122&lt;&gt;0,'Casos de Prueba'!B122&amp;"-"&amp;'Casos de Prueba'!C122,"")</f>
        <v/>
      </c>
      <c r="E122" s="92">
        <f>IF(LEN($C122)&gt;0,"",'Casos de Prueba'!D122)</f>
        <v>5</v>
      </c>
      <c r="F122" s="92" t="str">
        <f>IF(LEN($C122)&gt;0,"",'Casos de Prueba'!E122)</f>
        <v>Ingresa los datos del número de Folio Fiscal a buscar</v>
      </c>
      <c r="G122" s="92" t="str">
        <f>IF(LEN($C122)&gt;0,"",'Casos de Prueba'!F122&amp;CHAR(10)&amp;'Casos de Prueba'!G122)</f>
        <v xml:space="preserve">El sistema muestra los datos que se van ingresando
</v>
      </c>
    </row>
    <row r="123" spans="4:7" x14ac:dyDescent="0.35">
      <c r="D123" s="92" t="str">
        <f>IF('Casos de Prueba'!B123&lt;&gt;0,'Casos de Prueba'!B123&amp;"-"&amp;'Casos de Prueba'!C123,"")</f>
        <v/>
      </c>
      <c r="E123" s="92">
        <f>IF(LEN($C123)&gt;0,"",'Casos de Prueba'!D123)</f>
        <v>6</v>
      </c>
      <c r="F123" s="92" t="str">
        <f>IF(LEN($C123)&gt;0,"",'Casos de Prueba'!E123)</f>
        <v xml:space="preserve">Da clic en el botón Buscar CFDI
</v>
      </c>
      <c r="G123" s="92" t="str">
        <f>IF(LEN($C123)&gt;0,"",'Casos de Prueba'!F123&amp;CHAR(10)&amp;'Casos de Prueba'!G123)</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124" spans="4:7" x14ac:dyDescent="0.35">
      <c r="D124" s="92" t="str">
        <f>IF('Casos de Prueba'!B124&lt;&gt;0,'Casos de Prueba'!B124&amp;"-"&amp;'Casos de Prueba'!C124,"")</f>
        <v/>
      </c>
      <c r="E124" s="92">
        <f>IF(LEN($C124)&gt;0,"",'Casos de Prueba'!D124)</f>
        <v>7</v>
      </c>
      <c r="F124" s="92" t="str">
        <f>IF(LEN($C124)&gt;0,"",'Casos de Prueba'!E124)</f>
        <v>Dar clic en la imagen 
Descargar</v>
      </c>
      <c r="G124" s="92" t="str">
        <f>IF(LEN($C124)&gt;0,"",'Casos de Prueba'!F124&amp;CHAR(10)&amp;'Casos de Prueba'!G124)</f>
        <v>Con esta opción en la barra de acciones el usuario debe permitir la descarga del archivo XML relacionada al registro, generando una ventana emergente que indique que el XML se encuentra en proceso de descarga.
Esta descarga se realiza uno a uno, contemplando el límite diario establecido para los archivos XML (RN14).
El sistema debe nombrar los archivos descargados de cada CFDI igual que el número de folio fiscal.</v>
      </c>
    </row>
    <row r="125" spans="4:7" x14ac:dyDescent="0.35">
      <c r="D125" s="92" t="str">
        <f>IF('Casos de Prueba'!B125&lt;&gt;0,'Casos de Prueba'!B125&amp;"-"&amp;'Casos de Prueba'!C125,"")</f>
        <v/>
      </c>
      <c r="E125" s="92">
        <f>IF(LEN($C125)&gt;0,"",'Casos de Prueba'!D125)</f>
        <v>8</v>
      </c>
      <c r="F125" s="92" t="str">
        <f>IF(LEN($C125)&gt;0,"",'Casos de Prueba'!E125)</f>
        <v>Da clic en Salir</v>
      </c>
      <c r="G125" s="92" t="str">
        <f>IF(LEN($C125)&gt;0,"",'Casos de Prueba'!F125&amp;CHAR(10)&amp;'Casos de Prueba'!G125)</f>
        <v xml:space="preserve">Cierra la sesión del RFC
</v>
      </c>
    </row>
    <row r="126" spans="4:7" x14ac:dyDescent="0.35">
      <c r="D126" s="92" t="str">
        <f>IF('Casos de Prueba'!B126&lt;&gt;0,'Casos de Prueba'!B126&amp;"-"&amp;'Casos de Prueba'!C126,"")</f>
        <v>CP16-Descargar</v>
      </c>
      <c r="E126" s="92"/>
      <c r="F126" s="92"/>
      <c r="G126" s="92"/>
    </row>
    <row r="127" spans="4:7" x14ac:dyDescent="0.35">
      <c r="D127" s="92" t="str">
        <f>IF('Casos de Prueba'!B127&lt;&gt;0,'Casos de Prueba'!B127&amp;"-"&amp;'Casos de Prueba'!C127,"")</f>
        <v/>
      </c>
      <c r="E127" s="92">
        <f>IF(LEN($C127)&gt;0,"",'Casos de Prueba'!D127)</f>
        <v>1</v>
      </c>
      <c r="F127" s="92" t="str">
        <f>IF(LEN($C127)&gt;0,"",'Casos de Prueba'!E127)</f>
        <v>Seleccionar la opción Consulta CFDI</v>
      </c>
      <c r="G127" s="92" t="str">
        <f>IF(LEN($C127)&gt;0,"",'Casos de Prueba'!F127&amp;CHAR(10)&amp;'Casos de Prueba'!G127)</f>
        <v xml:space="preserve">El sistema muestra las opciones:
 - Factura Electrónica
 - Retenciones e Inf. de Pagos
El Usuario previamente se autenticó  y accedió al Portal Privado Contribuyente CFDI
</v>
      </c>
    </row>
    <row r="128" spans="4:7" x14ac:dyDescent="0.35">
      <c r="D128" s="92" t="str">
        <f>IF('Casos de Prueba'!B128&lt;&gt;0,'Casos de Prueba'!B128&amp;"-"&amp;'Casos de Prueba'!C128,"")</f>
        <v/>
      </c>
      <c r="E128" s="92">
        <f>IF(LEN($C128)&gt;0,"",'Casos de Prueba'!D128)</f>
        <v>2</v>
      </c>
      <c r="F128" s="92" t="str">
        <f>IF(LEN($C128)&gt;0,"",'Casos de Prueba'!E128)</f>
        <v>Selecciona la opción Factura Electrónica</v>
      </c>
      <c r="G128" s="92" t="str">
        <f>IF(LEN($C128)&gt;0,"",'Casos de Prueba'!F128&amp;CHAR(10)&amp;'Casos de Prueba'!G128)</f>
        <v xml:space="preserve">El sistema muestra las siguientes opciones:
-Consultar Facturas Emitidas
-Consulta Facturas Recibidas
-Recuperar Descargas de CFDI
-Consultar Solicitudes de Cancelación
</v>
      </c>
    </row>
    <row r="129" spans="4:7" x14ac:dyDescent="0.35">
      <c r="D129" s="92" t="str">
        <f>IF('Casos de Prueba'!B129&lt;&gt;0,'Casos de Prueba'!B129&amp;"-"&amp;'Casos de Prueba'!C129,"")</f>
        <v/>
      </c>
      <c r="E129" s="92">
        <f>IF(LEN($C129)&gt;0,"",'Casos de Prueba'!D129)</f>
        <v>3</v>
      </c>
      <c r="F129" s="92" t="str">
        <f>IF(LEN($C129)&gt;0,"",'Casos de Prueba'!E129)</f>
        <v>Da clic en "Consultar Facturas Emitidas"</v>
      </c>
      <c r="G129" s="92" t="str">
        <f>IF(LEN($C129)&gt;0,"",'Casos de Prueba'!F129&amp;CHAR(10)&amp;'Casos de Prueba'!G129)</f>
        <v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v>
      </c>
    </row>
    <row r="130" spans="4:7" x14ac:dyDescent="0.35">
      <c r="D130" s="92" t="str">
        <f>IF('Casos de Prueba'!B130&lt;&gt;0,'Casos de Prueba'!B130&amp;"-"&amp;'Casos de Prueba'!C130,"")</f>
        <v/>
      </c>
      <c r="E130" s="92">
        <f>IF(LEN($C130)&gt;0,"",'Casos de Prueba'!D130)</f>
        <v>4</v>
      </c>
      <c r="F130" s="92" t="str">
        <f>IF(LEN($C130)&gt;0,"",'Casos de Prueba'!E130)</f>
        <v>Selecciona la opción de Periodo de Fechas</v>
      </c>
      <c r="G130" s="92" t="str">
        <f>IF(LEN($C130)&gt;0,"",'Casos de Prueba'!F130&amp;CHAR(10)&amp;'Casos de Prueba'!G130)</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v>
      </c>
    </row>
    <row r="131" spans="4:7" x14ac:dyDescent="0.35">
      <c r="D131" s="92" t="str">
        <f>IF('Casos de Prueba'!B131&lt;&gt;0,'Casos de Prueba'!B131&amp;"-"&amp;'Casos de Prueba'!C131,"")</f>
        <v/>
      </c>
      <c r="E131" s="92">
        <f>IF(LEN($C131)&gt;0,"",'Casos de Prueba'!D131)</f>
        <v>5</v>
      </c>
      <c r="F131" s="92" t="str">
        <f>IF(LEN($C131)&gt;0,"",'Casos de Prueba'!E131)</f>
        <v xml:space="preserve">Ingresa los datos:
Obligatorios
•	Fecha Inicial de Emisión (*)
•	Fecha Final de Emisión (*)
Opcionales
•	RFC Receptor.
•	RFC a cuenta terceros 
•	Estado del Comprobante 
•	Tipo de Comprobante(Complemento)
•Estatus cancelación </v>
      </c>
      <c r="G131" s="92" t="str">
        <f>IF(LEN($C131)&gt;0,"",'Casos de Prueba'!F131&amp;CHAR(10)&amp;'Casos de Prueba'!G131)</f>
        <v xml:space="preserve">El sistema muestra los datos que se van ingresando 
</v>
      </c>
    </row>
    <row r="132" spans="4:7" x14ac:dyDescent="0.35">
      <c r="D132" s="92" t="str">
        <f>IF('Casos de Prueba'!B132&lt;&gt;0,'Casos de Prueba'!B132&amp;"-"&amp;'Casos de Prueba'!C132,"")</f>
        <v/>
      </c>
      <c r="E132" s="92">
        <f>IF(LEN($C132)&gt;0,"",'Casos de Prueba'!D132)</f>
        <v>6</v>
      </c>
      <c r="F132" s="92" t="str">
        <f>IF(LEN($C132)&gt;0,"",'Casos de Prueba'!E132)</f>
        <v>Da clic en el botón Buscar CFDI 
Aplica (RN08).</v>
      </c>
      <c r="G132" s="92" t="str">
        <f>IF(LEN($C132)&gt;0,"",'Casos de Prueba'!F132&amp;CHAR(10)&amp;'Casos de Prueba'!G132)</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133" spans="4:7" x14ac:dyDescent="0.35">
      <c r="D133" s="92" t="str">
        <f>IF('Casos de Prueba'!B133&lt;&gt;0,'Casos de Prueba'!B133&amp;"-"&amp;'Casos de Prueba'!C133,"")</f>
        <v/>
      </c>
      <c r="E133" s="92">
        <f>IF(LEN($C133)&gt;0,"",'Casos de Prueba'!D133)</f>
        <v>7</v>
      </c>
      <c r="F133" s="92" t="str">
        <f>IF(LEN($C133)&gt;0,"",'Casos de Prueba'!E133)</f>
        <v>1.- Selecciona un registro y dar clic en la imagen 
Descargar</v>
      </c>
      <c r="G133" s="92" t="str">
        <f>IF(LEN($C133)&gt;0,"",'Casos de Prueba'!F133&amp;CHAR(10)&amp;'Casos de Prueba'!G133)</f>
        <v>Con esta opción en la barra de acciones el usuario debe permitir la descarga del archivo XML relacionada al registro, generando una ventana emergente que indique que el XML se encuentra en proceso de descarga.
Esta descarga se realiza uno a uno, contemplando el límite diario establecido para los archivos XML (RN14).
El sistema debe nombrar los archivos descargados de cada CFDI igual que el número de folio fiscal.</v>
      </c>
    </row>
    <row r="134" spans="4:7" x14ac:dyDescent="0.35">
      <c r="D134" s="92" t="str">
        <f>IF('Casos de Prueba'!B134&lt;&gt;0,'Casos de Prueba'!B134&amp;"-"&amp;'Casos de Prueba'!C134,"")</f>
        <v/>
      </c>
      <c r="E134" s="92">
        <f>IF(LEN($C134)&gt;0,"",'Casos de Prueba'!D134)</f>
        <v>8</v>
      </c>
      <c r="F134" s="92" t="str">
        <f>IF(LEN($C134)&gt;0,"",'Casos de Prueba'!E134)</f>
        <v>Da clic en Salir</v>
      </c>
      <c r="G134" s="92" t="str">
        <f>IF(LEN($C134)&gt;0,"",'Casos de Prueba'!F134&amp;CHAR(10)&amp;'Casos de Prueba'!G134)</f>
        <v xml:space="preserve">Cierra la sesión del RFC
</v>
      </c>
    </row>
    <row r="135" spans="4:7" x14ac:dyDescent="0.35">
      <c r="D135" s="92" t="str">
        <f>IF('Casos de Prueba'!B135&lt;&gt;0,'Casos de Prueba'!B135&amp;"-"&amp;'Casos de Prueba'!C135,"")</f>
        <v>CP17-Recuperar Representación Impresa</v>
      </c>
      <c r="E135" s="92"/>
      <c r="F135" s="92"/>
      <c r="G135" s="92"/>
    </row>
    <row r="136" spans="4:7" x14ac:dyDescent="0.35">
      <c r="D136" s="92" t="str">
        <f>IF('Casos de Prueba'!B136&lt;&gt;0,'Casos de Prueba'!B136&amp;"-"&amp;'Casos de Prueba'!C136,"")</f>
        <v/>
      </c>
      <c r="E136" s="92">
        <f>IF(LEN($C136)&gt;0,"",'Casos de Prueba'!D136)</f>
        <v>1</v>
      </c>
      <c r="F136" s="92" t="str">
        <f>IF(LEN($C136)&gt;0,"",'Casos de Prueba'!E136)</f>
        <v>Seleccionar la opción Consulta CFDI</v>
      </c>
      <c r="G136" s="92" t="str">
        <f>IF(LEN($C136)&gt;0,"",'Casos de Prueba'!F136&amp;CHAR(10)&amp;'Casos de Prueba'!G136)</f>
        <v xml:space="preserve">El sistema muestra las opciones:
 - Factura Electrónica
 - Retenciones e Inf. de Pagos
El Usuario previamente se autenticó  y accedió al Portal Privado Contribuyente CFDI
</v>
      </c>
    </row>
    <row r="137" spans="4:7" x14ac:dyDescent="0.35">
      <c r="D137" s="92" t="str">
        <f>IF('Casos de Prueba'!B137&lt;&gt;0,'Casos de Prueba'!B137&amp;"-"&amp;'Casos de Prueba'!C137,"")</f>
        <v/>
      </c>
      <c r="E137" s="92">
        <f>IF(LEN($C137)&gt;0,"",'Casos de Prueba'!D137)</f>
        <v>2</v>
      </c>
      <c r="F137" s="92" t="str">
        <f>IF(LEN($C137)&gt;0,"",'Casos de Prueba'!E137)</f>
        <v>Selecciona la opción Factura Electrónica</v>
      </c>
      <c r="G137" s="92" t="str">
        <f>IF(LEN($C137)&gt;0,"",'Casos de Prueba'!F137&amp;CHAR(10)&amp;'Casos de Prueba'!G137)</f>
        <v xml:space="preserve">El sistema muestra las siguientes opciones:
-Consultar Facturas Emitidas
-Consulta Facturas Recibidas
-Recuperar Descargas de CFDI
-Consultar Solicitudes de Cancelación
</v>
      </c>
    </row>
    <row r="138" spans="4:7" x14ac:dyDescent="0.35">
      <c r="D138" s="92" t="str">
        <f>IF('Casos de Prueba'!B138&lt;&gt;0,'Casos de Prueba'!B138&amp;"-"&amp;'Casos de Prueba'!C138,"")</f>
        <v/>
      </c>
      <c r="E138" s="92">
        <f>IF(LEN($C138)&gt;0,"",'Casos de Prueba'!D138)</f>
        <v>3</v>
      </c>
      <c r="F138" s="92" t="str">
        <f>IF(LEN($C138)&gt;0,"",'Casos de Prueba'!E138)</f>
        <v>Da clic en "Consultar Facturas Emitidas"</v>
      </c>
      <c r="G138" s="92" t="str">
        <f>IF(LEN($C138)&gt;0,"",'Casos de Prueba'!F138&amp;CHAR(10)&amp;'Casos de Prueba'!G138)</f>
        <v xml:space="preserve">El sistema muestra las siguientes opciones de búsqueda:
- Folio Fiscal
- Periodo de Fechas
</v>
      </c>
    </row>
    <row r="139" spans="4:7" x14ac:dyDescent="0.35">
      <c r="D139" s="92" t="str">
        <f>IF('Casos de Prueba'!B139&lt;&gt;0,'Casos de Prueba'!B139&amp;"-"&amp;'Casos de Prueba'!C139,"")</f>
        <v/>
      </c>
      <c r="E139" s="92">
        <f>IF(LEN($C139)&gt;0,"",'Casos de Prueba'!D139)</f>
        <v>4</v>
      </c>
      <c r="F139" s="92" t="str">
        <f>IF(LEN($C139)&gt;0,"",'Casos de Prueba'!E139)</f>
        <v>Selecciona la opción Folio Fiscal</v>
      </c>
      <c r="G139" s="92" t="str">
        <f>IF(LEN($C139)&gt;0,"",'Casos de Prueba'!F139&amp;CHAR(10)&amp;'Casos de Prueba'!G139)</f>
        <v xml:space="preserve">El sistema habilita el campo de FOLIO FISCAL
</v>
      </c>
    </row>
    <row r="140" spans="4:7" x14ac:dyDescent="0.35">
      <c r="D140" s="92" t="str">
        <f>IF('Casos de Prueba'!B140&lt;&gt;0,'Casos de Prueba'!B140&amp;"-"&amp;'Casos de Prueba'!C140,"")</f>
        <v/>
      </c>
      <c r="E140" s="92">
        <f>IF(LEN($C140)&gt;0,"",'Casos de Prueba'!D140)</f>
        <v>5</v>
      </c>
      <c r="F140" s="92" t="str">
        <f>IF(LEN($C140)&gt;0,"",'Casos de Prueba'!E140)</f>
        <v>Ingresa los datos del número de Folio Fiscal a buscar</v>
      </c>
      <c r="G140" s="92" t="str">
        <f>IF(LEN($C140)&gt;0,"",'Casos de Prueba'!F140&amp;CHAR(10)&amp;'Casos de Prueba'!G140)</f>
        <v xml:space="preserve">El sistema muestra los datos que se van ingresando
</v>
      </c>
    </row>
    <row r="141" spans="4:7" x14ac:dyDescent="0.35">
      <c r="D141" s="92" t="str">
        <f>IF('Casos de Prueba'!B141&lt;&gt;0,'Casos de Prueba'!B141&amp;"-"&amp;'Casos de Prueba'!C141,"")</f>
        <v/>
      </c>
      <c r="E141" s="92">
        <f>IF(LEN($C141)&gt;0,"",'Casos de Prueba'!D141)</f>
        <v>6</v>
      </c>
      <c r="F141" s="92" t="str">
        <f>IF(LEN($C141)&gt;0,"",'Casos de Prueba'!E141)</f>
        <v xml:space="preserve">Da clic en el botón Buscar CFDI
</v>
      </c>
      <c r="G141" s="92" t="str">
        <f>IF(LEN($C141)&gt;0,"",'Casos de Prueba'!F141&amp;CHAR(10)&amp;'Casos de Prueba'!G141)</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142" spans="4:7" x14ac:dyDescent="0.35">
      <c r="D142" s="92" t="str">
        <f>IF('Casos de Prueba'!B142&lt;&gt;0,'Casos de Prueba'!B142&amp;"-"&amp;'Casos de Prueba'!C142,"")</f>
        <v/>
      </c>
      <c r="E142" s="92">
        <f>IF(LEN($C142)&gt;0,"",'Casos de Prueba'!D142)</f>
        <v>7</v>
      </c>
      <c r="F142" s="92" t="str">
        <f>IF(LEN($C142)&gt;0,"",'Casos de Prueba'!E142)</f>
        <v xml:space="preserve">Dar clic en la imagen 
Recuperar Representación Impresa. </v>
      </c>
      <c r="G142" s="92" t="str">
        <f>IF(LEN($C142)&gt;0,"",'Casos de Prueba'!F142&amp;CHAR(10)&amp;'Casos de Prueba'!G142)</f>
        <v xml:space="preserve">Con esta opción el usuario podrá descargar de manera individual la representación impresa del CFDI.
Esta descarga se realiza uno a uno, contemplando el límite diario establecido para los archivos PDF en su RI. (RN14, RN15).
</v>
      </c>
    </row>
    <row r="143" spans="4:7" x14ac:dyDescent="0.35">
      <c r="D143" s="92" t="str">
        <f>IF('Casos de Prueba'!B143&lt;&gt;0,'Casos de Prueba'!B143&amp;"-"&amp;'Casos de Prueba'!C143,"")</f>
        <v/>
      </c>
      <c r="E143" s="92">
        <f>IF(LEN($C143)&gt;0,"",'Casos de Prueba'!D143)</f>
        <v>8</v>
      </c>
      <c r="F143" s="92" t="str">
        <f>IF(LEN($C143)&gt;0,"",'Casos de Prueba'!E143)</f>
        <v>Da clic en Salir</v>
      </c>
      <c r="G143" s="92" t="str">
        <f>IF(LEN($C143)&gt;0,"",'Casos de Prueba'!F143&amp;CHAR(10)&amp;'Casos de Prueba'!G143)</f>
        <v xml:space="preserve">Cierra la sesión del RFC
</v>
      </c>
    </row>
    <row r="144" spans="4:7" x14ac:dyDescent="0.35">
      <c r="D144" s="92" t="str">
        <f>IF('Casos de Prueba'!B144&lt;&gt;0,'Casos de Prueba'!B144&amp;"-"&amp;'Casos de Prueba'!C144,"")</f>
        <v>CP18-Recuperar Representación Impresa</v>
      </c>
      <c r="E144" s="92"/>
      <c r="F144" s="92"/>
      <c r="G144" s="92"/>
    </row>
    <row r="145" spans="4:7" x14ac:dyDescent="0.35">
      <c r="D145" s="92" t="str">
        <f>IF('Casos de Prueba'!B145&lt;&gt;0,'Casos de Prueba'!B145&amp;"-"&amp;'Casos de Prueba'!C145,"")</f>
        <v/>
      </c>
      <c r="E145" s="92">
        <f>IF(LEN($C145)&gt;0,"",'Casos de Prueba'!D145)</f>
        <v>1</v>
      </c>
      <c r="F145" s="92" t="str">
        <f>IF(LEN($C145)&gt;0,"",'Casos de Prueba'!E145)</f>
        <v>Seleccionar la opción Consulta CFDI</v>
      </c>
      <c r="G145" s="92" t="str">
        <f>IF(LEN($C145)&gt;0,"",'Casos de Prueba'!F145&amp;CHAR(10)&amp;'Casos de Prueba'!G145)</f>
        <v xml:space="preserve">El sistema muestra las opciones:
 - Factura Electrónica
 - Retenciones e Inf. de Pagos
El Usuario previamente se autenticó  y accedió al Portal Privado Contribuyente CFDI
</v>
      </c>
    </row>
    <row r="146" spans="4:7" x14ac:dyDescent="0.35">
      <c r="D146" s="92" t="str">
        <f>IF('Casos de Prueba'!B146&lt;&gt;0,'Casos de Prueba'!B146&amp;"-"&amp;'Casos de Prueba'!C146,"")</f>
        <v/>
      </c>
      <c r="E146" s="92">
        <f>IF(LEN($C146)&gt;0,"",'Casos de Prueba'!D146)</f>
        <v>2</v>
      </c>
      <c r="F146" s="92" t="str">
        <f>IF(LEN($C146)&gt;0,"",'Casos de Prueba'!E146)</f>
        <v>Selecciona la opción Factura Electrónica</v>
      </c>
      <c r="G146" s="92" t="str">
        <f>IF(LEN($C146)&gt;0,"",'Casos de Prueba'!F146&amp;CHAR(10)&amp;'Casos de Prueba'!G146)</f>
        <v xml:space="preserve">El sistema muestra las siguientes opciones:
-Consultar Facturas Emitidas
-Consulta Facturas Recibidas
-Recuperar Descargas de CFDI
-Consultar Solicitudes de Cancelación
</v>
      </c>
    </row>
    <row r="147" spans="4:7" x14ac:dyDescent="0.35">
      <c r="D147" s="92" t="str">
        <f>IF('Casos de Prueba'!B147&lt;&gt;0,'Casos de Prueba'!B147&amp;"-"&amp;'Casos de Prueba'!C147,"")</f>
        <v/>
      </c>
      <c r="E147" s="92">
        <f>IF(LEN($C147)&gt;0,"",'Casos de Prueba'!D147)</f>
        <v>3</v>
      </c>
      <c r="F147" s="92" t="str">
        <f>IF(LEN($C147)&gt;0,"",'Casos de Prueba'!E147)</f>
        <v>Da clic en "Consultar Facturas Emitidas"</v>
      </c>
      <c r="G147" s="92" t="str">
        <f>IF(LEN($C147)&gt;0,"",'Casos de Prueba'!F147&amp;CHAR(10)&amp;'Casos de Prueba'!G147)</f>
        <v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v>
      </c>
    </row>
    <row r="148" spans="4:7" x14ac:dyDescent="0.35">
      <c r="D148" s="92" t="str">
        <f>IF('Casos de Prueba'!B148&lt;&gt;0,'Casos de Prueba'!B148&amp;"-"&amp;'Casos de Prueba'!C148,"")</f>
        <v/>
      </c>
      <c r="E148" s="92">
        <f>IF(LEN($C148)&gt;0,"",'Casos de Prueba'!D148)</f>
        <v>4</v>
      </c>
      <c r="F148" s="92" t="str">
        <f>IF(LEN($C148)&gt;0,"",'Casos de Prueba'!E148)</f>
        <v>Selecciona la opción de Periodo de Fechas</v>
      </c>
      <c r="G148" s="92" t="str">
        <f>IF(LEN($C148)&gt;0,"",'Casos de Prueba'!F148&amp;CHAR(10)&amp;'Casos de Prueba'!G148)</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v>
      </c>
    </row>
    <row r="149" spans="4:7" x14ac:dyDescent="0.35">
      <c r="D149" s="92" t="str">
        <f>IF('Casos de Prueba'!B149&lt;&gt;0,'Casos de Prueba'!B149&amp;"-"&amp;'Casos de Prueba'!C149,"")</f>
        <v/>
      </c>
      <c r="E149" s="92">
        <f>IF(LEN($C149)&gt;0,"",'Casos de Prueba'!D149)</f>
        <v>5</v>
      </c>
      <c r="F149" s="92" t="str">
        <f>IF(LEN($C149)&gt;0,"",'Casos de Prueba'!E149)</f>
        <v xml:space="preserve">Ingresa los datos:
Obligatorios
•	Fecha Inicial de Emisión (*)
•	Fecha Final de Emisión (*)
Opcionales
•	RFC Receptor.
•	RFC a cuenta terceros 
•	Estado del Comprobante 
•	Tipo de Comprobante(Complemento)
•Estatus cancelación </v>
      </c>
      <c r="G149" s="92" t="str">
        <f>IF(LEN($C149)&gt;0,"",'Casos de Prueba'!F149&amp;CHAR(10)&amp;'Casos de Prueba'!G149)</f>
        <v xml:space="preserve">El sistema muestra los datos que se van ingresando 
</v>
      </c>
    </row>
    <row r="150" spans="4:7" x14ac:dyDescent="0.35">
      <c r="D150" s="92" t="str">
        <f>IF('Casos de Prueba'!B150&lt;&gt;0,'Casos de Prueba'!B150&amp;"-"&amp;'Casos de Prueba'!C150,"")</f>
        <v/>
      </c>
      <c r="E150" s="92">
        <f>IF(LEN($C150)&gt;0,"",'Casos de Prueba'!D150)</f>
        <v>6</v>
      </c>
      <c r="F150" s="92" t="str">
        <f>IF(LEN($C150)&gt;0,"",'Casos de Prueba'!E150)</f>
        <v>Da clic en el botón Buscar CFDI 
Aplica (RN08).</v>
      </c>
      <c r="G150" s="92" t="str">
        <f>IF(LEN($C150)&gt;0,"",'Casos de Prueba'!F150&amp;CHAR(10)&amp;'Casos de Prueba'!G150)</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151" spans="4:7" x14ac:dyDescent="0.35">
      <c r="D151" s="92" t="str">
        <f>IF('Casos de Prueba'!B151&lt;&gt;0,'Casos de Prueba'!B151&amp;"-"&amp;'Casos de Prueba'!C151,"")</f>
        <v/>
      </c>
      <c r="E151" s="92">
        <f>IF(LEN($C151)&gt;0,"",'Casos de Prueba'!D151)</f>
        <v>7</v>
      </c>
      <c r="F151" s="92" t="str">
        <f>IF(LEN($C151)&gt;0,"",'Casos de Prueba'!E151)</f>
        <v xml:space="preserve">1.-Seleccionar un registro y dar clic en la imagen 
Recuperar Representación Impresa. </v>
      </c>
      <c r="G151" s="92" t="str">
        <f>IF(LEN($C151)&gt;0,"",'Casos de Prueba'!F151&amp;CHAR(10)&amp;'Casos de Prueba'!G151)</f>
        <v xml:space="preserve">Con esta opción el usuario podrá descargar de manera individual la representación impresa del CFDI.
Esta descarga se realiza uno a uno, contemplando el límite diario establecido para los archivos PDF en su RI. (RN14, RN15).
</v>
      </c>
    </row>
    <row r="152" spans="4:7" x14ac:dyDescent="0.35">
      <c r="D152" s="92" t="str">
        <f>IF('Casos de Prueba'!B152&lt;&gt;0,'Casos de Prueba'!B152&amp;"-"&amp;'Casos de Prueba'!C152,"")</f>
        <v/>
      </c>
      <c r="E152" s="92">
        <f>IF(LEN($C152)&gt;0,"",'Casos de Prueba'!D152)</f>
        <v>8</v>
      </c>
      <c r="F152" s="92" t="str">
        <f>IF(LEN($C152)&gt;0,"",'Casos de Prueba'!E152)</f>
        <v>Da clic en Salir</v>
      </c>
      <c r="G152" s="92" t="str">
        <f>IF(LEN($C152)&gt;0,"",'Casos de Prueba'!F152&amp;CHAR(10)&amp;'Casos de Prueba'!G152)</f>
        <v xml:space="preserve">Cierra la sesión del RFC
</v>
      </c>
    </row>
    <row r="153" spans="4:7" x14ac:dyDescent="0.35">
      <c r="D153" s="92" t="str">
        <f>IF('Casos de Prueba'!B153&lt;&gt;0,'Casos de Prueba'!B153&amp;"-"&amp;'Casos de Prueba'!C153,"")</f>
        <v>CP19-Recuperar Representación Impresa Complemento Carta Porte</v>
      </c>
      <c r="E153" s="92"/>
      <c r="F153" s="92"/>
      <c r="G153" s="92"/>
    </row>
    <row r="154" spans="4:7" x14ac:dyDescent="0.35">
      <c r="D154" s="92" t="str">
        <f>IF('Casos de Prueba'!B154&lt;&gt;0,'Casos de Prueba'!B154&amp;"-"&amp;'Casos de Prueba'!C154,"")</f>
        <v/>
      </c>
      <c r="E154" s="92">
        <f>IF(LEN($C154)&gt;0,"",'Casos de Prueba'!D154)</f>
        <v>1</v>
      </c>
      <c r="F154" s="92" t="str">
        <f>IF(LEN($C154)&gt;0,"",'Casos de Prueba'!E154)</f>
        <v>Seleccionar la opción Consulta CFDI</v>
      </c>
      <c r="G154" s="92" t="str">
        <f>IF(LEN($C154)&gt;0,"",'Casos de Prueba'!F154&amp;CHAR(10)&amp;'Casos de Prueba'!G154)</f>
        <v xml:space="preserve">El sistema muestra las opciones:
 - Factura Electrónica
 - Retenciones e Inf. de Pagos
El Usuario previamente se autenticó  y accedió al Portal Privado Contribuyente CFDI
</v>
      </c>
    </row>
    <row r="155" spans="4:7" x14ac:dyDescent="0.35">
      <c r="D155" s="92" t="str">
        <f>IF('Casos de Prueba'!B155&lt;&gt;0,'Casos de Prueba'!B155&amp;"-"&amp;'Casos de Prueba'!C155,"")</f>
        <v/>
      </c>
      <c r="E155" s="92">
        <f>IF(LEN($C155)&gt;0,"",'Casos de Prueba'!D155)</f>
        <v>2</v>
      </c>
      <c r="F155" s="92" t="str">
        <f>IF(LEN($C155)&gt;0,"",'Casos de Prueba'!E155)</f>
        <v>Selecciona la opción Factura Electrónica</v>
      </c>
      <c r="G155" s="92" t="str">
        <f>IF(LEN($C155)&gt;0,"",'Casos de Prueba'!F155&amp;CHAR(10)&amp;'Casos de Prueba'!G155)</f>
        <v xml:space="preserve">El sistema muestra las siguientes opciones:
-Consultar Facturas Emitidas
-Consulta Facturas Recibidas
-Recuperar Descargas de CFDI
-Consultar Solicitudes de Cancelación
</v>
      </c>
    </row>
    <row r="156" spans="4:7" x14ac:dyDescent="0.35">
      <c r="D156" s="92" t="str">
        <f>IF('Casos de Prueba'!B156&lt;&gt;0,'Casos de Prueba'!B156&amp;"-"&amp;'Casos de Prueba'!C156,"")</f>
        <v/>
      </c>
      <c r="E156" s="92">
        <f>IF(LEN($C156)&gt;0,"",'Casos de Prueba'!D156)</f>
        <v>3</v>
      </c>
      <c r="F156" s="92" t="str">
        <f>IF(LEN($C156)&gt;0,"",'Casos de Prueba'!E156)</f>
        <v>Da clic en "Consultar Facturas Emitidas"</v>
      </c>
      <c r="G156" s="92" t="str">
        <f>IF(LEN($C156)&gt;0,"",'Casos de Prueba'!F156&amp;CHAR(10)&amp;'Casos de Prueba'!G156)</f>
        <v xml:space="preserve">El sistema muestra las siguientes opciones de búsqueda:
- Folio Fiscal
- Periodo de Fechas
</v>
      </c>
    </row>
    <row r="157" spans="4:7" x14ac:dyDescent="0.35">
      <c r="D157" s="92" t="str">
        <f>IF('Casos de Prueba'!B157&lt;&gt;0,'Casos de Prueba'!B157&amp;"-"&amp;'Casos de Prueba'!C157,"")</f>
        <v/>
      </c>
      <c r="E157" s="92">
        <f>IF(LEN($C157)&gt;0,"",'Casos de Prueba'!D157)</f>
        <v>4</v>
      </c>
      <c r="F157" s="92" t="str">
        <f>IF(LEN($C157)&gt;0,"",'Casos de Prueba'!E157)</f>
        <v>Selecciona la opción Folio Fiscal</v>
      </c>
      <c r="G157" s="92" t="str">
        <f>IF(LEN($C157)&gt;0,"",'Casos de Prueba'!F157&amp;CHAR(10)&amp;'Casos de Prueba'!G157)</f>
        <v xml:space="preserve">El sistema habilita el campo de FOLIO FISCAL
</v>
      </c>
    </row>
    <row r="158" spans="4:7" x14ac:dyDescent="0.35">
      <c r="D158" s="92" t="str">
        <f>IF('Casos de Prueba'!B158&lt;&gt;0,'Casos de Prueba'!B158&amp;"-"&amp;'Casos de Prueba'!C158,"")</f>
        <v/>
      </c>
      <c r="E158" s="92">
        <f>IF(LEN($C158)&gt;0,"",'Casos de Prueba'!D158)</f>
        <v>5</v>
      </c>
      <c r="F158" s="92" t="str">
        <f>IF(LEN($C158)&gt;0,"",'Casos de Prueba'!E158)</f>
        <v>Ingresa los datos del número de Folio Fiscal a buscar</v>
      </c>
      <c r="G158" s="92" t="str">
        <f>IF(LEN($C158)&gt;0,"",'Casos de Prueba'!F158&amp;CHAR(10)&amp;'Casos de Prueba'!G158)</f>
        <v xml:space="preserve">El sistema muestra los datos que se van ingresando
</v>
      </c>
    </row>
    <row r="159" spans="4:7" x14ac:dyDescent="0.35">
      <c r="D159" s="92" t="str">
        <f>IF('Casos de Prueba'!B159&lt;&gt;0,'Casos de Prueba'!B159&amp;"-"&amp;'Casos de Prueba'!C159,"")</f>
        <v/>
      </c>
      <c r="E159" s="92">
        <f>IF(LEN($C159)&gt;0,"",'Casos de Prueba'!D159)</f>
        <v>6</v>
      </c>
      <c r="F159" s="92" t="str">
        <f>IF(LEN($C159)&gt;0,"",'Casos de Prueba'!E159)</f>
        <v xml:space="preserve">Da clic en el botón Buscar CFDI
</v>
      </c>
      <c r="G159" s="92" t="str">
        <f>IF(LEN($C159)&gt;0,"",'Casos de Prueba'!F159&amp;CHAR(10)&amp;'Casos de Prueba'!G159)</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160" spans="4:7" x14ac:dyDescent="0.35">
      <c r="D160" s="92" t="str">
        <f>IF('Casos de Prueba'!B160&lt;&gt;0,'Casos de Prueba'!B160&amp;"-"&amp;'Casos de Prueba'!C160,"")</f>
        <v/>
      </c>
      <c r="E160" s="92">
        <f>IF(LEN($C160)&gt;0,"",'Casos de Prueba'!D160)</f>
        <v>7</v>
      </c>
      <c r="F160" s="92" t="str">
        <f>IF(LEN($C160)&gt;0,"",'Casos de Prueba'!E160)</f>
        <v>Dar clic en la imagen 
Recuperar Representación Impresa Complemento Carta Porte</v>
      </c>
      <c r="G160" s="92" t="str">
        <f>IF(LEN($C160)&gt;0,"",'Casos de Prueba'!F160&amp;CHAR(10)&amp;'Casos de Prueba'!G160)</f>
        <v xml:space="preserve">Con esta opción el usuario podrá descargar de manera individual la representación impresa del CFDI del Complemento Carta Porte
Esta descarga se realiza uno a uno, </v>
      </c>
    </row>
    <row r="161" spans="4:7" x14ac:dyDescent="0.35">
      <c r="D161" s="92" t="str">
        <f>IF('Casos de Prueba'!B161&lt;&gt;0,'Casos de Prueba'!B161&amp;"-"&amp;'Casos de Prueba'!C161,"")</f>
        <v/>
      </c>
      <c r="E161" s="92">
        <f>IF(LEN($C161)&gt;0,"",'Casos de Prueba'!D161)</f>
        <v>8</v>
      </c>
      <c r="F161" s="92" t="str">
        <f>IF(LEN($C161)&gt;0,"",'Casos de Prueba'!E161)</f>
        <v>Da clic en Salir</v>
      </c>
      <c r="G161" s="92" t="str">
        <f>IF(LEN($C161)&gt;0,"",'Casos de Prueba'!F161&amp;CHAR(10)&amp;'Casos de Prueba'!G161)</f>
        <v xml:space="preserve">Cierra la sesión del RFC
</v>
      </c>
    </row>
    <row r="162" spans="4:7" x14ac:dyDescent="0.35">
      <c r="D162" s="92" t="str">
        <f>IF('Casos de Prueba'!B162&lt;&gt;0,'Casos de Prueba'!B162&amp;"-"&amp;'Casos de Prueba'!C162,"")</f>
        <v>CP20-Recuperar Representación Impresa Complemento Carta Porte</v>
      </c>
      <c r="E162" s="92"/>
      <c r="F162" s="92"/>
      <c r="G162" s="92"/>
    </row>
    <row r="163" spans="4:7" x14ac:dyDescent="0.35">
      <c r="D163" s="92" t="str">
        <f>IF('Casos de Prueba'!B163&lt;&gt;0,'Casos de Prueba'!B163&amp;"-"&amp;'Casos de Prueba'!C163,"")</f>
        <v/>
      </c>
      <c r="E163" s="92">
        <f>IF(LEN($C163)&gt;0,"",'Casos de Prueba'!D163)</f>
        <v>1</v>
      </c>
      <c r="F163" s="92" t="str">
        <f>IF(LEN($C163)&gt;0,"",'Casos de Prueba'!E163)</f>
        <v>Seleccionar la opción Consulta CFDI</v>
      </c>
      <c r="G163" s="92" t="str">
        <f>IF(LEN($C163)&gt;0,"",'Casos de Prueba'!F163&amp;CHAR(10)&amp;'Casos de Prueba'!G163)</f>
        <v xml:space="preserve">El sistema muestra las opciones:
 - Factura Electrónica
 - Retenciones e Inf. de Pagos
El Usuario previamente se autenticó  y accedió al Portal Privado Contribuyente CFDI
</v>
      </c>
    </row>
    <row r="164" spans="4:7" x14ac:dyDescent="0.35">
      <c r="D164" s="92" t="str">
        <f>IF('Casos de Prueba'!B164&lt;&gt;0,'Casos de Prueba'!B164&amp;"-"&amp;'Casos de Prueba'!C164,"")</f>
        <v/>
      </c>
      <c r="E164" s="92">
        <f>IF(LEN($C164)&gt;0,"",'Casos de Prueba'!D164)</f>
        <v>2</v>
      </c>
      <c r="F164" s="92" t="str">
        <f>IF(LEN($C164)&gt;0,"",'Casos de Prueba'!E164)</f>
        <v>Selecciona la opción Factura Electrónica</v>
      </c>
      <c r="G164" s="92" t="str">
        <f>IF(LEN($C164)&gt;0,"",'Casos de Prueba'!F164&amp;CHAR(10)&amp;'Casos de Prueba'!G164)</f>
        <v xml:space="preserve">El sistema muestra las siguientes opciones:
-Consultar Facturas Emitidas
-Consulta Facturas Recibidas
-Recuperar Descargas de CFDI
-Consultar Solicitudes de Cancelación
</v>
      </c>
    </row>
    <row r="165" spans="4:7" x14ac:dyDescent="0.35">
      <c r="D165" s="92" t="str">
        <f>IF('Casos de Prueba'!B165&lt;&gt;0,'Casos de Prueba'!B165&amp;"-"&amp;'Casos de Prueba'!C165,"")</f>
        <v/>
      </c>
      <c r="E165" s="92">
        <f>IF(LEN($C165)&gt;0,"",'Casos de Prueba'!D165)</f>
        <v>3</v>
      </c>
      <c r="F165" s="92" t="str">
        <f>IF(LEN($C165)&gt;0,"",'Casos de Prueba'!E165)</f>
        <v>Da clic en "Consultar Facturas Emitidas"</v>
      </c>
      <c r="G165" s="92" t="str">
        <f>IF(LEN($C165)&gt;0,"",'Casos de Prueba'!F165&amp;CHAR(10)&amp;'Casos de Prueba'!G165)</f>
        <v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v>
      </c>
    </row>
    <row r="166" spans="4:7" x14ac:dyDescent="0.35">
      <c r="D166" s="92" t="str">
        <f>IF('Casos de Prueba'!B166&lt;&gt;0,'Casos de Prueba'!B166&amp;"-"&amp;'Casos de Prueba'!C166,"")</f>
        <v/>
      </c>
      <c r="E166" s="92">
        <f>IF(LEN($C166)&gt;0,"",'Casos de Prueba'!D166)</f>
        <v>4</v>
      </c>
      <c r="F166" s="92" t="str">
        <f>IF(LEN($C166)&gt;0,"",'Casos de Prueba'!E166)</f>
        <v>Selecciona la opción de Periodo de Fechas</v>
      </c>
      <c r="G166" s="92" t="str">
        <f>IF(LEN($C166)&gt;0,"",'Casos de Prueba'!F166&amp;CHAR(10)&amp;'Casos de Prueba'!G166)</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v>
      </c>
    </row>
    <row r="167" spans="4:7" x14ac:dyDescent="0.35">
      <c r="D167" s="92" t="str">
        <f>IF('Casos de Prueba'!B167&lt;&gt;0,'Casos de Prueba'!B167&amp;"-"&amp;'Casos de Prueba'!C167,"")</f>
        <v/>
      </c>
      <c r="E167" s="92">
        <f>IF(LEN($C167)&gt;0,"",'Casos de Prueba'!D167)</f>
        <v>5</v>
      </c>
      <c r="F167" s="92" t="str">
        <f>IF(LEN($C167)&gt;0,"",'Casos de Prueba'!E167)</f>
        <v>Ingresa los datos:
Obligatorios
•	Fecha Inicial de Emisión (*)
•	Fecha Final de Emisión (*)
Opcionales
•	RFC Receptor.
•	RFC a cuenta terceros 
•	Estado del Comprobante 
•	Tipo de Comprobante(Complemento)
• Estatus cancelación</v>
      </c>
      <c r="G167" s="92" t="str">
        <f>IF(LEN($C167)&gt;0,"",'Casos de Prueba'!F167&amp;CHAR(10)&amp;'Casos de Prueba'!G167)</f>
        <v xml:space="preserve">El sistema muestra los datos que se van ingresando 
</v>
      </c>
    </row>
    <row r="168" spans="4:7" x14ac:dyDescent="0.35">
      <c r="D168" s="92" t="str">
        <f>IF('Casos de Prueba'!B168&lt;&gt;0,'Casos de Prueba'!B168&amp;"-"&amp;'Casos de Prueba'!C168,"")</f>
        <v/>
      </c>
      <c r="E168" s="92">
        <f>IF(LEN($C168)&gt;0,"",'Casos de Prueba'!D168)</f>
        <v>6</v>
      </c>
      <c r="F168" s="92" t="str">
        <f>IF(LEN($C168)&gt;0,"",'Casos de Prueba'!E168)</f>
        <v>Da clic en el botón Buscar CFDI 
Aplica (RN08).</v>
      </c>
      <c r="G168" s="92" t="str">
        <f>IF(LEN($C168)&gt;0,"",'Casos de Prueba'!F168&amp;CHAR(10)&amp;'Casos de Prueba'!G168)</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169" spans="4:7" x14ac:dyDescent="0.35">
      <c r="D169" s="92" t="str">
        <f>IF('Casos de Prueba'!B169&lt;&gt;0,'Casos de Prueba'!B169&amp;"-"&amp;'Casos de Prueba'!C169,"")</f>
        <v/>
      </c>
      <c r="E169" s="92">
        <f>IF(LEN($C169)&gt;0,"",'Casos de Prueba'!D169)</f>
        <v>7</v>
      </c>
      <c r="F169" s="92" t="str">
        <f>IF(LEN($C169)&gt;0,"",'Casos de Prueba'!E169)</f>
        <v>1.- Seleccionar un registro y dar clic en la imagen 
Recuperar Representación Impresa Complemento Carta Porte
Para este caso de prueba, los resultados deben incluir un comprobante que tenga el complemento Carta Porte</v>
      </c>
      <c r="G169" s="92" t="str">
        <f>IF(LEN($C169)&gt;0,"",'Casos de Prueba'!F169&amp;CHAR(10)&amp;'Casos de Prueba'!G169)</f>
        <v>Con esta opción el usuario podrá descargar de manera individual la representación impresa del CFDI del Complemento Carta Porte
Esta descarga se realiza uno a uno</v>
      </c>
    </row>
    <row r="170" spans="4:7" x14ac:dyDescent="0.35">
      <c r="D170" s="92" t="str">
        <f>IF('Casos de Prueba'!B170&lt;&gt;0,'Casos de Prueba'!B170&amp;"-"&amp;'Casos de Prueba'!C170,"")</f>
        <v/>
      </c>
      <c r="E170" s="92">
        <f>IF(LEN($C170)&gt;0,"",'Casos de Prueba'!D170)</f>
        <v>8</v>
      </c>
      <c r="F170" s="92" t="str">
        <f>IF(LEN($C170)&gt;0,"",'Casos de Prueba'!E170)</f>
        <v>Da clic en Salir</v>
      </c>
      <c r="G170" s="92" t="str">
        <f>IF(LEN($C170)&gt;0,"",'Casos de Prueba'!F170&amp;CHAR(10)&amp;'Casos de Prueba'!G170)</f>
        <v xml:space="preserve">Cierra la sesión del RFC
</v>
      </c>
    </row>
    <row r="171" spans="4:7" x14ac:dyDescent="0.35">
      <c r="D171" s="92" t="str">
        <f>IF('Casos de Prueba'!B171&lt;&gt;0,'Casos de Prueba'!B171&amp;"-"&amp;'Casos de Prueba'!C171,"")</f>
        <v>CP21-Integrar Addenda</v>
      </c>
      <c r="E171" s="92"/>
      <c r="F171" s="92"/>
      <c r="G171" s="92"/>
    </row>
    <row r="172" spans="4:7" x14ac:dyDescent="0.35">
      <c r="D172" s="92" t="str">
        <f>IF('Casos de Prueba'!B172&lt;&gt;0,'Casos de Prueba'!B172&amp;"-"&amp;'Casos de Prueba'!C172,"")</f>
        <v/>
      </c>
      <c r="E172" s="92">
        <f>IF(LEN($C172)&gt;0,"",'Casos de Prueba'!D172)</f>
        <v>1</v>
      </c>
      <c r="F172" s="92" t="str">
        <f>IF(LEN($C172)&gt;0,"",'Casos de Prueba'!E172)</f>
        <v>Seleccionar la opción Consulta CFDI</v>
      </c>
      <c r="G172" s="92" t="str">
        <f>IF(LEN($C172)&gt;0,"",'Casos de Prueba'!F172&amp;CHAR(10)&amp;'Casos de Prueba'!G172)</f>
        <v xml:space="preserve">El sistema muestra las opciones:
 - Factura Electrónica
 - Retenciones e Inf. de Pagos
El Usuario previamente se autenticó  y accedió al Portal Privado Contribuyente CFDI
</v>
      </c>
    </row>
    <row r="173" spans="4:7" x14ac:dyDescent="0.35">
      <c r="D173" s="92" t="str">
        <f>IF('Casos de Prueba'!B173&lt;&gt;0,'Casos de Prueba'!B173&amp;"-"&amp;'Casos de Prueba'!C173,"")</f>
        <v/>
      </c>
      <c r="E173" s="92">
        <f>IF(LEN($C173)&gt;0,"",'Casos de Prueba'!D173)</f>
        <v>2</v>
      </c>
      <c r="F173" s="92" t="str">
        <f>IF(LEN($C173)&gt;0,"",'Casos de Prueba'!E173)</f>
        <v>Selecciona la opción Factura Electrónica</v>
      </c>
      <c r="G173" s="92" t="str">
        <f>IF(LEN($C173)&gt;0,"",'Casos de Prueba'!F173&amp;CHAR(10)&amp;'Casos de Prueba'!G173)</f>
        <v xml:space="preserve">El sistema muestra las siguientes opciones:
-Consultar Facturas Emitidas
-Consulta Facturas Recibidas
-Recuperar Descargas de CFDI
-Consultar Solicitudes de Cancelación
</v>
      </c>
    </row>
    <row r="174" spans="4:7" x14ac:dyDescent="0.35">
      <c r="D174" s="92" t="str">
        <f>IF('Casos de Prueba'!B174&lt;&gt;0,'Casos de Prueba'!B174&amp;"-"&amp;'Casos de Prueba'!C174,"")</f>
        <v/>
      </c>
      <c r="E174" s="92">
        <f>IF(LEN($C174)&gt;0,"",'Casos de Prueba'!D174)</f>
        <v>3</v>
      </c>
      <c r="F174" s="92" t="str">
        <f>IF(LEN($C174)&gt;0,"",'Casos de Prueba'!E174)</f>
        <v>Da clic en "Consultar Facturas Emitidas"</v>
      </c>
      <c r="G174" s="92" t="str">
        <f>IF(LEN($C174)&gt;0,"",'Casos de Prueba'!F174&amp;CHAR(10)&amp;'Casos de Prueba'!G174)</f>
        <v xml:space="preserve">El sistema muestra las siguientes opciones de búsqueda:
- Folio Fiscal
- Periodo de Fechas
</v>
      </c>
    </row>
    <row r="175" spans="4:7" x14ac:dyDescent="0.35">
      <c r="D175" s="92" t="str">
        <f>IF('Casos de Prueba'!B175&lt;&gt;0,'Casos de Prueba'!B175&amp;"-"&amp;'Casos de Prueba'!C175,"")</f>
        <v/>
      </c>
      <c r="E175" s="92">
        <f>IF(LEN($C175)&gt;0,"",'Casos de Prueba'!D175)</f>
        <v>4</v>
      </c>
      <c r="F175" s="92" t="str">
        <f>IF(LEN($C175)&gt;0,"",'Casos de Prueba'!E175)</f>
        <v>Selecciona la opción Folio Fiscal</v>
      </c>
      <c r="G175" s="92" t="str">
        <f>IF(LEN($C175)&gt;0,"",'Casos de Prueba'!F175&amp;CHAR(10)&amp;'Casos de Prueba'!G175)</f>
        <v xml:space="preserve">El sistema habilita el campo de FOLIO FISCAL
</v>
      </c>
    </row>
    <row r="176" spans="4:7" x14ac:dyDescent="0.35">
      <c r="D176" s="92" t="str">
        <f>IF('Casos de Prueba'!B176&lt;&gt;0,'Casos de Prueba'!B176&amp;"-"&amp;'Casos de Prueba'!C176,"")</f>
        <v/>
      </c>
      <c r="E176" s="92">
        <f>IF(LEN($C176)&gt;0,"",'Casos de Prueba'!D176)</f>
        <v>5</v>
      </c>
      <c r="F176" s="92" t="str">
        <f>IF(LEN($C176)&gt;0,"",'Casos de Prueba'!E176)</f>
        <v>Ingresa los datos del número de Folio Fiscal a buscar</v>
      </c>
      <c r="G176" s="92" t="str">
        <f>IF(LEN($C176)&gt;0,"",'Casos de Prueba'!F176&amp;CHAR(10)&amp;'Casos de Prueba'!G176)</f>
        <v xml:space="preserve">El sistema muestra los datos que se van ingresando
</v>
      </c>
    </row>
    <row r="177" spans="4:7" x14ac:dyDescent="0.35">
      <c r="D177" s="92" t="str">
        <f>IF('Casos de Prueba'!B177&lt;&gt;0,'Casos de Prueba'!B177&amp;"-"&amp;'Casos de Prueba'!C177,"")</f>
        <v/>
      </c>
      <c r="E177" s="92">
        <f>IF(LEN($C177)&gt;0,"",'Casos de Prueba'!D177)</f>
        <v>6</v>
      </c>
      <c r="F177" s="92" t="str">
        <f>IF(LEN($C177)&gt;0,"",'Casos de Prueba'!E177)</f>
        <v xml:space="preserve">Da clic en el botón Buscar CFDI
</v>
      </c>
      <c r="G177" s="92" t="str">
        <f>IF(LEN($C177)&gt;0,"",'Casos de Prueba'!F177&amp;CHAR(10)&amp;'Casos de Prueba'!G177)</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178" spans="4:7" x14ac:dyDescent="0.35">
      <c r="D178" s="92" t="str">
        <f>IF('Casos de Prueba'!B178&lt;&gt;0,'Casos de Prueba'!B178&amp;"-"&amp;'Casos de Prueba'!C178,"")</f>
        <v/>
      </c>
      <c r="E178" s="92">
        <f>IF(LEN($C178)&gt;0,"",'Casos de Prueba'!D178)</f>
        <v>7</v>
      </c>
      <c r="F178" s="92" t="str">
        <f>IF(LEN($C178)&gt;0,"",'Casos de Prueba'!E178)</f>
        <v xml:space="preserve">Dar clic en la imagen 
Integrar Addenda </v>
      </c>
      <c r="G178" s="92" t="str">
        <f>IF(LEN($C178)&gt;0,"",'Casos de Prueba'!F178&amp;CHAR(10)&amp;'Casos de Prueba'!G178)</f>
        <v>El sistema muestra una pantalla modal para anexar una archivo .xml.
El sistema permite anexar un archivo XML en una pantalla modal, para adicionar información de proveedores o consumidores, como el número de orden de compra, la entrega de bienes, la fijación de precios etc. La addenda permite agregar información sin necesidad de modificar los comprobantes fiscales. (RN21)</v>
      </c>
    </row>
    <row r="179" spans="4:7" x14ac:dyDescent="0.35">
      <c r="D179" s="92" t="str">
        <f>IF('Casos de Prueba'!B179&lt;&gt;0,'Casos de Prueba'!B179&amp;"-"&amp;'Casos de Prueba'!C179,"")</f>
        <v/>
      </c>
      <c r="E179" s="92">
        <f>IF(LEN($C179)&gt;0,"",'Casos de Prueba'!D179)</f>
        <v>8</v>
      </c>
      <c r="F179" s="92" t="str">
        <f>IF(LEN($C179)&gt;0,"",'Casos de Prueba'!E179)</f>
        <v>En la pantalla modal una vez seleccionado el archivo se da clic en el botón Integrar</v>
      </c>
      <c r="G179" s="92" t="str">
        <f>IF(LEN($C179)&gt;0,"",'Casos de Prueba'!F179&amp;CHAR(10)&amp;'Casos de Prueba'!G179)</f>
        <v xml:space="preserve">El sistema integra el archivo .xml
</v>
      </c>
    </row>
    <row r="180" spans="4:7" x14ac:dyDescent="0.35">
      <c r="D180" s="92" t="str">
        <f>IF('Casos de Prueba'!B180&lt;&gt;0,'Casos de Prueba'!B180&amp;"-"&amp;'Casos de Prueba'!C180,"")</f>
        <v/>
      </c>
      <c r="E180" s="92">
        <f>IF(LEN($C180)&gt;0,"",'Casos de Prueba'!D180)</f>
        <v>9</v>
      </c>
      <c r="F180" s="92" t="str">
        <f>IF(LEN($C180)&gt;0,"",'Casos de Prueba'!E180)</f>
        <v>Da clic en Salir</v>
      </c>
      <c r="G180" s="92" t="str">
        <f>IF(LEN($C180)&gt;0,"",'Casos de Prueba'!F180&amp;CHAR(10)&amp;'Casos de Prueba'!G180)</f>
        <v xml:space="preserve">Cierra la sesión del RFC
</v>
      </c>
    </row>
    <row r="181" spans="4:7" x14ac:dyDescent="0.35">
      <c r="D181" s="92" t="str">
        <f>IF('Casos de Prueba'!B181&lt;&gt;0,'Casos de Prueba'!B181&amp;"-"&amp;'Casos de Prueba'!C181,"")</f>
        <v>CP22-Integrar Addenda</v>
      </c>
      <c r="E181" s="92"/>
      <c r="F181" s="92"/>
      <c r="G181" s="92"/>
    </row>
    <row r="182" spans="4:7" x14ac:dyDescent="0.35">
      <c r="D182" s="92" t="str">
        <f>IF('Casos de Prueba'!B182&lt;&gt;0,'Casos de Prueba'!B182&amp;"-"&amp;'Casos de Prueba'!C182,"")</f>
        <v/>
      </c>
      <c r="E182" s="92">
        <f>IF(LEN($C182)&gt;0,"",'Casos de Prueba'!D182)</f>
        <v>1</v>
      </c>
      <c r="F182" s="92" t="str">
        <f>IF(LEN($C182)&gt;0,"",'Casos de Prueba'!E182)</f>
        <v>Seleccionar la opción Consulta CFDI</v>
      </c>
      <c r="G182" s="92" t="str">
        <f>IF(LEN($C182)&gt;0,"",'Casos de Prueba'!F182&amp;CHAR(10)&amp;'Casos de Prueba'!G182)</f>
        <v xml:space="preserve">El sistema muestra las opciones:
 - Factura Electrónica
 - Retenciones e Inf. de Pagos
El Usuario previamente se autenticó  y accedió al Portal Privado Contribuyente CFDI
</v>
      </c>
    </row>
    <row r="183" spans="4:7" x14ac:dyDescent="0.35">
      <c r="D183" s="92" t="str">
        <f>IF('Casos de Prueba'!B183&lt;&gt;0,'Casos de Prueba'!B183&amp;"-"&amp;'Casos de Prueba'!C183,"")</f>
        <v/>
      </c>
      <c r="E183" s="92">
        <f>IF(LEN($C183)&gt;0,"",'Casos de Prueba'!D183)</f>
        <v>2</v>
      </c>
      <c r="F183" s="92" t="str">
        <f>IF(LEN($C183)&gt;0,"",'Casos de Prueba'!E183)</f>
        <v>Selecciona la opción Factura Electrónica</v>
      </c>
      <c r="G183" s="92" t="str">
        <f>IF(LEN($C183)&gt;0,"",'Casos de Prueba'!F183&amp;CHAR(10)&amp;'Casos de Prueba'!G183)</f>
        <v xml:space="preserve">El sistema muestra las siguientes opciones:
-Consultar Facturas Emitidas
-Consulta Facturas Recibidas
-Recuperar Descargas de CFDI
-Consultar Solicitudes de Cancelación
</v>
      </c>
    </row>
    <row r="184" spans="4:7" x14ac:dyDescent="0.35">
      <c r="D184" s="92" t="str">
        <f>IF('Casos de Prueba'!B184&lt;&gt;0,'Casos de Prueba'!B184&amp;"-"&amp;'Casos de Prueba'!C184,"")</f>
        <v/>
      </c>
      <c r="E184" s="92">
        <f>IF(LEN($C184)&gt;0,"",'Casos de Prueba'!D184)</f>
        <v>3</v>
      </c>
      <c r="F184" s="92" t="str">
        <f>IF(LEN($C184)&gt;0,"",'Casos de Prueba'!E184)</f>
        <v>Da clic en "Consultar Facturas Emitidas"</v>
      </c>
      <c r="G184" s="92" t="str">
        <f>IF(LEN($C184)&gt;0,"",'Casos de Prueba'!F184&amp;CHAR(10)&amp;'Casos de Prueba'!G184)</f>
        <v xml:space="preserve">El sistema muestra las opciones:
- Folio Fiscal * (está opción esta habilitada por default)
Los siguientes campos se muestran deshabilitados:
- Fecha Inicial de Emisión*
- Fecha Final de Emisión*
- RFC Receptor
-RFC a cuenta de terceros
- Estado del Comprobante
- Tipo de Comprobante (Complemento) 
- Estatus Cancelación 
*campos obligatorios
Opción: Buscar CFDI
</v>
      </c>
    </row>
    <row r="185" spans="4:7" x14ac:dyDescent="0.35">
      <c r="D185" s="92" t="str">
        <f>IF('Casos de Prueba'!B185&lt;&gt;0,'Casos de Prueba'!B185&amp;"-"&amp;'Casos de Prueba'!C185,"")</f>
        <v/>
      </c>
      <c r="E185" s="92">
        <f>IF(LEN($C185)&gt;0,"",'Casos de Prueba'!D185)</f>
        <v>4</v>
      </c>
      <c r="F185" s="92" t="str">
        <f>IF(LEN($C185)&gt;0,"",'Casos de Prueba'!E185)</f>
        <v>Selecciona la opción de Periodo de Fechas</v>
      </c>
      <c r="G185" s="92" t="str">
        <f>IF(LEN($C185)&gt;0,"",'Casos de Prueba'!F185&amp;CHAR(10)&amp;'Casos de Prueba'!G185)</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Cancelación son: Cancelado con aceptación, Cancelado sin aceptación y Plazo vencido
•	Botón “Buscar CFDI” Al dar clic en el botón el aplicativo muestra los resultados conforme a los criterios de búsqueda seleccionados previamente (RN06, RN07, RN08, RN09, RN10, RN11).
</v>
      </c>
    </row>
    <row r="186" spans="4:7" x14ac:dyDescent="0.35">
      <c r="D186" s="92" t="str">
        <f>IF('Casos de Prueba'!B186&lt;&gt;0,'Casos de Prueba'!B186&amp;"-"&amp;'Casos de Prueba'!C186,"")</f>
        <v/>
      </c>
      <c r="E186" s="92">
        <f>IF(LEN($C186)&gt;0,"",'Casos de Prueba'!D186)</f>
        <v>5</v>
      </c>
      <c r="F186" s="92" t="str">
        <f>IF(LEN($C186)&gt;0,"",'Casos de Prueba'!E186)</f>
        <v xml:space="preserve">Ingresa los datos:
Obligatorios
•	Fecha Inicial de Emisión (*)
•	Fecha Final de Emisión (*)
Opcionales
•	RFC Receptor.
•	RFC a cuenta terceros 
•	Estado del Comprobante 
•	Tipo de Comprobante ( Complemento) 
•estatus cancelación </v>
      </c>
      <c r="G186" s="92" t="str">
        <f>IF(LEN($C186)&gt;0,"",'Casos de Prueba'!F186&amp;CHAR(10)&amp;'Casos de Prueba'!G186)</f>
        <v xml:space="preserve">El sistema muestra los datos que se van ingresando 
</v>
      </c>
    </row>
    <row r="187" spans="4:7" x14ac:dyDescent="0.35">
      <c r="D187" s="92" t="str">
        <f>IF('Casos de Prueba'!B187&lt;&gt;0,'Casos de Prueba'!B187&amp;"-"&amp;'Casos de Prueba'!C187,"")</f>
        <v/>
      </c>
      <c r="E187" s="92">
        <f>IF(LEN($C187)&gt;0,"",'Casos de Prueba'!D187)</f>
        <v>6</v>
      </c>
      <c r="F187" s="92" t="str">
        <f>IF(LEN($C187)&gt;0,"",'Casos de Prueba'!E187)</f>
        <v>Da clic en el botón Buscar CFDI 
Aplica (RN08).</v>
      </c>
      <c r="G187" s="92" t="str">
        <f>IF(LEN($C187)&gt;0,"",'Casos de Prueba'!F187&amp;CHAR(10)&amp;'Casos de Prueba'!G187)</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188" spans="4:7" x14ac:dyDescent="0.35">
      <c r="D188" s="92" t="str">
        <f>IF('Casos de Prueba'!B188&lt;&gt;0,'Casos de Prueba'!B188&amp;"-"&amp;'Casos de Prueba'!C188,"")</f>
        <v/>
      </c>
      <c r="E188" s="92">
        <f>IF(LEN($C188)&gt;0,"",'Casos de Prueba'!D188)</f>
        <v>7</v>
      </c>
      <c r="F188" s="92" t="str">
        <f>IF(LEN($C188)&gt;0,"",'Casos de Prueba'!E188)</f>
        <v xml:space="preserve">1.- Seleccionar un registro y dar clic en la imagen 
Integrar Addenda </v>
      </c>
      <c r="G188" s="92" t="str">
        <f>IF(LEN($C188)&gt;0,"",'Casos de Prueba'!F188&amp;CHAR(10)&amp;'Casos de Prueba'!G188)</f>
        <v>El sistema muestra una pantalla modal para anexar una archivo .xml.
El sistema permite anexar un archivo XML en una pantalla modal, para adicionar información de proveedores o consumidores, como el número de orden de compra, la entrega de bienes, la fijación de precios etc. La addenda permite agregar información sin necesidad de modificar los comprobantes fiscales. (RN21)</v>
      </c>
    </row>
    <row r="189" spans="4:7" x14ac:dyDescent="0.35">
      <c r="D189" s="92" t="str">
        <f>IF('Casos de Prueba'!B189&lt;&gt;0,'Casos de Prueba'!B189&amp;"-"&amp;'Casos de Prueba'!C189,"")</f>
        <v/>
      </c>
      <c r="E189" s="92">
        <f>IF(LEN($C189)&gt;0,"",'Casos de Prueba'!D189)</f>
        <v>8</v>
      </c>
      <c r="F189" s="92" t="str">
        <f>IF(LEN($C189)&gt;0,"",'Casos de Prueba'!E189)</f>
        <v>En la pantalla modal una vez seleccionado el archivo se da clic en el botón Integrar</v>
      </c>
      <c r="G189" s="92" t="str">
        <f>IF(LEN($C189)&gt;0,"",'Casos de Prueba'!F189&amp;CHAR(10)&amp;'Casos de Prueba'!G189)</f>
        <v xml:space="preserve">El sistema integra el archivo .xml
</v>
      </c>
    </row>
    <row r="190" spans="4:7" x14ac:dyDescent="0.35">
      <c r="D190" s="92" t="str">
        <f>IF('Casos de Prueba'!B190&lt;&gt;0,'Casos de Prueba'!B190&amp;"-"&amp;'Casos de Prueba'!C190,"")</f>
        <v/>
      </c>
      <c r="E190" s="92">
        <f>IF(LEN($C190)&gt;0,"",'Casos de Prueba'!D190)</f>
        <v>9</v>
      </c>
      <c r="F190" s="92" t="str">
        <f>IF(LEN($C190)&gt;0,"",'Casos de Prueba'!E190)</f>
        <v>Da clic en Salir</v>
      </c>
      <c r="G190" s="92" t="str">
        <f>IF(LEN($C190)&gt;0,"",'Casos de Prueba'!F190&amp;CHAR(10)&amp;'Casos de Prueba'!G190)</f>
        <v xml:space="preserve">Cierra la sesión del RFC
</v>
      </c>
    </row>
    <row r="191" spans="4:7" x14ac:dyDescent="0.35">
      <c r="D191" s="92" t="str">
        <f>IF('Casos de Prueba'!B191&lt;&gt;0,'Casos de Prueba'!B191&amp;"-"&amp;'Casos de Prueba'!C191,"")</f>
        <v>CP23-Botón Descargar Seleccionados</v>
      </c>
      <c r="E191" s="92"/>
      <c r="F191" s="92"/>
      <c r="G191" s="92"/>
    </row>
    <row r="192" spans="4:7" x14ac:dyDescent="0.35">
      <c r="D192" s="92" t="str">
        <f>IF('Casos de Prueba'!B192&lt;&gt;0,'Casos de Prueba'!B192&amp;"-"&amp;'Casos de Prueba'!C192,"")</f>
        <v/>
      </c>
      <c r="E192" s="92">
        <f>IF(LEN($C192)&gt;0,"",'Casos de Prueba'!D192)</f>
        <v>1</v>
      </c>
      <c r="F192" s="92" t="str">
        <f>IF(LEN($C192)&gt;0,"",'Casos de Prueba'!E192)</f>
        <v>Seleccionar la opción Consulta CFDI</v>
      </c>
      <c r="G192" s="92" t="str">
        <f>IF(LEN($C192)&gt;0,"",'Casos de Prueba'!F192&amp;CHAR(10)&amp;'Casos de Prueba'!G192)</f>
        <v xml:space="preserve">El sistema muestra las opciones:
 - Factura Electrónica
 - Retenciones e Inf. de Pagos
El Usuario previamente se autenticó  y accedió al Portal Privado Contribuyente CFDI
</v>
      </c>
    </row>
    <row r="193" spans="4:7" x14ac:dyDescent="0.35">
      <c r="D193" s="92" t="str">
        <f>IF('Casos de Prueba'!B193&lt;&gt;0,'Casos de Prueba'!B193&amp;"-"&amp;'Casos de Prueba'!C193,"")</f>
        <v/>
      </c>
      <c r="E193" s="92">
        <f>IF(LEN($C193)&gt;0,"",'Casos de Prueba'!D193)</f>
        <v>2</v>
      </c>
      <c r="F193" s="92" t="str">
        <f>IF(LEN($C193)&gt;0,"",'Casos de Prueba'!E193)</f>
        <v>Selecciona la opción Factura Electrónica</v>
      </c>
      <c r="G193" s="92" t="str">
        <f>IF(LEN($C193)&gt;0,"",'Casos de Prueba'!F193&amp;CHAR(10)&amp;'Casos de Prueba'!G193)</f>
        <v xml:space="preserve">El sistema muestra las siguientes opciones:
-Consultar Facturas Emitidas
-Consulta Facturas Recibidas
-Recuperar Descargas de CFDI
-Consultar Solicitudes de Cancelación
</v>
      </c>
    </row>
    <row r="194" spans="4:7" x14ac:dyDescent="0.35">
      <c r="D194" s="92" t="str">
        <f>IF('Casos de Prueba'!B194&lt;&gt;0,'Casos de Prueba'!B194&amp;"-"&amp;'Casos de Prueba'!C194,"")</f>
        <v/>
      </c>
      <c r="E194" s="92">
        <f>IF(LEN($C194)&gt;0,"",'Casos de Prueba'!D194)</f>
        <v>3</v>
      </c>
      <c r="F194" s="92" t="str">
        <f>IF(LEN($C194)&gt;0,"",'Casos de Prueba'!E194)</f>
        <v>Da clic en "Consultar Facturas Emitidas"</v>
      </c>
      <c r="G194" s="92" t="str">
        <f>IF(LEN($C194)&gt;0,"",'Casos de Prueba'!F194&amp;CHAR(10)&amp;'Casos de Prueba'!G194)</f>
        <v xml:space="preserve">El sistema muestra las siguientes opciones de búsqueda:
- Folio Fiscal
- Periodo de Fechas
</v>
      </c>
    </row>
    <row r="195" spans="4:7" x14ac:dyDescent="0.35">
      <c r="D195" s="92" t="str">
        <f>IF('Casos de Prueba'!B195&lt;&gt;0,'Casos de Prueba'!B195&amp;"-"&amp;'Casos de Prueba'!C195,"")</f>
        <v/>
      </c>
      <c r="E195" s="92">
        <f>IF(LEN($C195)&gt;0,"",'Casos de Prueba'!D195)</f>
        <v>4</v>
      </c>
      <c r="F195" s="92" t="str">
        <f>IF(LEN($C195)&gt;0,"",'Casos de Prueba'!E195)</f>
        <v>Selecciona la opción de Periodo de Fechas</v>
      </c>
      <c r="G195" s="92" t="str">
        <f>IF(LEN($C195)&gt;0,"",'Casos de Prueba'!F195&amp;CHAR(10)&amp;'Casos de Prueba'!G195)</f>
        <v>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"Estado de comprobante" es "cancelado". Los valores que muestra el estatus de cancelación son: cancelado con aceptación, cancelado sin aceptación, plazo vencido. 
•	Botón “Buscar CFDI” Al dar clic en el botón el aplicativo muestra los resultados conforme a los criterios de búsqueda seleccionados previamente (RN06, RN07, RN08, RN09, RN10, RN11).
Aplica (RN08 – Inciso b, d)</v>
      </c>
    </row>
    <row r="196" spans="4:7" x14ac:dyDescent="0.35">
      <c r="D196" s="92" t="str">
        <f>IF('Casos de Prueba'!B196&lt;&gt;0,'Casos de Prueba'!B196&amp;"-"&amp;'Casos de Prueba'!C196,"")</f>
        <v/>
      </c>
      <c r="E196" s="92">
        <f>IF(LEN($C196)&gt;0,"",'Casos de Prueba'!D196)</f>
        <v>5</v>
      </c>
      <c r="F196" s="92" t="str">
        <f>IF(LEN($C196)&gt;0,"",'Casos de Prueba'!E196)</f>
        <v>Ingresa los datos:
Obligatorios
•	Fecha Inicial de Emisión (*)
•	Fecha Final de Emisión (*)
Opcionales
•	RFC Receptor.
•	RFC a cuenta terceros 
•	Estado del Comprobante 
•	Tipo de Comprobante (Complemento) 
•Estatus cancelación</v>
      </c>
      <c r="G196" s="92" t="str">
        <f>IF(LEN($C196)&gt;0,"",'Casos de Prueba'!F196&amp;CHAR(10)&amp;'Casos de Prueba'!G196)</f>
        <v xml:space="preserve">El sistema muestra los datos que se van ingresando 
</v>
      </c>
    </row>
    <row r="197" spans="4:7" x14ac:dyDescent="0.35">
      <c r="D197" s="92" t="str">
        <f>IF('Casos de Prueba'!B197&lt;&gt;0,'Casos de Prueba'!B197&amp;"-"&amp;'Casos de Prueba'!C197,"")</f>
        <v/>
      </c>
      <c r="E197" s="92">
        <f>IF(LEN($C197)&gt;0,"",'Casos de Prueba'!D197)</f>
        <v>6</v>
      </c>
      <c r="F197" s="92" t="str">
        <f>IF(LEN($C197)&gt;0,"",'Casos de Prueba'!E197)</f>
        <v>Da clic en el botón Buscar CFDI 
Aplica (RN08).</v>
      </c>
      <c r="G197" s="92" t="str">
        <f>IF(LEN($C197)&gt;0,"",'Casos de Prueba'!F197&amp;CHAR(10)&amp;'Casos de Prueba'!G197)</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198" spans="4:7" x14ac:dyDescent="0.35">
      <c r="D198" s="92" t="str">
        <f>IF('Casos de Prueba'!B198&lt;&gt;0,'Casos de Prueba'!B198&amp;"-"&amp;'Casos de Prueba'!C198,"")</f>
        <v/>
      </c>
      <c r="E198" s="92">
        <f>IF(LEN($C198)&gt;0,"",'Casos de Prueba'!D198)</f>
        <v>7</v>
      </c>
      <c r="F198" s="92" t="str">
        <f>IF(LEN($C198)&gt;0,"",'Casos de Prueba'!E198)</f>
        <v>Marcar los registros que se quieren obtener  y dar clic en el botón "Descargar Seleccionados"</v>
      </c>
      <c r="G198" s="92" t="str">
        <f>IF(LEN($C198)&gt;0,"",'Casos de Prueba'!F198&amp;CHAR(10)&amp;'Casos de Prueba'!G198)</f>
        <v>Al momento de seleccionar está opción el sistema:
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(RN16). 
2.-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Si no se realiza una selección y se da clic en el botón “Descargar seleccionados”, el sistema presenta en pantalla un mensaje de alerta “¿Atención! Favor de seleccionar registro(s)”.
Con esta opción el Contribuyente podrá descargar de manera masiva los XML de los CFDI que previamente seleccione del resultado de la búsqueda. 
El archivo ZIP correspondiente a la descarga masiva, debe contener los archivos XML seleccionados (RN17, RN18).</v>
      </c>
    </row>
    <row r="199" spans="4:7" x14ac:dyDescent="0.35">
      <c r="D199" s="92" t="str">
        <f>IF('Casos de Prueba'!B199&lt;&gt;0,'Casos de Prueba'!B199&amp;"-"&amp;'Casos de Prueba'!C199,"")</f>
        <v/>
      </c>
      <c r="E199" s="92">
        <f>IF(LEN($C199)&gt;0,"",'Casos de Prueba'!D199)</f>
        <v>8</v>
      </c>
      <c r="F199" s="92" t="str">
        <f>IF(LEN($C199)&gt;0,"",'Casos de Prueba'!E199)</f>
        <v>Para validar si ya se procesó la petición y descargar los archivos, dar clic en el botón “Recuperar Descarga CFDI”. Y seleccionar el icono de descarga del registro que se desea descargar.</v>
      </c>
      <c r="G199" s="92" t="str">
        <f>IF(LEN($C199)&gt;0,"",'Casos de Prueba'!F199&amp;CHAR(10)&amp;'Casos de Prueba'!G199)</f>
        <v>Se descarga un archivo zip donde vienen los archivos en formato XML que se hayan seleccionado
El sistema debe nombrar los archivos descargados de cada CFDI igual que el número de folio fiscal.</v>
      </c>
    </row>
    <row r="200" spans="4:7" x14ac:dyDescent="0.35">
      <c r="D200" s="92" t="str">
        <f>IF('Casos de Prueba'!B200&lt;&gt;0,'Casos de Prueba'!B200&amp;"-"&amp;'Casos de Prueba'!C200,"")</f>
        <v/>
      </c>
      <c r="E200" s="92">
        <f>IF(LEN($C200)&gt;0,"",'Casos de Prueba'!D200)</f>
        <v>9</v>
      </c>
      <c r="F200" s="92" t="str">
        <f>IF(LEN($C200)&gt;0,"",'Casos de Prueba'!E200)</f>
        <v>Da clic en Salir</v>
      </c>
      <c r="G200" s="92" t="str">
        <f>IF(LEN($C200)&gt;0,"",'Casos de Prueba'!F200&amp;CHAR(10)&amp;'Casos de Prueba'!G200)</f>
        <v xml:space="preserve">Cierra la sesión del RFC
</v>
      </c>
    </row>
    <row r="201" spans="4:7" x14ac:dyDescent="0.35">
      <c r="D201" s="92" t="str">
        <f>IF('Casos de Prueba'!B201&lt;&gt;0,'Casos de Prueba'!B201&amp;"-"&amp;'Casos de Prueba'!C201,"")</f>
        <v>CP24-Botón Descargar Seleccionados</v>
      </c>
      <c r="E201" s="92"/>
      <c r="F201" s="92"/>
      <c r="G201" s="92"/>
    </row>
    <row r="202" spans="4:7" x14ac:dyDescent="0.35">
      <c r="D202" s="92" t="str">
        <f>IF('Casos de Prueba'!B202&lt;&gt;0,'Casos de Prueba'!B202&amp;"-"&amp;'Casos de Prueba'!C202,"")</f>
        <v/>
      </c>
      <c r="E202" s="92">
        <f>IF(LEN($C202)&gt;0,"",'Casos de Prueba'!D202)</f>
        <v>1</v>
      </c>
      <c r="F202" s="92" t="str">
        <f>IF(LEN($C202)&gt;0,"",'Casos de Prueba'!E202)</f>
        <v>Seleccionar la opción Consulta CFDI</v>
      </c>
      <c r="G202" s="92" t="str">
        <f>IF(LEN($C202)&gt;0,"",'Casos de Prueba'!F202&amp;CHAR(10)&amp;'Casos de Prueba'!G202)</f>
        <v xml:space="preserve">El sistema muestra las opciones:
 - Factura Electrónica
 - Retenciones e Inf. de Pagos
El Usuario previamente se autenticó  y accedió al Portal Privado Contribuyente CFDI
</v>
      </c>
    </row>
    <row r="203" spans="4:7" x14ac:dyDescent="0.35">
      <c r="D203" s="92" t="str">
        <f>IF('Casos de Prueba'!B203&lt;&gt;0,'Casos de Prueba'!B203&amp;"-"&amp;'Casos de Prueba'!C203,"")</f>
        <v/>
      </c>
      <c r="E203" s="92">
        <f>IF(LEN($C203)&gt;0,"",'Casos de Prueba'!D203)</f>
        <v>2</v>
      </c>
      <c r="F203" s="92" t="str">
        <f>IF(LEN($C203)&gt;0,"",'Casos de Prueba'!E203)</f>
        <v>Selecciona la opción Factura Electrónica</v>
      </c>
      <c r="G203" s="92" t="str">
        <f>IF(LEN($C203)&gt;0,"",'Casos de Prueba'!F203&amp;CHAR(10)&amp;'Casos de Prueba'!G203)</f>
        <v xml:space="preserve">El sistema muestra las siguientes opciones:
-Consultar Facturas Emitidas
-Consulta Facturas Recibidas
-Recuperar Descargas de CFDI
-Consultar Solicitudes de Cancelación
</v>
      </c>
    </row>
    <row r="204" spans="4:7" x14ac:dyDescent="0.35">
      <c r="D204" s="92" t="str">
        <f>IF('Casos de Prueba'!B204&lt;&gt;0,'Casos de Prueba'!B204&amp;"-"&amp;'Casos de Prueba'!C204,"")</f>
        <v/>
      </c>
      <c r="E204" s="92">
        <f>IF(LEN($C204)&gt;0,"",'Casos de Prueba'!D204)</f>
        <v>3</v>
      </c>
      <c r="F204" s="92" t="str">
        <f>IF(LEN($C204)&gt;0,"",'Casos de Prueba'!E204)</f>
        <v>Da clic en "Consultar Facturas Emitidas"</v>
      </c>
      <c r="G204" s="92" t="str">
        <f>IF(LEN($C204)&gt;0,"",'Casos de Prueba'!F204&amp;CHAR(10)&amp;'Casos de Prueba'!G204)</f>
        <v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
</v>
      </c>
    </row>
    <row r="205" spans="4:7" x14ac:dyDescent="0.35">
      <c r="D205" s="92" t="str">
        <f>IF('Casos de Prueba'!B205&lt;&gt;0,'Casos de Prueba'!B205&amp;"-"&amp;'Casos de Prueba'!C205,"")</f>
        <v/>
      </c>
      <c r="E205" s="92">
        <f>IF(LEN($C205)&gt;0,"",'Casos de Prueba'!D205)</f>
        <v>4</v>
      </c>
      <c r="F205" s="92" t="str">
        <f>IF(LEN($C205)&gt;0,"",'Casos de Prueba'!E205)</f>
        <v>Selecciona la opción Folio Fiscal</v>
      </c>
      <c r="G205" s="92" t="str">
        <f>IF(LEN($C205)&gt;0,"",'Casos de Prueba'!F205&amp;CHAR(10)&amp;'Casos de Prueba'!G205)</f>
        <v xml:space="preserve">El sistema habilita el campo de FOLIO FISCAL
Aplica las Reglas de Negocio: (RN02) 
</v>
      </c>
    </row>
    <row r="206" spans="4:7" x14ac:dyDescent="0.35">
      <c r="D206" s="92" t="str">
        <f>IF('Casos de Prueba'!B206&lt;&gt;0,'Casos de Prueba'!B206&amp;"-"&amp;'Casos de Prueba'!C206,"")</f>
        <v/>
      </c>
      <c r="E206" s="92">
        <f>IF(LEN($C206)&gt;0,"",'Casos de Prueba'!D206)</f>
        <v>5</v>
      </c>
      <c r="F206" s="92" t="str">
        <f>IF(LEN($C206)&gt;0,"",'Casos de Prueba'!E206)</f>
        <v>Ingresa los datos del número de Folio Fiscal a buscar</v>
      </c>
      <c r="G206" s="92" t="str">
        <f>IF(LEN($C206)&gt;0,"",'Casos de Prueba'!F206&amp;CHAR(10)&amp;'Casos de Prueba'!G206)</f>
        <v xml:space="preserve">El sistema muestra los datos que se van ingresando
</v>
      </c>
    </row>
    <row r="207" spans="4:7" x14ac:dyDescent="0.35">
      <c r="D207" s="92" t="str">
        <f>IF('Casos de Prueba'!B207&lt;&gt;0,'Casos de Prueba'!B207&amp;"-"&amp;'Casos de Prueba'!C207,"")</f>
        <v/>
      </c>
      <c r="E207" s="92">
        <f>IF(LEN($C207)&gt;0,"",'Casos de Prueba'!D207)</f>
        <v>6</v>
      </c>
      <c r="F207" s="92" t="str">
        <f>IF(LEN($C207)&gt;0,"",'Casos de Prueba'!E207)</f>
        <v xml:space="preserve">Da clic en el botón Buscar CFDI
</v>
      </c>
      <c r="G207" s="92" t="str">
        <f>IF(LEN($C207)&gt;0,"",'Casos de Prueba'!F207&amp;CHAR(10)&amp;'Casos de Prueba'!G207)</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208" spans="4:7" x14ac:dyDescent="0.35">
      <c r="D208" s="92" t="str">
        <f>IF('Casos de Prueba'!B208&lt;&gt;0,'Casos de Prueba'!B208&amp;"-"&amp;'Casos de Prueba'!C208,"")</f>
        <v/>
      </c>
      <c r="E208" s="92">
        <f>IF(LEN($C208)&gt;0,"",'Casos de Prueba'!D208)</f>
        <v>7</v>
      </c>
      <c r="F208" s="92" t="str">
        <f>IF(LEN($C208)&gt;0,"",'Casos de Prueba'!E208)</f>
        <v>Selecciona el registro  y da clic en el botón "Descargar Seleccionados"</v>
      </c>
      <c r="G208" s="92" t="str">
        <f>IF(LEN($C208)&gt;0,"",'Casos de Prueba'!F208&amp;CHAR(10)&amp;'Casos de Prueba'!G208)</f>
        <v>Al momento de seleccionar está opción el sistema:
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(RN16). 
2.-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Si no se realiza una selección y se da clic en el botón “Descargar seleccionados”, el sistema presenta en pantalla un mensaje de alerta “¿Atención! Favor de seleccionar registro(s)”.
Con esta opción el Contribuyente podrá descargar de manera masiva los XML de los CFDI que previamente seleccione del resultado de la búsqueda. 
El archivo ZIP correspondiente a la descarga masiva, debe contener los archivos XML seleccionados (RN17, RN18).</v>
      </c>
    </row>
    <row r="209" spans="4:7" x14ac:dyDescent="0.35">
      <c r="D209" s="92" t="str">
        <f>IF('Casos de Prueba'!B209&lt;&gt;0,'Casos de Prueba'!B209&amp;"-"&amp;'Casos de Prueba'!C209,"")</f>
        <v/>
      </c>
      <c r="E209" s="92">
        <f>IF(LEN($C209)&gt;0,"",'Casos de Prueba'!D209)</f>
        <v>8</v>
      </c>
      <c r="F209" s="92" t="str">
        <f>IF(LEN($C209)&gt;0,"",'Casos de Prueba'!E209)</f>
        <v>Para validar si ya se procesó la petición y descargar los archivos, dar clic en el botón “Recuperar Descarga CFDI”. Y seleccionar el icono de descarga del registro que se desea descargar.</v>
      </c>
      <c r="G209" s="92" t="str">
        <f>IF(LEN($C209)&gt;0,"",'Casos de Prueba'!F209&amp;CHAR(10)&amp;'Casos de Prueba'!G209)</f>
        <v>Se descarga un archivo zip donde vienen los archivos en formato XML que se hayan seleccionado
El sistema debe nombrar los archivos descargados de cada CFDI igual que el número de folio fiscal.</v>
      </c>
    </row>
    <row r="210" spans="4:7" x14ac:dyDescent="0.35">
      <c r="D210" s="92" t="str">
        <f>IF('Casos de Prueba'!B210&lt;&gt;0,'Casos de Prueba'!B210&amp;"-"&amp;'Casos de Prueba'!C210,"")</f>
        <v/>
      </c>
      <c r="E210" s="92">
        <f>IF(LEN($C210)&gt;0,"",'Casos de Prueba'!D210)</f>
        <v>9</v>
      </c>
      <c r="F210" s="92" t="str">
        <f>IF(LEN($C210)&gt;0,"",'Casos de Prueba'!E210)</f>
        <v>Da clic en Salir</v>
      </c>
      <c r="G210" s="92" t="str">
        <f>IF(LEN($C210)&gt;0,"",'Casos de Prueba'!F210&amp;CHAR(10)&amp;'Casos de Prueba'!G210)</f>
        <v xml:space="preserve">Cierra la sesión del RFC
</v>
      </c>
    </row>
    <row r="211" spans="4:7" x14ac:dyDescent="0.35">
      <c r="D211" s="92" t="str">
        <f>IF('Casos de Prueba'!B211&lt;&gt;0,'Casos de Prueba'!B211&amp;"-"&amp;'Casos de Prueba'!C211,"")</f>
        <v>CP25-Botón Seleccionados RI</v>
      </c>
      <c r="E211" s="92"/>
      <c r="F211" s="92"/>
      <c r="G211" s="92"/>
    </row>
    <row r="212" spans="4:7" x14ac:dyDescent="0.35">
      <c r="D212" s="92" t="str">
        <f>IF('Casos de Prueba'!B212&lt;&gt;0,'Casos de Prueba'!B212&amp;"-"&amp;'Casos de Prueba'!C212,"")</f>
        <v/>
      </c>
      <c r="E212" s="92">
        <f>IF(LEN($C212)&gt;0,"",'Casos de Prueba'!D212)</f>
        <v>1</v>
      </c>
      <c r="F212" s="92" t="str">
        <f>IF(LEN($C212)&gt;0,"",'Casos de Prueba'!E212)</f>
        <v>Seleccionar la opción Consulta CFDI</v>
      </c>
      <c r="G212" s="92" t="str">
        <f>IF(LEN($C212)&gt;0,"",'Casos de Prueba'!F212&amp;CHAR(10)&amp;'Casos de Prueba'!G212)</f>
        <v xml:space="preserve">El sistema muestra las opciones:
 - Factura Electrónica
 - Retenciones e Inf. de Pagos
</v>
      </c>
    </row>
    <row r="213" spans="4:7" x14ac:dyDescent="0.35">
      <c r="D213" s="92" t="str">
        <f>IF('Casos de Prueba'!B213&lt;&gt;0,'Casos de Prueba'!B213&amp;"-"&amp;'Casos de Prueba'!C213,"")</f>
        <v/>
      </c>
      <c r="E213" s="92">
        <f>IF(LEN($C213)&gt;0,"",'Casos de Prueba'!D213)</f>
        <v>2</v>
      </c>
      <c r="F213" s="92" t="str">
        <f>IF(LEN($C213)&gt;0,"",'Casos de Prueba'!E213)</f>
        <v>Selecciona la opción Factura Electrónica</v>
      </c>
      <c r="G213" s="92" t="str">
        <f>IF(LEN($C213)&gt;0,"",'Casos de Prueba'!F213&amp;CHAR(10)&amp;'Casos de Prueba'!G213)</f>
        <v xml:space="preserve">El sistema muestra las siguientes opciones:
-Consultar Facturas Emitidas
-Consulta Facturas Recibidas
-Recuperar Descargas de CFDI
-Consultar Solicitudes de Cancelación
El Usuario previamente se autenticó  y accedió al Portal Privado Contribuyente CFDI
</v>
      </c>
    </row>
    <row r="214" spans="4:7" x14ac:dyDescent="0.35">
      <c r="D214" s="92" t="str">
        <f>IF('Casos de Prueba'!B214&lt;&gt;0,'Casos de Prueba'!B214&amp;"-"&amp;'Casos de Prueba'!C214,"")</f>
        <v/>
      </c>
      <c r="E214" s="92">
        <f>IF(LEN($C214)&gt;0,"",'Casos de Prueba'!D214)</f>
        <v>3</v>
      </c>
      <c r="F214" s="92" t="str">
        <f>IF(LEN($C214)&gt;0,"",'Casos de Prueba'!E214)</f>
        <v>Da clic en "Consultar Facturas Emitidas"</v>
      </c>
      <c r="G214" s="92" t="str">
        <f>IF(LEN($C214)&gt;0,"",'Casos de Prueba'!F214&amp;CHAR(10)&amp;'Casos de Prueba'!G214)</f>
        <v xml:space="preserve">El sistema muestra las siguientes opciones de búsqueda:
- Folio Fiscal
- Periodo de Fechas
</v>
      </c>
    </row>
    <row r="215" spans="4:7" x14ac:dyDescent="0.35">
      <c r="D215" s="92" t="str">
        <f>IF('Casos de Prueba'!B215&lt;&gt;0,'Casos de Prueba'!B215&amp;"-"&amp;'Casos de Prueba'!C215,"")</f>
        <v/>
      </c>
      <c r="E215" s="92">
        <f>IF(LEN($C215)&gt;0,"",'Casos de Prueba'!D215)</f>
        <v>4</v>
      </c>
      <c r="F215" s="92" t="str">
        <f>IF(LEN($C215)&gt;0,"",'Casos de Prueba'!E215)</f>
        <v>Selecciona la opción de Periodo de Fechas</v>
      </c>
      <c r="G215" s="92" t="str">
        <f>IF(LEN($C215)&gt;0,"",'Casos de Prueba'!F215&amp;CHAR(10)&amp;'Casos de Prueba'!G215)</f>
        <v>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
Aplica (RN08 b y d)</v>
      </c>
    </row>
    <row r="216" spans="4:7" x14ac:dyDescent="0.35">
      <c r="D216" s="92" t="str">
        <f>IF('Casos de Prueba'!B216&lt;&gt;0,'Casos de Prueba'!B216&amp;"-"&amp;'Casos de Prueba'!C216,"")</f>
        <v/>
      </c>
      <c r="E216" s="92">
        <f>IF(LEN($C216)&gt;0,"",'Casos de Prueba'!D216)</f>
        <v>5</v>
      </c>
      <c r="F216" s="92" t="str">
        <f>IF(LEN($C216)&gt;0,"",'Casos de Prueba'!E216)</f>
        <v xml:space="preserve">Ingresa los datos:
Obligatorios
•	Fecha Inicial de Emisión (*)
•	Fecha Final de Emisión (*)
Opcionales
•	RFC Receptor.
•	RFC a cuenta terceros 
•	Estado del Comprobante 
•	Tipo de Comprobante (Complemento) 
•Estatus cancelación </v>
      </c>
      <c r="G216" s="92" t="str">
        <f>IF(LEN($C216)&gt;0,"",'Casos de Prueba'!F216&amp;CHAR(10)&amp;'Casos de Prueba'!G216)</f>
        <v xml:space="preserve">El sistema muestra los datos que se van ingresando 
</v>
      </c>
    </row>
    <row r="217" spans="4:7" x14ac:dyDescent="0.35">
      <c r="D217" s="92" t="str">
        <f>IF('Casos de Prueba'!B217&lt;&gt;0,'Casos de Prueba'!B217&amp;"-"&amp;'Casos de Prueba'!C217,"")</f>
        <v/>
      </c>
      <c r="E217" s="92">
        <f>IF(LEN($C217)&gt;0,"",'Casos de Prueba'!D217)</f>
        <v>6</v>
      </c>
      <c r="F217" s="92" t="str">
        <f>IF(LEN($C217)&gt;0,"",'Casos de Prueba'!E217)</f>
        <v>Da clic en el botón Buscar CFDI 
Aplica (RN08).</v>
      </c>
      <c r="G217" s="92" t="str">
        <f>IF(LEN($C217)&gt;0,"",'Casos de Prueba'!F217&amp;CHAR(10)&amp;'Casos de Prueba'!G217)</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218" spans="4:7" x14ac:dyDescent="0.35">
      <c r="D218" s="92" t="str">
        <f>IF('Casos de Prueba'!B218&lt;&gt;0,'Casos de Prueba'!B218&amp;"-"&amp;'Casos de Prueba'!C218,"")</f>
        <v/>
      </c>
      <c r="E218" s="92">
        <f>IF(LEN($C218)&gt;0,"",'Casos de Prueba'!D218)</f>
        <v>7</v>
      </c>
      <c r="F218" s="92" t="str">
        <f>IF(LEN($C218)&gt;0,"",'Casos de Prueba'!E218)</f>
        <v>Marcar los registros que se quieren obtener  y dar clic en el botón "Descargar Seleccionados RI"</v>
      </c>
      <c r="G218" s="92" t="str">
        <f>IF(LEN($C218)&gt;0,"",'Casos de Prueba'!F218&amp;CHAR(10)&amp;'Casos de Prueba'!G218)</f>
        <v>Al momento de seleccionar está opción el aplicativo debe generar una petición al servicio de descarga masiva, con un identificador denominado “Folio de descarga”, el cual podrá ser consultado desde la funcionalidad del botón “Recuperar descargas de CFDI” (RN14, RN16). .
El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Al momento de realizar la descarga masiva de archivos RI deben ser nombrados con el folio fiscal del CFDI que le corresponda.</v>
      </c>
    </row>
    <row r="219" spans="4:7" x14ac:dyDescent="0.35">
      <c r="D219" s="92" t="str">
        <f>IF('Casos de Prueba'!B219&lt;&gt;0,'Casos de Prueba'!B219&amp;"-"&amp;'Casos de Prueba'!C219,"")</f>
        <v/>
      </c>
      <c r="E219" s="92">
        <f>IF(LEN($C219)&gt;0,"",'Casos de Prueba'!D219)</f>
        <v>8</v>
      </c>
      <c r="F219" s="92" t="str">
        <f>IF(LEN($C219)&gt;0,"",'Casos de Prueba'!E219)</f>
        <v>Para validar si ya se procesó la petición y descargar los archivos, dar clic en el botón “Recuperar Descarga CFDI”. Y seleccionar el icono de descarga del registro que se desea descargar.</v>
      </c>
      <c r="G219" s="92" t="str">
        <f>IF(LEN($C219)&gt;0,"",'Casos de Prueba'!F219&amp;CHAR(10)&amp;'Casos de Prueba'!G219)</f>
        <v>Se descarga un archivo zip donde vienen los archivos en formato PDF que se hayan seleccionado
El sistema debe nombrar los archivos descargados de cada CFDI igual que el número de folio fiscal.</v>
      </c>
    </row>
    <row r="220" spans="4:7" x14ac:dyDescent="0.35">
      <c r="D220" s="92" t="str">
        <f>IF('Casos de Prueba'!B220&lt;&gt;0,'Casos de Prueba'!B220&amp;"-"&amp;'Casos de Prueba'!C220,"")</f>
        <v/>
      </c>
      <c r="E220" s="92">
        <f>IF(LEN($C220)&gt;0,"",'Casos de Prueba'!D220)</f>
        <v>9</v>
      </c>
      <c r="F220" s="92" t="str">
        <f>IF(LEN($C220)&gt;0,"",'Casos de Prueba'!E220)</f>
        <v>Da clic en Salir</v>
      </c>
      <c r="G220" s="92" t="str">
        <f>IF(LEN($C220)&gt;0,"",'Casos de Prueba'!F220&amp;CHAR(10)&amp;'Casos de Prueba'!G220)</f>
        <v xml:space="preserve">Cierra la sesión del RFC
</v>
      </c>
    </row>
    <row r="221" spans="4:7" x14ac:dyDescent="0.35">
      <c r="D221" s="92" t="str">
        <f>IF('Casos de Prueba'!B221&lt;&gt;0,'Casos de Prueba'!B221&amp;"-"&amp;'Casos de Prueba'!C221,"")</f>
        <v>CP26-Botón Descargar Metadata</v>
      </c>
      <c r="E221" s="92"/>
      <c r="F221" s="92"/>
      <c r="G221" s="92"/>
    </row>
    <row r="222" spans="4:7" x14ac:dyDescent="0.35">
      <c r="D222" s="92" t="str">
        <f>IF('Casos de Prueba'!B222&lt;&gt;0,'Casos de Prueba'!B222&amp;"-"&amp;'Casos de Prueba'!C222,"")</f>
        <v/>
      </c>
      <c r="E222" s="92">
        <f>IF(LEN($C222)&gt;0,"",'Casos de Prueba'!D222)</f>
        <v>1</v>
      </c>
      <c r="F222" s="92" t="str">
        <f>IF(LEN($C222)&gt;0,"",'Casos de Prueba'!E222)</f>
        <v>Seleccionar la opción Consulta CFDI</v>
      </c>
      <c r="G222" s="92" t="str">
        <f>IF(LEN($C222)&gt;0,"",'Casos de Prueba'!F222&amp;CHAR(10)&amp;'Casos de Prueba'!G222)</f>
        <v xml:space="preserve">El sistema muestra las opciones:
 - Factura Electrónica
 - Retenciones e Inf. de Pagos
</v>
      </c>
    </row>
    <row r="223" spans="4:7" x14ac:dyDescent="0.35">
      <c r="D223" s="92" t="str">
        <f>IF('Casos de Prueba'!B223&lt;&gt;0,'Casos de Prueba'!B223&amp;"-"&amp;'Casos de Prueba'!C223,"")</f>
        <v/>
      </c>
      <c r="E223" s="92">
        <f>IF(LEN($C223)&gt;0,"",'Casos de Prueba'!D223)</f>
        <v>2</v>
      </c>
      <c r="F223" s="92" t="str">
        <f>IF(LEN($C223)&gt;0,"",'Casos de Prueba'!E223)</f>
        <v>Selecciona la opción Factura Electrónica</v>
      </c>
      <c r="G223" s="92" t="str">
        <f>IF(LEN($C223)&gt;0,"",'Casos de Prueba'!F223&amp;CHAR(10)&amp;'Casos de Prueba'!G223)</f>
        <v xml:space="preserve">El sistema muestra las siguientes opciones:
-Consultar Facturas Emitidas
-Consulta Facturas Recibidas
-Recuperar Descargas de CFDI
-Consultar Solicitudes de Cancelación
El Usuario previamente se autenticó  y accedió al Portal Privado Contribuyente CFDI
</v>
      </c>
    </row>
    <row r="224" spans="4:7" x14ac:dyDescent="0.35">
      <c r="D224" s="92" t="str">
        <f>IF('Casos de Prueba'!B224&lt;&gt;0,'Casos de Prueba'!B224&amp;"-"&amp;'Casos de Prueba'!C224,"")</f>
        <v/>
      </c>
      <c r="E224" s="92">
        <f>IF(LEN($C224)&gt;0,"",'Casos de Prueba'!D224)</f>
        <v>3</v>
      </c>
      <c r="F224" s="92" t="str">
        <f>IF(LEN($C224)&gt;0,"",'Casos de Prueba'!E224)</f>
        <v>Da clic en "Consultar Facturas Emitidas"</v>
      </c>
      <c r="G224" s="92" t="str">
        <f>IF(LEN($C224)&gt;0,"",'Casos de Prueba'!F224&amp;CHAR(10)&amp;'Casos de Prueba'!G224)</f>
        <v xml:space="preserve">El sistema muestra las siguientes opciones de búsqueda:
- Folio Fiscal
- Periodo de Fechas
</v>
      </c>
    </row>
    <row r="225" spans="4:7" x14ac:dyDescent="0.35">
      <c r="D225" s="92" t="str">
        <f>IF('Casos de Prueba'!B225&lt;&gt;0,'Casos de Prueba'!B225&amp;"-"&amp;'Casos de Prueba'!C225,"")</f>
        <v/>
      </c>
      <c r="E225" s="92">
        <f>IF(LEN($C225)&gt;0,"",'Casos de Prueba'!D225)</f>
        <v>4</v>
      </c>
      <c r="F225" s="92" t="str">
        <f>IF(LEN($C225)&gt;0,"",'Casos de Prueba'!E225)</f>
        <v>Selecciona la opción de Periodo de Fechas</v>
      </c>
      <c r="G225" s="92" t="str">
        <f>IF(LEN($C225)&gt;0,"",'Casos de Prueba'!F225&amp;CHAR(10)&amp;'Casos de Prueba'!G225)</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
</v>
      </c>
    </row>
    <row r="226" spans="4:7" x14ac:dyDescent="0.35">
      <c r="D226" s="92" t="str">
        <f>IF('Casos de Prueba'!B226&lt;&gt;0,'Casos de Prueba'!B226&amp;"-"&amp;'Casos de Prueba'!C226,"")</f>
        <v/>
      </c>
      <c r="E226" s="92">
        <f>IF(LEN($C226)&gt;0,"",'Casos de Prueba'!D226)</f>
        <v>5</v>
      </c>
      <c r="F226" s="92" t="str">
        <f>IF(LEN($C226)&gt;0,"",'Casos de Prueba'!E226)</f>
        <v xml:space="preserve">Ingresa los datos:
Obligatorios
•	Fecha Inicial de Emisión (*)
•	Fecha Final de Emisión (*)
Opcionales
•	RFC Receptor.
•	RFC a cuenta terceros 
•	Estado del Comprobante 
•	Tipo de Comprobante (Complemento) 
•estatus cancelación  </v>
      </c>
      <c r="G226" s="92" t="str">
        <f>IF(LEN($C226)&gt;0,"",'Casos de Prueba'!F226&amp;CHAR(10)&amp;'Casos de Prueba'!G226)</f>
        <v xml:space="preserve">El sistema muestra los datos que se van ingresando 
</v>
      </c>
    </row>
    <row r="227" spans="4:7" x14ac:dyDescent="0.35">
      <c r="D227" s="92" t="str">
        <f>IF('Casos de Prueba'!B227&lt;&gt;0,'Casos de Prueba'!B227&amp;"-"&amp;'Casos de Prueba'!C227,"")</f>
        <v/>
      </c>
      <c r="E227" s="92">
        <f>IF(LEN($C227)&gt;0,"",'Casos de Prueba'!D227)</f>
        <v>6</v>
      </c>
      <c r="F227" s="92" t="str">
        <f>IF(LEN($C227)&gt;0,"",'Casos de Prueba'!E227)</f>
        <v>Da clic en el botón Buscar CFDI 
Aplica (RN08).</v>
      </c>
      <c r="G227" s="92" t="str">
        <f>IF(LEN($C227)&gt;0,"",'Casos de Prueba'!F227&amp;CHAR(10)&amp;'Casos de Prueba'!G227)</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228" spans="4:7" x14ac:dyDescent="0.35">
      <c r="D228" s="92" t="str">
        <f>IF('Casos de Prueba'!B228&lt;&gt;0,'Casos de Prueba'!B228&amp;"-"&amp;'Casos de Prueba'!C228,"")</f>
        <v/>
      </c>
      <c r="E228" s="92">
        <f>IF(LEN($C228)&gt;0,"",'Casos de Prueba'!D228)</f>
        <v>7</v>
      </c>
      <c r="F228" s="92" t="str">
        <f>IF(LEN($C228)&gt;0,"",'Casos de Prueba'!E228)</f>
        <v>Dar clic en el botón "Descargar Metadata"</v>
      </c>
      <c r="G228" s="92" t="str">
        <f>IF(LEN($C228)&gt;0,"",'Casos de Prueba'!F228&amp;CHAR(10)&amp;'Casos de Prueba'!G228)</f>
        <v>Al seleccionar este botón se debe generar una petición al servicio de descarga masiva de la metada de los CFDI que resultaron de la consulta, a través de un archivo de texto plano comprimido en formato ZIP, este paquete contará con un identificador denominado “Folio de descarga”, el cual podrá ser consultado desde la funcionalidad del botón “Recuperar descargas de CFDI” (RN17, RN18).
El sistema mostrará el “Folio de Descarga” con el siguiente mensaje:
¡Descarga realizada con éxito!
“La descarga de metadatos se encuentra en proceso y podrás obtener el resultado con el folio de descarga: XXXXXXX-XXXX-XXXX-XXXX-XXXXXXXXXXX, en la opción: Recuperar descargas de CFDI.
Importante: el tiempo máximo para atender la solicitud es de 48 horas a partir de este momento.
El archivo de texto plano debe de contener los datos de la metadata para los CFDI que corresponden al resultado de la consulta y que se visualizan en pantalla.
Se descarga un archivo txt donde se muestra el detalle de los 
comprobantes separados por el carácter “~”.
Uuid~RfcEmisor~NombreEmisor~RfcReceptor~NombreReceptor~RfcPac~FechaEmision~FechaCertificacionSat~Monto~EfectoComprobante~Estatus~FechaCancelacion</v>
      </c>
    </row>
    <row r="229" spans="4:7" x14ac:dyDescent="0.35">
      <c r="D229" s="92" t="str">
        <f>IF('Casos de Prueba'!B229&lt;&gt;0,'Casos de Prueba'!B229&amp;"-"&amp;'Casos de Prueba'!C229,"")</f>
        <v/>
      </c>
      <c r="E229" s="92">
        <f>IF(LEN($C229)&gt;0,"",'Casos de Prueba'!D229)</f>
        <v>8</v>
      </c>
      <c r="F229" s="92" t="str">
        <f>IF(LEN($C229)&gt;0,"",'Casos de Prueba'!E229)</f>
        <v>Para validar si ya se procesó la petición y descargar los archivos, dar clic en el botón “Recuperar Descarga CFDI”. Y seleccionar el icono de descarga del registro que se desea descargar.</v>
      </c>
      <c r="G229" s="92" t="str">
        <f>IF(LEN($C229)&gt;0,"",'Casos de Prueba'!F229&amp;CHAR(10)&amp;'Casos de Prueba'!G229)</f>
        <v xml:space="preserve">Se descarga un archivo zip. (RN17,RN18)
Se descarga un archivo txt donde se muestra el detalle de los comprobantes separados por el carácter “~”.
Uuid~RfcEmisor~NombreEmisor~RfcReceptor~NombreReceptor~RfcPac~FechaEmision~FechaCertificacionSat~Monto~EfectoComprobante~Estatus~FechaCancelacion
</v>
      </c>
    </row>
    <row r="230" spans="4:7" x14ac:dyDescent="0.35">
      <c r="D230" s="92" t="str">
        <f>IF('Casos de Prueba'!B230&lt;&gt;0,'Casos de Prueba'!B230&amp;"-"&amp;'Casos de Prueba'!C230,"")</f>
        <v/>
      </c>
      <c r="E230" s="92">
        <f>IF(LEN($C230)&gt;0,"",'Casos de Prueba'!D230)</f>
        <v>9</v>
      </c>
      <c r="F230" s="92" t="str">
        <f>IF(LEN($C230)&gt;0,"",'Casos de Prueba'!E230)</f>
        <v>Da clic en Salir</v>
      </c>
      <c r="G230" s="92" t="str">
        <f>IF(LEN($C230)&gt;0,"",'Casos de Prueba'!F230&amp;CHAR(10)&amp;'Casos de Prueba'!G230)</f>
        <v xml:space="preserve">Cierra la sesión del RFC
</v>
      </c>
    </row>
    <row r="231" spans="4:7" x14ac:dyDescent="0.35">
      <c r="D231" s="92" t="str">
        <f>IF('Casos de Prueba'!B231&lt;&gt;0,'Casos de Prueba'!B231&amp;"-"&amp;'Casos de Prueba'!C231,"")</f>
        <v>CP27-Botón Descargar Metadata</v>
      </c>
      <c r="E231" s="92"/>
      <c r="F231" s="92"/>
      <c r="G231" s="92"/>
    </row>
    <row r="232" spans="4:7" x14ac:dyDescent="0.35">
      <c r="D232" s="92" t="str">
        <f>IF('Casos de Prueba'!B232&lt;&gt;0,'Casos de Prueba'!B232&amp;"-"&amp;'Casos de Prueba'!C232,"")</f>
        <v/>
      </c>
      <c r="E232" s="92">
        <f>IF(LEN($C232)&gt;0,"",'Casos de Prueba'!D232)</f>
        <v>1</v>
      </c>
      <c r="F232" s="92" t="str">
        <f>IF(LEN($C232)&gt;0,"",'Casos de Prueba'!E232)</f>
        <v>Seleccionar la opción Consulta CFDI</v>
      </c>
      <c r="G232" s="92" t="str">
        <f>IF(LEN($C232)&gt;0,"",'Casos de Prueba'!F232&amp;CHAR(10)&amp;'Casos de Prueba'!G232)</f>
        <v xml:space="preserve">El sistema muestra las opciones:
 - Factura Electrónica
 - Retenciones e Inf. de Pagos
El Usuario previamente se autenticó  y accedió al Portal Privado Contribuyente CFDI
</v>
      </c>
    </row>
    <row r="233" spans="4:7" x14ac:dyDescent="0.35">
      <c r="D233" s="92" t="str">
        <f>IF('Casos de Prueba'!B233&lt;&gt;0,'Casos de Prueba'!B233&amp;"-"&amp;'Casos de Prueba'!C233,"")</f>
        <v/>
      </c>
      <c r="E233" s="92">
        <f>IF(LEN($C233)&gt;0,"",'Casos de Prueba'!D233)</f>
        <v>2</v>
      </c>
      <c r="F233" s="92" t="str">
        <f>IF(LEN($C233)&gt;0,"",'Casos de Prueba'!E233)</f>
        <v>Selecciona la opción Factura Electrónica</v>
      </c>
      <c r="G233" s="92" t="str">
        <f>IF(LEN($C233)&gt;0,"",'Casos de Prueba'!F233&amp;CHAR(10)&amp;'Casos de Prueba'!G233)</f>
        <v xml:space="preserve">El sistema muestra las siguientes opciones:
-Consultar Facturas Emitidas
-Consulta Facturas Recibidas
-Recuperar Descargas de CFDI
-Consultar Solicitudes de Cancelación
</v>
      </c>
    </row>
    <row r="234" spans="4:7" x14ac:dyDescent="0.35">
      <c r="D234" s="92" t="str">
        <f>IF('Casos de Prueba'!B234&lt;&gt;0,'Casos de Prueba'!B234&amp;"-"&amp;'Casos de Prueba'!C234,"")</f>
        <v/>
      </c>
      <c r="E234" s="92">
        <f>IF(LEN($C234)&gt;0,"",'Casos de Prueba'!D234)</f>
        <v>3</v>
      </c>
      <c r="F234" s="92" t="str">
        <f>IF(LEN($C234)&gt;0,"",'Casos de Prueba'!E234)</f>
        <v>Da clic en "Consultar Facturas Emitidas"</v>
      </c>
      <c r="G234" s="92" t="str">
        <f>IF(LEN($C234)&gt;0,"",'Casos de Prueba'!F234&amp;CHAR(10)&amp;'Casos de Prueba'!G234)</f>
        <v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
</v>
      </c>
    </row>
    <row r="235" spans="4:7" x14ac:dyDescent="0.35">
      <c r="D235" s="92" t="str">
        <f>IF('Casos de Prueba'!B235&lt;&gt;0,'Casos de Prueba'!B235&amp;"-"&amp;'Casos de Prueba'!C235,"")</f>
        <v/>
      </c>
      <c r="E235" s="92">
        <f>IF(LEN($C235)&gt;0,"",'Casos de Prueba'!D235)</f>
        <v>4</v>
      </c>
      <c r="F235" s="92" t="str">
        <f>IF(LEN($C235)&gt;0,"",'Casos de Prueba'!E235)</f>
        <v>Selecciona la opción Folio Fiscal</v>
      </c>
      <c r="G235" s="92" t="str">
        <f>IF(LEN($C235)&gt;0,"",'Casos de Prueba'!F235&amp;CHAR(10)&amp;'Casos de Prueba'!G235)</f>
        <v xml:space="preserve">El sistema habilita el campo de FOLIO FISCAL
Aplica las Reglas de Negocio: (RN02) 
</v>
      </c>
    </row>
    <row r="236" spans="4:7" x14ac:dyDescent="0.35">
      <c r="D236" s="92" t="str">
        <f>IF('Casos de Prueba'!B236&lt;&gt;0,'Casos de Prueba'!B236&amp;"-"&amp;'Casos de Prueba'!C236,"")</f>
        <v/>
      </c>
      <c r="E236" s="92">
        <f>IF(LEN($C236)&gt;0,"",'Casos de Prueba'!D236)</f>
        <v>5</v>
      </c>
      <c r="F236" s="92" t="str">
        <f>IF(LEN($C236)&gt;0,"",'Casos de Prueba'!E236)</f>
        <v>Ingresa los datos del número de Folio Fiscal a buscar</v>
      </c>
      <c r="G236" s="92" t="str">
        <f>IF(LEN($C236)&gt;0,"",'Casos de Prueba'!F236&amp;CHAR(10)&amp;'Casos de Prueba'!G236)</f>
        <v xml:space="preserve">El sistema muestra los datos que se van ingresando
</v>
      </c>
    </row>
    <row r="237" spans="4:7" x14ac:dyDescent="0.35">
      <c r="D237" s="92" t="str">
        <f>IF('Casos de Prueba'!B237&lt;&gt;0,'Casos de Prueba'!B237&amp;"-"&amp;'Casos de Prueba'!C237,"")</f>
        <v/>
      </c>
      <c r="E237" s="92">
        <f>IF(LEN($C237)&gt;0,"",'Casos de Prueba'!D237)</f>
        <v>6</v>
      </c>
      <c r="F237" s="92" t="str">
        <f>IF(LEN($C237)&gt;0,"",'Casos de Prueba'!E237)</f>
        <v xml:space="preserve">Da clic en el botón Buscar CFDI
</v>
      </c>
      <c r="G237" s="92" t="str">
        <f>IF(LEN($C237)&gt;0,"",'Casos de Prueba'!F237&amp;CHAR(10)&amp;'Casos de Prueba'!G237)</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238" spans="4:7" x14ac:dyDescent="0.35">
      <c r="D238" s="92" t="str">
        <f>IF('Casos de Prueba'!B238&lt;&gt;0,'Casos de Prueba'!B238&amp;"-"&amp;'Casos de Prueba'!C238,"")</f>
        <v/>
      </c>
      <c r="E238" s="92">
        <f>IF(LEN($C238)&gt;0,"",'Casos de Prueba'!D238)</f>
        <v>7</v>
      </c>
      <c r="F238" s="92" t="str">
        <f>IF(LEN($C238)&gt;0,"",'Casos de Prueba'!E238)</f>
        <v>Dar clic en el botón "Descargar Metadata"</v>
      </c>
      <c r="G238" s="92" t="str">
        <f>IF(LEN($C238)&gt;0,"",'Casos de Prueba'!F238&amp;CHAR(10)&amp;'Casos de Prueba'!G238)</f>
        <v>Al seleccionar este botón se debe generar una petición al servicio de descarga masiva de la metada de los CFDI que resultaron de la consulta, a través de un archivo de texto plano comprimido en formato ZIP, este paquete contará con un identificador denominado “Folio de descarga”, el cual podrá ser consultado desde la funcionalidad del botón “Recuperar descargas de CFDI” (RN17, RN18).
El sistema mostrará el “Folio de Descarga” con el siguiente mensaje:
¡Descarga realizada con éxito!
“La descarga de metadatos se encuentra en proceso y podrás obtener el resultado con el folio de descarga: XXXXXXX-XXXX-XXXX-XXXX-XXXXXXXXXXX, en la opción: Recuperar descargas de CFDI.
Importante: el tiempo máximo para atender la solicitud es de 48 horas a partir de este momento.
El archivo de texto plano debe de contener los datos de la metadata para los CFDI que corresponden al resultado de la consulta y que se visualizan en pantalla.
Se descarga un archivo txt donde se muestra el detalle de los 
comprobantes separados por el carácter “~”.
Uuid~RfcEmisor~NombreEmisor~RfcReceptor~NombreReceptor~RfcPac~FechaEmision~FechaCertificacionSat~Monto~EfectoComprobante~Estatus~FechaCancelacion</v>
      </c>
    </row>
    <row r="239" spans="4:7" x14ac:dyDescent="0.35">
      <c r="D239" s="92" t="str">
        <f>IF('Casos de Prueba'!B239&lt;&gt;0,'Casos de Prueba'!B239&amp;"-"&amp;'Casos de Prueba'!C239,"")</f>
        <v/>
      </c>
      <c r="E239" s="92">
        <f>IF(LEN($C239)&gt;0,"",'Casos de Prueba'!D239)</f>
        <v>8</v>
      </c>
      <c r="F239" s="92" t="str">
        <f>IF(LEN($C239)&gt;0,"",'Casos de Prueba'!E239)</f>
        <v>Para validar si ya se procesó la petición y descargar los archivos, dar clic en el botón “Recuperar Descarga CFDI”. Y seleccionar el icono de descarga del registro que se desea descargar.</v>
      </c>
      <c r="G239" s="92" t="str">
        <f>IF(LEN($C239)&gt;0,"",'Casos de Prueba'!F239&amp;CHAR(10)&amp;'Casos de Prueba'!G239)</f>
        <v xml:space="preserve">Se descarga un archivo zip. (RN17,RN18)
Se descarga un archivo txt donde se muestra el detalle de los comprobantes separados por el carácter “~”.
Uuid~RfcEmisor~NombreEmisor~RfcReceptor~NombreReceptor~RfcPac~FechaEmision~FechaCertificacionSat~Monto~EfectoComprobante~Estatus~FechaCancelacion
</v>
      </c>
    </row>
    <row r="240" spans="4:7" x14ac:dyDescent="0.35">
      <c r="D240" s="92" t="str">
        <f>IF('Casos de Prueba'!B240&lt;&gt;0,'Casos de Prueba'!B240&amp;"-"&amp;'Casos de Prueba'!C240,"")</f>
        <v/>
      </c>
      <c r="E240" s="92">
        <f>IF(LEN($C240)&gt;0,"",'Casos de Prueba'!D240)</f>
        <v>9</v>
      </c>
      <c r="F240" s="92" t="str">
        <f>IF(LEN($C240)&gt;0,"",'Casos de Prueba'!E240)</f>
        <v>Da clic en Salir</v>
      </c>
      <c r="G240" s="92" t="str">
        <f>IF(LEN($C240)&gt;0,"",'Casos de Prueba'!F240&amp;CHAR(10)&amp;'Casos de Prueba'!G240)</f>
        <v xml:space="preserve">Cierra la sesión del RFC
</v>
      </c>
    </row>
    <row r="241" spans="4:7" x14ac:dyDescent="0.35">
      <c r="D241" s="92" t="str">
        <f>IF('Casos de Prueba'!B241&lt;&gt;0,'Casos de Prueba'!B241&amp;"-"&amp;'Casos de Prueba'!C241,"")</f>
        <v xml:space="preserve">CP28-Botón Exportar Resultados a PDF </v>
      </c>
      <c r="E241" s="92"/>
      <c r="F241" s="92"/>
      <c r="G241" s="92"/>
    </row>
    <row r="242" spans="4:7" x14ac:dyDescent="0.35">
      <c r="D242" s="92" t="str">
        <f>IF('Casos de Prueba'!B242&lt;&gt;0,'Casos de Prueba'!B242&amp;"-"&amp;'Casos de Prueba'!C242,"")</f>
        <v/>
      </c>
      <c r="E242" s="92">
        <f>IF(LEN($C242)&gt;0,"",'Casos de Prueba'!D242)</f>
        <v>1</v>
      </c>
      <c r="F242" s="92" t="str">
        <f>IF(LEN($C242)&gt;0,"",'Casos de Prueba'!E242)</f>
        <v>Seleccionar la opción Consulta CFDI</v>
      </c>
      <c r="G242" s="92" t="str">
        <f>IF(LEN($C242)&gt;0,"",'Casos de Prueba'!F242&amp;CHAR(10)&amp;'Casos de Prueba'!G242)</f>
        <v xml:space="preserve">El sistema muestra las opciones:
 - Factura Electrónica
 - Retenciones e Inf. de Pagos
El Usuario previamente se autenticó  y accedió al Portal Privado Contribuyente CFDI
</v>
      </c>
    </row>
    <row r="243" spans="4:7" x14ac:dyDescent="0.35">
      <c r="D243" s="92" t="str">
        <f>IF('Casos de Prueba'!B243&lt;&gt;0,'Casos de Prueba'!B243&amp;"-"&amp;'Casos de Prueba'!C243,"")</f>
        <v/>
      </c>
      <c r="E243" s="92">
        <f>IF(LEN($C243)&gt;0,"",'Casos de Prueba'!D243)</f>
        <v>2</v>
      </c>
      <c r="F243" s="92" t="str">
        <f>IF(LEN($C243)&gt;0,"",'Casos de Prueba'!E243)</f>
        <v>Selecciona la opción Factura Electrónica</v>
      </c>
      <c r="G243" s="92" t="str">
        <f>IF(LEN($C243)&gt;0,"",'Casos de Prueba'!F243&amp;CHAR(10)&amp;'Casos de Prueba'!G243)</f>
        <v xml:space="preserve">El sistema muestra las siguientes opciones:
-Consultar Facturas Emitidas
-Consulta Facturas Recibidas
-Recuperar Descargas de CFDI
-Consultar Solicitudes de Cancelación
</v>
      </c>
    </row>
    <row r="244" spans="4:7" x14ac:dyDescent="0.35">
      <c r="D244" s="92" t="str">
        <f>IF('Casos de Prueba'!B244&lt;&gt;0,'Casos de Prueba'!B244&amp;"-"&amp;'Casos de Prueba'!C244,"")</f>
        <v/>
      </c>
      <c r="E244" s="92">
        <f>IF(LEN($C244)&gt;0,"",'Casos de Prueba'!D244)</f>
        <v>3</v>
      </c>
      <c r="F244" s="92" t="str">
        <f>IF(LEN($C244)&gt;0,"",'Casos de Prueba'!E244)</f>
        <v>Da clic en "Consultar Facturas Emitidas"</v>
      </c>
      <c r="G244" s="92" t="str">
        <f>IF(LEN($C244)&gt;0,"",'Casos de Prueba'!F244&amp;CHAR(10)&amp;'Casos de Prueba'!G244)</f>
        <v xml:space="preserve">El sistema muestra las siguientes opciones de búsqueda:
- Folio Fiscal
- Periodo de Fechas
</v>
      </c>
    </row>
    <row r="245" spans="4:7" x14ac:dyDescent="0.35">
      <c r="D245" s="92" t="str">
        <f>IF('Casos de Prueba'!B245&lt;&gt;0,'Casos de Prueba'!B245&amp;"-"&amp;'Casos de Prueba'!C245,"")</f>
        <v/>
      </c>
      <c r="E245" s="92">
        <f>IF(LEN($C245)&gt;0,"",'Casos de Prueba'!D245)</f>
        <v>4</v>
      </c>
      <c r="F245" s="92" t="str">
        <f>IF(LEN($C245)&gt;0,"",'Casos de Prueba'!E245)</f>
        <v>Selecciona la opción de Periodo de Fechas</v>
      </c>
      <c r="G245" s="92" t="str">
        <f>IF(LEN($C245)&gt;0,"",'Casos de Prueba'!F245&amp;CHAR(10)&amp;'Casos de Prueba'!G245)</f>
        <v xml:space="preserve">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
</v>
      </c>
    </row>
    <row r="246" spans="4:7" x14ac:dyDescent="0.35">
      <c r="D246" s="92" t="str">
        <f>IF('Casos de Prueba'!B246&lt;&gt;0,'Casos de Prueba'!B246&amp;"-"&amp;'Casos de Prueba'!C246,"")</f>
        <v/>
      </c>
      <c r="E246" s="92">
        <f>IF(LEN($C246)&gt;0,"",'Casos de Prueba'!D246)</f>
        <v>5</v>
      </c>
      <c r="F246" s="92" t="str">
        <f>IF(LEN($C246)&gt;0,"",'Casos de Prueba'!E246)</f>
        <v xml:space="preserve">Ingresa los datos:
Obligatorios
•	Fecha Inicial de Emisión (*)
•	Fecha Final de Emisión (*)
Opcionales
•	RFC Receptor.
•	RFC a cuenta terceros 
•	Estado del Comprobante 
•	Tipo de Comprobante (Complemento) 
•Estatus cancelación </v>
      </c>
      <c r="G246" s="92" t="str">
        <f>IF(LEN($C246)&gt;0,"",'Casos de Prueba'!F246&amp;CHAR(10)&amp;'Casos de Prueba'!G246)</f>
        <v xml:space="preserve">El sistema muestra los datos que se van ingresando 
</v>
      </c>
    </row>
    <row r="247" spans="4:7" x14ac:dyDescent="0.35">
      <c r="D247" s="92" t="str">
        <f>IF('Casos de Prueba'!B247&lt;&gt;0,'Casos de Prueba'!B247&amp;"-"&amp;'Casos de Prueba'!C247,"")</f>
        <v/>
      </c>
      <c r="E247" s="92">
        <f>IF(LEN($C247)&gt;0,"",'Casos de Prueba'!D247)</f>
        <v>6</v>
      </c>
      <c r="F247" s="92" t="str">
        <f>IF(LEN($C247)&gt;0,"",'Casos de Prueba'!E247)</f>
        <v>Da clic en el botón Buscar CFDI 
Aplica (RN08).</v>
      </c>
      <c r="G247" s="92" t="str">
        <f>IF(LEN($C247)&gt;0,"",'Casos de Prueba'!F247&amp;CHAR(10)&amp;'Casos de Prueba'!G247)</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248" spans="4:7" x14ac:dyDescent="0.35">
      <c r="D248" s="92" t="str">
        <f>IF('Casos de Prueba'!B248&lt;&gt;0,'Casos de Prueba'!B248&amp;"-"&amp;'Casos de Prueba'!C248,"")</f>
        <v/>
      </c>
      <c r="E248" s="92">
        <f>IF(LEN($C248)&gt;0,"",'Casos de Prueba'!D248)</f>
        <v>7</v>
      </c>
      <c r="F248" s="92" t="str">
        <f>IF(LEN($C248)&gt;0,"",'Casos de Prueba'!E248)</f>
        <v>Dar clic en el botón "Exportar Resultados a PDF "</v>
      </c>
      <c r="G248" s="92" t="str">
        <f>IF(LEN($C248)&gt;0,"",'Casos de Prueba'!F248&amp;CHAR(10)&amp;'Casos de Prueba'!G248)</f>
        <v>Al seleccionar este botón se debe abrir una ventana emergente que indique que el PDF se encuentra en proceso de descarga. 
El archivo PDF debe contener los CFDI que corresponden al resultado de la consulta y que se visualizan en pantalla
Los datos para visualizar por cada Folio Fiscal serán: 
Datos del CFDI: 
•	Folio Fiscal.
•	RFC Emisor.
•	Nombre o Razón Social.
•	RFC Receptor.
•	Nombre o Razón Social.
•	Total.
•	PAC que certificó.
•	Fecha Emisión.
•	Fecha Certificación.
•	Estado del Comprobante.
•	Efecto del Comprobante.
•	Motivo.
•	Folio de Sustitución.
El Reporte de Resultados a PDF
Deberá contar con las siguientes características: 
•	Logos del SAT y Hacienda vigentes, con el nombre de la institución: ‘Servicio de Administración Tributaria’ y el nombre del aplicativo ‘Consulta CFDI’ al centro de la página.
La información que se muestra en el archivo pdf, será toda la relativa a cada CFDI, en caso de que en alguna columna no se tenga información no se mostrará.</v>
      </c>
    </row>
    <row r="249" spans="4:7" x14ac:dyDescent="0.35">
      <c r="D249" s="92" t="str">
        <f>IF('Casos de Prueba'!B249&lt;&gt;0,'Casos de Prueba'!B249&amp;"-"&amp;'Casos de Prueba'!C249,"")</f>
        <v/>
      </c>
      <c r="E249" s="92">
        <f>IF(LEN($C249)&gt;0,"",'Casos de Prueba'!D249)</f>
        <v>8</v>
      </c>
      <c r="F249" s="92" t="str">
        <f>IF(LEN($C249)&gt;0,"",'Casos de Prueba'!E249)</f>
        <v>Da clic en Salir</v>
      </c>
      <c r="G249" s="92" t="str">
        <f>IF(LEN($C249)&gt;0,"",'Casos de Prueba'!F249&amp;CHAR(10)&amp;'Casos de Prueba'!G249)</f>
        <v xml:space="preserve">Cierra la sesión del RFC
</v>
      </c>
    </row>
    <row r="250" spans="4:7" x14ac:dyDescent="0.35">
      <c r="D250" s="92" t="str">
        <f>IF('Casos de Prueba'!B250&lt;&gt;0,'Casos de Prueba'!B250&amp;"-"&amp;'Casos de Prueba'!C250,"")</f>
        <v xml:space="preserve">CP29-Botón Exportar Resultados a PDF </v>
      </c>
      <c r="E250" s="92"/>
      <c r="F250" s="92"/>
      <c r="G250" s="92"/>
    </row>
    <row r="251" spans="4:7" x14ac:dyDescent="0.35">
      <c r="D251" s="92" t="str">
        <f>IF('Casos de Prueba'!B251&lt;&gt;0,'Casos de Prueba'!B251&amp;"-"&amp;'Casos de Prueba'!C251,"")</f>
        <v/>
      </c>
      <c r="E251" s="92">
        <f>IF(LEN($C251)&gt;0,"",'Casos de Prueba'!D251)</f>
        <v>1</v>
      </c>
      <c r="F251" s="92" t="str">
        <f>IF(LEN($C251)&gt;0,"",'Casos de Prueba'!E251)</f>
        <v>Seleccionar la opción Consulta CFDI</v>
      </c>
      <c r="G251" s="92" t="str">
        <f>IF(LEN($C251)&gt;0,"",'Casos de Prueba'!F251&amp;CHAR(10)&amp;'Casos de Prueba'!G251)</f>
        <v xml:space="preserve">El sistema muestra las opciones:
 - Factura Electrónica
 - Retenciones e Inf. de Pagos
El Usuario previamente se autenticó  y accedió al Portal Privado Contribuyente CFDI
</v>
      </c>
    </row>
    <row r="252" spans="4:7" x14ac:dyDescent="0.35">
      <c r="D252" s="92" t="str">
        <f>IF('Casos de Prueba'!B252&lt;&gt;0,'Casos de Prueba'!B252&amp;"-"&amp;'Casos de Prueba'!C252,"")</f>
        <v/>
      </c>
      <c r="E252" s="92">
        <f>IF(LEN($C252)&gt;0,"",'Casos de Prueba'!D252)</f>
        <v>2</v>
      </c>
      <c r="F252" s="92" t="str">
        <f>IF(LEN($C252)&gt;0,"",'Casos de Prueba'!E252)</f>
        <v>Selecciona la opción Factura Electrónica</v>
      </c>
      <c r="G252" s="92" t="str">
        <f>IF(LEN($C252)&gt;0,"",'Casos de Prueba'!F252&amp;CHAR(10)&amp;'Casos de Prueba'!G252)</f>
        <v xml:space="preserve">El sistema muestra las siguientes opciones:
-Consultar Facturas Emitidas
-Consulta Facturas Recibidas
-Recuperar Descargas de CFDI
-Consultar Solicitudes de Cancelación
</v>
      </c>
    </row>
    <row r="253" spans="4:7" x14ac:dyDescent="0.35">
      <c r="D253" s="92" t="str">
        <f>IF('Casos de Prueba'!B253&lt;&gt;0,'Casos de Prueba'!B253&amp;"-"&amp;'Casos de Prueba'!C253,"")</f>
        <v/>
      </c>
      <c r="E253" s="92">
        <f>IF(LEN($C253)&gt;0,"",'Casos de Prueba'!D253)</f>
        <v>3</v>
      </c>
      <c r="F253" s="92" t="str">
        <f>IF(LEN($C253)&gt;0,"",'Casos de Prueba'!E253)</f>
        <v>Da clic en "Consultar Facturas Emitidas"</v>
      </c>
      <c r="G253" s="92" t="str">
        <f>IF(LEN($C253)&gt;0,"",'Casos de Prueba'!F253&amp;CHAR(10)&amp;'Casos de Prueba'!G253)</f>
        <v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
</v>
      </c>
    </row>
    <row r="254" spans="4:7" x14ac:dyDescent="0.35">
      <c r="D254" s="92" t="str">
        <f>IF('Casos de Prueba'!B254&lt;&gt;0,'Casos de Prueba'!B254&amp;"-"&amp;'Casos de Prueba'!C254,"")</f>
        <v/>
      </c>
      <c r="E254" s="92">
        <f>IF(LEN($C254)&gt;0,"",'Casos de Prueba'!D254)</f>
        <v>4</v>
      </c>
      <c r="F254" s="92" t="str">
        <f>IF(LEN($C254)&gt;0,"",'Casos de Prueba'!E254)</f>
        <v>Selecciona la opción Folio Fiscal</v>
      </c>
      <c r="G254" s="92" t="str">
        <f>IF(LEN($C254)&gt;0,"",'Casos de Prueba'!F254&amp;CHAR(10)&amp;'Casos de Prueba'!G254)</f>
        <v xml:space="preserve">El sistema habilita el campo de FOLIO FISCAL
Aplica las Reglas de Negocio: (RN02) 
</v>
      </c>
    </row>
    <row r="255" spans="4:7" x14ac:dyDescent="0.35">
      <c r="D255" s="92" t="str">
        <f>IF('Casos de Prueba'!B255&lt;&gt;0,'Casos de Prueba'!B255&amp;"-"&amp;'Casos de Prueba'!C255,"")</f>
        <v/>
      </c>
      <c r="E255" s="92">
        <f>IF(LEN($C255)&gt;0,"",'Casos de Prueba'!D255)</f>
        <v>5</v>
      </c>
      <c r="F255" s="92" t="str">
        <f>IF(LEN($C255)&gt;0,"",'Casos de Prueba'!E255)</f>
        <v>Ingresa los datos del número de Folio Fiscal a buscar</v>
      </c>
      <c r="G255" s="92" t="str">
        <f>IF(LEN($C255)&gt;0,"",'Casos de Prueba'!F255&amp;CHAR(10)&amp;'Casos de Prueba'!G255)</f>
        <v xml:space="preserve">El sistema muestra los datos que se van ingresando
</v>
      </c>
    </row>
    <row r="256" spans="4:7" x14ac:dyDescent="0.35">
      <c r="D256" s="92" t="str">
        <f>IF('Casos de Prueba'!B256&lt;&gt;0,'Casos de Prueba'!B256&amp;"-"&amp;'Casos de Prueba'!C256,"")</f>
        <v/>
      </c>
      <c r="E256" s="92">
        <f>IF(LEN($C256)&gt;0,"",'Casos de Prueba'!D256)</f>
        <v>6</v>
      </c>
      <c r="F256" s="92" t="str">
        <f>IF(LEN($C256)&gt;0,"",'Casos de Prueba'!E256)</f>
        <v xml:space="preserve">Da clic en el botón Buscar CFDI
</v>
      </c>
      <c r="G256" s="92" t="str">
        <f>IF(LEN($C256)&gt;0,"",'Casos de Prueba'!F256&amp;CHAR(10)&amp;'Casos de Prueba'!G256)</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257" spans="4:7" x14ac:dyDescent="0.35">
      <c r="D257" s="92" t="str">
        <f>IF('Casos de Prueba'!B257&lt;&gt;0,'Casos de Prueba'!B257&amp;"-"&amp;'Casos de Prueba'!C257,"")</f>
        <v/>
      </c>
      <c r="E257" s="92">
        <f>IF(LEN($C257)&gt;0,"",'Casos de Prueba'!D257)</f>
        <v>7</v>
      </c>
      <c r="F257" s="92" t="str">
        <f>IF(LEN($C257)&gt;0,"",'Casos de Prueba'!E257)</f>
        <v>Dar clic en el botón "Exportar Resultados a PDF "</v>
      </c>
      <c r="G257" s="92" t="str">
        <f>IF(LEN($C257)&gt;0,"",'Casos de Prueba'!F257&amp;CHAR(10)&amp;'Casos de Prueba'!G257)</f>
        <v>Al seleccionar este botón se debe abrir una ventana emergente que indique que el PDF se encuentra en proceso de descarga. 
El archivo PDF debe contener los CFDI que corresponden al resultado de la consulta y que se visualizan en pantalla
Los datos para visualizar por cada Folio Fiscal serán: 
Datos del CFDI: 
•	Folio Fiscal.
•	RFC Emisor.
•	Nombre o Razón Social.
•	RFC Receptor.
•	Nombre o Razón Social.
•	Total.
•	PAC que certificó.
•	Fecha Emisión.
•	Fecha Certificación.
•	Estado del Comprobante.
•	Efecto del Comprobante.
•	Motivo.
•	Folio de Sustitución.
El Reporte de Resultados a PDF
Deberá contar con las siguientes características: 
•	Logos del SAT y Hacienda vigentes, con el nombre de la institución: ‘Servicio de Administración Tributaria’ y el nombre del aplicativo ‘Consulta CFDI’ al centro de la página.
La información que se muestra en el archivo pdf, será toda la relativa a cada CFDI, en caso de que en alguna columna no se tenga información no se mostrará.</v>
      </c>
    </row>
    <row r="258" spans="4:7" x14ac:dyDescent="0.35">
      <c r="D258" s="92" t="str">
        <f>IF('Casos de Prueba'!B258&lt;&gt;0,'Casos de Prueba'!B258&amp;"-"&amp;'Casos de Prueba'!C258,"")</f>
        <v/>
      </c>
      <c r="E258" s="92">
        <f>IF(LEN($C258)&gt;0,"",'Casos de Prueba'!D258)</f>
        <v>8</v>
      </c>
      <c r="F258" s="92" t="str">
        <f>IF(LEN($C258)&gt;0,"",'Casos de Prueba'!E258)</f>
        <v>Da clic en Salir</v>
      </c>
      <c r="G258" s="92" t="str">
        <f>IF(LEN($C258)&gt;0,"",'Casos de Prueba'!F258&amp;CHAR(10)&amp;'Casos de Prueba'!G258)</f>
        <v xml:space="preserve">Cierra la sesión del RFC
</v>
      </c>
    </row>
    <row r="259" spans="4:7" x14ac:dyDescent="0.35">
      <c r="D259" s="92" t="str">
        <f>IF('Casos de Prueba'!B259&lt;&gt;0,'Casos de Prueba'!B259&amp;"-"&amp;'Casos de Prueba'!C259,"")</f>
        <v>CP30-Cancelar seleccionados - Servicio de firmado en el proceso de cancelaciones.</v>
      </c>
      <c r="E259" s="92"/>
      <c r="F259" s="92"/>
      <c r="G259" s="92"/>
    </row>
    <row r="260" spans="4:7" x14ac:dyDescent="0.35">
      <c r="D260" s="92" t="str">
        <f>IF('Casos de Prueba'!B260&lt;&gt;0,'Casos de Prueba'!B260&amp;"-"&amp;'Casos de Prueba'!C260,"")</f>
        <v/>
      </c>
      <c r="E260" s="92">
        <f>IF(LEN($C260)&gt;0,"",'Casos de Prueba'!D260)</f>
        <v>1</v>
      </c>
      <c r="F260" s="92" t="str">
        <f>IF(LEN($C260)&gt;0,"",'Casos de Prueba'!E260)</f>
        <v>Seleccionar la opción Consulta CFDI</v>
      </c>
      <c r="G260" s="92" t="str">
        <f>IF(LEN($C260)&gt;0,"",'Casos de Prueba'!F260&amp;CHAR(10)&amp;'Casos de Prueba'!G260)</f>
        <v xml:space="preserve">El sistema muestra las opciones:
 - Factura Electrónica
 - Retenciones e Inf. de Pagos
El Usuario previamente se autenticó  y accedió al Portal Privado Contribuyente CFDI
</v>
      </c>
    </row>
    <row r="261" spans="4:7" x14ac:dyDescent="0.35">
      <c r="D261" s="92" t="str">
        <f>IF('Casos de Prueba'!B261&lt;&gt;0,'Casos de Prueba'!B261&amp;"-"&amp;'Casos de Prueba'!C261,"")</f>
        <v/>
      </c>
      <c r="E261" s="92">
        <f>IF(LEN($C261)&gt;0,"",'Casos de Prueba'!D261)</f>
        <v>2</v>
      </c>
      <c r="F261" s="92" t="str">
        <f>IF(LEN($C261)&gt;0,"",'Casos de Prueba'!E261)</f>
        <v>Selecciona la opción Factura Electrónica</v>
      </c>
      <c r="G261" s="92" t="str">
        <f>IF(LEN($C261)&gt;0,"",'Casos de Prueba'!F261&amp;CHAR(10)&amp;'Casos de Prueba'!G261)</f>
        <v xml:space="preserve">El sistema muestra las siguientes opciones:
-Consultar Facturas Emitidas
-Consulta Facturas Recibidas
-Recuperar Descargas de CFDI
-Consultar Solicitudes de Cancelación
</v>
      </c>
    </row>
    <row r="262" spans="4:7" x14ac:dyDescent="0.35">
      <c r="D262" s="92" t="str">
        <f>IF('Casos de Prueba'!B262&lt;&gt;0,'Casos de Prueba'!B262&amp;"-"&amp;'Casos de Prueba'!C262,"")</f>
        <v/>
      </c>
      <c r="E262" s="92">
        <f>IF(LEN($C262)&gt;0,"",'Casos de Prueba'!D262)</f>
        <v>3</v>
      </c>
      <c r="F262" s="92" t="str">
        <f>IF(LEN($C262)&gt;0,"",'Casos de Prueba'!E262)</f>
        <v>Da clic en "Consultar Facturas Emitidas"</v>
      </c>
      <c r="G262" s="92" t="str">
        <f>IF(LEN($C262)&gt;0,"",'Casos de Prueba'!F262&amp;CHAR(10)&amp;'Casos de Prueba'!G262)</f>
        <v xml:space="preserve">El sistema muestra las siguientes opciones de búsqueda:
- Folio Fiscal
- Periodo de Fechas
</v>
      </c>
    </row>
    <row r="263" spans="4:7" x14ac:dyDescent="0.35">
      <c r="D263" s="92" t="str">
        <f>IF('Casos de Prueba'!B263&lt;&gt;0,'Casos de Prueba'!B263&amp;"-"&amp;'Casos de Prueba'!C263,"")</f>
        <v/>
      </c>
      <c r="E263" s="92">
        <f>IF(LEN($C263)&gt;0,"",'Casos de Prueba'!D263)</f>
        <v>4</v>
      </c>
      <c r="F263" s="92" t="str">
        <f>IF(LEN($C263)&gt;0,"",'Casos de Prueba'!E263)</f>
        <v>Selecciona la opción de Periodo de Fechas</v>
      </c>
      <c r="G263" s="92" t="str">
        <f>IF(LEN($C263)&gt;0,"",'Casos de Prueba'!F263&amp;CHAR(10)&amp;'Casos de Prueba'!G263)</f>
        <v>Al seleccionar esta opción el sistema habilita los campos: 
•	Fecha Inicial de Emisión (*): Campo obligatorio que permite la selección del Año, Mes, Día, Hora, Minutos y Segundos.
Fecha Final de Emisión (*): Campo obligatorio que permite la selección del Año, Mes, Día, Hora, Minutos y Segundos (RN06). 
•	RFC Receptor (RN04).
•	RFC a cuenta terceros (RN04).
•	Estado del Comprobante: Campo que permite seleccionar alguno de los estados: Vigente y Cancelado.
•	Tipo de Comprobante (Complemento): Campo que permite seleccionar el tipo de comprobante. (RN03).
• Estatus cancelación: campo condicional, el sistema muestra este campo si el valor de selección del campo "Estado de comprobante" es "cancelado" los valores que muestra en estatus de cancelación son: cancelado con aceptación, cancelado sin aceptación y plazo vencido.
•	Botón “Buscar CFDI” Al dar clic en el botón el aplicativo muestra los resultados conforme a los criterios de búsqueda seleccionados previamente (RN06, RN07, RN08, RN09, RN10, RN11).
Aplica (RN08 – Inciso b, d)</v>
      </c>
    </row>
    <row r="264" spans="4:7" x14ac:dyDescent="0.35">
      <c r="D264" s="92" t="str">
        <f>IF('Casos de Prueba'!B264&lt;&gt;0,'Casos de Prueba'!B264&amp;"-"&amp;'Casos de Prueba'!C264,"")</f>
        <v/>
      </c>
      <c r="E264" s="92">
        <f>IF(LEN($C264)&gt;0,"",'Casos de Prueba'!D264)</f>
        <v>5</v>
      </c>
      <c r="F264" s="92" t="str">
        <f>IF(LEN($C264)&gt;0,"",'Casos de Prueba'!E264)</f>
        <v xml:space="preserve">Ingresa los datos:
Obligatorios
•	Fecha Inicial de Emisión (*)
•	Fecha Final de Emisión (*)
Opcionales
•	RFC Receptor.
•	RFC a cuenta terceros 
•	Estado del Comprobante 
•	Tipo de Comprobante (Complemento) 
</v>
      </c>
      <c r="G264" s="92" t="str">
        <f>IF(LEN($C264)&gt;0,"",'Casos de Prueba'!F264&amp;CHAR(10)&amp;'Casos de Prueba'!G264)</f>
        <v xml:space="preserve">El sistema muestra los datos que se van ingresando 
</v>
      </c>
    </row>
    <row r="265" spans="4:7" x14ac:dyDescent="0.35">
      <c r="D265" s="92" t="str">
        <f>IF('Casos de Prueba'!B265&lt;&gt;0,'Casos de Prueba'!B265&amp;"-"&amp;'Casos de Prueba'!C265,"")</f>
        <v/>
      </c>
      <c r="E265" s="92">
        <f>IF(LEN($C265)&gt;0,"",'Casos de Prueba'!D265)</f>
        <v>6</v>
      </c>
      <c r="F265" s="92" t="str">
        <f>IF(LEN($C265)&gt;0,"",'Casos de Prueba'!E265)</f>
        <v>Da clic en el botón Buscar CFDI 
Aplica (RN08).</v>
      </c>
      <c r="G265" s="92" t="str">
        <f>IF(LEN($C265)&gt;0,"",'Casos de Prueba'!F265&amp;CHAR(10)&amp;'Casos de Prueba'!G265)</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Nota: En caso de incluir una fecha de búsqueda mayor a 12 meses, el aplicativo arrojará la siguiente leyenda:
“La consulta está limitada a un periodo de búsqueda de hasta 12 meses.”
Si el sistema detecta que el rango de resultado es mayor a 500 registros, el sistema va a mostrar el mensaje “La consulta realizada solo muestra los primeros 500 registros”.
Si la búsqueda es correcta va a mostrar la sección de “Sección de Resultados”.
En dado caso que el sistema detecta una inconsistencia cuando el contribuyente presiona el botón “Buscar CFDI” mostrará los siguientes mensajes: 
•	En caso de no ingresar la fecha inicial de emisión, el sistema deberá mostrar el siguiente mensaje ”Favor de proporcionar la fecha inicial de emisión”.
•	En caso de no ingresar la fecha final de emisión, el sistema deberá mostrar el siguiente mensaje “Favor de proporcionar la fecha final de emisión”.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	En caso de que no se encuentre información con los parámetros de búsqueda ingresados, el sistema deberá mostrar el siguiente mensaje: “No existen registros que cumplan con los criterios de búsqueda ingresados, intentar nuevamente”.
Al seleccionar el botón de Fecha Inicial de Emisión se deben deshabilitar los campos correspondientes a la consulta por Folio Fiscal.</v>
      </c>
    </row>
    <row r="266" spans="4:7" x14ac:dyDescent="0.35">
      <c r="D266" s="92" t="str">
        <f>IF('Casos de Prueba'!B266&lt;&gt;0,'Casos de Prueba'!B266&amp;"-"&amp;'Casos de Prueba'!C266,"")</f>
        <v/>
      </c>
      <c r="E266" s="92">
        <f>IF(LEN($C266)&gt;0,"",'Casos de Prueba'!D266)</f>
        <v>7</v>
      </c>
      <c r="F266" s="92" t="str">
        <f>IF(LEN($C266)&gt;0,"",'Casos de Prueba'!E266)</f>
        <v>Dar clic en el botón "Cancelar seleccionados "</v>
      </c>
      <c r="G266" s="92" t="str">
        <f>IF(LEN($C266)&gt;0,"",'Casos de Prueba'!F266&amp;CHAR(10)&amp;'Casos de Prueba'!G266)</f>
        <v>Al momento de realizar la cancelación de un CFDI, el sistema va a mostrar una pantalla modal donde se mostrará el listado con los motivos de cancelación (RN20).
•	Clave 01 - Comprobante emitido con errores con relación
•	Clave 02 - Comprobante emitido con errores sin relación
•	Clave 03 – No se llevó a cabo la operación
•	Clave 04 – Operación nominativa relacionada en la factura global 
Dependiendo del motivo de cancelación seleccionado, el sistema va a aplicar un flujo diferente para cada uno de ellos. Para mayor referencia consultar el archivo anexo: NAD_PortalPrivado_Cancelaciones VF.docx”</v>
      </c>
    </row>
    <row r="267" spans="4:7" x14ac:dyDescent="0.35">
      <c r="D267" s="92" t="str">
        <f>IF('Casos de Prueba'!B267&lt;&gt;0,'Casos de Prueba'!B267&amp;"-"&amp;'Casos de Prueba'!C267,"")</f>
        <v/>
      </c>
      <c r="E267" s="92">
        <f>IF(LEN($C267)&gt;0,"",'Casos de Prueba'!D267)</f>
        <v>8</v>
      </c>
      <c r="F267" s="92" t="str">
        <f>IF(LEN($C267)&gt;0,"",'Casos de Prueba'!E267)</f>
        <v>En la pantalla modal se selecciona la opción:
02 Comprobantes emitidos con errores sin relación y se da clic en el botón “Cancelar Seleccionados”.</v>
      </c>
      <c r="G267" s="92" t="str">
        <f>IF(LEN($C267)&gt;0,"",'Casos de Prueba'!F267&amp;CHAR(10)&amp;'Casos de Prueba'!G267)</f>
        <v xml:space="preserve">El sistema para realizar la cancelación con el motivo “02”, solicita las credenciales de la firma electrónica o Certificado de Sello Digital (CSD). 
</v>
      </c>
    </row>
    <row r="268" spans="4:7" x14ac:dyDescent="0.35">
      <c r="D268" s="92" t="str">
        <f>IF('Casos de Prueba'!B268&lt;&gt;0,'Casos de Prueba'!B268&amp;"-"&amp;'Casos de Prueba'!C268,"")</f>
        <v/>
      </c>
      <c r="E268" s="92">
        <f>IF(LEN($C268)&gt;0,"",'Casos de Prueba'!D268)</f>
        <v>9</v>
      </c>
      <c r="F268" s="92" t="str">
        <f>IF(LEN($C268)&gt;0,"",'Casos de Prueba'!E268)</f>
        <v xml:space="preserve">Para confirmar la cancelación se ingresa:
Contraseña de la clave privada
Clave privada .key
Certificado .cer
y se da clic en el botón Continuar
</v>
      </c>
      <c r="G268" s="92" t="str">
        <f>IF(LEN($C268)&gt;0,"",'Casos de Prueba'!F268&amp;CHAR(10)&amp;'Casos de Prueba'!G268)</f>
        <v xml:space="preserve"> Una vez ingresadas  las credenciales de la firma electrónica o Certificado de Sello Digital (CSD). El sistema solicita una confirmación "Seguro desea cancelar la selección"
Nota: Es sistema homologa dentro del proceso de cancelación, la forma en que se obtiene el RFC desde el certificado, con el objetivo que el valor que se extrae sea el correcto y permita la cancelación y que no difiera en su implementación del lado del cliente y del servidor. 
Aplica las Reglas de Negocio: RN22 Servicio de firmado en el proceso de cancelaciones.
</v>
      </c>
    </row>
    <row r="269" spans="4:7" x14ac:dyDescent="0.35">
      <c r="D269" s="92" t="str">
        <f>IF('Casos de Prueba'!B269&lt;&gt;0,'Casos de Prueba'!B269&amp;"-"&amp;'Casos de Prueba'!C269,"")</f>
        <v/>
      </c>
      <c r="E269" s="92">
        <f>IF(LEN($C269)&gt;0,"",'Casos de Prueba'!D269)</f>
        <v>10</v>
      </c>
      <c r="F269" s="92" t="str">
        <f>IF(LEN($C269)&gt;0,"",'Casos de Prueba'!E269)</f>
        <v xml:space="preserve">El usuario para aceptar la cancelación del registro da clic en el botón Aceptar
</v>
      </c>
      <c r="G269" s="92" t="str">
        <f>IF(LEN($C269)&gt;0,"",'Casos de Prueba'!F269&amp;CHAR(10)&amp;'Casos de Prueba'!G269)</f>
        <v xml:space="preserve">El sistema al detectar la confirmación exitosa muestra el mensaje: “Cancelando comprobante”.
Una vez que finaliza el proceso de cancelación el sistema redirecciona a una pantalla donde se muestra el mensaje "Solicitud recibida" y se descarga el acuse de cancelación acusecancelacion.pdf
</v>
      </c>
    </row>
    <row r="270" spans="4:7" x14ac:dyDescent="0.35">
      <c r="D270" s="92" t="str">
        <f>IF('Casos de Prueba'!B270&lt;&gt;0,'Casos de Prueba'!B270&amp;"-"&amp;'Casos de Prueba'!C270,"")</f>
        <v/>
      </c>
      <c r="E270" s="92">
        <f>IF(LEN($C270)&gt;0,"",'Casos de Prueba'!D270)</f>
        <v>11</v>
      </c>
      <c r="F270" s="92" t="str">
        <f>IF(LEN($C270)&gt;0,"",'Casos de Prueba'!E270)</f>
        <v xml:space="preserve">Dependiendo del explorador con que ingreso, puede Abrir o Guardar el Acuse de Cancelación
</v>
      </c>
      <c r="G270" s="92" t="str">
        <f>IF(LEN($C270)&gt;0,"",'Casos de Prueba'!F270&amp;CHAR(10)&amp;'Casos de Prueba'!G270)</f>
        <v xml:space="preserve">
Ver CP:
CP09 /Facturas Emitidas/Acciones/ Recuperar Acuse Estatus Final</v>
      </c>
    </row>
    <row r="271" spans="4:7" x14ac:dyDescent="0.35">
      <c r="D271" s="92" t="str">
        <f>IF('Casos de Prueba'!B271&lt;&gt;0,'Casos de Prueba'!B271&amp;"-"&amp;'Casos de Prueba'!C271,"")</f>
        <v/>
      </c>
      <c r="E271" s="92">
        <f>IF(LEN($C271)&gt;0,"",'Casos de Prueba'!D271)</f>
        <v>12</v>
      </c>
      <c r="F271" s="92" t="str">
        <f>IF(LEN($C271)&gt;0,"",'Casos de Prueba'!E271)</f>
        <v>Da clic en Salir</v>
      </c>
      <c r="G271" s="92" t="str">
        <f>IF(LEN($C271)&gt;0,"",'Casos de Prueba'!F271&amp;CHAR(10)&amp;'Casos de Prueba'!G271)</f>
        <v xml:space="preserve">Cierra la sesión del RFC
</v>
      </c>
    </row>
    <row r="272" spans="4:7" x14ac:dyDescent="0.35">
      <c r="D272" s="92" t="str">
        <f>IF('Casos de Prueba'!B272&lt;&gt;0,'Casos de Prueba'!B272&amp;"-"&amp;'Casos de Prueba'!C272,"")</f>
        <v>CP31-Cancelar seleccionados - Servicio de firmado en el proceso de cancelaciones.</v>
      </c>
      <c r="E272" s="92"/>
      <c r="F272" s="92"/>
      <c r="G272" s="92"/>
    </row>
    <row r="273" spans="4:7" x14ac:dyDescent="0.35">
      <c r="D273" s="92" t="str">
        <f>IF('Casos de Prueba'!B273&lt;&gt;0,'Casos de Prueba'!B273&amp;"-"&amp;'Casos de Prueba'!C273,"")</f>
        <v/>
      </c>
      <c r="E273" s="92">
        <f>IF(LEN($C273)&gt;0,"",'Casos de Prueba'!D273)</f>
        <v>1</v>
      </c>
      <c r="F273" s="92" t="str">
        <f>IF(LEN($C273)&gt;0,"",'Casos de Prueba'!E273)</f>
        <v>Seleccionar la opción Consulta CFDI</v>
      </c>
      <c r="G273" s="92" t="str">
        <f>IF(LEN($C273)&gt;0,"",'Casos de Prueba'!F273&amp;CHAR(10)&amp;'Casos de Prueba'!G273)</f>
        <v xml:space="preserve">El sistema muestra las opciones:
 - Factura Electrónica
 - Retenciones e Inf. de Pagos
El Usuario previamente se autenticó  y accedió al Portal Privado Contribuyente CFDI
</v>
      </c>
    </row>
    <row r="274" spans="4:7" x14ac:dyDescent="0.35">
      <c r="D274" s="92" t="str">
        <f>IF('Casos de Prueba'!B274&lt;&gt;0,'Casos de Prueba'!B274&amp;"-"&amp;'Casos de Prueba'!C274,"")</f>
        <v/>
      </c>
      <c r="E274" s="92">
        <f>IF(LEN($C274)&gt;0,"",'Casos de Prueba'!D274)</f>
        <v>2</v>
      </c>
      <c r="F274" s="92" t="str">
        <f>IF(LEN($C274)&gt;0,"",'Casos de Prueba'!E274)</f>
        <v>Selecciona la opción Factura Electrónica</v>
      </c>
      <c r="G274" s="92" t="str">
        <f>IF(LEN($C274)&gt;0,"",'Casos de Prueba'!F274&amp;CHAR(10)&amp;'Casos de Prueba'!G274)</f>
        <v xml:space="preserve">El sistema muestra las siguientes opciones:
-Consultar Facturas Emitidas
-Consulta Facturas Recibidas
-Recuperar Descargas de CFDI
-Consultar Solicitudes de Cancelación
</v>
      </c>
    </row>
    <row r="275" spans="4:7" x14ac:dyDescent="0.35">
      <c r="D275" s="92" t="str">
        <f>IF('Casos de Prueba'!B275&lt;&gt;0,'Casos de Prueba'!B275&amp;"-"&amp;'Casos de Prueba'!C275,"")</f>
        <v/>
      </c>
      <c r="E275" s="92">
        <f>IF(LEN($C275)&gt;0,"",'Casos de Prueba'!D275)</f>
        <v>3</v>
      </c>
      <c r="F275" s="92" t="str">
        <f>IF(LEN($C275)&gt;0,"",'Casos de Prueba'!E275)</f>
        <v>Da clic en "Consultar Facturas Emitidas"</v>
      </c>
      <c r="G275" s="92" t="str">
        <f>IF(LEN($C275)&gt;0,"",'Casos de Prueba'!F275&amp;CHAR(10)&amp;'Casos de Prueba'!G275)</f>
        <v xml:space="preserve">El sistema muestra las opciones:
- Folio Fiscal * (está opción esta habilitada por default)(RN02)
Los siguientes campos se muestran deshabilitados:
- Fecha Inicial de Emisión*
- Fecha Final de Emisión* (RN06)
- RFC Receptor (RN04)
- RFC a cuenta de terceros (RN04)
- Estado del Comprobante
- Tipo de Comprobante (Complemento)
-Estatus cancelación 
*campos obligatorios
Opción: Buscar CFDI (RN08 - Inciso a, d).
</v>
      </c>
    </row>
    <row r="276" spans="4:7" x14ac:dyDescent="0.35">
      <c r="D276" s="92" t="str">
        <f>IF('Casos de Prueba'!B276&lt;&gt;0,'Casos de Prueba'!B276&amp;"-"&amp;'Casos de Prueba'!C276,"")</f>
        <v/>
      </c>
      <c r="E276" s="92">
        <f>IF(LEN($C276)&gt;0,"",'Casos de Prueba'!D276)</f>
        <v>4</v>
      </c>
      <c r="F276" s="92" t="str">
        <f>IF(LEN($C276)&gt;0,"",'Casos de Prueba'!E276)</f>
        <v>Selecciona la opción Folio Fiscal</v>
      </c>
      <c r="G276" s="92" t="str">
        <f>IF(LEN($C276)&gt;0,"",'Casos de Prueba'!F276&amp;CHAR(10)&amp;'Casos de Prueba'!G276)</f>
        <v xml:space="preserve">El sistema habilita el campo de FOLIO FISCAL
Aplica las Reglas de Negocio: (RN02) 
</v>
      </c>
    </row>
    <row r="277" spans="4:7" x14ac:dyDescent="0.35">
      <c r="D277" s="92" t="str">
        <f>IF('Casos de Prueba'!B277&lt;&gt;0,'Casos de Prueba'!B277&amp;"-"&amp;'Casos de Prueba'!C277,"")</f>
        <v/>
      </c>
      <c r="E277" s="92">
        <f>IF(LEN($C277)&gt;0,"",'Casos de Prueba'!D277)</f>
        <v>5</v>
      </c>
      <c r="F277" s="92" t="str">
        <f>IF(LEN($C277)&gt;0,"",'Casos de Prueba'!E277)</f>
        <v>Ingresa los datos del número de Folio Fiscal a buscar</v>
      </c>
      <c r="G277" s="92" t="str">
        <f>IF(LEN($C277)&gt;0,"",'Casos de Prueba'!F277&amp;CHAR(10)&amp;'Casos de Prueba'!G277)</f>
        <v xml:space="preserve">El sistema muestra los datos que se van ingresando
</v>
      </c>
    </row>
    <row r="278" spans="4:7" x14ac:dyDescent="0.35">
      <c r="D278" s="92" t="str">
        <f>IF('Casos de Prueba'!B278&lt;&gt;0,'Casos de Prueba'!B278&amp;"-"&amp;'Casos de Prueba'!C278,"")</f>
        <v/>
      </c>
      <c r="E278" s="92">
        <f>IF(LEN($C278)&gt;0,"",'Casos de Prueba'!D278)</f>
        <v>6</v>
      </c>
      <c r="F278" s="92" t="str">
        <f>IF(LEN($C278)&gt;0,"",'Casos de Prueba'!E278)</f>
        <v xml:space="preserve">Da clic en el botón Buscar CFDI
</v>
      </c>
      <c r="G278" s="92" t="str">
        <f>IF(LEN($C278)&gt;0,"",'Casos de Prueba'!F278&amp;CHAR(10)&amp;'Casos de Prueba'!G278)</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	Integrar Addenda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	Motivo.
•	Folio de Sustitución.
3.	Paginador.
(Solo aplica para búsqueda por periodo) (RN10, RN11).
4.	Botones: 
•	Descargar Seleccionados.
•	Descargar Seleccionados RI.
•	Descargar Metadata.
•	Exportar Resultados a PDF.
•	Cancelar Seleccionados.
Nota: El atributo “Fecha de Cancelación” va a mostrar el valor de la fecha cuando se haya realizado la cancelación del comprobante en caso contrario va a mostrar el valor en blanco.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279" spans="4:7" x14ac:dyDescent="0.35">
      <c r="D279" s="92" t="str">
        <f>IF('Casos de Prueba'!B279&lt;&gt;0,'Casos de Prueba'!B279&amp;"-"&amp;'Casos de Prueba'!C279,"")</f>
        <v/>
      </c>
      <c r="E279" s="92">
        <f>IF(LEN($C279)&gt;0,"",'Casos de Prueba'!D279)</f>
        <v>7</v>
      </c>
      <c r="F279" s="92" t="str">
        <f>IF(LEN($C279)&gt;0,"",'Casos de Prueba'!E279)</f>
        <v>Seleccionar el registro y dar clic en el botón "Cancelar seleccionados "</v>
      </c>
      <c r="G279" s="92" t="str">
        <f>IF(LEN($C279)&gt;0,"",'Casos de Prueba'!F279&amp;CHAR(10)&amp;'Casos de Prueba'!G279)</f>
        <v>Al momento de realizar la cancelación de un CFDI, el sistema va a mostrar una pantalla modal donde se mostrará el listado con los motivos de cancelación (RN20).
•	Clave 01 - Comprobante emitido con errores con relación
•	Clave 02 - Comprobante emitido con errores sin relación
•	Clave 03 – No se llevó a cabo la operación
•	Clave 04 – Operación nominativa relacionada en la factura global 
Dependiendo del motivo de cancelación seleccionado, el sistema va a aplicar un flujo diferente para cada uno de ellos. Para mayor referencia consultar el archivo anexo: NAD_PortalPrivado_Cancelaciones VF.docx”</v>
      </c>
    </row>
    <row r="280" spans="4:7" x14ac:dyDescent="0.35">
      <c r="D280" s="92" t="str">
        <f>IF('Casos de Prueba'!B280&lt;&gt;0,'Casos de Prueba'!B280&amp;"-"&amp;'Casos de Prueba'!C280,"")</f>
        <v/>
      </c>
      <c r="E280" s="92">
        <f>IF(LEN($C280)&gt;0,"",'Casos de Prueba'!D280)</f>
        <v>8</v>
      </c>
      <c r="F280" s="92" t="str">
        <f>IF(LEN($C280)&gt;0,"",'Casos de Prueba'!E280)</f>
        <v>En la pantalla modal se selecciona la opción:
02 Comprobantes emitidos con errores sin relación y se da clic en el botón “Cancelar Seleccionados”.</v>
      </c>
      <c r="G280" s="92" t="str">
        <f>IF(LEN($C280)&gt;0,"",'Casos de Prueba'!F280&amp;CHAR(10)&amp;'Casos de Prueba'!G280)</f>
        <v xml:space="preserve">El sistema para realizar la cancelación con el motivo “02”, solicita las credenciales de la firma electrónica o Certificado de Sello Digital (CSD). 
</v>
      </c>
    </row>
    <row r="281" spans="4:7" x14ac:dyDescent="0.35">
      <c r="D281" s="92" t="str">
        <f>IF('Casos de Prueba'!B281&lt;&gt;0,'Casos de Prueba'!B281&amp;"-"&amp;'Casos de Prueba'!C281,"")</f>
        <v/>
      </c>
      <c r="E281" s="92">
        <f>IF(LEN($C281)&gt;0,"",'Casos de Prueba'!D281)</f>
        <v>9</v>
      </c>
      <c r="F281" s="92" t="str">
        <f>IF(LEN($C281)&gt;0,"",'Casos de Prueba'!E281)</f>
        <v xml:space="preserve">Para confirmar la cancelación se ingresa:
Contraseña de la clave privada
Clave privada .key
Certificado .cer
y se da clic en el botón Continuar
</v>
      </c>
      <c r="G281" s="92" t="str">
        <f>IF(LEN($C281)&gt;0,"",'Casos de Prueba'!F281&amp;CHAR(10)&amp;'Casos de Prueba'!G281)</f>
        <v xml:space="preserve"> Una vez ingresadas  las credenciales de la firma electrónica o Certificado de Sello Digital (CSD). El sistema solicita una confirmación "Seguro desea cancelar la selección"
Nota: Es sistema homologa dentro del proceso de cancelación, la forma en que se obtiene el RFC desde el certificado, con el objetivo que el valor que se extrae sea el correcto y permita la cancelación y que no difiera en su implementación del lado del cliente y del servidor. 
Aplica las Reglas de Negocio: RN22 Servicio de firmado en el proceso de cancelaciones.
</v>
      </c>
    </row>
    <row r="282" spans="4:7" x14ac:dyDescent="0.35">
      <c r="D282" s="92" t="str">
        <f>IF('Casos de Prueba'!B282&lt;&gt;0,'Casos de Prueba'!B282&amp;"-"&amp;'Casos de Prueba'!C282,"")</f>
        <v/>
      </c>
      <c r="E282" s="92">
        <f>IF(LEN($C282)&gt;0,"",'Casos de Prueba'!D282)</f>
        <v>10</v>
      </c>
      <c r="F282" s="92" t="str">
        <f>IF(LEN($C282)&gt;0,"",'Casos de Prueba'!E282)</f>
        <v xml:space="preserve">El usuario para aceptar la cancelación del registro da clic en el botón Aceptar
</v>
      </c>
      <c r="G282" s="92" t="str">
        <f>IF(LEN($C282)&gt;0,"",'Casos de Prueba'!F282&amp;CHAR(10)&amp;'Casos de Prueba'!G282)</f>
        <v xml:space="preserve">El sistema al detectar la confirmación exitosa muestra el mensaje: “Cancelando comprobante”.
Una vez que finaliza el proceso de cancelación el sistema redirecciona a una pantalla donde se muestra el mensaje "Solicitud recibida" y se descarga el acuse de cancelación acusecancelacion.pdf
</v>
      </c>
    </row>
    <row r="283" spans="4:7" x14ac:dyDescent="0.35">
      <c r="D283" s="92" t="str">
        <f>IF('Casos de Prueba'!B283&lt;&gt;0,'Casos de Prueba'!B283&amp;"-"&amp;'Casos de Prueba'!C283,"")</f>
        <v/>
      </c>
      <c r="E283" s="92">
        <f>IF(LEN($C283)&gt;0,"",'Casos de Prueba'!D283)</f>
        <v>11</v>
      </c>
      <c r="F283" s="92" t="str">
        <f>IF(LEN($C283)&gt;0,"",'Casos de Prueba'!E283)</f>
        <v xml:space="preserve">Dependiendo del explorador con que ingreso, puede Abrir o Guardar el Acuse de Cancelación
</v>
      </c>
      <c r="G283" s="92" t="str">
        <f>IF(LEN($C283)&gt;0,"",'Casos de Prueba'!F283&amp;CHAR(10)&amp;'Casos de Prueba'!G283)</f>
        <v xml:space="preserve">
Ver CP:
CP09 /Facturas Emitidas/FolioFiscal/Acciones/ Recuperar Acuse Estatus Final</v>
      </c>
    </row>
    <row r="284" spans="4:7" x14ac:dyDescent="0.35">
      <c r="D284" s="92" t="str">
        <f>IF('Casos de Prueba'!B284&lt;&gt;0,'Casos de Prueba'!B284&amp;"-"&amp;'Casos de Prueba'!C284,"")</f>
        <v/>
      </c>
      <c r="E284" s="92">
        <f>IF(LEN($C284)&gt;0,"",'Casos de Prueba'!D284)</f>
        <v>12</v>
      </c>
      <c r="F284" s="92" t="str">
        <f>IF(LEN($C284)&gt;0,"",'Casos de Prueba'!E284)</f>
        <v>Da clic en Salir</v>
      </c>
      <c r="G284" s="92" t="str">
        <f>IF(LEN($C284)&gt;0,"",'Casos de Prueba'!F284&amp;CHAR(10)&amp;'Casos de Prueba'!G284)</f>
        <v xml:space="preserve">Cierra la sesión del RFC
</v>
      </c>
    </row>
    <row r="285" spans="4:7" x14ac:dyDescent="0.35">
      <c r="D285" s="92" t="str">
        <f>IF('Casos de Prueba'!B285&lt;&gt;0,'Casos de Prueba'!B285&amp;"-"&amp;'Casos de Prueba'!C285,"")</f>
        <v>CP32-Facturas Recibidas - Por Folio Fiscal</v>
      </c>
      <c r="E285" s="92"/>
      <c r="F285" s="92"/>
      <c r="G285" s="92"/>
    </row>
    <row r="286" spans="4:7" x14ac:dyDescent="0.35">
      <c r="D286" s="92" t="str">
        <f>IF('Casos de Prueba'!B286&lt;&gt;0,'Casos de Prueba'!B286&amp;"-"&amp;'Casos de Prueba'!C286,"")</f>
        <v/>
      </c>
      <c r="E286" s="92">
        <f>IF(LEN($C286)&gt;0,"",'Casos de Prueba'!D286)</f>
        <v>1</v>
      </c>
      <c r="F286" s="92" t="str">
        <f>IF(LEN($C286)&gt;0,"",'Casos de Prueba'!E286)</f>
        <v>Seleccionar la opción Consulta CFDI</v>
      </c>
      <c r="G286" s="92" t="str">
        <f>IF(LEN($C286)&gt;0,"",'Casos de Prueba'!F286&amp;CHAR(10)&amp;'Casos de Prueba'!G286)</f>
        <v xml:space="preserve">El sistema muestra las opciones:
 - Factura Electrónica
 - Retenciones e Inf. de Pagos
El Usuario previamente se autenticó  y accedió al Portal Privado Contribuyente CFDI
</v>
      </c>
    </row>
    <row r="287" spans="4:7" x14ac:dyDescent="0.35">
      <c r="D287" s="92" t="str">
        <f>IF('Casos de Prueba'!B287&lt;&gt;0,'Casos de Prueba'!B287&amp;"-"&amp;'Casos de Prueba'!C287,"")</f>
        <v/>
      </c>
      <c r="E287" s="92">
        <f>IF(LEN($C287)&gt;0,"",'Casos de Prueba'!D287)</f>
        <v>2</v>
      </c>
      <c r="F287" s="92" t="str">
        <f>IF(LEN($C287)&gt;0,"",'Casos de Prueba'!E287)</f>
        <v>Selecciona la opción Factura Electrónica</v>
      </c>
      <c r="G287" s="92" t="str">
        <f>IF(LEN($C287)&gt;0,"",'Casos de Prueba'!F287&amp;CHAR(10)&amp;'Casos de Prueba'!G287)</f>
        <v xml:space="preserve">El sistema muestra las siguientes opciones:
-Consultar Facturas Emitidas
-Consulta Facturas Recibidas
-Recuperar Descargas de CFDI
-Consultar Solicitudes de Cancelación
</v>
      </c>
    </row>
    <row r="288" spans="4:7" x14ac:dyDescent="0.35">
      <c r="D288" s="92" t="str">
        <f>IF('Casos de Prueba'!B288&lt;&gt;0,'Casos de Prueba'!B288&amp;"-"&amp;'Casos de Prueba'!C288,"")</f>
        <v/>
      </c>
      <c r="E288" s="92">
        <f>IF(LEN($C288)&gt;0,"",'Casos de Prueba'!D288)</f>
        <v>3</v>
      </c>
      <c r="F288" s="92" t="str">
        <f>IF(LEN($C288)&gt;0,"",'Casos de Prueba'!E288)</f>
        <v>Da clic en "Consultar Facturas Recibidas"</v>
      </c>
      <c r="G288" s="92" t="str">
        <f>IF(LEN($C288)&gt;0,"",'Casos de Prueba'!F288&amp;CHAR(10)&amp;'Casos de Prueba'!G288)</f>
        <v xml:space="preserve">El sistema muestra las opciones:
- Folio Fiscal * (está opción esta habilitada por default)
Los siguientes campos se muestran deshabilitados:
- Año*
- Mes*
- Día
-Hora Inicial
-Hora Final
-RFC Emisor (RN04)
- RFC a cuenta terceros
- Estado del Comprobante
- Tipo de Comprobante (Complemento) (RN03)
-Estatus cancelación
*campos obligatorios
Opción: Buscar CFDI
</v>
      </c>
    </row>
    <row r="289" spans="4:7" x14ac:dyDescent="0.35">
      <c r="D289" s="92" t="str">
        <f>IF('Casos de Prueba'!B289&lt;&gt;0,'Casos de Prueba'!B289&amp;"-"&amp;'Casos de Prueba'!C289,"")</f>
        <v/>
      </c>
      <c r="E289" s="92">
        <f>IF(LEN($C289)&gt;0,"",'Casos de Prueba'!D289)</f>
        <v>4</v>
      </c>
      <c r="F289" s="92" t="str">
        <f>IF(LEN($C289)&gt;0,"",'Casos de Prueba'!E289)</f>
        <v>Selecciona la opción Folio Fiscal</v>
      </c>
      <c r="G289" s="92" t="str">
        <f>IF(LEN($C289)&gt;0,"",'Casos de Prueba'!F289&amp;CHAR(10)&amp;'Casos de Prueba'!G289)</f>
        <v xml:space="preserve">El sistema habilita el campo de FOLIO FISCAL
Aplica las Reglas de Negocio: (RN02) 
</v>
      </c>
    </row>
    <row r="290" spans="4:7" x14ac:dyDescent="0.35">
      <c r="D290" s="92" t="str">
        <f>IF('Casos de Prueba'!B290&lt;&gt;0,'Casos de Prueba'!B290&amp;"-"&amp;'Casos de Prueba'!C290,"")</f>
        <v/>
      </c>
      <c r="E290" s="92">
        <f>IF(LEN($C290)&gt;0,"",'Casos de Prueba'!D290)</f>
        <v>5</v>
      </c>
      <c r="F290" s="92" t="str">
        <f>IF(LEN($C290)&gt;0,"",'Casos de Prueba'!E290)</f>
        <v>Ingresa los datos del número de Folio Fiscal a buscar</v>
      </c>
      <c r="G290" s="92" t="str">
        <f>IF(LEN($C290)&gt;0,"",'Casos de Prueba'!F290&amp;CHAR(10)&amp;'Casos de Prueba'!G290)</f>
        <v>El sistema muestra los datos que se van ingresando
Aplica las Reglas de Negocio: (RN08 – Inciso c,d).</v>
      </c>
    </row>
    <row r="291" spans="4:7" x14ac:dyDescent="0.35">
      <c r="D291" s="92" t="str">
        <f>IF('Casos de Prueba'!B291&lt;&gt;0,'Casos de Prueba'!B291&amp;"-"&amp;'Casos de Prueba'!C291,"")</f>
        <v/>
      </c>
      <c r="E291" s="92">
        <f>IF(LEN($C291)&gt;0,"",'Casos de Prueba'!D291)</f>
        <v>6</v>
      </c>
      <c r="F291" s="92" t="str">
        <f>IF(LEN($C291)&gt;0,"",'Casos de Prueba'!E291)</f>
        <v xml:space="preserve">Da clic en el botón Buscar CFDI
</v>
      </c>
      <c r="G291" s="92" t="str">
        <f>IF(LEN($C291)&gt;0,"",'Casos de Prueba'!F291&amp;CHAR(10)&amp;'Casos de Prueba'!G291)</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292" spans="4:7" x14ac:dyDescent="0.35">
      <c r="D292" s="92" t="str">
        <f>IF('Casos de Prueba'!B292&lt;&gt;0,'Casos de Prueba'!B292&amp;"-"&amp;'Casos de Prueba'!C292,"")</f>
        <v/>
      </c>
      <c r="E292" s="92">
        <f>IF(LEN($C292)&gt;0,"",'Casos de Prueba'!D292)</f>
        <v>7</v>
      </c>
      <c r="F292" s="92" t="str">
        <f>IF(LEN($C292)&gt;0,"",'Casos de Prueba'!E292)</f>
        <v>Da clic en Salir</v>
      </c>
      <c r="G292" s="92" t="str">
        <f>IF(LEN($C292)&gt;0,"",'Casos de Prueba'!F292&amp;CHAR(10)&amp;'Casos de Prueba'!G292)</f>
        <v xml:space="preserve">Cierra la sesión del RFC
</v>
      </c>
    </row>
    <row r="293" spans="4:7" x14ac:dyDescent="0.35">
      <c r="D293" s="92" t="str">
        <f>IF('Casos de Prueba'!B293&lt;&gt;0,'Casos de Prueba'!B293&amp;"-"&amp;'Casos de Prueba'!C293,"")</f>
        <v>CP33-Facturas Recibidas - Periodo Fechas</v>
      </c>
      <c r="E293" s="92"/>
      <c r="F293" s="92"/>
      <c r="G293" s="92"/>
    </row>
    <row r="294" spans="4:7" x14ac:dyDescent="0.35">
      <c r="D294" s="92" t="str">
        <f>IF('Casos de Prueba'!B294&lt;&gt;0,'Casos de Prueba'!B294&amp;"-"&amp;'Casos de Prueba'!C294,"")</f>
        <v/>
      </c>
      <c r="E294" s="92">
        <f>IF(LEN($C294)&gt;0,"",'Casos de Prueba'!D294)</f>
        <v>1</v>
      </c>
      <c r="F294" s="92" t="str">
        <f>IF(LEN($C294)&gt;0,"",'Casos de Prueba'!E294)</f>
        <v>Seleccionar la opción Consulta CFDI</v>
      </c>
      <c r="G294" s="92" t="str">
        <f>IF(LEN($C294)&gt;0,"",'Casos de Prueba'!F294&amp;CHAR(10)&amp;'Casos de Prueba'!G294)</f>
        <v xml:space="preserve">El sistema muestra las opciones:
 - Factura Electrónica
 - Retenciones e Inf. de Pagos
El Usuario previamente se autenticó  y accedió al Portal Privado Contribuyente CFDI
</v>
      </c>
    </row>
    <row r="295" spans="4:7" x14ac:dyDescent="0.35">
      <c r="D295" s="92" t="str">
        <f>IF('Casos de Prueba'!B295&lt;&gt;0,'Casos de Prueba'!B295&amp;"-"&amp;'Casos de Prueba'!C295,"")</f>
        <v/>
      </c>
      <c r="E295" s="92">
        <f>IF(LEN($C295)&gt;0,"",'Casos de Prueba'!D295)</f>
        <v>2</v>
      </c>
      <c r="F295" s="92" t="str">
        <f>IF(LEN($C295)&gt;0,"",'Casos de Prueba'!E295)</f>
        <v>Selecciona la opción Factura Electrónica</v>
      </c>
      <c r="G295" s="92" t="str">
        <f>IF(LEN($C295)&gt;0,"",'Casos de Prueba'!F295&amp;CHAR(10)&amp;'Casos de Prueba'!G295)</f>
        <v xml:space="preserve">El sistema muestra las siguientes opciones:
-Consultar Facturas Emitidas
-Consulta Facturas Recibidas
-Recuperar Descargas de CFDI
-Consultar Solicitudes de Cancelación
</v>
      </c>
    </row>
    <row r="296" spans="4:7" x14ac:dyDescent="0.35">
      <c r="D296" s="92" t="str">
        <f>IF('Casos de Prueba'!B296&lt;&gt;0,'Casos de Prueba'!B296&amp;"-"&amp;'Casos de Prueba'!C296,"")</f>
        <v/>
      </c>
      <c r="E296" s="92">
        <f>IF(LEN($C296)&gt;0,"",'Casos de Prueba'!D296)</f>
        <v>3</v>
      </c>
      <c r="F296" s="92" t="str">
        <f>IF(LEN($C296)&gt;0,"",'Casos de Prueba'!E296)</f>
        <v>Da clic en "Consultar Facturas Recibidas"</v>
      </c>
      <c r="G296" s="92" t="str">
        <f>IF(LEN($C296)&gt;0,"",'Casos de Prueba'!F296&amp;CHAR(10)&amp;'Casos de Prueba'!G296)</f>
        <v xml:space="preserve">El sistema muestra las opciones:
- Folio Fiscal * (está opción esta habilitada por default)
Los siguientes campos se muestran deshabilitados:
•	Año (*)
•	Mes (*)
•	Día.
•	Hora Inicial.
•	Hora Final.
•	RFC Emisor 
•	RFC a cuenta terceros 
•	Estado del Comprobante
•	Tipo de Comprobante (complemento)
•Estatus cancelación
</v>
      </c>
    </row>
    <row r="297" spans="4:7" x14ac:dyDescent="0.35">
      <c r="D297" s="92" t="str">
        <f>IF('Casos de Prueba'!B297&lt;&gt;0,'Casos de Prueba'!B297&amp;"-"&amp;'Casos de Prueba'!C297,"")</f>
        <v/>
      </c>
      <c r="E297" s="92">
        <f>IF(LEN($C297)&gt;0,"",'Casos de Prueba'!D297)</f>
        <v>4</v>
      </c>
      <c r="F297" s="92" t="str">
        <f>IF(LEN($C297)&gt;0,"",'Casos de Prueba'!E297)</f>
        <v>Selecciona la opción de Periodo de Fechas</v>
      </c>
      <c r="G297" s="92" t="str">
        <f>IF(LEN($C297)&gt;0,"",'Casos de Prueba'!F297&amp;CHAR(10)&amp;'Casos de Prueba'!G297)</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	Estatus Cancelación 
</v>
      </c>
    </row>
    <row r="298" spans="4:7" x14ac:dyDescent="0.35">
      <c r="D298" s="92" t="str">
        <f>IF('Casos de Prueba'!B298&lt;&gt;0,'Casos de Prueba'!B298&amp;"-"&amp;'Casos de Prueba'!C298,"")</f>
        <v/>
      </c>
      <c r="E298" s="92">
        <f>IF(LEN($C298)&gt;0,"",'Casos de Prueba'!D298)</f>
        <v>5</v>
      </c>
      <c r="F298" s="92" t="str">
        <f>IF(LEN($C298)&gt;0,"",'Casos de Prueba'!E298)</f>
        <v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 </v>
      </c>
      <c r="G298" s="92" t="str">
        <f>IF(LEN($C298)&gt;0,"",'Casos de Prueba'!F298&amp;CHAR(10)&amp;'Casos de Prueba'!G298)</f>
        <v xml:space="preserve">El sistema muestra los datos que se van ingresando 
</v>
      </c>
    </row>
    <row r="299" spans="4:7" x14ac:dyDescent="0.35">
      <c r="D299" s="92" t="str">
        <f>IF('Casos de Prueba'!B299&lt;&gt;0,'Casos de Prueba'!B299&amp;"-"&amp;'Casos de Prueba'!C299,"")</f>
        <v/>
      </c>
      <c r="E299" s="92">
        <f>IF(LEN($C299)&gt;0,"",'Casos de Prueba'!D299)</f>
        <v>6</v>
      </c>
      <c r="F299" s="92" t="str">
        <f>IF(LEN($C299)&gt;0,"",'Casos de Prueba'!E299)</f>
        <v>Da clic en el botón Buscar CFDI</v>
      </c>
      <c r="G299" s="92" t="str">
        <f>IF(LEN($C299)&gt;0,"",'Casos de Prueba'!F299&amp;CHAR(10)&amp;'Casos de Prueba'!G299)</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300" spans="4:7" x14ac:dyDescent="0.35">
      <c r="D300" s="92" t="str">
        <f>IF('Casos de Prueba'!B300&lt;&gt;0,'Casos de Prueba'!B300&amp;"-"&amp;'Casos de Prueba'!C300,"")</f>
        <v/>
      </c>
      <c r="E300" s="92">
        <f>IF(LEN($C300)&gt;0,"",'Casos de Prueba'!D300)</f>
        <v>7</v>
      </c>
      <c r="F300" s="92" t="str">
        <f>IF(LEN($C300)&gt;0,"",'Casos de Prueba'!E300)</f>
        <v>Da clic en Salir</v>
      </c>
      <c r="G300" s="92" t="str">
        <f>IF(LEN($C300)&gt;0,"",'Casos de Prueba'!F300&amp;CHAR(10)&amp;'Casos de Prueba'!G300)</f>
        <v xml:space="preserve">Cierra la sesión del RFC
</v>
      </c>
    </row>
    <row r="301" spans="4:7" x14ac:dyDescent="0.35">
      <c r="D301" s="92" t="str">
        <f>IF('Casos de Prueba'!B301&lt;&gt;0,'Casos de Prueba'!B301&amp;"-"&amp;'Casos de Prueba'!C301,"")</f>
        <v>CP34-Recuperar acuse estatus final de Cancelación</v>
      </c>
      <c r="E301" s="92"/>
      <c r="F301" s="92"/>
      <c r="G301" s="92"/>
    </row>
    <row r="302" spans="4:7" x14ac:dyDescent="0.35">
      <c r="D302" s="92" t="str">
        <f>IF('Casos de Prueba'!B302&lt;&gt;0,'Casos de Prueba'!B302&amp;"-"&amp;'Casos de Prueba'!C302,"")</f>
        <v/>
      </c>
      <c r="E302" s="92">
        <f>IF(LEN($C302)&gt;0,"",'Casos de Prueba'!D302)</f>
        <v>1</v>
      </c>
      <c r="F302" s="92" t="str">
        <f>IF(LEN($C302)&gt;0,"",'Casos de Prueba'!E302)</f>
        <v>Seleccionar la opción Consulta CFDI</v>
      </c>
      <c r="G302" s="92" t="str">
        <f>IF(LEN($C302)&gt;0,"",'Casos de Prueba'!F302&amp;CHAR(10)&amp;'Casos de Prueba'!G302)</f>
        <v xml:space="preserve">El sistema muestra las opciones:
 - Factura Electrónica
 - Retenciones e Inf. de Pagos
El Usuario previamente se autenticó  y accedió al Portal Privado Contribuyente CFDI
</v>
      </c>
    </row>
    <row r="303" spans="4:7" x14ac:dyDescent="0.35">
      <c r="D303" s="92" t="str">
        <f>IF('Casos de Prueba'!B303&lt;&gt;0,'Casos de Prueba'!B303&amp;"-"&amp;'Casos de Prueba'!C303,"")</f>
        <v/>
      </c>
      <c r="E303" s="92">
        <f>IF(LEN($C303)&gt;0,"",'Casos de Prueba'!D303)</f>
        <v>2</v>
      </c>
      <c r="F303" s="92" t="str">
        <f>IF(LEN($C303)&gt;0,"",'Casos de Prueba'!E303)</f>
        <v>Selecciona la opción Factura Electrónica</v>
      </c>
      <c r="G303" s="92" t="str">
        <f>IF(LEN($C303)&gt;0,"",'Casos de Prueba'!F303&amp;CHAR(10)&amp;'Casos de Prueba'!G303)</f>
        <v xml:space="preserve">El sistema muestra las siguientes opciones:
-Consultar Facturas Recibidas
-Consulta Facturas Recibidas
-Recuperar Descargas de CFDI
-Consultar Solicitudes de Cancelación
</v>
      </c>
    </row>
    <row r="304" spans="4:7" x14ac:dyDescent="0.35">
      <c r="D304" s="92" t="str">
        <f>IF('Casos de Prueba'!B304&lt;&gt;0,'Casos de Prueba'!B304&amp;"-"&amp;'Casos de Prueba'!C304,"")</f>
        <v/>
      </c>
      <c r="E304" s="92">
        <f>IF(LEN($C304)&gt;0,"",'Casos de Prueba'!D304)</f>
        <v>3</v>
      </c>
      <c r="F304" s="92" t="str">
        <f>IF(LEN($C304)&gt;0,"",'Casos de Prueba'!E304)</f>
        <v>Da clic en "Consultar Facturas Recibidas"</v>
      </c>
      <c r="G304" s="92" t="str">
        <f>IF(LEN($C304)&gt;0,"",'Casos de Prueba'!F304&amp;CHAR(10)&amp;'Casos de Prueba'!G304)</f>
        <v xml:space="preserve">El sistema muestra las siguientes opciones de búsqueda:
- Folio Fiscal
- Periodo de Fechas
</v>
      </c>
    </row>
    <row r="305" spans="4:7" x14ac:dyDescent="0.35">
      <c r="D305" s="92" t="str">
        <f>IF('Casos de Prueba'!B305&lt;&gt;0,'Casos de Prueba'!B305&amp;"-"&amp;'Casos de Prueba'!C305,"")</f>
        <v/>
      </c>
      <c r="E305" s="92">
        <f>IF(LEN($C305)&gt;0,"",'Casos de Prueba'!D305)</f>
        <v>4</v>
      </c>
      <c r="F305" s="92" t="str">
        <f>IF(LEN($C305)&gt;0,"",'Casos de Prueba'!E305)</f>
        <v>Selecciona la opción Folio Fiscal</v>
      </c>
      <c r="G305" s="92" t="str">
        <f>IF(LEN($C305)&gt;0,"",'Casos de Prueba'!F305&amp;CHAR(10)&amp;'Casos de Prueba'!G305)</f>
        <v xml:space="preserve">El sistema habilita el campo de FOLIO FISCAL
Aplica las Reglas de Negocio: (RN02) 
</v>
      </c>
    </row>
    <row r="306" spans="4:7" x14ac:dyDescent="0.35">
      <c r="D306" s="92" t="str">
        <f>IF('Casos de Prueba'!B306&lt;&gt;0,'Casos de Prueba'!B306&amp;"-"&amp;'Casos de Prueba'!C306,"")</f>
        <v/>
      </c>
      <c r="E306" s="92">
        <f>IF(LEN($C306)&gt;0,"",'Casos de Prueba'!D306)</f>
        <v>5</v>
      </c>
      <c r="F306" s="92" t="str">
        <f>IF(LEN($C306)&gt;0,"",'Casos de Prueba'!E306)</f>
        <v>Ingresa los datos del número de Folio Fiscal a buscar</v>
      </c>
      <c r="G306" s="92" t="str">
        <f>IF(LEN($C306)&gt;0,"",'Casos de Prueba'!F306&amp;CHAR(10)&amp;'Casos de Prueba'!G306)</f>
        <v>El sistema muestra los datos que se van ingresando
Aplica las Reglas de Negocio: (RN08 – Inciso c,d).</v>
      </c>
    </row>
    <row r="307" spans="4:7" x14ac:dyDescent="0.35">
      <c r="D307" s="92" t="str">
        <f>IF('Casos de Prueba'!B307&lt;&gt;0,'Casos de Prueba'!B307&amp;"-"&amp;'Casos de Prueba'!C307,"")</f>
        <v/>
      </c>
      <c r="E307" s="92">
        <f>IF(LEN($C307)&gt;0,"",'Casos de Prueba'!D307)</f>
        <v>6</v>
      </c>
      <c r="F307" s="92" t="str">
        <f>IF(LEN($C307)&gt;0,"",'Casos de Prueba'!E307)</f>
        <v xml:space="preserve">Da clic en el botón Buscar CFDI
</v>
      </c>
      <c r="G307" s="92" t="str">
        <f>IF(LEN($C307)&gt;0,"",'Casos de Prueba'!F307&amp;CHAR(10)&amp;'Casos de Prueba'!G307)</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308" spans="4:7" x14ac:dyDescent="0.35">
      <c r="D308" s="92" t="str">
        <f>IF('Casos de Prueba'!B308&lt;&gt;0,'Casos de Prueba'!B308&amp;"-"&amp;'Casos de Prueba'!C308,"")</f>
        <v/>
      </c>
      <c r="E308" s="92">
        <f>IF(LEN($C308)&gt;0,"",'Casos de Prueba'!D308)</f>
        <v>7</v>
      </c>
      <c r="F308" s="92" t="str">
        <f>IF(LEN($C308)&gt;0,"",'Casos de Prueba'!E308)</f>
        <v>Dar clic en la imagen en 
Recuperar acuse estatus final.   
(Visible solo cuando contenga acuse)</v>
      </c>
      <c r="G308" s="92" t="str">
        <f>IF(LEN($C308)&gt;0,"",'Casos de Prueba'!F308&amp;CHAR(10)&amp;'Casos de Prueba'!G308)</f>
        <v>El sistema comienza la descarga del acuse de cancelación
El acuse de cancelación se conforma:
•	Folio Fiscal
•	RFC Receptor
•	RFC Emisor
•	Estado CFDI
•	Estado de Cancelación
•	Motivo de Cancelación
•	Número de serie de la e.firma o CSD 
•	Fecha de solicitud de la cancelación
•	Mensaje de Error
•	Fecha
•	Sello digital SAT</v>
      </c>
    </row>
    <row r="309" spans="4:7" x14ac:dyDescent="0.35">
      <c r="D309" s="92" t="str">
        <f>IF('Casos de Prueba'!B309&lt;&gt;0,'Casos de Prueba'!B309&amp;"-"&amp;'Casos de Prueba'!C309,"")</f>
        <v/>
      </c>
      <c r="E309" s="92">
        <f>IF(LEN($C309)&gt;0,"",'Casos de Prueba'!D309)</f>
        <v>8</v>
      </c>
      <c r="F309" s="92" t="str">
        <f>IF(LEN($C309)&gt;0,"",'Casos de Prueba'!E309)</f>
        <v>Da clic en Salir</v>
      </c>
      <c r="G309" s="92" t="str">
        <f>IF(LEN($C309)&gt;0,"",'Casos de Prueba'!F309&amp;CHAR(10)&amp;'Casos de Prueba'!G309)</f>
        <v xml:space="preserve">Cierra la sesión del RFC
</v>
      </c>
    </row>
    <row r="310" spans="4:7" x14ac:dyDescent="0.35">
      <c r="D310" s="92" t="str">
        <f>IF('Casos de Prueba'!B310&lt;&gt;0,'Casos de Prueba'!B310&amp;"-"&amp;'Casos de Prueba'!C310,"")</f>
        <v>CP35-Recuperar acuse estatus final de Cancelación</v>
      </c>
      <c r="E310" s="92"/>
      <c r="F310" s="92"/>
      <c r="G310" s="92"/>
    </row>
    <row r="311" spans="4:7" x14ac:dyDescent="0.35">
      <c r="D311" s="92" t="str">
        <f>IF('Casos de Prueba'!B311&lt;&gt;0,'Casos de Prueba'!B311&amp;"-"&amp;'Casos de Prueba'!C311,"")</f>
        <v/>
      </c>
      <c r="E311" s="92">
        <f>IF(LEN($C311)&gt;0,"",'Casos de Prueba'!D311)</f>
        <v>1</v>
      </c>
      <c r="F311" s="92" t="str">
        <f>IF(LEN($C311)&gt;0,"",'Casos de Prueba'!E311)</f>
        <v>Seleccionar la opción Consulta CFDI</v>
      </c>
      <c r="G311" s="92" t="str">
        <f>IF(LEN($C311)&gt;0,"",'Casos de Prueba'!F311&amp;CHAR(10)&amp;'Casos de Prueba'!G311)</f>
        <v xml:space="preserve">El sistema muestra las opciones:
 - Factura Electrónica
 - Retenciones e Inf. de Pagos
El Usuario previamente se autenticó  y accedió al Portal Privado Contribuyente CFDI
</v>
      </c>
    </row>
    <row r="312" spans="4:7" x14ac:dyDescent="0.35">
      <c r="D312" s="92" t="str">
        <f>IF('Casos de Prueba'!B312&lt;&gt;0,'Casos de Prueba'!B312&amp;"-"&amp;'Casos de Prueba'!C312,"")</f>
        <v/>
      </c>
      <c r="E312" s="92">
        <f>IF(LEN($C312)&gt;0,"",'Casos de Prueba'!D312)</f>
        <v>2</v>
      </c>
      <c r="F312" s="92" t="str">
        <f>IF(LEN($C312)&gt;0,"",'Casos de Prueba'!E312)</f>
        <v>Selecciona la opción Factura Electrónica</v>
      </c>
      <c r="G312" s="92" t="str">
        <f>IF(LEN($C312)&gt;0,"",'Casos de Prueba'!F312&amp;CHAR(10)&amp;'Casos de Prueba'!G312)</f>
        <v xml:space="preserve">El sistema muestra las siguientes opciones:
-Consultar Facturas Emitidas
-Consulta Facturas Recibidas
-Recuperar Descargas de CFDI
-Consultar Solicitudes de Cancelación
</v>
      </c>
    </row>
    <row r="313" spans="4:7" x14ac:dyDescent="0.35">
      <c r="D313" s="92" t="str">
        <f>IF('Casos de Prueba'!B313&lt;&gt;0,'Casos de Prueba'!B313&amp;"-"&amp;'Casos de Prueba'!C313,"")</f>
        <v/>
      </c>
      <c r="E313" s="92">
        <f>IF(LEN($C313)&gt;0,"",'Casos de Prueba'!D313)</f>
        <v>3</v>
      </c>
      <c r="F313" s="92" t="str">
        <f>IF(LEN($C313)&gt;0,"",'Casos de Prueba'!E313)</f>
        <v>Da clic en "Consultar Facturas Recibidas"</v>
      </c>
      <c r="G313" s="92" t="str">
        <f>IF(LEN($C313)&gt;0,"",'Casos de Prueba'!F313&amp;CHAR(10)&amp;'Casos de Prueba'!G313)</f>
        <v xml:space="preserve">El sistema muestra las opciones:
- Folio Fiscal * (está opción esta habilitada por default)
Los siguientes campos se muestran deshabilitados:
	Año (*)
•	Mes (*)
•	Día.
•	Hora Inicial.
•	Hora Final.
•	RFC Emisor 
•	RFC a cuenta terceros 
•	Estado del Comprobante
•	Tipo de Comprobante 
•Estatus cancelación
</v>
      </c>
    </row>
    <row r="314" spans="4:7" x14ac:dyDescent="0.35">
      <c r="D314" s="92" t="str">
        <f>IF('Casos de Prueba'!B314&lt;&gt;0,'Casos de Prueba'!B314&amp;"-"&amp;'Casos de Prueba'!C314,"")</f>
        <v/>
      </c>
      <c r="E314" s="92">
        <f>IF(LEN($C314)&gt;0,"",'Casos de Prueba'!D314)</f>
        <v>4</v>
      </c>
      <c r="F314" s="92" t="str">
        <f>IF(LEN($C314)&gt;0,"",'Casos de Prueba'!E314)</f>
        <v>Selecciona la opción de Periodo de Fechas</v>
      </c>
      <c r="G314" s="92" t="str">
        <f>IF(LEN($C314)&gt;0,"",'Casos de Prueba'!F314&amp;CHAR(10)&amp;'Casos de Prueba'!G314)</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	Estatus Cancelación 
</v>
      </c>
    </row>
    <row r="315" spans="4:7" x14ac:dyDescent="0.35">
      <c r="D315" s="92" t="str">
        <f>IF('Casos de Prueba'!B315&lt;&gt;0,'Casos de Prueba'!B315&amp;"-"&amp;'Casos de Prueba'!C315,"")</f>
        <v/>
      </c>
      <c r="E315" s="92">
        <f>IF(LEN($C315)&gt;0,"",'Casos de Prueba'!D315)</f>
        <v>5</v>
      </c>
      <c r="F315" s="92" t="str">
        <f>IF(LEN($C315)&gt;0,"",'Casos de Prueba'!E315)</f>
        <v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 </v>
      </c>
      <c r="G315" s="92" t="str">
        <f>IF(LEN($C315)&gt;0,"",'Casos de Prueba'!F315&amp;CHAR(10)&amp;'Casos de Prueba'!G315)</f>
        <v xml:space="preserve">El sistema muestra los datos que se van ingresando 
</v>
      </c>
    </row>
    <row r="316" spans="4:7" x14ac:dyDescent="0.35">
      <c r="D316" s="92" t="str">
        <f>IF('Casos de Prueba'!B316&lt;&gt;0,'Casos de Prueba'!B316&amp;"-"&amp;'Casos de Prueba'!C316,"")</f>
        <v/>
      </c>
      <c r="E316" s="92">
        <f>IF(LEN($C316)&gt;0,"",'Casos de Prueba'!D316)</f>
        <v>6</v>
      </c>
      <c r="F316" s="92" t="str">
        <f>IF(LEN($C316)&gt;0,"",'Casos de Prueba'!E316)</f>
        <v>Da clic en el botón Buscar CFDI</v>
      </c>
      <c r="G316" s="92" t="str">
        <f>IF(LEN($C316)&gt;0,"",'Casos de Prueba'!F316&amp;CHAR(10)&amp;'Casos de Prueba'!G316)</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317" spans="4:7" x14ac:dyDescent="0.35">
      <c r="D317" s="92" t="str">
        <f>IF('Casos de Prueba'!B317&lt;&gt;0,'Casos de Prueba'!B317&amp;"-"&amp;'Casos de Prueba'!C317,"")</f>
        <v/>
      </c>
      <c r="E317" s="92">
        <f>IF(LEN($C317)&gt;0,"",'Casos de Prueba'!D317)</f>
        <v>7</v>
      </c>
      <c r="F317" s="92" t="str">
        <f>IF(LEN($C317)&gt;0,"",'Casos de Prueba'!E317)</f>
        <v>Dar clic en la imagen en 
Recuperar acuse estatus final.   
(Visible solo cuando contenga acuse)
Para este caso de prueba, los resultados deben incluir un comprobante que tenga un acuse.</v>
      </c>
      <c r="G317" s="92" t="str">
        <f>IF(LEN($C317)&gt;0,"",'Casos de Prueba'!F317&amp;CHAR(10)&amp;'Casos de Prueba'!G317)</f>
        <v>El sistema comienza la descarga del acuse de cancelación
El acuse de cancelación se conforma:
•	Folio Fiscal
•	RFC Receptor
•	RFC Emisor
•	Estado CFDI
•	Estado de Cancelación
•	Motivo de Cancelación
•	Número de serie de la e.firma o CSD 
•	Fecha de solicitud de la cancelación
•	Mensaje de Error
•	Fecha
•	Sello digital SAT</v>
      </c>
    </row>
    <row r="318" spans="4:7" x14ac:dyDescent="0.35">
      <c r="D318" s="92" t="str">
        <f>IF('Casos de Prueba'!B318&lt;&gt;0,'Casos de Prueba'!B318&amp;"-"&amp;'Casos de Prueba'!C318,"")</f>
        <v/>
      </c>
      <c r="E318" s="92">
        <f>IF(LEN($C318)&gt;0,"",'Casos de Prueba'!D318)</f>
        <v>8</v>
      </c>
      <c r="F318" s="92" t="str">
        <f>IF(LEN($C318)&gt;0,"",'Casos de Prueba'!E318)</f>
        <v>Da clic en Salir</v>
      </c>
      <c r="G318" s="92" t="str">
        <f>IF(LEN($C318)&gt;0,"",'Casos de Prueba'!F318&amp;CHAR(10)&amp;'Casos de Prueba'!G318)</f>
        <v xml:space="preserve">Cierra la sesión del RFC
</v>
      </c>
    </row>
    <row r="319" spans="4:7" x14ac:dyDescent="0.35">
      <c r="D319" s="92" t="str">
        <f>IF('Casos de Prueba'!B319&lt;&gt;0,'Casos de Prueba'!B319&amp;"-"&amp;'Casos de Prueba'!C319,"")</f>
        <v xml:space="preserve">CP36-Recuperar acuse de solicitud de cancelación  </v>
      </c>
      <c r="E319" s="92"/>
      <c r="F319" s="92"/>
      <c r="G319" s="92"/>
    </row>
    <row r="320" spans="4:7" x14ac:dyDescent="0.35">
      <c r="D320" s="92" t="str">
        <f>IF('Casos de Prueba'!B320&lt;&gt;0,'Casos de Prueba'!B320&amp;"-"&amp;'Casos de Prueba'!C320,"")</f>
        <v/>
      </c>
      <c r="E320" s="92">
        <f>IF(LEN($C320)&gt;0,"",'Casos de Prueba'!D320)</f>
        <v>1</v>
      </c>
      <c r="F320" s="92" t="str">
        <f>IF(LEN($C320)&gt;0,"",'Casos de Prueba'!E320)</f>
        <v>Seleccionar la opción Consulta CFDI</v>
      </c>
      <c r="G320" s="92" t="str">
        <f>IF(LEN($C320)&gt;0,"",'Casos de Prueba'!F320&amp;CHAR(10)&amp;'Casos de Prueba'!G320)</f>
        <v xml:space="preserve">El sistema muestra las opciones:
 - Factura Electrónica
 - Retenciones e Inf. de Pagos
El Usuario previamente se autenticó  y accedió al Portal Privado Contribuyente CFDI
</v>
      </c>
    </row>
    <row r="321" spans="4:7" x14ac:dyDescent="0.35">
      <c r="D321" s="92" t="str">
        <f>IF('Casos de Prueba'!B321&lt;&gt;0,'Casos de Prueba'!B321&amp;"-"&amp;'Casos de Prueba'!C321,"")</f>
        <v/>
      </c>
      <c r="E321" s="92">
        <f>IF(LEN($C321)&gt;0,"",'Casos de Prueba'!D321)</f>
        <v>2</v>
      </c>
      <c r="F321" s="92" t="str">
        <f>IF(LEN($C321)&gt;0,"",'Casos de Prueba'!E321)</f>
        <v>Selecciona la opción Factura Electrónica</v>
      </c>
      <c r="G321" s="92" t="str">
        <f>IF(LEN($C321)&gt;0,"",'Casos de Prueba'!F321&amp;CHAR(10)&amp;'Casos de Prueba'!G321)</f>
        <v xml:space="preserve">El sistema muestra las siguientes opciones:
-Consultar Facturas Recibidas
-Consulta Facturas Recibidas
-Recuperar Descargas de CFDI
-Consultar Solicitudes de Cancelación
</v>
      </c>
    </row>
    <row r="322" spans="4:7" x14ac:dyDescent="0.35">
      <c r="D322" s="92" t="str">
        <f>IF('Casos de Prueba'!B322&lt;&gt;0,'Casos de Prueba'!B322&amp;"-"&amp;'Casos de Prueba'!C322,"")</f>
        <v/>
      </c>
      <c r="E322" s="92">
        <f>IF(LEN($C322)&gt;0,"",'Casos de Prueba'!D322)</f>
        <v>3</v>
      </c>
      <c r="F322" s="92" t="str">
        <f>IF(LEN($C322)&gt;0,"",'Casos de Prueba'!E322)</f>
        <v>Da clic en "Consultar Facturas Recibidas"</v>
      </c>
      <c r="G322" s="92" t="str">
        <f>IF(LEN($C322)&gt;0,"",'Casos de Prueba'!F322&amp;CHAR(10)&amp;'Casos de Prueba'!G322)</f>
        <v xml:space="preserve">El sistema muestra las siguientes opciones de búsqueda:
- Folio Fiscal
- Periodo de Fechas
</v>
      </c>
    </row>
    <row r="323" spans="4:7" x14ac:dyDescent="0.35">
      <c r="D323" s="92" t="str">
        <f>IF('Casos de Prueba'!B323&lt;&gt;0,'Casos de Prueba'!B323&amp;"-"&amp;'Casos de Prueba'!C323,"")</f>
        <v/>
      </c>
      <c r="E323" s="92">
        <f>IF(LEN($C323)&gt;0,"",'Casos de Prueba'!D323)</f>
        <v>4</v>
      </c>
      <c r="F323" s="92" t="str">
        <f>IF(LEN($C323)&gt;0,"",'Casos de Prueba'!E323)</f>
        <v>Selecciona la opción Folio Fiscal</v>
      </c>
      <c r="G323" s="92" t="str">
        <f>IF(LEN($C323)&gt;0,"",'Casos de Prueba'!F323&amp;CHAR(10)&amp;'Casos de Prueba'!G323)</f>
        <v xml:space="preserve">El sistema habilita el campo de FOLIO FISCAL
Aplica las Reglas de Negocio: (RN02) 
</v>
      </c>
    </row>
    <row r="324" spans="4:7" x14ac:dyDescent="0.35">
      <c r="D324" s="92" t="str">
        <f>IF('Casos de Prueba'!B324&lt;&gt;0,'Casos de Prueba'!B324&amp;"-"&amp;'Casos de Prueba'!C324,"")</f>
        <v/>
      </c>
      <c r="E324" s="92">
        <f>IF(LEN($C324)&gt;0,"",'Casos de Prueba'!D324)</f>
        <v>5</v>
      </c>
      <c r="F324" s="92" t="str">
        <f>IF(LEN($C324)&gt;0,"",'Casos de Prueba'!E324)</f>
        <v>Ingresa los datos del número de Folio Fiscal a buscar</v>
      </c>
      <c r="G324" s="92" t="str">
        <f>IF(LEN($C324)&gt;0,"",'Casos de Prueba'!F324&amp;CHAR(10)&amp;'Casos de Prueba'!G324)</f>
        <v>El sistema muestra los datos que se van ingresando
Aplica las Reglas de Negocio: (RN08 – Inciso c,d).</v>
      </c>
    </row>
    <row r="325" spans="4:7" x14ac:dyDescent="0.35">
      <c r="D325" s="92" t="str">
        <f>IF('Casos de Prueba'!B325&lt;&gt;0,'Casos de Prueba'!B325&amp;"-"&amp;'Casos de Prueba'!C325,"")</f>
        <v/>
      </c>
      <c r="E325" s="92">
        <f>IF(LEN($C325)&gt;0,"",'Casos de Prueba'!D325)</f>
        <v>6</v>
      </c>
      <c r="F325" s="92" t="str">
        <f>IF(LEN($C325)&gt;0,"",'Casos de Prueba'!E325)</f>
        <v xml:space="preserve">Da clic en el botón Buscar CFDI
</v>
      </c>
      <c r="G325" s="92" t="str">
        <f>IF(LEN($C325)&gt;0,"",'Casos de Prueba'!F325&amp;CHAR(10)&amp;'Casos de Prueba'!G325)</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326" spans="4:7" x14ac:dyDescent="0.35">
      <c r="D326" s="92" t="str">
        <f>IF('Casos de Prueba'!B326&lt;&gt;0,'Casos de Prueba'!B326&amp;"-"&amp;'Casos de Prueba'!C326,"")</f>
        <v/>
      </c>
      <c r="E326" s="92">
        <f>IF(LEN($C326)&gt;0,"",'Casos de Prueba'!D326)</f>
        <v>7</v>
      </c>
      <c r="F326" s="92" t="str">
        <f>IF(LEN($C326)&gt;0,"",'Casos de Prueba'!E326)</f>
        <v>Dar clic en la imagen en 
Recuperar acuse de solicitud de cancelación.
(Visible solo cuando contenga acuse de solicitud)</v>
      </c>
      <c r="G326" s="92" t="str">
        <f>IF(LEN($C326)&gt;0,"",'Casos de Prueba'!F326&amp;CHAR(10)&amp;'Casos de Prueba'!G326)</f>
        <v>El sistema comienza la descarga del acuse de solicitud de cancelación
El acuse de solicitud de cancelación se conforma:
•	Fecha y hora de solicitud
•	RFC Emisor
•	Folio Fiscal
•	Estatus de Proceso de Cancelación
•	Motivo de Cancelación
•	CFDI Reemplaza
•	Número de serie de la e.firma o CSD 
•	Sello digital SAT</v>
      </c>
    </row>
    <row r="327" spans="4:7" x14ac:dyDescent="0.35">
      <c r="D327" s="92" t="str">
        <f>IF('Casos de Prueba'!B327&lt;&gt;0,'Casos de Prueba'!B327&amp;"-"&amp;'Casos de Prueba'!C327,"")</f>
        <v/>
      </c>
      <c r="E327" s="92">
        <f>IF(LEN($C327)&gt;0,"",'Casos de Prueba'!D327)</f>
        <v>8</v>
      </c>
      <c r="F327" s="92" t="str">
        <f>IF(LEN($C327)&gt;0,"",'Casos de Prueba'!E327)</f>
        <v>Da clic en Salir</v>
      </c>
      <c r="G327" s="92" t="str">
        <f>IF(LEN($C327)&gt;0,"",'Casos de Prueba'!F327&amp;CHAR(10)&amp;'Casos de Prueba'!G327)</f>
        <v xml:space="preserve">Cierra la sesión del RFC
</v>
      </c>
    </row>
    <row r="328" spans="4:7" x14ac:dyDescent="0.35">
      <c r="D328" s="92" t="str">
        <f>IF('Casos de Prueba'!B328&lt;&gt;0,'Casos de Prueba'!B328&amp;"-"&amp;'Casos de Prueba'!C328,"")</f>
        <v xml:space="preserve">CP37-Recuperar acuse de solicitud de cancelación  </v>
      </c>
      <c r="E328" s="92"/>
      <c r="F328" s="92"/>
      <c r="G328" s="92"/>
    </row>
    <row r="329" spans="4:7" x14ac:dyDescent="0.35">
      <c r="D329" s="92" t="str">
        <f>IF('Casos de Prueba'!B329&lt;&gt;0,'Casos de Prueba'!B329&amp;"-"&amp;'Casos de Prueba'!C329,"")</f>
        <v/>
      </c>
      <c r="E329" s="92">
        <f>IF(LEN($C329)&gt;0,"",'Casos de Prueba'!D329)</f>
        <v>1</v>
      </c>
      <c r="F329" s="92" t="str">
        <f>IF(LEN($C329)&gt;0,"",'Casos de Prueba'!E329)</f>
        <v>Seleccionar la opción Consulta CFDI</v>
      </c>
      <c r="G329" s="92" t="str">
        <f>IF(LEN($C329)&gt;0,"",'Casos de Prueba'!F329&amp;CHAR(10)&amp;'Casos de Prueba'!G329)</f>
        <v xml:space="preserve">El sistema muestra las opciones:
 - Factura Electrónica
 - Retenciones e Inf. de Pagos
El Usuario previamente se autenticó  y accedió al Portal Privado Contribuyente CFDI
</v>
      </c>
    </row>
    <row r="330" spans="4:7" x14ac:dyDescent="0.35">
      <c r="D330" s="92" t="str">
        <f>IF('Casos de Prueba'!B330&lt;&gt;0,'Casos de Prueba'!B330&amp;"-"&amp;'Casos de Prueba'!C330,"")</f>
        <v/>
      </c>
      <c r="E330" s="92">
        <f>IF(LEN($C330)&gt;0,"",'Casos de Prueba'!D330)</f>
        <v>2</v>
      </c>
      <c r="F330" s="92" t="str">
        <f>IF(LEN($C330)&gt;0,"",'Casos de Prueba'!E330)</f>
        <v>Selecciona la opción Factura Electrónica</v>
      </c>
      <c r="G330" s="92" t="str">
        <f>IF(LEN($C330)&gt;0,"",'Casos de Prueba'!F330&amp;CHAR(10)&amp;'Casos de Prueba'!G330)</f>
        <v xml:space="preserve">El sistema muestra las siguientes opciones:
-Consultar Facturas Emitidas
-Consulta Facturas Recibidas
-Recuperar Descargas de CFDI
-Consultar Solicitudes de Cancelación
</v>
      </c>
    </row>
    <row r="331" spans="4:7" x14ac:dyDescent="0.35">
      <c r="D331" s="92" t="str">
        <f>IF('Casos de Prueba'!B331&lt;&gt;0,'Casos de Prueba'!B331&amp;"-"&amp;'Casos de Prueba'!C331,"")</f>
        <v/>
      </c>
      <c r="E331" s="92">
        <f>IF(LEN($C331)&gt;0,"",'Casos de Prueba'!D331)</f>
        <v>3</v>
      </c>
      <c r="F331" s="92" t="str">
        <f>IF(LEN($C331)&gt;0,"",'Casos de Prueba'!E331)</f>
        <v>Da clic en "Consultar Facturas Recibidas"</v>
      </c>
      <c r="G331" s="92" t="str">
        <f>IF(LEN($C331)&gt;0,"",'Casos de Prueba'!F331&amp;CHAR(10)&amp;'Casos de Prueba'!G331)</f>
        <v xml:space="preserve">El sistema muestra las opciones:
- Folio Fiscal * (está opción esta habilitada por default)
Los siguientes campos se muestran deshabilitados:
	Año (*)
•	Mes (*)
•	Día.
•	Hora Inicial.
•	Hora Final.
•	RFC Emisor 
•	RFC a cuenta terceros 
•	Estado del Comprobante
•	Tipo de Comprobante
•Estatus cancelación
</v>
      </c>
    </row>
    <row r="332" spans="4:7" x14ac:dyDescent="0.35">
      <c r="D332" s="92" t="str">
        <f>IF('Casos de Prueba'!B332&lt;&gt;0,'Casos de Prueba'!B332&amp;"-"&amp;'Casos de Prueba'!C332,"")</f>
        <v/>
      </c>
      <c r="E332" s="92">
        <f>IF(LEN($C332)&gt;0,"",'Casos de Prueba'!D332)</f>
        <v>4</v>
      </c>
      <c r="F332" s="92" t="str">
        <f>IF(LEN($C332)&gt;0,"",'Casos de Prueba'!E332)</f>
        <v>Selecciona la opción de Periodo de Fechas</v>
      </c>
      <c r="G332" s="92" t="str">
        <f>IF(LEN($C332)&gt;0,"",'Casos de Prueba'!F332&amp;CHAR(10)&amp;'Casos de Prueba'!G332)</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(RN03).
•	Estatus Cancelación 
</v>
      </c>
    </row>
    <row r="333" spans="4:7" x14ac:dyDescent="0.35">
      <c r="D333" s="92" t="str">
        <f>IF('Casos de Prueba'!B333&lt;&gt;0,'Casos de Prueba'!B333&amp;"-"&amp;'Casos de Prueba'!C333,"")</f>
        <v/>
      </c>
      <c r="E333" s="92">
        <f>IF(LEN($C333)&gt;0,"",'Casos de Prueba'!D333)</f>
        <v>5</v>
      </c>
      <c r="F333" s="92" t="str">
        <f>IF(LEN($C333)&gt;0,"",'Casos de Prueba'!E333)</f>
        <v>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v>
      </c>
      <c r="G333" s="92" t="str">
        <f>IF(LEN($C333)&gt;0,"",'Casos de Prueba'!F333&amp;CHAR(10)&amp;'Casos de Prueba'!G333)</f>
        <v xml:space="preserve">El sistema muestra los datos que se van ingresando 
</v>
      </c>
    </row>
    <row r="334" spans="4:7" x14ac:dyDescent="0.35">
      <c r="D334" s="92" t="str">
        <f>IF('Casos de Prueba'!B334&lt;&gt;0,'Casos de Prueba'!B334&amp;"-"&amp;'Casos de Prueba'!C334,"")</f>
        <v/>
      </c>
      <c r="E334" s="92">
        <f>IF(LEN($C334)&gt;0,"",'Casos de Prueba'!D334)</f>
        <v>6</v>
      </c>
      <c r="F334" s="92" t="str">
        <f>IF(LEN($C334)&gt;0,"",'Casos de Prueba'!E334)</f>
        <v>Da clic en el botón Buscar CFDI</v>
      </c>
      <c r="G334" s="92" t="str">
        <f>IF(LEN($C334)&gt;0,"",'Casos de Prueba'!F334&amp;CHAR(10)&amp;'Casos de Prueba'!G334)</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y resultados de los registros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335" spans="4:7" x14ac:dyDescent="0.35">
      <c r="D335" s="92" t="str">
        <f>IF('Casos de Prueba'!B335&lt;&gt;0,'Casos de Prueba'!B335&amp;"-"&amp;'Casos de Prueba'!C335,"")</f>
        <v/>
      </c>
      <c r="E335" s="92">
        <f>IF(LEN($C335)&gt;0,"",'Casos de Prueba'!D335)</f>
        <v>7</v>
      </c>
      <c r="F335" s="92" t="str">
        <f>IF(LEN($C335)&gt;0,"",'Casos de Prueba'!E335)</f>
        <v>Dar clic en la imagen en 
Recuperar acuse de solicitud de cancelación.
(Visible solo cuando contenga acuse de solicitud)
Para este caso de prueba, los resultados deben incluir un comprobante que tenga la solicitud de cancelación de un comprobante.</v>
      </c>
      <c r="G335" s="92" t="str">
        <f>IF(LEN($C335)&gt;0,"",'Casos de Prueba'!F335&amp;CHAR(10)&amp;'Casos de Prueba'!G335)</f>
        <v>El sistema comienza la descarga del acuse de solicitud de cancelación
El acuse de solicitud de cancelación se conforma:
•	Fecha y hora de solicitud
•	RFC Emisor
•	Folio Fiscal
•	Estatus de Proceso de Cancelación
•	Motivo de Cancelación
•	CFDI Reemplaza
•	Número de serie de la e.firma o CSD 
•	Sello digital SAT</v>
      </c>
    </row>
    <row r="336" spans="4:7" x14ac:dyDescent="0.35">
      <c r="D336" s="92" t="str">
        <f>IF('Casos de Prueba'!B336&lt;&gt;0,'Casos de Prueba'!B336&amp;"-"&amp;'Casos de Prueba'!C336,"")</f>
        <v/>
      </c>
      <c r="E336" s="92">
        <f>IF(LEN($C336)&gt;0,"",'Casos de Prueba'!D336)</f>
        <v>8</v>
      </c>
      <c r="F336" s="92" t="str">
        <f>IF(LEN($C336)&gt;0,"",'Casos de Prueba'!E336)</f>
        <v>Da clic en Salir</v>
      </c>
      <c r="G336" s="92" t="str">
        <f>IF(LEN($C336)&gt;0,"",'Casos de Prueba'!F336&amp;CHAR(10)&amp;'Casos de Prueba'!G336)</f>
        <v xml:space="preserve">Cierra la sesión del RFC
</v>
      </c>
    </row>
    <row r="337" spans="4:7" x14ac:dyDescent="0.35">
      <c r="D337" s="92" t="str">
        <f>IF('Casos de Prueba'!B337&lt;&gt;0,'Casos de Prueba'!B337&amp;"-"&amp;'Casos de Prueba'!C337,"")</f>
        <v xml:space="preserve">CP38-Detalle CFDI (Ver detalle) </v>
      </c>
      <c r="E337" s="92"/>
      <c r="F337" s="92"/>
      <c r="G337" s="92"/>
    </row>
    <row r="338" spans="4:7" x14ac:dyDescent="0.35">
      <c r="D338" s="92" t="str">
        <f>IF('Casos de Prueba'!B338&lt;&gt;0,'Casos de Prueba'!B338&amp;"-"&amp;'Casos de Prueba'!C338,"")</f>
        <v/>
      </c>
      <c r="E338" s="92">
        <f>IF(LEN($C338)&gt;0,"",'Casos de Prueba'!D338)</f>
        <v>1</v>
      </c>
      <c r="F338" s="92" t="str">
        <f>IF(LEN($C338)&gt;0,"",'Casos de Prueba'!E338)</f>
        <v>Seleccionar la opción Consulta CFDI</v>
      </c>
      <c r="G338" s="92" t="str">
        <f>IF(LEN($C338)&gt;0,"",'Casos de Prueba'!F338&amp;CHAR(10)&amp;'Casos de Prueba'!G338)</f>
        <v xml:space="preserve">El sistema muestra las opciones:
 - Factura Electrónica
 - Retenciones e Inf. de Pagos
El Usuario previamente se autenticó  y accedió al Portal Privado Contribuyente CFDI
</v>
      </c>
    </row>
    <row r="339" spans="4:7" x14ac:dyDescent="0.35">
      <c r="D339" s="92" t="str">
        <f>IF('Casos de Prueba'!B339&lt;&gt;0,'Casos de Prueba'!B339&amp;"-"&amp;'Casos de Prueba'!C339,"")</f>
        <v/>
      </c>
      <c r="E339" s="92">
        <f>IF(LEN($C339)&gt;0,"",'Casos de Prueba'!D339)</f>
        <v>2</v>
      </c>
      <c r="F339" s="92" t="str">
        <f>IF(LEN($C339)&gt;0,"",'Casos de Prueba'!E339)</f>
        <v>Selecciona la opción Factura Electrónica</v>
      </c>
      <c r="G339" s="92" t="str">
        <f>IF(LEN($C339)&gt;0,"",'Casos de Prueba'!F339&amp;CHAR(10)&amp;'Casos de Prueba'!G339)</f>
        <v xml:space="preserve">El sistema muestra las siguientes opciones:
-Consultar Facturas Emitidas 
-Consulta Facturas Recibidas
-Recuperar Descargas de CFDI
-Consultar Solicitudes de Cancelación
</v>
      </c>
    </row>
    <row r="340" spans="4:7" x14ac:dyDescent="0.35">
      <c r="D340" s="92" t="str">
        <f>IF('Casos de Prueba'!B340&lt;&gt;0,'Casos de Prueba'!B340&amp;"-"&amp;'Casos de Prueba'!C340,"")</f>
        <v/>
      </c>
      <c r="E340" s="92">
        <f>IF(LEN($C340)&gt;0,"",'Casos de Prueba'!D340)</f>
        <v>3</v>
      </c>
      <c r="F340" s="92" t="str">
        <f>IF(LEN($C340)&gt;0,"",'Casos de Prueba'!E340)</f>
        <v>Da clic en "Consultar Facturas Recibidas"</v>
      </c>
      <c r="G340" s="92" t="str">
        <f>IF(LEN($C340)&gt;0,"",'Casos de Prueba'!F340&amp;CHAR(10)&amp;'Casos de Prueba'!G340)</f>
        <v xml:space="preserve">El sistema muestra las siguientes opciones de búsqueda:
- Folio Fiscal
- Periodo de Fechas
</v>
      </c>
    </row>
    <row r="341" spans="4:7" x14ac:dyDescent="0.35">
      <c r="D341" s="92" t="str">
        <f>IF('Casos de Prueba'!B341&lt;&gt;0,'Casos de Prueba'!B341&amp;"-"&amp;'Casos de Prueba'!C341,"")</f>
        <v/>
      </c>
      <c r="E341" s="92">
        <f>IF(LEN($C341)&gt;0,"",'Casos de Prueba'!D341)</f>
        <v>4</v>
      </c>
      <c r="F341" s="92" t="str">
        <f>IF(LEN($C341)&gt;0,"",'Casos de Prueba'!E341)</f>
        <v>Selecciona la opción Folio Fiscal</v>
      </c>
      <c r="G341" s="92" t="str">
        <f>IF(LEN($C341)&gt;0,"",'Casos de Prueba'!F341&amp;CHAR(10)&amp;'Casos de Prueba'!G341)</f>
        <v xml:space="preserve">El sistema habilita el campo de FOLIO FISCAL
Aplica las Reglas de Negocio: (RN02) 
</v>
      </c>
    </row>
    <row r="342" spans="4:7" x14ac:dyDescent="0.35">
      <c r="D342" s="92" t="str">
        <f>IF('Casos de Prueba'!B342&lt;&gt;0,'Casos de Prueba'!B342&amp;"-"&amp;'Casos de Prueba'!C342,"")</f>
        <v/>
      </c>
      <c r="E342" s="92">
        <f>IF(LEN($C342)&gt;0,"",'Casos de Prueba'!D342)</f>
        <v>5</v>
      </c>
      <c r="F342" s="92" t="str">
        <f>IF(LEN($C342)&gt;0,"",'Casos de Prueba'!E342)</f>
        <v>Ingresa los datos del número de Folio Fiscal a buscar</v>
      </c>
      <c r="G342" s="92" t="str">
        <f>IF(LEN($C342)&gt;0,"",'Casos de Prueba'!F342&amp;CHAR(10)&amp;'Casos de Prueba'!G342)</f>
        <v>El sistema muestra los datos que se van ingresando
Aplica las Reglas de Negocio: (RN08 – Inciso c,d).</v>
      </c>
    </row>
    <row r="343" spans="4:7" x14ac:dyDescent="0.35">
      <c r="D343" s="92" t="str">
        <f>IF('Casos de Prueba'!B343&lt;&gt;0,'Casos de Prueba'!B343&amp;"-"&amp;'Casos de Prueba'!C343,"")</f>
        <v/>
      </c>
      <c r="E343" s="92">
        <f>IF(LEN($C343)&gt;0,"",'Casos de Prueba'!D343)</f>
        <v>6</v>
      </c>
      <c r="F343" s="92" t="str">
        <f>IF(LEN($C343)&gt;0,"",'Casos de Prueba'!E343)</f>
        <v xml:space="preserve">Da clic en el botón Buscar CFDI
</v>
      </c>
      <c r="G343" s="92" t="str">
        <f>IF(LEN($C343)&gt;0,"",'Casos de Prueba'!F343&amp;CHAR(10)&amp;'Casos de Prueba'!G343)</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344" spans="4:7" x14ac:dyDescent="0.35">
      <c r="D344" s="92" t="str">
        <f>IF('Casos de Prueba'!B344&lt;&gt;0,'Casos de Prueba'!B344&amp;"-"&amp;'Casos de Prueba'!C344,"")</f>
        <v/>
      </c>
      <c r="E344" s="92">
        <f>IF(LEN($C344)&gt;0,"",'Casos de Prueba'!D344)</f>
        <v>7</v>
      </c>
      <c r="F344" s="92" t="str">
        <f>IF(LEN($C344)&gt;0,"",'Casos de Prueba'!E344)</f>
        <v xml:space="preserve">Dar clic en la imagen 
Detalle CFDI (Ver detalle) </v>
      </c>
      <c r="G344" s="92" t="str">
        <f>IF(LEN($C344)&gt;0,"",'Casos de Prueba'!F344&amp;CHAR(10)&amp;'Casos de Prueba'!G344)</f>
        <v xml:space="preserve">Con esta opción en la barra de acciones se podrá descargar el detalle del CFDI en formato PDF. 
El PDF contendrá la siguiente información:
•	Folio Fiscal.
•	Fecha y hora de Expedición.
•	Fecha y hora de Certificación.
•	Nombre o Razón Social del Receptor.
•	RFC del Receptor.
•	Estado del Comprobante.
•	Efecto del Comprobante.
•	Moneda.
•	Monto Total.
•	Total de impuesto trasladado
•Total de impuesto retenido
</v>
      </c>
    </row>
    <row r="345" spans="4:7" x14ac:dyDescent="0.35">
      <c r="D345" s="92" t="str">
        <f>IF('Casos de Prueba'!B345&lt;&gt;0,'Casos de Prueba'!B345&amp;"-"&amp;'Casos de Prueba'!C345,"")</f>
        <v/>
      </c>
      <c r="E345" s="92">
        <f>IF(LEN($C345)&gt;0,"",'Casos de Prueba'!D345)</f>
        <v>8</v>
      </c>
      <c r="F345" s="92" t="str">
        <f>IF(LEN($C345)&gt;0,"",'Casos de Prueba'!E345)</f>
        <v>Da clic en Salir</v>
      </c>
      <c r="G345" s="92" t="str">
        <f>IF(LEN($C345)&gt;0,"",'Casos de Prueba'!F345&amp;CHAR(10)&amp;'Casos de Prueba'!G345)</f>
        <v xml:space="preserve">Cierra la sesión del RFC
</v>
      </c>
    </row>
    <row r="346" spans="4:7" x14ac:dyDescent="0.35">
      <c r="D346" s="92" t="str">
        <f>IF('Casos de Prueba'!B346&lt;&gt;0,'Casos de Prueba'!B346&amp;"-"&amp;'Casos de Prueba'!C346,"")</f>
        <v xml:space="preserve">CP39-Detalle CFDI (Ver detalle) </v>
      </c>
      <c r="E346" s="92"/>
      <c r="F346" s="92"/>
      <c r="G346" s="92"/>
    </row>
    <row r="347" spans="4:7" x14ac:dyDescent="0.35">
      <c r="D347" s="92" t="str">
        <f>IF('Casos de Prueba'!B347&lt;&gt;0,'Casos de Prueba'!B347&amp;"-"&amp;'Casos de Prueba'!C347,"")</f>
        <v/>
      </c>
      <c r="E347" s="92">
        <f>IF(LEN($C347)&gt;0,"",'Casos de Prueba'!D347)</f>
        <v>1</v>
      </c>
      <c r="F347" s="92" t="str">
        <f>IF(LEN($C347)&gt;0,"",'Casos de Prueba'!E347)</f>
        <v>Seleccionar la opción Consulta CFDI</v>
      </c>
      <c r="G347" s="92" t="str">
        <f>IF(LEN($C347)&gt;0,"",'Casos de Prueba'!F347&amp;CHAR(10)&amp;'Casos de Prueba'!G347)</f>
        <v xml:space="preserve">El sistema muestra las opciones:
 - Factura Electrónica
 - Retenciones e Inf. de Pagos
El Usuario previamente se autenticó  y accedió al Portal Privado Contribuyente CFDI
</v>
      </c>
    </row>
    <row r="348" spans="4:7" x14ac:dyDescent="0.35">
      <c r="D348" s="92" t="str">
        <f>IF('Casos de Prueba'!B348&lt;&gt;0,'Casos de Prueba'!B348&amp;"-"&amp;'Casos de Prueba'!C348,"")</f>
        <v/>
      </c>
      <c r="E348" s="92">
        <f>IF(LEN($C348)&gt;0,"",'Casos de Prueba'!D348)</f>
        <v>2</v>
      </c>
      <c r="F348" s="92" t="str">
        <f>IF(LEN($C348)&gt;0,"",'Casos de Prueba'!E348)</f>
        <v>Selecciona la opción Factura Electrónica</v>
      </c>
      <c r="G348" s="92" t="str">
        <f>IF(LEN($C348)&gt;0,"",'Casos de Prueba'!F348&amp;CHAR(10)&amp;'Casos de Prueba'!G348)</f>
        <v xml:space="preserve">El sistema muestra las siguientes opciones:
-Consultar Facturas Emitidas
-Consulta Facturas Recibidas
-Recuperar Descargas de CFDI
-Consultar Solicitudes de Cancelación
</v>
      </c>
    </row>
    <row r="349" spans="4:7" x14ac:dyDescent="0.35">
      <c r="D349" s="92" t="str">
        <f>IF('Casos de Prueba'!B349&lt;&gt;0,'Casos de Prueba'!B349&amp;"-"&amp;'Casos de Prueba'!C349,"")</f>
        <v/>
      </c>
      <c r="E349" s="92">
        <f>IF(LEN($C349)&gt;0,"",'Casos de Prueba'!D349)</f>
        <v>3</v>
      </c>
      <c r="F349" s="92" t="str">
        <f>IF(LEN($C349)&gt;0,"",'Casos de Prueba'!E349)</f>
        <v>Da clic en "Consultar Facturas Recibidas"</v>
      </c>
      <c r="G349" s="92" t="str">
        <f>IF(LEN($C349)&gt;0,"",'Casos de Prueba'!F349&amp;CHAR(10)&amp;'Casos de Prueba'!G349)</f>
        <v xml:space="preserve">El sistema muestra las opciones:
- Folio Fiscal * (está opción esta habilitada por default)
Los siguientes campos se muestran deshabilitados:
	Año (*)
•	Mes (*)
•	Día.
•	Hora Inicial.
•	Hora Final.
•	RFC Emisor 
•	RFC a cuenta terceros 
•	Estado del Comprobante
•	Tipo de Comprobante (complemento)
•Estatus  cancelación
</v>
      </c>
    </row>
    <row r="350" spans="4:7" x14ac:dyDescent="0.35">
      <c r="D350" s="92" t="str">
        <f>IF('Casos de Prueba'!B350&lt;&gt;0,'Casos de Prueba'!B350&amp;"-"&amp;'Casos de Prueba'!C350,"")</f>
        <v/>
      </c>
      <c r="E350" s="92">
        <f>IF(LEN($C350)&gt;0,"",'Casos de Prueba'!D350)</f>
        <v>4</v>
      </c>
      <c r="F350" s="92" t="str">
        <f>IF(LEN($C350)&gt;0,"",'Casos de Prueba'!E350)</f>
        <v>Selecciona la opción de Periodo de Fechas</v>
      </c>
      <c r="G350" s="92" t="str">
        <f>IF(LEN($C350)&gt;0,"",'Casos de Prueba'!F350&amp;CHAR(10)&amp;'Casos de Prueba'!G350)</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Comprobante(complemento)   (RN03).
•	Estatus Cancelación 
</v>
      </c>
    </row>
    <row r="351" spans="4:7" x14ac:dyDescent="0.35">
      <c r="D351" s="92" t="str">
        <f>IF('Casos de Prueba'!B351&lt;&gt;0,'Casos de Prueba'!B351&amp;"-"&amp;'Casos de Prueba'!C351,"")</f>
        <v/>
      </c>
      <c r="E351" s="92">
        <f>IF(LEN($C351)&gt;0,"",'Casos de Prueba'!D351)</f>
        <v>5</v>
      </c>
      <c r="F351" s="92" t="str">
        <f>IF(LEN($C351)&gt;0,"",'Casos de Prueba'!E351)</f>
        <v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 </v>
      </c>
      <c r="G351" s="92" t="str">
        <f>IF(LEN($C351)&gt;0,"",'Casos de Prueba'!F351&amp;CHAR(10)&amp;'Casos de Prueba'!G351)</f>
        <v xml:space="preserve">El sistema muestra los datos que se van ingresando 
</v>
      </c>
    </row>
    <row r="352" spans="4:7" x14ac:dyDescent="0.35">
      <c r="D352" s="92" t="str">
        <f>IF('Casos de Prueba'!B352&lt;&gt;0,'Casos de Prueba'!B352&amp;"-"&amp;'Casos de Prueba'!C352,"")</f>
        <v/>
      </c>
      <c r="E352" s="92">
        <f>IF(LEN($C352)&gt;0,"",'Casos de Prueba'!D352)</f>
        <v>6</v>
      </c>
      <c r="F352" s="92" t="str">
        <f>IF(LEN($C352)&gt;0,"",'Casos de Prueba'!E352)</f>
        <v>Da clic en el botón Buscar CFDI</v>
      </c>
      <c r="G352" s="92" t="str">
        <f>IF(LEN($C352)&gt;0,"",'Casos de Prueba'!F352&amp;CHAR(10)&amp;'Casos de Prueba'!G352)</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353" spans="4:7" x14ac:dyDescent="0.35">
      <c r="D353" s="92" t="str">
        <f>IF('Casos de Prueba'!B353&lt;&gt;0,'Casos de Prueba'!B353&amp;"-"&amp;'Casos de Prueba'!C353,"")</f>
        <v/>
      </c>
      <c r="E353" s="92">
        <f>IF(LEN($C353)&gt;0,"",'Casos de Prueba'!D353)</f>
        <v>7</v>
      </c>
      <c r="F353" s="92" t="str">
        <f>IF(LEN($C353)&gt;0,"",'Casos de Prueba'!E353)</f>
        <v xml:space="preserve">Se selecciona un comprobante y se da clic en la imagen Detalle CFDI (Ver detalle) </v>
      </c>
      <c r="G353" s="92" t="str">
        <f>IF(LEN($C353)&gt;0,"",'Casos de Prueba'!F353&amp;CHAR(10)&amp;'Casos de Prueba'!G353)</f>
        <v xml:space="preserve">Con esta opción en la barra de acciones se podrá descargar el detalle del CFDI en formato PDF. 
El PDF contendrá la siguiente información:
•	Folio Fiscal.
•	Fecha y hora de Expedición.
•	Fecha y hora de Certificación.
•	Nombre o Razón Social del Receptor.
•	RFC del Receptor.
•	Estado del Comprobante.
•	Efecto del Comprobante.
•	Moneda.
•	Monto Total.
•	Total de impuesto trasladado
•Total de impuesto retenido
</v>
      </c>
    </row>
    <row r="354" spans="4:7" x14ac:dyDescent="0.35">
      <c r="D354" s="92" t="str">
        <f>IF('Casos de Prueba'!B354&lt;&gt;0,'Casos de Prueba'!B354&amp;"-"&amp;'Casos de Prueba'!C354,"")</f>
        <v/>
      </c>
      <c r="E354" s="92">
        <f>IF(LEN($C354)&gt;0,"",'Casos de Prueba'!D354)</f>
        <v>8</v>
      </c>
      <c r="F354" s="92" t="str">
        <f>IF(LEN($C354)&gt;0,"",'Casos de Prueba'!E354)</f>
        <v>Da clic en Salir</v>
      </c>
      <c r="G354" s="92" t="str">
        <f>IF(LEN($C354)&gt;0,"",'Casos de Prueba'!F354&amp;CHAR(10)&amp;'Casos de Prueba'!G354)</f>
        <v xml:space="preserve">Cierra la sesión del RFC
</v>
      </c>
    </row>
    <row r="355" spans="4:7" x14ac:dyDescent="0.35">
      <c r="D355" s="92" t="str">
        <f>IF('Casos de Prueba'!B355&lt;&gt;0,'Casos de Prueba'!B355&amp;"-"&amp;'Casos de Prueba'!C355,"")</f>
        <v>CP40-Descargar</v>
      </c>
      <c r="E355" s="92"/>
      <c r="F355" s="92"/>
      <c r="G355" s="92"/>
    </row>
    <row r="356" spans="4:7" x14ac:dyDescent="0.35">
      <c r="D356" s="92" t="str">
        <f>IF('Casos de Prueba'!B356&lt;&gt;0,'Casos de Prueba'!B356&amp;"-"&amp;'Casos de Prueba'!C356,"")</f>
        <v/>
      </c>
      <c r="E356" s="92">
        <f>IF(LEN($C356)&gt;0,"",'Casos de Prueba'!D356)</f>
        <v>1</v>
      </c>
      <c r="F356" s="92" t="str">
        <f>IF(LEN($C356)&gt;0,"",'Casos de Prueba'!E356)</f>
        <v>Seleccionar la opción Consulta CFDI</v>
      </c>
      <c r="G356" s="92" t="str">
        <f>IF(LEN($C356)&gt;0,"",'Casos de Prueba'!F356&amp;CHAR(10)&amp;'Casos de Prueba'!G356)</f>
        <v xml:space="preserve">El sistema muestra las opciones:
 - Factura Electrónica
 - Retenciones e Inf. de Pagos
El Usuario previamente se autenticó  y accedió al Portal Privado Contribuyente CFDI
</v>
      </c>
    </row>
    <row r="357" spans="4:7" x14ac:dyDescent="0.35">
      <c r="D357" s="92" t="str">
        <f>IF('Casos de Prueba'!B357&lt;&gt;0,'Casos de Prueba'!B357&amp;"-"&amp;'Casos de Prueba'!C357,"")</f>
        <v/>
      </c>
      <c r="E357" s="92">
        <f>IF(LEN($C357)&gt;0,"",'Casos de Prueba'!D357)</f>
        <v>2</v>
      </c>
      <c r="F357" s="92" t="str">
        <f>IF(LEN($C357)&gt;0,"",'Casos de Prueba'!E357)</f>
        <v>Selecciona la opción Factura Electrónica</v>
      </c>
      <c r="G357" s="92" t="str">
        <f>IF(LEN($C357)&gt;0,"",'Casos de Prueba'!F357&amp;CHAR(10)&amp;'Casos de Prueba'!G357)</f>
        <v xml:space="preserve">El sistema muestra las siguientes opciones:
-Consulta Facturas Emitidas
-Consulta Facturas Recibidas
-Recuperar Descargas de CFDI
-Consultar Solicitudes de Cancelación
</v>
      </c>
    </row>
    <row r="358" spans="4:7" x14ac:dyDescent="0.35">
      <c r="D358" s="92" t="str">
        <f>IF('Casos de Prueba'!B358&lt;&gt;0,'Casos de Prueba'!B358&amp;"-"&amp;'Casos de Prueba'!C358,"")</f>
        <v/>
      </c>
      <c r="E358" s="92">
        <f>IF(LEN($C358)&gt;0,"",'Casos de Prueba'!D358)</f>
        <v>3</v>
      </c>
      <c r="F358" s="92" t="str">
        <f>IF(LEN($C358)&gt;0,"",'Casos de Prueba'!E358)</f>
        <v>Da clic en "Consultar Facturas Recibidas"</v>
      </c>
      <c r="G358" s="92" t="str">
        <f>IF(LEN($C358)&gt;0,"",'Casos de Prueba'!F358&amp;CHAR(10)&amp;'Casos de Prueba'!G358)</f>
        <v xml:space="preserve">El sistema muestra las siguientes opciones de búsqueda:
- Folio Fiscal
- Periodo de Fechas
</v>
      </c>
    </row>
    <row r="359" spans="4:7" x14ac:dyDescent="0.35">
      <c r="D359" s="92" t="str">
        <f>IF('Casos de Prueba'!B359&lt;&gt;0,'Casos de Prueba'!B359&amp;"-"&amp;'Casos de Prueba'!C359,"")</f>
        <v/>
      </c>
      <c r="E359" s="92">
        <f>IF(LEN($C359)&gt;0,"",'Casos de Prueba'!D359)</f>
        <v>4</v>
      </c>
      <c r="F359" s="92" t="str">
        <f>IF(LEN($C359)&gt;0,"",'Casos de Prueba'!E359)</f>
        <v>Selecciona la opción Folio Fiscal</v>
      </c>
      <c r="G359" s="92" t="str">
        <f>IF(LEN($C359)&gt;0,"",'Casos de Prueba'!F359&amp;CHAR(10)&amp;'Casos de Prueba'!G359)</f>
        <v xml:space="preserve">El sistema habilita el campo de FOLIO FISCAL
Aplica las Reglas de Negocio: (RN02) 
</v>
      </c>
    </row>
    <row r="360" spans="4:7" x14ac:dyDescent="0.35">
      <c r="D360" s="92" t="str">
        <f>IF('Casos de Prueba'!B360&lt;&gt;0,'Casos de Prueba'!B360&amp;"-"&amp;'Casos de Prueba'!C360,"")</f>
        <v/>
      </c>
      <c r="E360" s="92">
        <f>IF(LEN($C360)&gt;0,"",'Casos de Prueba'!D360)</f>
        <v>5</v>
      </c>
      <c r="F360" s="92" t="str">
        <f>IF(LEN($C360)&gt;0,"",'Casos de Prueba'!E360)</f>
        <v>Ingresa los datos del número de Folio Fiscal a buscar</v>
      </c>
      <c r="G360" s="92" t="str">
        <f>IF(LEN($C360)&gt;0,"",'Casos de Prueba'!F360&amp;CHAR(10)&amp;'Casos de Prueba'!G360)</f>
        <v>El sistema muestra los datos que se van ingresando
Aplica las Reglas de Negocio: (RN08 – Inciso c,d).</v>
      </c>
    </row>
    <row r="361" spans="4:7" x14ac:dyDescent="0.35">
      <c r="D361" s="92" t="str">
        <f>IF('Casos de Prueba'!B361&lt;&gt;0,'Casos de Prueba'!B361&amp;"-"&amp;'Casos de Prueba'!C361,"")</f>
        <v/>
      </c>
      <c r="E361" s="92">
        <f>IF(LEN($C361)&gt;0,"",'Casos de Prueba'!D361)</f>
        <v>6</v>
      </c>
      <c r="F361" s="92" t="str">
        <f>IF(LEN($C361)&gt;0,"",'Casos de Prueba'!E361)</f>
        <v xml:space="preserve">Da clic en el botón Buscar CFDI
</v>
      </c>
      <c r="G361" s="92" t="str">
        <f>IF(LEN($C361)&gt;0,"",'Casos de Prueba'!F361&amp;CHAR(10)&amp;'Casos de Prueba'!G361)</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362" spans="4:7" x14ac:dyDescent="0.35">
      <c r="D362" s="92" t="str">
        <f>IF('Casos de Prueba'!B362&lt;&gt;0,'Casos de Prueba'!B362&amp;"-"&amp;'Casos de Prueba'!C362,"")</f>
        <v/>
      </c>
      <c r="E362" s="92">
        <f>IF(LEN($C362)&gt;0,"",'Casos de Prueba'!D362)</f>
        <v>7</v>
      </c>
      <c r="F362" s="92" t="str">
        <f>IF(LEN($C362)&gt;0,"",'Casos de Prueba'!E362)</f>
        <v>Dar clic en la imagen Descargar</v>
      </c>
      <c r="G362" s="92" t="str">
        <f>IF(LEN($C362)&gt;0,"",'Casos de Prueba'!F362&amp;CHAR(10)&amp;'Casos de Prueba'!G362)</f>
        <v>Con esta opción en la barra de acciones el usuario debe permitir la descarga del archivo XML relacionada al registro, generando una ventana emergente que indique que el XML se encuentra en proceso de descarga.
Esta descarga se realiza uno a uno, contemplando el límite diario establecido para los archivos XML (RN14).
El sistema debe nombrar los archivos descargados de cada CFDI igual que el número de folio fiscal.</v>
      </c>
    </row>
    <row r="363" spans="4:7" x14ac:dyDescent="0.35">
      <c r="D363" s="92" t="str">
        <f>IF('Casos de Prueba'!B363&lt;&gt;0,'Casos de Prueba'!B363&amp;"-"&amp;'Casos de Prueba'!C363,"")</f>
        <v/>
      </c>
      <c r="E363" s="92">
        <f>IF(LEN($C363)&gt;0,"",'Casos de Prueba'!D363)</f>
        <v>8</v>
      </c>
      <c r="F363" s="92" t="str">
        <f>IF(LEN($C363)&gt;0,"",'Casos de Prueba'!E363)</f>
        <v>Da clic en Salir</v>
      </c>
      <c r="G363" s="92" t="str">
        <f>IF(LEN($C363)&gt;0,"",'Casos de Prueba'!F363&amp;CHAR(10)&amp;'Casos de Prueba'!G363)</f>
        <v xml:space="preserve">Cierra la sesión del RFC
</v>
      </c>
    </row>
    <row r="364" spans="4:7" x14ac:dyDescent="0.35">
      <c r="D364" s="92" t="str">
        <f>IF('Casos de Prueba'!B364&lt;&gt;0,'Casos de Prueba'!B364&amp;"-"&amp;'Casos de Prueba'!C364,"")</f>
        <v>CP41-Descargar</v>
      </c>
      <c r="E364" s="92"/>
      <c r="F364" s="92"/>
      <c r="G364" s="92"/>
    </row>
    <row r="365" spans="4:7" x14ac:dyDescent="0.35">
      <c r="D365" s="92" t="str">
        <f>IF('Casos de Prueba'!B365&lt;&gt;0,'Casos de Prueba'!B365&amp;"-"&amp;'Casos de Prueba'!C365,"")</f>
        <v/>
      </c>
      <c r="E365" s="92">
        <f>IF(LEN($C365)&gt;0,"",'Casos de Prueba'!D365)</f>
        <v>1</v>
      </c>
      <c r="F365" s="92" t="str">
        <f>IF(LEN($C365)&gt;0,"",'Casos de Prueba'!E365)</f>
        <v>Seleccionar la opción Consulta CFDI</v>
      </c>
      <c r="G365" s="92" t="str">
        <f>IF(LEN($C365)&gt;0,"",'Casos de Prueba'!F365&amp;CHAR(10)&amp;'Casos de Prueba'!G365)</f>
        <v xml:space="preserve">El sistema muestra las opciones:
 - Factura Electrónica
 - Retenciones e Inf. de Pagos
El Usuario previamente se autenticó  y accedió al Portal Privado Contribuyente CFDI
</v>
      </c>
    </row>
    <row r="366" spans="4:7" x14ac:dyDescent="0.35">
      <c r="D366" s="92" t="str">
        <f>IF('Casos de Prueba'!B366&lt;&gt;0,'Casos de Prueba'!B366&amp;"-"&amp;'Casos de Prueba'!C366,"")</f>
        <v/>
      </c>
      <c r="E366" s="92">
        <f>IF(LEN($C366)&gt;0,"",'Casos de Prueba'!D366)</f>
        <v>2</v>
      </c>
      <c r="F366" s="92" t="str">
        <f>IF(LEN($C366)&gt;0,"",'Casos de Prueba'!E366)</f>
        <v>Selecciona la opción Factura Electrónica</v>
      </c>
      <c r="G366" s="92" t="str">
        <f>IF(LEN($C366)&gt;0,"",'Casos de Prueba'!F366&amp;CHAR(10)&amp;'Casos de Prueba'!G366)</f>
        <v xml:space="preserve">El sistema muestra las siguientes opciones:
-Consultar Facturas Emitidas
-Consulta Facturas Recibidas
-Recuperar Descargas de CFDI
-Consultar Solicitudes de Cancelación
</v>
      </c>
    </row>
    <row r="367" spans="4:7" x14ac:dyDescent="0.35">
      <c r="D367" s="92" t="str">
        <f>IF('Casos de Prueba'!B367&lt;&gt;0,'Casos de Prueba'!B367&amp;"-"&amp;'Casos de Prueba'!C367,"")</f>
        <v/>
      </c>
      <c r="E367" s="92">
        <f>IF(LEN($C367)&gt;0,"",'Casos de Prueba'!D367)</f>
        <v>3</v>
      </c>
      <c r="F367" s="92" t="str">
        <f>IF(LEN($C367)&gt;0,"",'Casos de Prueba'!E367)</f>
        <v>Da clic en "Consultar Facturas Recibidas"</v>
      </c>
      <c r="G367" s="92" t="str">
        <f>IF(LEN($C367)&gt;0,"",'Casos de Prueba'!F367&amp;CHAR(10)&amp;'Casos de Prueba'!G367)</f>
        <v xml:space="preserve">El sistema muestra las opciones:
- Folio Fiscal * (está opción esta habilitada por default)
Los siguientes campos se muestran deshabilitados:
•	Año (*)
•	Mes (*)
•	Día.
•	Hora Inicial.
•	Hora Final.
•	RFC Emisor 
•	RFC a cuenta terceros 
•	Estado del Comprobante 
•	Tipo de Comprobante(complemento)
•Estatus  cancelación
</v>
      </c>
    </row>
    <row r="368" spans="4:7" x14ac:dyDescent="0.35">
      <c r="D368" s="92" t="str">
        <f>IF('Casos de Prueba'!B368&lt;&gt;0,'Casos de Prueba'!B368&amp;"-"&amp;'Casos de Prueba'!C368,"")</f>
        <v/>
      </c>
      <c r="E368" s="92">
        <f>IF(LEN($C368)&gt;0,"",'Casos de Prueba'!D368)</f>
        <v>4</v>
      </c>
      <c r="F368" s="92" t="str">
        <f>IF(LEN($C368)&gt;0,"",'Casos de Prueba'!E368)</f>
        <v>Selecciona la opción de Periodo de Fechas</v>
      </c>
      <c r="G368" s="92" t="str">
        <f>IF(LEN($C368)&gt;0,"",'Casos de Prueba'!F368&amp;CHAR(10)&amp;'Casos de Prueba'!G368)</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Comprobante(complemento)   (RN03).
•	Estatus Cancelación 
</v>
      </c>
    </row>
    <row r="369" spans="4:7" x14ac:dyDescent="0.35">
      <c r="D369" s="92" t="str">
        <f>IF('Casos de Prueba'!B369&lt;&gt;0,'Casos de Prueba'!B369&amp;"-"&amp;'Casos de Prueba'!C369,"")</f>
        <v/>
      </c>
      <c r="E369" s="92">
        <f>IF(LEN($C369)&gt;0,"",'Casos de Prueba'!D369)</f>
        <v>5</v>
      </c>
      <c r="F369" s="92" t="str">
        <f>IF(LEN($C369)&gt;0,"",'Casos de Prueba'!E369)</f>
        <v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 </v>
      </c>
      <c r="G369" s="92" t="str">
        <f>IF(LEN($C369)&gt;0,"",'Casos de Prueba'!F369&amp;CHAR(10)&amp;'Casos de Prueba'!G369)</f>
        <v xml:space="preserve">El sistema muestra los datos que se van ingresando 
</v>
      </c>
    </row>
    <row r="370" spans="4:7" x14ac:dyDescent="0.35">
      <c r="D370" s="92" t="str">
        <f>IF('Casos de Prueba'!B370&lt;&gt;0,'Casos de Prueba'!B370&amp;"-"&amp;'Casos de Prueba'!C370,"")</f>
        <v/>
      </c>
      <c r="E370" s="92">
        <f>IF(LEN($C370)&gt;0,"",'Casos de Prueba'!D370)</f>
        <v>6</v>
      </c>
      <c r="F370" s="92" t="str">
        <f>IF(LEN($C370)&gt;0,"",'Casos de Prueba'!E370)</f>
        <v>Da clic en el botón Buscar CFDI</v>
      </c>
      <c r="G370" s="92" t="str">
        <f>IF(LEN($C370)&gt;0,"",'Casos de Prueba'!F370&amp;CHAR(10)&amp;'Casos de Prueba'!G370)</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371" spans="4:7" x14ac:dyDescent="0.35">
      <c r="D371" s="92" t="str">
        <f>IF('Casos de Prueba'!B371&lt;&gt;0,'Casos de Prueba'!B371&amp;"-"&amp;'Casos de Prueba'!C371,"")</f>
        <v/>
      </c>
      <c r="E371" s="92">
        <f>IF(LEN($C371)&gt;0,"",'Casos de Prueba'!D371)</f>
        <v>7</v>
      </c>
      <c r="F371" s="92" t="str">
        <f>IF(LEN($C371)&gt;0,"",'Casos de Prueba'!E371)</f>
        <v>Seleccionar un comprobante y dar clic en la imagen 
Descargar</v>
      </c>
      <c r="G371" s="92" t="str">
        <f>IF(LEN($C371)&gt;0,"",'Casos de Prueba'!F371&amp;CHAR(10)&amp;'Casos de Prueba'!G371)</f>
        <v>Con esta opción en la barra de acciones el usuario debe permitir la descarga del archivo XML relacionada al registro, generando una ventana emergente que indique que el XML se encuentra en proceso de descarga.
Esta descarga se realiza uno a uno, contemplando el límite diario establecido para los archivos XML (RN14).
El sistema debe nombrar los archivos descargados de cada CFDI igual que el número de folio fiscal.</v>
      </c>
    </row>
    <row r="372" spans="4:7" x14ac:dyDescent="0.35">
      <c r="D372" s="92" t="str">
        <f>IF('Casos de Prueba'!B372&lt;&gt;0,'Casos de Prueba'!B372&amp;"-"&amp;'Casos de Prueba'!C372,"")</f>
        <v/>
      </c>
      <c r="E372" s="92">
        <f>IF(LEN($C372)&gt;0,"",'Casos de Prueba'!D372)</f>
        <v>8</v>
      </c>
      <c r="F372" s="92" t="str">
        <f>IF(LEN($C372)&gt;0,"",'Casos de Prueba'!E372)</f>
        <v>Da clic en Salir</v>
      </c>
      <c r="G372" s="92" t="str">
        <f>IF(LEN($C372)&gt;0,"",'Casos de Prueba'!F372&amp;CHAR(10)&amp;'Casos de Prueba'!G372)</f>
        <v xml:space="preserve">Cierra la sesión del RFC
</v>
      </c>
    </row>
    <row r="373" spans="4:7" x14ac:dyDescent="0.35">
      <c r="D373" s="92" t="str">
        <f>IF('Casos de Prueba'!B373&lt;&gt;0,'Casos de Prueba'!B373&amp;"-"&amp;'Casos de Prueba'!C373,"")</f>
        <v>CP42-Recuperar Representación Impresa</v>
      </c>
      <c r="E373" s="92"/>
      <c r="F373" s="92"/>
      <c r="G373" s="92"/>
    </row>
    <row r="374" spans="4:7" x14ac:dyDescent="0.35">
      <c r="D374" s="92" t="str">
        <f>IF('Casos de Prueba'!B374&lt;&gt;0,'Casos de Prueba'!B374&amp;"-"&amp;'Casos de Prueba'!C374,"")</f>
        <v/>
      </c>
      <c r="E374" s="92">
        <f>IF(LEN($C374)&gt;0,"",'Casos de Prueba'!D374)</f>
        <v>1</v>
      </c>
      <c r="F374" s="92" t="str">
        <f>IF(LEN($C374)&gt;0,"",'Casos de Prueba'!E374)</f>
        <v>Seleccionar la opción Consulta CFDI</v>
      </c>
      <c r="G374" s="92" t="str">
        <f>IF(LEN($C374)&gt;0,"",'Casos de Prueba'!F374&amp;CHAR(10)&amp;'Casos de Prueba'!G374)</f>
        <v xml:space="preserve">El sistema muestra las opciones:
 - Factura Electrónica
 - Retenciones e Inf. de Pagos
El Usuario previamente se autenticó  y accedió al Portal Privado Contribuyente CFDI
</v>
      </c>
    </row>
    <row r="375" spans="4:7" x14ac:dyDescent="0.35">
      <c r="D375" s="92" t="str">
        <f>IF('Casos de Prueba'!B375&lt;&gt;0,'Casos de Prueba'!B375&amp;"-"&amp;'Casos de Prueba'!C375,"")</f>
        <v/>
      </c>
      <c r="E375" s="92">
        <f>IF(LEN($C375)&gt;0,"",'Casos de Prueba'!D375)</f>
        <v>2</v>
      </c>
      <c r="F375" s="92" t="str">
        <f>IF(LEN($C375)&gt;0,"",'Casos de Prueba'!E375)</f>
        <v>Selecciona la opción Factura Electrónica</v>
      </c>
      <c r="G375" s="92" t="str">
        <f>IF(LEN($C375)&gt;0,"",'Casos de Prueba'!F375&amp;CHAR(10)&amp;'Casos de Prueba'!G375)</f>
        <v xml:space="preserve">El sistema muestra las siguientes opciones:
-Consulta Facturas Emitidas 
-Consulta Facturas Recibidas
-Recuperar Descargas de CFDI
-Consultar Solicitudes de Cancelación
</v>
      </c>
    </row>
    <row r="376" spans="4:7" x14ac:dyDescent="0.35">
      <c r="D376" s="92" t="str">
        <f>IF('Casos de Prueba'!B376&lt;&gt;0,'Casos de Prueba'!B376&amp;"-"&amp;'Casos de Prueba'!C376,"")</f>
        <v/>
      </c>
      <c r="E376" s="92">
        <f>IF(LEN($C376)&gt;0,"",'Casos de Prueba'!D376)</f>
        <v>3</v>
      </c>
      <c r="F376" s="92" t="str">
        <f>IF(LEN($C376)&gt;0,"",'Casos de Prueba'!E376)</f>
        <v>Da clic en "Consultar Facturas Recibidas"</v>
      </c>
      <c r="G376" s="92" t="str">
        <f>IF(LEN($C376)&gt;0,"",'Casos de Prueba'!F376&amp;CHAR(10)&amp;'Casos de Prueba'!G376)</f>
        <v xml:space="preserve">El sistema muestra las siguientes opciones de búsqueda:
- Folio Fiscal
- Periodo de Fechas
</v>
      </c>
    </row>
    <row r="377" spans="4:7" x14ac:dyDescent="0.35">
      <c r="D377" s="92" t="str">
        <f>IF('Casos de Prueba'!B377&lt;&gt;0,'Casos de Prueba'!B377&amp;"-"&amp;'Casos de Prueba'!C377,"")</f>
        <v/>
      </c>
      <c r="E377" s="92">
        <f>IF(LEN($C377)&gt;0,"",'Casos de Prueba'!D377)</f>
        <v>4</v>
      </c>
      <c r="F377" s="92" t="str">
        <f>IF(LEN($C377)&gt;0,"",'Casos de Prueba'!E377)</f>
        <v>Selecciona la opción Folio Fiscal</v>
      </c>
      <c r="G377" s="92" t="str">
        <f>IF(LEN($C377)&gt;0,"",'Casos de Prueba'!F377&amp;CHAR(10)&amp;'Casos de Prueba'!G377)</f>
        <v xml:space="preserve">El sistema habilita el campo de FOLIO FISCAL
Aplica las Reglas de Negocio: (RN02) 
</v>
      </c>
    </row>
    <row r="378" spans="4:7" x14ac:dyDescent="0.35">
      <c r="D378" s="92" t="str">
        <f>IF('Casos de Prueba'!B378&lt;&gt;0,'Casos de Prueba'!B378&amp;"-"&amp;'Casos de Prueba'!C378,"")</f>
        <v/>
      </c>
      <c r="E378" s="92">
        <f>IF(LEN($C378)&gt;0,"",'Casos de Prueba'!D378)</f>
        <v>5</v>
      </c>
      <c r="F378" s="92" t="str">
        <f>IF(LEN($C378)&gt;0,"",'Casos de Prueba'!E378)</f>
        <v>Ingresa los datos del número de Folio Fiscal a buscar</v>
      </c>
      <c r="G378" s="92" t="str">
        <f>IF(LEN($C378)&gt;0,"",'Casos de Prueba'!F378&amp;CHAR(10)&amp;'Casos de Prueba'!G378)</f>
        <v>El sistema muestra los datos que se van ingresando
Aplica las Reglas de Negocio: (RN08 – Inciso c,d).</v>
      </c>
    </row>
    <row r="379" spans="4:7" x14ac:dyDescent="0.35">
      <c r="D379" s="92" t="str">
        <f>IF('Casos de Prueba'!B379&lt;&gt;0,'Casos de Prueba'!B379&amp;"-"&amp;'Casos de Prueba'!C379,"")</f>
        <v/>
      </c>
      <c r="E379" s="92">
        <f>IF(LEN($C379)&gt;0,"",'Casos de Prueba'!D379)</f>
        <v>6</v>
      </c>
      <c r="F379" s="92" t="str">
        <f>IF(LEN($C379)&gt;0,"",'Casos de Prueba'!E379)</f>
        <v xml:space="preserve">Da clic en el botón Buscar CFDI
</v>
      </c>
      <c r="G379" s="92" t="str">
        <f>IF(LEN($C379)&gt;0,"",'Casos de Prueba'!F379&amp;CHAR(10)&amp;'Casos de Prueba'!G379)</f>
        <v>El sistema muestra la sección de resultados que está compuesta:
1.	Casilla Acciones 
•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380" spans="4:7" x14ac:dyDescent="0.35">
      <c r="D380" s="92" t="str">
        <f>IF('Casos de Prueba'!B380&lt;&gt;0,'Casos de Prueba'!B380&amp;"-"&amp;'Casos de Prueba'!C380,"")</f>
        <v/>
      </c>
      <c r="E380" s="92">
        <f>IF(LEN($C380)&gt;0,"",'Casos de Prueba'!D380)</f>
        <v>7</v>
      </c>
      <c r="F380" s="92" t="str">
        <f>IF(LEN($C380)&gt;0,"",'Casos de Prueba'!E380)</f>
        <v xml:space="preserve">Dar clic en la imagen 
Recuperar Representación Impresa. </v>
      </c>
      <c r="G380" s="92" t="str">
        <f>IF(LEN($C380)&gt;0,"",'Casos de Prueba'!F380&amp;CHAR(10)&amp;'Casos de Prueba'!G380)</f>
        <v xml:space="preserve">Con esta opción el usuario podrá descargar de manera individual la representación impresa del CFDI.
Esta descarga se realiza uno a uno, contemplando el límite diario establecido para los archivos PDF en su RI. (RN14, RN15).
</v>
      </c>
    </row>
    <row r="381" spans="4:7" x14ac:dyDescent="0.35">
      <c r="D381" s="92" t="str">
        <f>IF('Casos de Prueba'!B381&lt;&gt;0,'Casos de Prueba'!B381&amp;"-"&amp;'Casos de Prueba'!C381,"")</f>
        <v/>
      </c>
      <c r="E381" s="92">
        <f>IF(LEN($C381)&gt;0,"",'Casos de Prueba'!D381)</f>
        <v>8</v>
      </c>
      <c r="F381" s="92" t="str">
        <f>IF(LEN($C381)&gt;0,"",'Casos de Prueba'!E381)</f>
        <v>Da clic en Salir</v>
      </c>
      <c r="G381" s="92" t="str">
        <f>IF(LEN($C381)&gt;0,"",'Casos de Prueba'!F381&amp;CHAR(10)&amp;'Casos de Prueba'!G381)</f>
        <v xml:space="preserve">Cierra la sesión del RFC
</v>
      </c>
    </row>
    <row r="382" spans="4:7" x14ac:dyDescent="0.35">
      <c r="D382" s="92" t="str">
        <f>IF('Casos de Prueba'!B382&lt;&gt;0,'Casos de Prueba'!B382&amp;"-"&amp;'Casos de Prueba'!C382,"")</f>
        <v>CP43-Recuperar Representación Impresa</v>
      </c>
      <c r="E382" s="92"/>
      <c r="F382" s="92"/>
      <c r="G382" s="92"/>
    </row>
    <row r="383" spans="4:7" x14ac:dyDescent="0.35">
      <c r="D383" s="92" t="str">
        <f>IF('Casos de Prueba'!B383&lt;&gt;0,'Casos de Prueba'!B383&amp;"-"&amp;'Casos de Prueba'!C383,"")</f>
        <v/>
      </c>
      <c r="E383" s="92">
        <f>IF(LEN($C383)&gt;0,"",'Casos de Prueba'!D383)</f>
        <v>1</v>
      </c>
      <c r="F383" s="92" t="str">
        <f>IF(LEN($C383)&gt;0,"",'Casos de Prueba'!E383)</f>
        <v>Seleccionar la opción Consulta CFDI</v>
      </c>
      <c r="G383" s="92" t="str">
        <f>IF(LEN($C383)&gt;0,"",'Casos de Prueba'!F383&amp;CHAR(10)&amp;'Casos de Prueba'!G383)</f>
        <v xml:space="preserve">El sistema muestra las opciones:
 - Factura Electrónica
 - Retenciones e Inf. de Pagos
El Usuario previamente se autenticó  y accedió al Portal Privado Contribuyente CFDI
</v>
      </c>
    </row>
    <row r="384" spans="4:7" x14ac:dyDescent="0.35">
      <c r="D384" s="92" t="str">
        <f>IF('Casos de Prueba'!B384&lt;&gt;0,'Casos de Prueba'!B384&amp;"-"&amp;'Casos de Prueba'!C384,"")</f>
        <v/>
      </c>
      <c r="E384" s="92">
        <f>IF(LEN($C384)&gt;0,"",'Casos de Prueba'!D384)</f>
        <v>2</v>
      </c>
      <c r="F384" s="92" t="str">
        <f>IF(LEN($C384)&gt;0,"",'Casos de Prueba'!E384)</f>
        <v>Selecciona la opción Factura Electrónica</v>
      </c>
      <c r="G384" s="92" t="str">
        <f>IF(LEN($C384)&gt;0,"",'Casos de Prueba'!F384&amp;CHAR(10)&amp;'Casos de Prueba'!G384)</f>
        <v xml:space="preserve">El sistema muestra las siguientes opciones:
-Consultar Facturas Emitidas
-Consulta Facturas Recibidas
-Recuperar Descargas de CFDI
-Consultar Solicitudes de Cancelación
</v>
      </c>
    </row>
    <row r="385" spans="4:7" x14ac:dyDescent="0.35">
      <c r="D385" s="92" t="str">
        <f>IF('Casos de Prueba'!B385&lt;&gt;0,'Casos de Prueba'!B385&amp;"-"&amp;'Casos de Prueba'!C385,"")</f>
        <v/>
      </c>
      <c r="E385" s="92">
        <f>IF(LEN($C385)&gt;0,"",'Casos de Prueba'!D385)</f>
        <v>3</v>
      </c>
      <c r="F385" s="92" t="str">
        <f>IF(LEN($C385)&gt;0,"",'Casos de Prueba'!E385)</f>
        <v>Da clic en "Consultar Facturas Recibidas"</v>
      </c>
      <c r="G385" s="92" t="str">
        <f>IF(LEN($C385)&gt;0,"",'Casos de Prueba'!F385&amp;CHAR(10)&amp;'Casos de Prueba'!G385)</f>
        <v xml:space="preserve">El sistema muestra las opciones:
- Folio Fiscal * (está opción esta habilitada por default)
Los siguientes campos se muestran deshabilitados:
	Año (*)
•	Mes (*)
•	Día.
•	Hora Inicial.
•	Hora Final.
•	RFC Emisor 
•	RFC a cuenta terceros 
•	Estado del Comprobante
•	Tipo de Comprobante (complemento) 
•Estatus  cancelación
</v>
      </c>
    </row>
    <row r="386" spans="4:7" x14ac:dyDescent="0.35">
      <c r="D386" s="92" t="str">
        <f>IF('Casos de Prueba'!B386&lt;&gt;0,'Casos de Prueba'!B386&amp;"-"&amp;'Casos de Prueba'!C386,"")</f>
        <v/>
      </c>
      <c r="E386" s="92">
        <f>IF(LEN($C386)&gt;0,"",'Casos de Prueba'!D386)</f>
        <v>4</v>
      </c>
      <c r="F386" s="92" t="str">
        <f>IF(LEN($C386)&gt;0,"",'Casos de Prueba'!E386)</f>
        <v>Selecciona la opción de Periodo de Fechas</v>
      </c>
      <c r="G386" s="92" t="str">
        <f>IF(LEN($C386)&gt;0,"",'Casos de Prueba'!F386&amp;CHAR(10)&amp;'Casos de Prueba'!G386)</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	Estatus Cancelación 
</v>
      </c>
    </row>
    <row r="387" spans="4:7" x14ac:dyDescent="0.35">
      <c r="D387" s="92" t="str">
        <f>IF('Casos de Prueba'!B387&lt;&gt;0,'Casos de Prueba'!B387&amp;"-"&amp;'Casos de Prueba'!C387,"")</f>
        <v/>
      </c>
      <c r="E387" s="92">
        <f>IF(LEN($C387)&gt;0,"",'Casos de Prueba'!D387)</f>
        <v>5</v>
      </c>
      <c r="F387" s="92" t="str">
        <f>IF(LEN($C387)&gt;0,"",'Casos de Prueba'!E387)</f>
        <v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 </v>
      </c>
      <c r="G387" s="92" t="str">
        <f>IF(LEN($C387)&gt;0,"",'Casos de Prueba'!F387&amp;CHAR(10)&amp;'Casos de Prueba'!G387)</f>
        <v xml:space="preserve">El sistema muestra los datos que se van ingresando 
</v>
      </c>
    </row>
    <row r="388" spans="4:7" x14ac:dyDescent="0.35">
      <c r="D388" s="92" t="str">
        <f>IF('Casos de Prueba'!B388&lt;&gt;0,'Casos de Prueba'!B388&amp;"-"&amp;'Casos de Prueba'!C388,"")</f>
        <v/>
      </c>
      <c r="E388" s="92">
        <f>IF(LEN($C388)&gt;0,"",'Casos de Prueba'!D388)</f>
        <v>6</v>
      </c>
      <c r="F388" s="92" t="str">
        <f>IF(LEN($C388)&gt;0,"",'Casos de Prueba'!E388)</f>
        <v>Da clic en el botón Buscar CFDI</v>
      </c>
      <c r="G388" s="92" t="str">
        <f>IF(LEN($C388)&gt;0,"",'Casos de Prueba'!F388&amp;CHAR(10)&amp;'Casos de Prueba'!G388)</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389" spans="4:7" x14ac:dyDescent="0.35">
      <c r="D389" s="92" t="str">
        <f>IF('Casos de Prueba'!B389&lt;&gt;0,'Casos de Prueba'!B389&amp;"-"&amp;'Casos de Prueba'!C389,"")</f>
        <v/>
      </c>
      <c r="E389" s="92">
        <f>IF(LEN($C389)&gt;0,"",'Casos de Prueba'!D389)</f>
        <v>7</v>
      </c>
      <c r="F389" s="92" t="str">
        <f>IF(LEN($C389)&gt;0,"",'Casos de Prueba'!E389)</f>
        <v xml:space="preserve">Seleccionar comprobante y dar clic en la imagen 
Recuperar Representación Impresa. </v>
      </c>
      <c r="G389" s="92" t="str">
        <f>IF(LEN($C389)&gt;0,"",'Casos de Prueba'!F389&amp;CHAR(10)&amp;'Casos de Prueba'!G389)</f>
        <v xml:space="preserve">Con esta opción el usuario podrá descargar de manera individual la representación impresa del CFDI.
Esta descarga se realiza uno a uno, contemplando el límite diario establecido para los archivos PDF en su RI. (RN14, RN15).
</v>
      </c>
    </row>
    <row r="390" spans="4:7" x14ac:dyDescent="0.35">
      <c r="D390" s="92" t="str">
        <f>IF('Casos de Prueba'!B390&lt;&gt;0,'Casos de Prueba'!B390&amp;"-"&amp;'Casos de Prueba'!C390,"")</f>
        <v/>
      </c>
      <c r="E390" s="92">
        <f>IF(LEN($C390)&gt;0,"",'Casos de Prueba'!D390)</f>
        <v>8</v>
      </c>
      <c r="F390" s="92" t="str">
        <f>IF(LEN($C390)&gt;0,"",'Casos de Prueba'!E390)</f>
        <v>Da clic en Salir</v>
      </c>
      <c r="G390" s="92" t="str">
        <f>IF(LEN($C390)&gt;0,"",'Casos de Prueba'!F390&amp;CHAR(10)&amp;'Casos de Prueba'!G390)</f>
        <v xml:space="preserve">Cierra la sesión del RFC
</v>
      </c>
    </row>
    <row r="391" spans="4:7" x14ac:dyDescent="0.35">
      <c r="D391" s="92" t="str">
        <f>IF('Casos de Prueba'!B391&lt;&gt;0,'Casos de Prueba'!B391&amp;"-"&amp;'Casos de Prueba'!C391,"")</f>
        <v xml:space="preserve">CP44-Recuperar Representación Impresa Complemento Carta Porte </v>
      </c>
      <c r="E391" s="92"/>
      <c r="F391" s="92"/>
      <c r="G391" s="92"/>
    </row>
    <row r="392" spans="4:7" x14ac:dyDescent="0.35">
      <c r="D392" s="92" t="str">
        <f>IF('Casos de Prueba'!B392&lt;&gt;0,'Casos de Prueba'!B392&amp;"-"&amp;'Casos de Prueba'!C392,"")</f>
        <v/>
      </c>
      <c r="E392" s="92">
        <f>IF(LEN($C392)&gt;0,"",'Casos de Prueba'!D392)</f>
        <v>1</v>
      </c>
      <c r="F392" s="92" t="str">
        <f>IF(LEN($C392)&gt;0,"",'Casos de Prueba'!E392)</f>
        <v>Seleccionar la opción Consulta CFDI</v>
      </c>
      <c r="G392" s="92" t="str">
        <f>IF(LEN($C392)&gt;0,"",'Casos de Prueba'!F392&amp;CHAR(10)&amp;'Casos de Prueba'!G392)</f>
        <v xml:space="preserve">El sistema muestra las opciones:
 - Factura Electrónica
 - Retenciones e Inf. de Pagos
El Usuario previamente se autenticó  y accedió al Portal Privado Contribuyente CFDI
</v>
      </c>
    </row>
    <row r="393" spans="4:7" x14ac:dyDescent="0.35">
      <c r="D393" s="92" t="str">
        <f>IF('Casos de Prueba'!B393&lt;&gt;0,'Casos de Prueba'!B393&amp;"-"&amp;'Casos de Prueba'!C393,"")</f>
        <v/>
      </c>
      <c r="E393" s="92">
        <f>IF(LEN($C393)&gt;0,"",'Casos de Prueba'!D393)</f>
        <v>2</v>
      </c>
      <c r="F393" s="92" t="str">
        <f>IF(LEN($C393)&gt;0,"",'Casos de Prueba'!E393)</f>
        <v>Selecciona la opción Factura Electrónica</v>
      </c>
      <c r="G393" s="92" t="str">
        <f>IF(LEN($C393)&gt;0,"",'Casos de Prueba'!F393&amp;CHAR(10)&amp;'Casos de Prueba'!G393)</f>
        <v xml:space="preserve">El sistema muestra las siguientes opciones:
-Consultar Facturas Emitidas
-Consulta Facturas Recibidas
-Recuperar Descargas de CFDI
-Consultar Solicitudes de Cancelación
</v>
      </c>
    </row>
    <row r="394" spans="4:7" x14ac:dyDescent="0.35">
      <c r="D394" s="92" t="str">
        <f>IF('Casos de Prueba'!B394&lt;&gt;0,'Casos de Prueba'!B394&amp;"-"&amp;'Casos de Prueba'!C394,"")</f>
        <v/>
      </c>
      <c r="E394" s="92">
        <f>IF(LEN($C394)&gt;0,"",'Casos de Prueba'!D394)</f>
        <v>3</v>
      </c>
      <c r="F394" s="92" t="str">
        <f>IF(LEN($C394)&gt;0,"",'Casos de Prueba'!E394)</f>
        <v>Da clic en "Consultar Facturas Recibidas"</v>
      </c>
      <c r="G394" s="92" t="str">
        <f>IF(LEN($C394)&gt;0,"",'Casos de Prueba'!F394&amp;CHAR(10)&amp;'Casos de Prueba'!G394)</f>
        <v xml:space="preserve">El sistema muestra las siguientes opciones de búsqueda:
- Folio Fiscal
- Periodo de Fechas
</v>
      </c>
    </row>
    <row r="395" spans="4:7" x14ac:dyDescent="0.35">
      <c r="D395" s="92" t="str">
        <f>IF('Casos de Prueba'!B395&lt;&gt;0,'Casos de Prueba'!B395&amp;"-"&amp;'Casos de Prueba'!C395,"")</f>
        <v/>
      </c>
      <c r="E395" s="92">
        <f>IF(LEN($C395)&gt;0,"",'Casos de Prueba'!D395)</f>
        <v>4</v>
      </c>
      <c r="F395" s="92" t="str">
        <f>IF(LEN($C395)&gt;0,"",'Casos de Prueba'!E395)</f>
        <v>Selecciona la opción Folio Fiscal</v>
      </c>
      <c r="G395" s="92" t="str">
        <f>IF(LEN($C395)&gt;0,"",'Casos de Prueba'!F395&amp;CHAR(10)&amp;'Casos de Prueba'!G395)</f>
        <v xml:space="preserve">El sistema habilita el campo de FOLIO FISCAL
Aplica las Reglas de Negocio: (RN02) 
</v>
      </c>
    </row>
    <row r="396" spans="4:7" x14ac:dyDescent="0.35">
      <c r="D396" s="92" t="str">
        <f>IF('Casos de Prueba'!B396&lt;&gt;0,'Casos de Prueba'!B396&amp;"-"&amp;'Casos de Prueba'!C396,"")</f>
        <v/>
      </c>
      <c r="E396" s="92">
        <f>IF(LEN($C396)&gt;0,"",'Casos de Prueba'!D396)</f>
        <v>5</v>
      </c>
      <c r="F396" s="92" t="str">
        <f>IF(LEN($C396)&gt;0,"",'Casos de Prueba'!E396)</f>
        <v>Ingresa los datos del número de Folio Fiscal a buscar</v>
      </c>
      <c r="G396" s="92" t="str">
        <f>IF(LEN($C396)&gt;0,"",'Casos de Prueba'!F396&amp;CHAR(10)&amp;'Casos de Prueba'!G396)</f>
        <v>El sistema muestra los datos que se van ingresando
Aplica las Reglas de Negocio: (RN08 – Inciso c,d).</v>
      </c>
    </row>
    <row r="397" spans="4:7" x14ac:dyDescent="0.35">
      <c r="D397" s="92" t="str">
        <f>IF('Casos de Prueba'!B397&lt;&gt;0,'Casos de Prueba'!B397&amp;"-"&amp;'Casos de Prueba'!C397,"")</f>
        <v/>
      </c>
      <c r="E397" s="92">
        <f>IF(LEN($C397)&gt;0,"",'Casos de Prueba'!D397)</f>
        <v>6</v>
      </c>
      <c r="F397" s="92" t="str">
        <f>IF(LEN($C397)&gt;0,"",'Casos de Prueba'!E397)</f>
        <v xml:space="preserve">Da clic en el botón Buscar CFDI
</v>
      </c>
      <c r="G397" s="92" t="str">
        <f>IF(LEN($C397)&gt;0,"",'Casos de Prueba'!F397&amp;CHAR(10)&amp;'Casos de Prueba'!G397)</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398" spans="4:7" x14ac:dyDescent="0.35">
      <c r="D398" s="92" t="str">
        <f>IF('Casos de Prueba'!B398&lt;&gt;0,'Casos de Prueba'!B398&amp;"-"&amp;'Casos de Prueba'!C398,"")</f>
        <v/>
      </c>
      <c r="E398" s="92">
        <f>IF(LEN($C398)&gt;0,"",'Casos de Prueba'!D398)</f>
        <v>7</v>
      </c>
      <c r="F398" s="92" t="str">
        <f>IF(LEN($C398)&gt;0,"",'Casos de Prueba'!E398)</f>
        <v>Dar clic en la imagen en 
Recuperar Representación Impresa Complemento Carta Porte 
(Visible solo cuando contenga un complemento CCP)</v>
      </c>
      <c r="G398" s="92" t="str">
        <f>IF(LEN($C398)&gt;0,"",'Casos de Prueba'!F398&amp;CHAR(10)&amp;'Casos de Prueba'!G398)</f>
        <v xml:space="preserve">El sistema comienza la descarga de la  Representación Impresa Complemento Carta Porte 
</v>
      </c>
    </row>
    <row r="399" spans="4:7" x14ac:dyDescent="0.35">
      <c r="D399" s="92" t="str">
        <f>IF('Casos de Prueba'!B399&lt;&gt;0,'Casos de Prueba'!B399&amp;"-"&amp;'Casos de Prueba'!C399,"")</f>
        <v/>
      </c>
      <c r="E399" s="92">
        <f>IF(LEN($C399)&gt;0,"",'Casos de Prueba'!D399)</f>
        <v>8</v>
      </c>
      <c r="F399" s="92" t="str">
        <f>IF(LEN($C399)&gt;0,"",'Casos de Prueba'!E399)</f>
        <v>Da clic en Salir</v>
      </c>
      <c r="G399" s="92" t="str">
        <f>IF(LEN($C399)&gt;0,"",'Casos de Prueba'!F399&amp;CHAR(10)&amp;'Casos de Prueba'!G399)</f>
        <v xml:space="preserve">Cierra la sesión del RFC
</v>
      </c>
    </row>
    <row r="400" spans="4:7" x14ac:dyDescent="0.35">
      <c r="D400" s="92" t="str">
        <f>IF('Casos de Prueba'!B400&lt;&gt;0,'Casos de Prueba'!B400&amp;"-"&amp;'Casos de Prueba'!C400,"")</f>
        <v xml:space="preserve">CP45-Recuperar Representación Impresa Complemento Carta Porte </v>
      </c>
      <c r="E400" s="92"/>
      <c r="F400" s="92"/>
      <c r="G400" s="92"/>
    </row>
    <row r="401" spans="4:7" x14ac:dyDescent="0.35">
      <c r="D401" s="92" t="str">
        <f>IF('Casos de Prueba'!B401&lt;&gt;0,'Casos de Prueba'!B401&amp;"-"&amp;'Casos de Prueba'!C401,"")</f>
        <v/>
      </c>
      <c r="E401" s="92">
        <f>IF(LEN($C401)&gt;0,"",'Casos de Prueba'!D401)</f>
        <v>1</v>
      </c>
      <c r="F401" s="92" t="str">
        <f>IF(LEN($C401)&gt;0,"",'Casos de Prueba'!E401)</f>
        <v>Seleccionar la opción Consulta CFDI</v>
      </c>
      <c r="G401" s="92" t="str">
        <f>IF(LEN($C401)&gt;0,"",'Casos de Prueba'!F401&amp;CHAR(10)&amp;'Casos de Prueba'!G401)</f>
        <v xml:space="preserve">El sistema muestra las opciones:
 - Factura Electrónica
 - Retenciones e Inf. de Pagos
El Usuario previamente se autenticó  y accedió al Portal Privado Contribuyente CFDI
</v>
      </c>
    </row>
    <row r="402" spans="4:7" x14ac:dyDescent="0.35">
      <c r="D402" s="92" t="str">
        <f>IF('Casos de Prueba'!B402&lt;&gt;0,'Casos de Prueba'!B402&amp;"-"&amp;'Casos de Prueba'!C402,"")</f>
        <v/>
      </c>
      <c r="E402" s="92">
        <f>IF(LEN($C402)&gt;0,"",'Casos de Prueba'!D402)</f>
        <v>2</v>
      </c>
      <c r="F402" s="92" t="str">
        <f>IF(LEN($C402)&gt;0,"",'Casos de Prueba'!E402)</f>
        <v>Selecciona la opción Factura Electrónica</v>
      </c>
      <c r="G402" s="92" t="str">
        <f>IF(LEN($C402)&gt;0,"",'Casos de Prueba'!F402&amp;CHAR(10)&amp;'Casos de Prueba'!G402)</f>
        <v xml:space="preserve">El sistema muestra las siguientes opciones:
-Consultar Facturas Emitidas
-Consulta Facturas Recibidas
-Recuperar Descargas de CFDI
-Consultar Solicitudes de Cancelación
</v>
      </c>
    </row>
    <row r="403" spans="4:7" x14ac:dyDescent="0.35">
      <c r="D403" s="92" t="str">
        <f>IF('Casos de Prueba'!B403&lt;&gt;0,'Casos de Prueba'!B403&amp;"-"&amp;'Casos de Prueba'!C403,"")</f>
        <v/>
      </c>
      <c r="E403" s="92">
        <f>IF(LEN($C403)&gt;0,"",'Casos de Prueba'!D403)</f>
        <v>3</v>
      </c>
      <c r="F403" s="92" t="str">
        <f>IF(LEN($C403)&gt;0,"",'Casos de Prueba'!E403)</f>
        <v>Da clic en "Consultar Facturas Recibidas"</v>
      </c>
      <c r="G403" s="92" t="str">
        <f>IF(LEN($C403)&gt;0,"",'Casos de Prueba'!F403&amp;CHAR(10)&amp;'Casos de Prueba'!G403)</f>
        <v xml:space="preserve">El sistema muestra las opciones:
- Folio Fiscal * (está opción esta habilitada por default)
Los siguientes campos se muestran deshabilitados:
	Año (*)
•	Mes (*)
•	Día.
•	Hora Inicial.
•	Hora Final.
•	RFC Emisor 
•	RFC a cuenta terceros 
•	Estado del Comprobante
•	Tipo de Comprobante (complemento) 
•Estatus cancelación
</v>
      </c>
    </row>
    <row r="404" spans="4:7" x14ac:dyDescent="0.35">
      <c r="D404" s="92" t="str">
        <f>IF('Casos de Prueba'!B404&lt;&gt;0,'Casos de Prueba'!B404&amp;"-"&amp;'Casos de Prueba'!C404,"")</f>
        <v/>
      </c>
      <c r="E404" s="92">
        <f>IF(LEN($C404)&gt;0,"",'Casos de Prueba'!D404)</f>
        <v>4</v>
      </c>
      <c r="F404" s="92" t="str">
        <f>IF(LEN($C404)&gt;0,"",'Casos de Prueba'!E404)</f>
        <v>Selecciona la opción de Periodo de Fechas</v>
      </c>
      <c r="G404" s="92" t="str">
        <f>IF(LEN($C404)&gt;0,"",'Casos de Prueba'!F404&amp;CHAR(10)&amp;'Casos de Prueba'!G404)</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	Estatus Cancelación 
</v>
      </c>
    </row>
    <row r="405" spans="4:7" x14ac:dyDescent="0.35">
      <c r="D405" s="92" t="str">
        <f>IF('Casos de Prueba'!B405&lt;&gt;0,'Casos de Prueba'!B405&amp;"-"&amp;'Casos de Prueba'!C405,"")</f>
        <v/>
      </c>
      <c r="E405" s="92">
        <f>IF(LEN($C405)&gt;0,"",'Casos de Prueba'!D405)</f>
        <v>5</v>
      </c>
      <c r="F405" s="92" t="str">
        <f>IF(LEN($C405)&gt;0,"",'Casos de Prueba'!E405)</f>
        <v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	Estatus Cancelación </v>
      </c>
      <c r="G405" s="92" t="str">
        <f>IF(LEN($C405)&gt;0,"",'Casos de Prueba'!F405&amp;CHAR(10)&amp;'Casos de Prueba'!G405)</f>
        <v xml:space="preserve">El sistema muestra los datos que se van ingresando 
</v>
      </c>
    </row>
    <row r="406" spans="4:7" x14ac:dyDescent="0.35">
      <c r="D406" s="92" t="str">
        <f>IF('Casos de Prueba'!B406&lt;&gt;0,'Casos de Prueba'!B406&amp;"-"&amp;'Casos de Prueba'!C406,"")</f>
        <v/>
      </c>
      <c r="E406" s="92">
        <f>IF(LEN($C406)&gt;0,"",'Casos de Prueba'!D406)</f>
        <v>6</v>
      </c>
      <c r="F406" s="92" t="str">
        <f>IF(LEN($C406)&gt;0,"",'Casos de Prueba'!E406)</f>
        <v>Da clic en el botón Buscar CFDI</v>
      </c>
      <c r="G406" s="92" t="str">
        <f>IF(LEN($C406)&gt;0,"",'Casos de Prueba'!F406&amp;CHAR(10)&amp;'Casos de Prueba'!G406)</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407" spans="4:7" x14ac:dyDescent="0.35">
      <c r="D407" s="92" t="str">
        <f>IF('Casos de Prueba'!B407&lt;&gt;0,'Casos de Prueba'!B407&amp;"-"&amp;'Casos de Prueba'!C407,"")</f>
        <v/>
      </c>
      <c r="E407" s="92">
        <f>IF(LEN($C407)&gt;0,"",'Casos de Prueba'!D407)</f>
        <v>7</v>
      </c>
      <c r="F407" s="92" t="str">
        <f>IF(LEN($C407)&gt;0,"",'Casos de Prueba'!E407)</f>
        <v>Dar clic en la imagen en 
Recuperar Representación Impresa Complemento Carta Porte 
(Visible solo cuando contenga un complemento CCP)</v>
      </c>
      <c r="G407" s="92" t="str">
        <f>IF(LEN($C407)&gt;0,"",'Casos de Prueba'!F407&amp;CHAR(10)&amp;'Casos de Prueba'!G407)</f>
        <v xml:space="preserve">El sistema comienza la descarga de la  Representación Impresa Complemento Carta Porte 
</v>
      </c>
    </row>
    <row r="408" spans="4:7" x14ac:dyDescent="0.35">
      <c r="D408" s="92" t="str">
        <f>IF('Casos de Prueba'!B408&lt;&gt;0,'Casos de Prueba'!B408&amp;"-"&amp;'Casos de Prueba'!C408,"")</f>
        <v/>
      </c>
      <c r="E408" s="92">
        <f>IF(LEN($C408)&gt;0,"",'Casos de Prueba'!D408)</f>
        <v>8</v>
      </c>
      <c r="F408" s="92" t="str">
        <f>IF(LEN($C408)&gt;0,"",'Casos de Prueba'!E408)</f>
        <v>Da clic en Salir</v>
      </c>
      <c r="G408" s="92" t="str">
        <f>IF(LEN($C408)&gt;0,"",'Casos de Prueba'!F408&amp;CHAR(10)&amp;'Casos de Prueba'!G408)</f>
        <v xml:space="preserve">Cierra la sesión del RFC
</v>
      </c>
    </row>
    <row r="409" spans="4:7" x14ac:dyDescent="0.35">
      <c r="D409" s="92" t="str">
        <f>IF('Casos de Prueba'!B409&lt;&gt;0,'Casos de Prueba'!B409&amp;"-"&amp;'Casos de Prueba'!C409,"")</f>
        <v>CP46-Botón Descargar Seleccionados</v>
      </c>
      <c r="E409" s="92"/>
      <c r="F409" s="92"/>
      <c r="G409" s="92"/>
    </row>
    <row r="410" spans="4:7" x14ac:dyDescent="0.35">
      <c r="D410" s="92" t="str">
        <f>IF('Casos de Prueba'!B410&lt;&gt;0,'Casos de Prueba'!B410&amp;"-"&amp;'Casos de Prueba'!C410,"")</f>
        <v/>
      </c>
      <c r="E410" s="92">
        <f>IF(LEN($C410)&gt;0,"",'Casos de Prueba'!D410)</f>
        <v>1</v>
      </c>
      <c r="F410" s="92" t="str">
        <f>IF(LEN($C410)&gt;0,"",'Casos de Prueba'!E410)</f>
        <v>Seleccionar la opción Consulta CFDI</v>
      </c>
      <c r="G410" s="92" t="str">
        <f>IF(LEN($C410)&gt;0,"",'Casos de Prueba'!F410&amp;CHAR(10)&amp;'Casos de Prueba'!G410)</f>
        <v xml:space="preserve">El sistema muestra las opciones:
 - Factura Electrónica
 - Retenciones e Inf. de Pagos
El Usuario previamente se autenticó  y accedió al Portal Privado Contribuyente CFDI
</v>
      </c>
    </row>
    <row r="411" spans="4:7" x14ac:dyDescent="0.35">
      <c r="D411" s="92" t="str">
        <f>IF('Casos de Prueba'!B411&lt;&gt;0,'Casos de Prueba'!B411&amp;"-"&amp;'Casos de Prueba'!C411,"")</f>
        <v/>
      </c>
      <c r="E411" s="92">
        <f>IF(LEN($C411)&gt;0,"",'Casos de Prueba'!D411)</f>
        <v>2</v>
      </c>
      <c r="F411" s="92" t="str">
        <f>IF(LEN($C411)&gt;0,"",'Casos de Prueba'!E411)</f>
        <v>Selecciona la opción Factura Electrónica</v>
      </c>
      <c r="G411" s="92" t="str">
        <f>IF(LEN($C411)&gt;0,"",'Casos de Prueba'!F411&amp;CHAR(10)&amp;'Casos de Prueba'!G411)</f>
        <v xml:space="preserve">El sistema muestra las siguientes opciones:
-Consulta Facturas emitidas
-Consulta Facturas Recibidas
-Recuperar Descargas de CFDI
-Consultar Solicitudes de Cancelación
</v>
      </c>
    </row>
    <row r="412" spans="4:7" x14ac:dyDescent="0.35">
      <c r="D412" s="92" t="str">
        <f>IF('Casos de Prueba'!B412&lt;&gt;0,'Casos de Prueba'!B412&amp;"-"&amp;'Casos de Prueba'!C412,"")</f>
        <v/>
      </c>
      <c r="E412" s="92">
        <f>IF(LEN($C412)&gt;0,"",'Casos de Prueba'!D412)</f>
        <v>3</v>
      </c>
      <c r="F412" s="92" t="str">
        <f>IF(LEN($C412)&gt;0,"",'Casos de Prueba'!E412)</f>
        <v>Da clic en "Consultar Facturas Recibidas"</v>
      </c>
      <c r="G412" s="92" t="str">
        <f>IF(LEN($C412)&gt;0,"",'Casos de Prueba'!F412&amp;CHAR(10)&amp;'Casos de Prueba'!G412)</f>
        <v xml:space="preserve">El sistema muestra las siguientes opciones de búsqueda:
- Folio Fiscal
- Periodo de Fechas
</v>
      </c>
    </row>
    <row r="413" spans="4:7" x14ac:dyDescent="0.35">
      <c r="D413" s="92" t="str">
        <f>IF('Casos de Prueba'!B413&lt;&gt;0,'Casos de Prueba'!B413&amp;"-"&amp;'Casos de Prueba'!C413,"")</f>
        <v/>
      </c>
      <c r="E413" s="92">
        <f>IF(LEN($C413)&gt;0,"",'Casos de Prueba'!D413)</f>
        <v>4</v>
      </c>
      <c r="F413" s="92" t="str">
        <f>IF(LEN($C413)&gt;0,"",'Casos de Prueba'!E413)</f>
        <v>Selecciona la opción de Periodo de Fechas</v>
      </c>
      <c r="G413" s="92" t="str">
        <f>IF(LEN($C413)&gt;0,"",'Casos de Prueba'!F413&amp;CHAR(10)&amp;'Casos de Prueba'!G413)</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v>
      </c>
    </row>
    <row r="414" spans="4:7" x14ac:dyDescent="0.35">
      <c r="D414" s="92" t="str">
        <f>IF('Casos de Prueba'!B414&lt;&gt;0,'Casos de Prueba'!B414&amp;"-"&amp;'Casos de Prueba'!C414,"")</f>
        <v/>
      </c>
      <c r="E414" s="92">
        <f>IF(LEN($C414)&gt;0,"",'Casos de Prueba'!D414)</f>
        <v>5</v>
      </c>
      <c r="F414" s="92" t="str">
        <f>IF(LEN($C414)&gt;0,"",'Casos de Prueba'!E414)</f>
        <v>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•Estatus cancelación</v>
      </c>
      <c r="G414" s="92" t="str">
        <f>IF(LEN($C414)&gt;0,"",'Casos de Prueba'!F414&amp;CHAR(10)&amp;'Casos de Prueba'!G414)</f>
        <v xml:space="preserve">El sistema muestra los datos que se van ingresando 
</v>
      </c>
    </row>
    <row r="415" spans="4:7" x14ac:dyDescent="0.35">
      <c r="D415" s="92" t="str">
        <f>IF('Casos de Prueba'!B415&lt;&gt;0,'Casos de Prueba'!B415&amp;"-"&amp;'Casos de Prueba'!C415,"")</f>
        <v/>
      </c>
      <c r="E415" s="92">
        <f>IF(LEN($C415)&gt;0,"",'Casos de Prueba'!D415)</f>
        <v>6</v>
      </c>
      <c r="F415" s="92" t="str">
        <f>IF(LEN($C415)&gt;0,"",'Casos de Prueba'!E415)</f>
        <v>Da clic en el botón Buscar CFDI</v>
      </c>
      <c r="G415" s="92" t="str">
        <f>IF(LEN($C415)&gt;0,"",'Casos de Prueba'!F415&amp;CHAR(10)&amp;'Casos de Prueba'!G415)</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416" spans="4:7" x14ac:dyDescent="0.35">
      <c r="D416" s="92" t="str">
        <f>IF('Casos de Prueba'!B416&lt;&gt;0,'Casos de Prueba'!B416&amp;"-"&amp;'Casos de Prueba'!C416,"")</f>
        <v/>
      </c>
      <c r="E416" s="92">
        <f>IF(LEN($C416)&gt;0,"",'Casos de Prueba'!D416)</f>
        <v>7</v>
      </c>
      <c r="F416" s="92" t="str">
        <f>IF(LEN($C416)&gt;0,"",'Casos de Prueba'!E416)</f>
        <v>Marcar los registros que se quieren obtener  y dar clic en el botón "Descargar Seleccionados"</v>
      </c>
      <c r="G416" s="92" t="str">
        <f>IF(LEN($C416)&gt;0,"",'Casos de Prueba'!F416&amp;CHAR(10)&amp;'Casos de Prueba'!G416)</f>
        <v xml:space="preserve">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(RN16).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Si no se realiza una selección y se da clic en el botón “Descargar seleccionados”, el sistema presenta en pantalla un mensaje de alerta “¿Atención! Favor de seleccionar registro(s)”.
El archivo ZIP correspondiente a la descarga masiva, debe contener los archivos XML seleccionados (RN17, RN18).
Con esta opción el Contribuyente podrá descargar de manera masiva los XML de los CFDI que previamente seleccione del resultado de la búsqueda. </v>
      </c>
    </row>
    <row r="417" spans="4:7" x14ac:dyDescent="0.35">
      <c r="D417" s="92" t="str">
        <f>IF('Casos de Prueba'!B417&lt;&gt;0,'Casos de Prueba'!B417&amp;"-"&amp;'Casos de Prueba'!C417,"")</f>
        <v/>
      </c>
      <c r="E417" s="92">
        <f>IF(LEN($C417)&gt;0,"",'Casos de Prueba'!D417)</f>
        <v>8</v>
      </c>
      <c r="F417" s="92" t="str">
        <f>IF(LEN($C417)&gt;0,"",'Casos de Prueba'!E417)</f>
        <v>Para validar si ya se procesó la petición y descargar los archivos, dar clic en el botón “Recuperar Descarga CFDI”. Y seleccionar el icono de descarga del registro que se desea descargar.</v>
      </c>
      <c r="G417" s="92" t="str">
        <f>IF(LEN($C417)&gt;0,"",'Casos de Prueba'!F417&amp;CHAR(10)&amp;'Casos de Prueba'!G417)</f>
        <v>Se descarga un archivo zip donde vienen los archivos en formato XML que se hayan seleccionado. (RN17, RN18)
El sistema debe nombrar los archivos descargados de cada CFDI igual que el número de folio fiscal.</v>
      </c>
    </row>
    <row r="418" spans="4:7" x14ac:dyDescent="0.35">
      <c r="D418" s="92" t="str">
        <f>IF('Casos de Prueba'!B418&lt;&gt;0,'Casos de Prueba'!B418&amp;"-"&amp;'Casos de Prueba'!C418,"")</f>
        <v/>
      </c>
      <c r="E418" s="92">
        <f>IF(LEN($C418)&gt;0,"",'Casos de Prueba'!D418)</f>
        <v>9</v>
      </c>
      <c r="F418" s="92" t="str">
        <f>IF(LEN($C418)&gt;0,"",'Casos de Prueba'!E418)</f>
        <v>Da clic en Salir</v>
      </c>
      <c r="G418" s="92" t="str">
        <f>IF(LEN($C418)&gt;0,"",'Casos de Prueba'!F418&amp;CHAR(10)&amp;'Casos de Prueba'!G418)</f>
        <v xml:space="preserve">Cierra la sesión del RFC
</v>
      </c>
    </row>
    <row r="419" spans="4:7" x14ac:dyDescent="0.35">
      <c r="D419" s="92" t="str">
        <f>IF('Casos de Prueba'!B419&lt;&gt;0,'Casos de Prueba'!B419&amp;"-"&amp;'Casos de Prueba'!C419,"")</f>
        <v>CP47-Botón Descargar Seleccionados</v>
      </c>
      <c r="E419" s="92"/>
      <c r="F419" s="92"/>
      <c r="G419" s="92"/>
    </row>
    <row r="420" spans="4:7" x14ac:dyDescent="0.35">
      <c r="D420" s="92" t="str">
        <f>IF('Casos de Prueba'!B420&lt;&gt;0,'Casos de Prueba'!B420&amp;"-"&amp;'Casos de Prueba'!C420,"")</f>
        <v/>
      </c>
      <c r="E420" s="92">
        <f>IF(LEN($C420)&gt;0,"",'Casos de Prueba'!D420)</f>
        <v>1</v>
      </c>
      <c r="F420" s="92" t="str">
        <f>IF(LEN($C420)&gt;0,"",'Casos de Prueba'!E420)</f>
        <v>Seleccionar la opción Consulta CFDI</v>
      </c>
      <c r="G420" s="92" t="str">
        <f>IF(LEN($C420)&gt;0,"",'Casos de Prueba'!F420&amp;CHAR(10)&amp;'Casos de Prueba'!G420)</f>
        <v xml:space="preserve">El sistema muestra las opciones:
 - Factura Electrónica
 - Retenciones e Inf. de Pagos
El Usuario previamente se autenticó  y accedió al Portal Privado Contribuyente CFDI
</v>
      </c>
    </row>
    <row r="421" spans="4:7" x14ac:dyDescent="0.35">
      <c r="D421" s="92" t="str">
        <f>IF('Casos de Prueba'!B421&lt;&gt;0,'Casos de Prueba'!B421&amp;"-"&amp;'Casos de Prueba'!C421,"")</f>
        <v/>
      </c>
      <c r="E421" s="92">
        <f>IF(LEN($C421)&gt;0,"",'Casos de Prueba'!D421)</f>
        <v>2</v>
      </c>
      <c r="F421" s="92" t="str">
        <f>IF(LEN($C421)&gt;0,"",'Casos de Prueba'!E421)</f>
        <v>Selecciona la opción Factura Electrónica</v>
      </c>
      <c r="G421" s="92" t="str">
        <f>IF(LEN($C421)&gt;0,"",'Casos de Prueba'!F421&amp;CHAR(10)&amp;'Casos de Prueba'!G421)</f>
        <v xml:space="preserve">El sistema muestra las siguientes opciones:
-Consultar Facturas Emitidas
-Consulta Facturas Recibidas
-Recuperar Descargas de CFDI
-Consultar Solicitudes de Cancelación
</v>
      </c>
    </row>
    <row r="422" spans="4:7" x14ac:dyDescent="0.35">
      <c r="D422" s="92" t="str">
        <f>IF('Casos de Prueba'!B422&lt;&gt;0,'Casos de Prueba'!B422&amp;"-"&amp;'Casos de Prueba'!C422,"")</f>
        <v/>
      </c>
      <c r="E422" s="92">
        <f>IF(LEN($C422)&gt;0,"",'Casos de Prueba'!D422)</f>
        <v>3</v>
      </c>
      <c r="F422" s="92" t="str">
        <f>IF(LEN($C422)&gt;0,"",'Casos de Prueba'!E422)</f>
        <v>Da clic en "Consultar Facturas Recibidas"</v>
      </c>
      <c r="G422" s="92" t="str">
        <f>IF(LEN($C422)&gt;0,"",'Casos de Prueba'!F422&amp;CHAR(10)&amp;'Casos de Prueba'!G422)</f>
        <v xml:space="preserve">El sistema muestra las opciones:
- Folio Fiscal * (está opción esta habilitada por default)
Los siguientes campos se muestran deshabilitados:
- Año*
- Mes*
- Día
-Hora Inicial
-Hora Final
- RFC a cuenta terceros
-RFC Emisor (RN04)
- Estado del Comprobante
- Tipo de Comprobante (Complemento) (RN03)
-Estatus cancelación 
*campos obligatorios
Opción: Buscar CFDI
</v>
      </c>
    </row>
    <row r="423" spans="4:7" x14ac:dyDescent="0.35">
      <c r="D423" s="92" t="str">
        <f>IF('Casos de Prueba'!B423&lt;&gt;0,'Casos de Prueba'!B423&amp;"-"&amp;'Casos de Prueba'!C423,"")</f>
        <v/>
      </c>
      <c r="E423" s="92">
        <f>IF(LEN($C423)&gt;0,"",'Casos de Prueba'!D423)</f>
        <v>4</v>
      </c>
      <c r="F423" s="92" t="str">
        <f>IF(LEN($C423)&gt;0,"",'Casos de Prueba'!E423)</f>
        <v>Selecciona la opción Folio Fiscal</v>
      </c>
      <c r="G423" s="92" t="str">
        <f>IF(LEN($C423)&gt;0,"",'Casos de Prueba'!F423&amp;CHAR(10)&amp;'Casos de Prueba'!G423)</f>
        <v xml:space="preserve">El sistema habilita el campo de FOLIO FISCAL
Aplica las Reglas de Negocio: (RN02) 
</v>
      </c>
    </row>
    <row r="424" spans="4:7" x14ac:dyDescent="0.35">
      <c r="D424" s="92" t="str">
        <f>IF('Casos de Prueba'!B424&lt;&gt;0,'Casos de Prueba'!B424&amp;"-"&amp;'Casos de Prueba'!C424,"")</f>
        <v/>
      </c>
      <c r="E424" s="92">
        <f>IF(LEN($C424)&gt;0,"",'Casos de Prueba'!D424)</f>
        <v>5</v>
      </c>
      <c r="F424" s="92" t="str">
        <f>IF(LEN($C424)&gt;0,"",'Casos de Prueba'!E424)</f>
        <v>Ingresa los datos del número de Folio Fiscal a buscar</v>
      </c>
      <c r="G424" s="92" t="str">
        <f>IF(LEN($C424)&gt;0,"",'Casos de Prueba'!F424&amp;CHAR(10)&amp;'Casos de Prueba'!G424)</f>
        <v>El sistema muestra los datos que se van ingresando
Aplica las Reglas de Negocio: (RN08 – Inciso c,d).</v>
      </c>
    </row>
    <row r="425" spans="4:7" x14ac:dyDescent="0.35">
      <c r="D425" s="92" t="str">
        <f>IF('Casos de Prueba'!B425&lt;&gt;0,'Casos de Prueba'!B425&amp;"-"&amp;'Casos de Prueba'!C425,"")</f>
        <v/>
      </c>
      <c r="E425" s="92">
        <f>IF(LEN($C425)&gt;0,"",'Casos de Prueba'!D425)</f>
        <v>6</v>
      </c>
      <c r="F425" s="92" t="str">
        <f>IF(LEN($C425)&gt;0,"",'Casos de Prueba'!E425)</f>
        <v xml:space="preserve">Da clic en el botón Buscar CFDI
</v>
      </c>
      <c r="G425" s="92" t="str">
        <f>IF(LEN($C425)&gt;0,"",'Casos de Prueba'!F425&amp;CHAR(10)&amp;'Casos de Prueba'!G425)</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426" spans="4:7" x14ac:dyDescent="0.35">
      <c r="D426" s="92" t="str">
        <f>IF('Casos de Prueba'!B426&lt;&gt;0,'Casos de Prueba'!B426&amp;"-"&amp;'Casos de Prueba'!C426,"")</f>
        <v/>
      </c>
      <c r="E426" s="92">
        <f>IF(LEN($C426)&gt;0,"",'Casos de Prueba'!D426)</f>
        <v>7</v>
      </c>
      <c r="F426" s="92" t="str">
        <f>IF(LEN($C426)&gt;0,"",'Casos de Prueba'!E426)</f>
        <v>Seleccionar el registro y dar clic en el botón "Descargar Seleccionados"</v>
      </c>
      <c r="G426" s="92" t="str">
        <f>IF(LEN($C426)&gt;0,"",'Casos de Prueba'!F426&amp;CHAR(10)&amp;'Casos de Prueba'!G426)</f>
        <v xml:space="preserve">Una vez realizada la selección de comprobantes a descargar, al seleccionar este botón se debe generar una petición al servicio de descarga masiva de los archivos XML, a través de un paquete comprimido en formato ZIP, este paquete contará con un identificador denominado “Folio de descarga”, el cual podrá ser consultado desde la funcionalidad del botón “Recuperar descargas de CFDI” (RN16).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Si no se realiza una selección y se da clic en el botón “Descargar seleccionados”, el sistema presenta en pantalla un mensaje de alerta “¿Atención! Favor de seleccionar registro(s)”.
El archivo ZIP correspondiente a la descarga masiva, debe contener los archivos XML seleccionados (RN17, RN18).
Con esta opción el Contribuyente podrá descargar de manera masiva los XML de los CFDI que previamente seleccione del resultado de la búsqueda. </v>
      </c>
    </row>
    <row r="427" spans="4:7" x14ac:dyDescent="0.35">
      <c r="D427" s="92" t="str">
        <f>IF('Casos de Prueba'!B427&lt;&gt;0,'Casos de Prueba'!B427&amp;"-"&amp;'Casos de Prueba'!C427,"")</f>
        <v/>
      </c>
      <c r="E427" s="92">
        <f>IF(LEN($C427)&gt;0,"",'Casos de Prueba'!D427)</f>
        <v>8</v>
      </c>
      <c r="F427" s="92" t="str">
        <f>IF(LEN($C427)&gt;0,"",'Casos de Prueba'!E427)</f>
        <v>Para validar si ya se procesó la petición y descargar los archivos, dar clic en el botón “Recuperar Descarga CFDI”. Y seleccionar el icono de descarga del registro que se desea descargar.</v>
      </c>
      <c r="G427" s="92" t="str">
        <f>IF(LEN($C427)&gt;0,"",'Casos de Prueba'!F427&amp;CHAR(10)&amp;'Casos de Prueba'!G427)</f>
        <v>Se descarga un archivo zip donde vienen los archivos en formato XML que se hayan seleccionado. (RN17, RN18)
El sistema debe nombrar los archivos descargados de cada CFDI igual que el número de folio fiscal.</v>
      </c>
    </row>
    <row r="428" spans="4:7" x14ac:dyDescent="0.35">
      <c r="D428" s="92" t="str">
        <f>IF('Casos de Prueba'!B428&lt;&gt;0,'Casos de Prueba'!B428&amp;"-"&amp;'Casos de Prueba'!C428,"")</f>
        <v/>
      </c>
      <c r="E428" s="92">
        <f>IF(LEN($C428)&gt;0,"",'Casos de Prueba'!D428)</f>
        <v>9</v>
      </c>
      <c r="F428" s="92" t="str">
        <f>IF(LEN($C428)&gt;0,"",'Casos de Prueba'!E428)</f>
        <v>Da clic en Salir</v>
      </c>
      <c r="G428" s="92" t="str">
        <f>IF(LEN($C428)&gt;0,"",'Casos de Prueba'!F428&amp;CHAR(10)&amp;'Casos de Prueba'!G428)</f>
        <v xml:space="preserve">Cierra la sesión del RFC
</v>
      </c>
    </row>
    <row r="429" spans="4:7" x14ac:dyDescent="0.35">
      <c r="D429" s="92" t="str">
        <f>IF('Casos de Prueba'!B429&lt;&gt;0,'Casos de Prueba'!B429&amp;"-"&amp;'Casos de Prueba'!C429,"")</f>
        <v>CP48-Botón Descargar Seleccionados RI</v>
      </c>
      <c r="E429" s="92"/>
      <c r="F429" s="92"/>
      <c r="G429" s="92"/>
    </row>
    <row r="430" spans="4:7" x14ac:dyDescent="0.35">
      <c r="D430" s="92" t="str">
        <f>IF('Casos de Prueba'!B430&lt;&gt;0,'Casos de Prueba'!B430&amp;"-"&amp;'Casos de Prueba'!C430,"")</f>
        <v/>
      </c>
      <c r="E430" s="92">
        <f>IF(LEN($C430)&gt;0,"",'Casos de Prueba'!D430)</f>
        <v>1</v>
      </c>
      <c r="F430" s="92" t="str">
        <f>IF(LEN($C430)&gt;0,"",'Casos de Prueba'!E430)</f>
        <v>Seleccionar la opción Consulta CFDI</v>
      </c>
      <c r="G430" s="92" t="str">
        <f>IF(LEN($C430)&gt;0,"",'Casos de Prueba'!F430&amp;CHAR(10)&amp;'Casos de Prueba'!G430)</f>
        <v xml:space="preserve">El sistema muestra las opciones:
 - Factura Electrónica
 - Retenciones e Inf. de Pagos
El Usuario previamente se autenticó  y accedió al Portal Privado Contribuyente CFDI
</v>
      </c>
    </row>
    <row r="431" spans="4:7" x14ac:dyDescent="0.35">
      <c r="D431" s="92" t="str">
        <f>IF('Casos de Prueba'!B431&lt;&gt;0,'Casos de Prueba'!B431&amp;"-"&amp;'Casos de Prueba'!C431,"")</f>
        <v/>
      </c>
      <c r="E431" s="92">
        <f>IF(LEN($C431)&gt;0,"",'Casos de Prueba'!D431)</f>
        <v>2</v>
      </c>
      <c r="F431" s="92" t="str">
        <f>IF(LEN($C431)&gt;0,"",'Casos de Prueba'!E431)</f>
        <v>Selecciona la opción Factura Electrónica</v>
      </c>
      <c r="G431" s="92" t="str">
        <f>IF(LEN($C431)&gt;0,"",'Casos de Prueba'!F431&amp;CHAR(10)&amp;'Casos de Prueba'!G431)</f>
        <v xml:space="preserve">El sistema muestra las siguientes opciones:
-Consulta Facturas Emitidas 
-Consulta Facturas Recibidas
-Recuperar Descargas de CFDI
-Consultar Solicitudes de Cancelación
</v>
      </c>
    </row>
    <row r="432" spans="4:7" x14ac:dyDescent="0.35">
      <c r="D432" s="92" t="str">
        <f>IF('Casos de Prueba'!B432&lt;&gt;0,'Casos de Prueba'!B432&amp;"-"&amp;'Casos de Prueba'!C432,"")</f>
        <v/>
      </c>
      <c r="E432" s="92">
        <f>IF(LEN($C432)&gt;0,"",'Casos de Prueba'!D432)</f>
        <v>3</v>
      </c>
      <c r="F432" s="92" t="str">
        <f>IF(LEN($C432)&gt;0,"",'Casos de Prueba'!E432)</f>
        <v>Da clic en "Consultar Facturas Recibidas"</v>
      </c>
      <c r="G432" s="92" t="str">
        <f>IF(LEN($C432)&gt;0,"",'Casos de Prueba'!F432&amp;CHAR(10)&amp;'Casos de Prueba'!G432)</f>
        <v xml:space="preserve">El sistema muestra las siguientes opciones de búsqueda:
- Folio Fiscal
- Periodo de Fechas
</v>
      </c>
    </row>
    <row r="433" spans="4:7" x14ac:dyDescent="0.35">
      <c r="D433" s="92" t="str">
        <f>IF('Casos de Prueba'!B433&lt;&gt;0,'Casos de Prueba'!B433&amp;"-"&amp;'Casos de Prueba'!C433,"")</f>
        <v/>
      </c>
      <c r="E433" s="92">
        <f>IF(LEN($C433)&gt;0,"",'Casos de Prueba'!D433)</f>
        <v>4</v>
      </c>
      <c r="F433" s="92" t="str">
        <f>IF(LEN($C433)&gt;0,"",'Casos de Prueba'!E433)</f>
        <v>Selecciona la opción de Periodo de Fechas</v>
      </c>
      <c r="G433" s="92" t="str">
        <f>IF(LEN($C433)&gt;0,"",'Casos de Prueba'!F433&amp;CHAR(10)&amp;'Casos de Prueba'!G433)</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v>
      </c>
    </row>
    <row r="434" spans="4:7" x14ac:dyDescent="0.35">
      <c r="D434" s="92" t="str">
        <f>IF('Casos de Prueba'!B434&lt;&gt;0,'Casos de Prueba'!B434&amp;"-"&amp;'Casos de Prueba'!C434,"")</f>
        <v/>
      </c>
      <c r="E434" s="92">
        <f>IF(LEN($C434)&gt;0,"",'Casos de Prueba'!D434)</f>
        <v>5</v>
      </c>
      <c r="F434" s="92" t="str">
        <f>IF(LEN($C434)&gt;0,"",'Casos de Prueba'!E434)</f>
        <v>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•Estatus cancelación</v>
      </c>
      <c r="G434" s="92" t="str">
        <f>IF(LEN($C434)&gt;0,"",'Casos de Prueba'!F434&amp;CHAR(10)&amp;'Casos de Prueba'!G434)</f>
        <v xml:space="preserve">El sistema muestra los datos que se van ingresando 
</v>
      </c>
    </row>
    <row r="435" spans="4:7" x14ac:dyDescent="0.35">
      <c r="D435" s="92" t="str">
        <f>IF('Casos de Prueba'!B435&lt;&gt;0,'Casos de Prueba'!B435&amp;"-"&amp;'Casos de Prueba'!C435,"")</f>
        <v/>
      </c>
      <c r="E435" s="92">
        <f>IF(LEN($C435)&gt;0,"",'Casos de Prueba'!D435)</f>
        <v>6</v>
      </c>
      <c r="F435" s="92" t="str">
        <f>IF(LEN($C435)&gt;0,"",'Casos de Prueba'!E435)</f>
        <v>Da clic en el botón Buscar CFDI</v>
      </c>
      <c r="G435" s="92" t="str">
        <f>IF(LEN($C435)&gt;0,"",'Casos de Prueba'!F435&amp;CHAR(10)&amp;'Casos de Prueba'!G435)</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436" spans="4:7" x14ac:dyDescent="0.35">
      <c r="D436" s="92" t="str">
        <f>IF('Casos de Prueba'!B436&lt;&gt;0,'Casos de Prueba'!B436&amp;"-"&amp;'Casos de Prueba'!C436,"")</f>
        <v/>
      </c>
      <c r="E436" s="92">
        <f>IF(LEN($C436)&gt;0,"",'Casos de Prueba'!D436)</f>
        <v>7</v>
      </c>
      <c r="F436" s="92" t="str">
        <f>IF(LEN($C436)&gt;0,"",'Casos de Prueba'!E436)</f>
        <v>Marcar los registros que se quieren obtener  y dar clic en el botón "Descargar Seleccionados RI"</v>
      </c>
      <c r="G436" s="92" t="str">
        <f>IF(LEN($C436)&gt;0,"",'Casos de Prueba'!F436&amp;CHAR(10)&amp;'Casos de Prueba'!G436)</f>
        <v xml:space="preserve">Al momento de seleccionar está opción el aplicativo debe generar una petición al servicio de descarga masiva,  con un identificador denominado “Folio de descarga”, el cual podrá ser consultado desde la funcionalidad del botón “Recuperar descargas de CFDI” (RN16). 
El sistema enviara el mensaje: 
¡Descarga realizada con éxito!
“La descarga de los CFDI se encuentran en proceso y podrás obtener el resultado con el folio de descarga: XXXXXXX-XXXX-XXXX-XXXX-XXXXXXXXXXX, en la opción: Recuperar descargas de CFDI.
Importante: el tiempo máximo para atender la solicitud es de 48 horas a partir de este momento.
</v>
      </c>
    </row>
    <row r="437" spans="4:7" x14ac:dyDescent="0.35">
      <c r="D437" s="92" t="str">
        <f>IF('Casos de Prueba'!B437&lt;&gt;0,'Casos de Prueba'!B437&amp;"-"&amp;'Casos de Prueba'!C437,"")</f>
        <v/>
      </c>
      <c r="E437" s="92">
        <f>IF(LEN($C437)&gt;0,"",'Casos de Prueba'!D437)</f>
        <v>8</v>
      </c>
      <c r="F437" s="92" t="str">
        <f>IF(LEN($C437)&gt;0,"",'Casos de Prueba'!E437)</f>
        <v>Para validar si ya se procesó la petición y descargar los archivos, dar clic en el botón “Recuperar Descarga CFDI”. Y seleccionar el icono de descarga del registro que se desea descargar.</v>
      </c>
      <c r="G437" s="92" t="str">
        <f>IF(LEN($C437)&gt;0,"",'Casos de Prueba'!F437&amp;CHAR(10)&amp;'Casos de Prueba'!G437)</f>
        <v>Se descarga un archivo zip donde vienen los archivos en formato PDF que se hayan seleccionado
El sistema debe nombrar los archivos descargados de cada CFDI igual que el número de folio fiscal.</v>
      </c>
    </row>
    <row r="438" spans="4:7" x14ac:dyDescent="0.35">
      <c r="D438" s="92" t="str">
        <f>IF('Casos de Prueba'!B438&lt;&gt;0,'Casos de Prueba'!B438&amp;"-"&amp;'Casos de Prueba'!C438,"")</f>
        <v/>
      </c>
      <c r="E438" s="92">
        <f>IF(LEN($C438)&gt;0,"",'Casos de Prueba'!D438)</f>
        <v>9</v>
      </c>
      <c r="F438" s="92" t="str">
        <f>IF(LEN($C438)&gt;0,"",'Casos de Prueba'!E438)</f>
        <v>Da clic en Salir</v>
      </c>
      <c r="G438" s="92" t="str">
        <f>IF(LEN($C438)&gt;0,"",'Casos de Prueba'!F438&amp;CHAR(10)&amp;'Casos de Prueba'!G438)</f>
        <v xml:space="preserve">Cierra la sesión del RFC
</v>
      </c>
    </row>
    <row r="439" spans="4:7" x14ac:dyDescent="0.35">
      <c r="D439" s="92" t="str">
        <f>IF('Casos de Prueba'!B439&lt;&gt;0,'Casos de Prueba'!B439&amp;"-"&amp;'Casos de Prueba'!C439,"")</f>
        <v>CP49-Botón Descargar Metadata</v>
      </c>
      <c r="E439" s="92"/>
      <c r="F439" s="92"/>
      <c r="G439" s="92"/>
    </row>
    <row r="440" spans="4:7" x14ac:dyDescent="0.35">
      <c r="D440" s="92" t="str">
        <f>IF('Casos de Prueba'!B440&lt;&gt;0,'Casos de Prueba'!B440&amp;"-"&amp;'Casos de Prueba'!C440,"")</f>
        <v/>
      </c>
      <c r="E440" s="92">
        <f>IF(LEN($C440)&gt;0,"",'Casos de Prueba'!D440)</f>
        <v>1</v>
      </c>
      <c r="F440" s="92" t="str">
        <f>IF(LEN($C440)&gt;0,"",'Casos de Prueba'!E440)</f>
        <v>Seleccionar la opción Consulta CFDI</v>
      </c>
      <c r="G440" s="92" t="str">
        <f>IF(LEN($C440)&gt;0,"",'Casos de Prueba'!F440&amp;CHAR(10)&amp;'Casos de Prueba'!G440)</f>
        <v xml:space="preserve">El sistema muestra las opciones:
 - Factura Electrónica
 - Retenciones e Inf. de Pagos
</v>
      </c>
    </row>
    <row r="441" spans="4:7" x14ac:dyDescent="0.35">
      <c r="D441" s="92" t="str">
        <f>IF('Casos de Prueba'!B441&lt;&gt;0,'Casos de Prueba'!B441&amp;"-"&amp;'Casos de Prueba'!C441,"")</f>
        <v/>
      </c>
      <c r="E441" s="92">
        <f>IF(LEN($C441)&gt;0,"",'Casos de Prueba'!D441)</f>
        <v>2</v>
      </c>
      <c r="F441" s="92" t="str">
        <f>IF(LEN($C441)&gt;0,"",'Casos de Prueba'!E441)</f>
        <v>Selecciona la opción Factura Electrónica</v>
      </c>
      <c r="G441" s="92" t="str">
        <f>IF(LEN($C441)&gt;0,"",'Casos de Prueba'!F441&amp;CHAR(10)&amp;'Casos de Prueba'!G441)</f>
        <v xml:space="preserve">El sistema muestra las siguientes opciones:
-Consulta Facturas Emitidas 
-Consultar Facturas Recibidas
-Recuperar Descargas de CFDI
-Consultar Solicitudes de Cancelación
El Usuario previamente se autenticó  y accedió al Portal Privado Contribuyente CFDI
</v>
      </c>
    </row>
    <row r="442" spans="4:7" x14ac:dyDescent="0.35">
      <c r="D442" s="92" t="str">
        <f>IF('Casos de Prueba'!B442&lt;&gt;0,'Casos de Prueba'!B442&amp;"-"&amp;'Casos de Prueba'!C442,"")</f>
        <v/>
      </c>
      <c r="E442" s="92">
        <f>IF(LEN($C442)&gt;0,"",'Casos de Prueba'!D442)</f>
        <v>3</v>
      </c>
      <c r="F442" s="92" t="str">
        <f>IF(LEN($C442)&gt;0,"",'Casos de Prueba'!E442)</f>
        <v>Da clic en "Consultar Facturas Recibidas"</v>
      </c>
      <c r="G442" s="92" t="str">
        <f>IF(LEN($C442)&gt;0,"",'Casos de Prueba'!F442&amp;CHAR(10)&amp;'Casos de Prueba'!G442)</f>
        <v xml:space="preserve">El sistema muestra las siguientes opciones de búsqueda:
- Folio Fiscal
- Periodo de Fechas
</v>
      </c>
    </row>
    <row r="443" spans="4:7" x14ac:dyDescent="0.35">
      <c r="D443" s="92" t="str">
        <f>IF('Casos de Prueba'!B443&lt;&gt;0,'Casos de Prueba'!B443&amp;"-"&amp;'Casos de Prueba'!C443,"")</f>
        <v/>
      </c>
      <c r="E443" s="92">
        <f>IF(LEN($C443)&gt;0,"",'Casos de Prueba'!D443)</f>
        <v>4</v>
      </c>
      <c r="F443" s="92" t="str">
        <f>IF(LEN($C443)&gt;0,"",'Casos de Prueba'!E443)</f>
        <v>Selecciona la opción de Periodo de Fechas</v>
      </c>
      <c r="G443" s="92" t="str">
        <f>IF(LEN($C443)&gt;0,"",'Casos de Prueba'!F443&amp;CHAR(10)&amp;'Casos de Prueba'!G443)</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v>
      </c>
    </row>
    <row r="444" spans="4:7" x14ac:dyDescent="0.35">
      <c r="D444" s="92" t="str">
        <f>IF('Casos de Prueba'!B444&lt;&gt;0,'Casos de Prueba'!B444&amp;"-"&amp;'Casos de Prueba'!C444,"")</f>
        <v/>
      </c>
      <c r="E444" s="92">
        <f>IF(LEN($C444)&gt;0,"",'Casos de Prueba'!D444)</f>
        <v>5</v>
      </c>
      <c r="F444" s="92" t="str">
        <f>IF(LEN($C444)&gt;0,"",'Casos de Prueba'!E444)</f>
        <v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•Estatus cancelación </v>
      </c>
      <c r="G444" s="92" t="str">
        <f>IF(LEN($C444)&gt;0,"",'Casos de Prueba'!F444&amp;CHAR(10)&amp;'Casos de Prueba'!G444)</f>
        <v xml:space="preserve">El sistema muestra los datos que se van ingresando 
</v>
      </c>
    </row>
    <row r="445" spans="4:7" x14ac:dyDescent="0.35">
      <c r="D445" s="92" t="str">
        <f>IF('Casos de Prueba'!B445&lt;&gt;0,'Casos de Prueba'!B445&amp;"-"&amp;'Casos de Prueba'!C445,"")</f>
        <v/>
      </c>
      <c r="E445" s="92">
        <f>IF(LEN($C445)&gt;0,"",'Casos de Prueba'!D445)</f>
        <v>6</v>
      </c>
      <c r="F445" s="92" t="str">
        <f>IF(LEN($C445)&gt;0,"",'Casos de Prueba'!E445)</f>
        <v>Da clic en el botón Buscar CFDI</v>
      </c>
      <c r="G445" s="92" t="str">
        <f>IF(LEN($C445)&gt;0,"",'Casos de Prueba'!F445&amp;CHAR(10)&amp;'Casos de Prueba'!G445)</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446" spans="4:7" x14ac:dyDescent="0.35">
      <c r="D446" s="92" t="str">
        <f>IF('Casos de Prueba'!B446&lt;&gt;0,'Casos de Prueba'!B446&amp;"-"&amp;'Casos de Prueba'!C446,"")</f>
        <v/>
      </c>
      <c r="E446" s="92">
        <f>IF(LEN($C446)&gt;0,"",'Casos de Prueba'!D446)</f>
        <v>7</v>
      </c>
      <c r="F446" s="92" t="str">
        <f>IF(LEN($C446)&gt;0,"",'Casos de Prueba'!E446)</f>
        <v>Dar clic en el botón "Descargar Metadata"</v>
      </c>
      <c r="G446" s="92" t="str">
        <f>IF(LEN($C446)&gt;0,"",'Casos de Prueba'!F446&amp;CHAR(10)&amp;'Casos de Prueba'!G446)</f>
        <v>Al seleccionar este botón se debe generar una petición al servicio de descarga masiva de la metada de los CFDI que resultaron de la consulta, a través de un archivo de texto plano comprimido en formato ZIP, este paquete contará con un identificador denominado “Folio de descarga”, el cual podrá ser consultado desde la funcionalidad del botón “Recuperar descargas de CFDI”.(RN17, RN18)
El sistema enviara el siguiente mensaje: 
¡Descarga realizada con éxito!
“La descarga de metadatos se encuentra en proceso y podrás obtener el resultado con el folio de descarga: XXXXXXX-XXXX-XXXX-XXXX-XXXXXXXXXXX, en la opción: Recuperar descargas de CFDI.
Importante: el tiempo máximo para atender la solicitud es de 48 horas a partir de este momento.
El archivo de texto plano debe de contener los datos de la metadata para los CFDI que corresponden al resultado de la consulta y que se visualizan en pantalla.
Se descarga un archivo txt donde se muestra el detalle de los 
comprobantes separados por el carácter “~”.
Uuid~RfcEmisor~NombreEmisor~RfcReceptor~NombreReceptor~RfcPac~FechaEmision~FechaCertificacionSat~Monto~EfectoComprobante~Estatus~FechaCancelacion</v>
      </c>
    </row>
    <row r="447" spans="4:7" x14ac:dyDescent="0.35">
      <c r="D447" s="92" t="str">
        <f>IF('Casos de Prueba'!B447&lt;&gt;0,'Casos de Prueba'!B447&amp;"-"&amp;'Casos de Prueba'!C447,"")</f>
        <v/>
      </c>
      <c r="E447" s="92">
        <f>IF(LEN($C447)&gt;0,"",'Casos de Prueba'!D447)</f>
        <v>8</v>
      </c>
      <c r="F447" s="92" t="str">
        <f>IF(LEN($C447)&gt;0,"",'Casos de Prueba'!E447)</f>
        <v>Para validar si ya se procesó la petición y descargar los archivos, dar clic en el botón “Recuperar Descarga CFDI”. Y seleccionar el icono de descarga del registro que se desea descargar.</v>
      </c>
      <c r="G447" s="92" t="str">
        <f>IF(LEN($C447)&gt;0,"",'Casos de Prueba'!F447&amp;CHAR(10)&amp;'Casos de Prueba'!G447)</f>
        <v xml:space="preserve">Se descarga un archivo zip. (RN17, RN18)
Se descarga un archivo txt donde se muestra el detalle de los comprobantes separados por el carácter “~”.
Uuid~RfcEmisor~NombreEmisor~RfcReceptor~NombreReceptor~RfcPac~FechaEmision~FechaCertificacionSat~Monto~EfectoComprobante~Estatus~FechaCancelacion
</v>
      </c>
    </row>
    <row r="448" spans="4:7" x14ac:dyDescent="0.35">
      <c r="D448" s="92" t="str">
        <f>IF('Casos de Prueba'!B448&lt;&gt;0,'Casos de Prueba'!B448&amp;"-"&amp;'Casos de Prueba'!C448,"")</f>
        <v/>
      </c>
      <c r="E448" s="92">
        <f>IF(LEN($C448)&gt;0,"",'Casos de Prueba'!D448)</f>
        <v>9</v>
      </c>
      <c r="F448" s="92" t="str">
        <f>IF(LEN($C448)&gt;0,"",'Casos de Prueba'!E448)</f>
        <v>Da clic en Salir</v>
      </c>
      <c r="G448" s="92" t="str">
        <f>IF(LEN($C448)&gt;0,"",'Casos de Prueba'!F448&amp;CHAR(10)&amp;'Casos de Prueba'!G448)</f>
        <v xml:space="preserve">Cierra la sesión del RFC
</v>
      </c>
    </row>
    <row r="449" spans="4:7" x14ac:dyDescent="0.35">
      <c r="D449" s="92" t="str">
        <f>IF('Casos de Prueba'!B449&lt;&gt;0,'Casos de Prueba'!B449&amp;"-"&amp;'Casos de Prueba'!C449,"")</f>
        <v>CP50-Botón Descargar Metadata</v>
      </c>
      <c r="E449" s="92"/>
      <c r="F449" s="92"/>
      <c r="G449" s="92"/>
    </row>
    <row r="450" spans="4:7" x14ac:dyDescent="0.35">
      <c r="D450" s="92" t="str">
        <f>IF('Casos de Prueba'!B450&lt;&gt;0,'Casos de Prueba'!B450&amp;"-"&amp;'Casos de Prueba'!C450,"")</f>
        <v/>
      </c>
      <c r="E450" s="92">
        <f>IF(LEN($C450)&gt;0,"",'Casos de Prueba'!D450)</f>
        <v>1</v>
      </c>
      <c r="F450" s="92" t="str">
        <f>IF(LEN($C450)&gt;0,"",'Casos de Prueba'!E450)</f>
        <v>Seleccionar la opción Consulta CFDI</v>
      </c>
      <c r="G450" s="92" t="str">
        <f>IF(LEN($C450)&gt;0,"",'Casos de Prueba'!F450&amp;CHAR(10)&amp;'Casos de Prueba'!G450)</f>
        <v xml:space="preserve">El sistema muestra las opciones:
 - Factura Electrónica
 - Retenciones e Inf. de Pagos
El Usuario previamente se autenticó  y accedió al Portal Privado Contribuyente CFDI
</v>
      </c>
    </row>
    <row r="451" spans="4:7" x14ac:dyDescent="0.35">
      <c r="D451" s="92" t="str">
        <f>IF('Casos de Prueba'!B451&lt;&gt;0,'Casos de Prueba'!B451&amp;"-"&amp;'Casos de Prueba'!C451,"")</f>
        <v/>
      </c>
      <c r="E451" s="92">
        <f>IF(LEN($C451)&gt;0,"",'Casos de Prueba'!D451)</f>
        <v>2</v>
      </c>
      <c r="F451" s="92" t="str">
        <f>IF(LEN($C451)&gt;0,"",'Casos de Prueba'!E451)</f>
        <v>Selecciona la opción Factura Electrónica</v>
      </c>
      <c r="G451" s="92" t="str">
        <f>IF(LEN($C451)&gt;0,"",'Casos de Prueba'!F451&amp;CHAR(10)&amp;'Casos de Prueba'!G451)</f>
        <v xml:space="preserve">El sistema muestra las siguientes opciones:
-Consultar Facturas Emitidas
-Consulta Facturas Recibidas
-Recuperar Descargas de CFDI
-Consultar Solicitudes de Cancelación
</v>
      </c>
    </row>
    <row r="452" spans="4:7" x14ac:dyDescent="0.35">
      <c r="D452" s="92" t="str">
        <f>IF('Casos de Prueba'!B452&lt;&gt;0,'Casos de Prueba'!B452&amp;"-"&amp;'Casos de Prueba'!C452,"")</f>
        <v/>
      </c>
      <c r="E452" s="92">
        <f>IF(LEN($C452)&gt;0,"",'Casos de Prueba'!D452)</f>
        <v>3</v>
      </c>
      <c r="F452" s="92" t="str">
        <f>IF(LEN($C452)&gt;0,"",'Casos de Prueba'!E452)</f>
        <v>Da clic en "Consultar Facturas Recibidas"</v>
      </c>
      <c r="G452" s="92" t="str">
        <f>IF(LEN($C452)&gt;0,"",'Casos de Prueba'!F452&amp;CHAR(10)&amp;'Casos de Prueba'!G452)</f>
        <v xml:space="preserve">El sistema muestra las opciones:
- Folio Fiscal * (está opción esta habilitada por default)
Los siguientes campos se muestran deshabilitados:
- Año*
- Mes*
- Día
-Hora Inicial
-Hora Final
- RFC a cuenta terceros
-RFC Emisor (RN04)
- Estado del Comprobante
- Tipo de Comprobante (Complemento) (RN03)
-Estatus cancelación
*campos obligatorios
Opción: Buscar CFDI
</v>
      </c>
    </row>
    <row r="453" spans="4:7" x14ac:dyDescent="0.35">
      <c r="D453" s="92" t="str">
        <f>IF('Casos de Prueba'!B453&lt;&gt;0,'Casos de Prueba'!B453&amp;"-"&amp;'Casos de Prueba'!C453,"")</f>
        <v/>
      </c>
      <c r="E453" s="92">
        <f>IF(LEN($C453)&gt;0,"",'Casos de Prueba'!D453)</f>
        <v>4</v>
      </c>
      <c r="F453" s="92" t="str">
        <f>IF(LEN($C453)&gt;0,"",'Casos de Prueba'!E453)</f>
        <v>Selecciona la opción Folio Fiscal</v>
      </c>
      <c r="G453" s="92" t="str">
        <f>IF(LEN($C453)&gt;0,"",'Casos de Prueba'!F453&amp;CHAR(10)&amp;'Casos de Prueba'!G453)</f>
        <v xml:space="preserve">El sistema habilita el campo de FOLIO FISCAL
Aplica las Reglas de Negocio: (RN02) 
</v>
      </c>
    </row>
    <row r="454" spans="4:7" x14ac:dyDescent="0.35">
      <c r="D454" s="92" t="str">
        <f>IF('Casos de Prueba'!B454&lt;&gt;0,'Casos de Prueba'!B454&amp;"-"&amp;'Casos de Prueba'!C454,"")</f>
        <v/>
      </c>
      <c r="E454" s="92">
        <f>IF(LEN($C454)&gt;0,"",'Casos de Prueba'!D454)</f>
        <v>5</v>
      </c>
      <c r="F454" s="92" t="str">
        <f>IF(LEN($C454)&gt;0,"",'Casos de Prueba'!E454)</f>
        <v>Ingresa los datos del número de Folio Fiscal a buscar</v>
      </c>
      <c r="G454" s="92" t="str">
        <f>IF(LEN($C454)&gt;0,"",'Casos de Prueba'!F454&amp;CHAR(10)&amp;'Casos de Prueba'!G454)</f>
        <v>El sistema muestra los datos que se van ingresando
Aplica las Reglas de Negocio: (RN08 – Inciso c,d).</v>
      </c>
    </row>
    <row r="455" spans="4:7" x14ac:dyDescent="0.35">
      <c r="D455" s="92" t="str">
        <f>IF('Casos de Prueba'!B455&lt;&gt;0,'Casos de Prueba'!B455&amp;"-"&amp;'Casos de Prueba'!C455,"")</f>
        <v/>
      </c>
      <c r="E455" s="92">
        <f>IF(LEN($C455)&gt;0,"",'Casos de Prueba'!D455)</f>
        <v>6</v>
      </c>
      <c r="F455" s="92" t="str">
        <f>IF(LEN($C455)&gt;0,"",'Casos de Prueba'!E455)</f>
        <v xml:space="preserve">Da clic en el botón Buscar CFDI
</v>
      </c>
      <c r="G455" s="92" t="str">
        <f>IF(LEN($C455)&gt;0,"",'Casos de Prueba'!F455&amp;CHAR(10)&amp;'Casos de Prueba'!G455)</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Aplica las Reglas de Negocio: (RN08 - Inciso a,d).
Si la búsqueda es correcta va a mostrar la sección de “Sección de Resultados”
Esta opción muestra un registro como resultado.
En dado caso que el sistema detecta una inconsistencia cuando el contribuyente presiona el botón “Buscar CFDI” mostrará los siguientes mensajes: 
•	En caso de que el Folio Fiscal a buscar se encuentre vacío, el sistema deberá mostrar el siguiente mensaje: “ERROR: Favor de ingresar el folio fiscal”.
•	En caso de un Folio Fiscal inválido o incompleto, el sistema deberá mostrar el siguiente mensaje: “El folio fiscal no cumple con el formato correcto, favor de ingresarlo nuevamente”.
•	En caso de que no se encuentre información con los parámetros de búsqueda ingresados, el sistema deberá mostrar el siguiente mensaje: “No existen registros que cumplan con los criterios de búsqueda ingresados, intentar nuevamente”.
Nota: Al seleccionar el botón de folio fiscal se deben deshabilitar los campos correspondientes a la consulta por periodo de fecha de emisión.</v>
      </c>
    </row>
    <row r="456" spans="4:7" x14ac:dyDescent="0.35">
      <c r="D456" s="92" t="str">
        <f>IF('Casos de Prueba'!B456&lt;&gt;0,'Casos de Prueba'!B456&amp;"-"&amp;'Casos de Prueba'!C456,"")</f>
        <v/>
      </c>
      <c r="E456" s="92">
        <f>IF(LEN($C456)&gt;0,"",'Casos de Prueba'!D456)</f>
        <v>7</v>
      </c>
      <c r="F456" s="92" t="str">
        <f>IF(LEN($C456)&gt;0,"",'Casos de Prueba'!E456)</f>
        <v>Dar clic en el botón "Descargar Metadata"</v>
      </c>
      <c r="G456" s="92" t="str">
        <f>IF(LEN($C456)&gt;0,"",'Casos de Prueba'!F456&amp;CHAR(10)&amp;'Casos de Prueba'!G456)</f>
        <v>Al seleccionar este botón se debe generar una petición al servicio de descarga masiva de la metada de los CFDI que resultaron de la consulta, a través de un archivo de texto plano comprimido en formato ZIP, este paquete contará con un identificador denominado “Folio de descarga”, el cual podrá ser consultado desde la funcionalidad del botón “Recuperar descargas de CFDI”.(RN17, RN18)
El sistema enviara el siguiente mensaje: 
¡Descarga realizada con éxito!
“La descarga de metadatos se encuentra en proceso y podrás obtener el resultado con el folio de descarga: XXXXXXX-XXXX-XXXX-XXXX-XXXXXXXXXXX, en la opción: Recuperar descargas de CFDI.
Importante: el tiempo máximo para atender la solicitud es de 48 horas a partir de este momento.
El archivo de texto plano debe de contener los datos de la metadata para los CFDI que corresponden al resultado de la consulta y que se visualizan en pantalla.
Se descarga un archivo txt donde se muestra el detalle de los 
comprobantes separados por el carácter “~”.
Uuid~RfcEmisor~NombreEmisor~RfcReceptor~NombreReceptor~RfcPac~FechaEmision~FechaCertificacionSat~Monto~EfectoComprobante~Estatus~FechaCancelacion</v>
      </c>
    </row>
    <row r="457" spans="4:7" x14ac:dyDescent="0.35">
      <c r="D457" s="92" t="str">
        <f>IF('Casos de Prueba'!B457&lt;&gt;0,'Casos de Prueba'!B457&amp;"-"&amp;'Casos de Prueba'!C457,"")</f>
        <v/>
      </c>
      <c r="E457" s="92">
        <f>IF(LEN($C457)&gt;0,"",'Casos de Prueba'!D457)</f>
        <v>8</v>
      </c>
      <c r="F457" s="92" t="str">
        <f>IF(LEN($C457)&gt;0,"",'Casos de Prueba'!E457)</f>
        <v>Para validar si ya se procesó la petición y descargar los archivos, dar clic en el botón “Recuperar Descarga CFDI”. Y seleccionar el icono de descarga del registro que se desea descargar.</v>
      </c>
      <c r="G457" s="92" t="str">
        <f>IF(LEN($C457)&gt;0,"",'Casos de Prueba'!F457&amp;CHAR(10)&amp;'Casos de Prueba'!G457)</f>
        <v xml:space="preserve">Se descarga un archivo zip. (RN17, RN18)
Se descarga un archivo txt donde se muestra el detalle de los comprobantes separados por el carácter “~”.
Uuid~RfcEmisor~NombreEmisor~RfcReceptor~NombreReceptor~RfcPac~FechaEmision~FechaCertificacionSat~Monto~EfectoComprobante~Estatus~FechaCancelacion
</v>
      </c>
    </row>
    <row r="458" spans="4:7" x14ac:dyDescent="0.35">
      <c r="D458" s="92" t="str">
        <f>IF('Casos de Prueba'!B458&lt;&gt;0,'Casos de Prueba'!B458&amp;"-"&amp;'Casos de Prueba'!C458,"")</f>
        <v/>
      </c>
      <c r="E458" s="92">
        <f>IF(LEN($C458)&gt;0,"",'Casos de Prueba'!D458)</f>
        <v>9</v>
      </c>
      <c r="F458" s="92" t="str">
        <f>IF(LEN($C458)&gt;0,"",'Casos de Prueba'!E458)</f>
        <v>Da clic en Salir</v>
      </c>
      <c r="G458" s="92" t="str">
        <f>IF(LEN($C458)&gt;0,"",'Casos de Prueba'!F458&amp;CHAR(10)&amp;'Casos de Prueba'!G458)</f>
        <v xml:space="preserve">Cierra la sesión del RFC
</v>
      </c>
    </row>
    <row r="459" spans="4:7" x14ac:dyDescent="0.35">
      <c r="D459" s="92" t="str">
        <f>IF('Casos de Prueba'!B459&lt;&gt;0,'Casos de Prueba'!B459&amp;"-"&amp;'Casos de Prueba'!C459,"")</f>
        <v>CP51-Exportar Resultados a PDF</v>
      </c>
      <c r="E459" s="92"/>
      <c r="F459" s="92"/>
      <c r="G459" s="92"/>
    </row>
    <row r="460" spans="4:7" x14ac:dyDescent="0.35">
      <c r="D460" s="92" t="str">
        <f>IF('Casos de Prueba'!B460&lt;&gt;0,'Casos de Prueba'!B460&amp;"-"&amp;'Casos de Prueba'!C460,"")</f>
        <v/>
      </c>
      <c r="E460" s="92">
        <f>IF(LEN($C460)&gt;0,"",'Casos de Prueba'!D460)</f>
        <v>1</v>
      </c>
      <c r="F460" s="92" t="str">
        <f>IF(LEN($C460)&gt;0,"",'Casos de Prueba'!E460)</f>
        <v>Seleccionar la opción Consulta CFDI</v>
      </c>
      <c r="G460" s="92" t="str">
        <f>IF(LEN($C460)&gt;0,"",'Casos de Prueba'!F460&amp;CHAR(10)&amp;'Casos de Prueba'!G460)</f>
        <v xml:space="preserve">El sistema muestra las opciones:
 - Factura Electrónica
 - Retenciones e Inf. de Pagos
El Usuario previamente se autenticó  y accedió al Portal Privado Contribuyente CFDI
</v>
      </c>
    </row>
    <row r="461" spans="4:7" x14ac:dyDescent="0.35">
      <c r="D461" s="92" t="str">
        <f>IF('Casos de Prueba'!B461&lt;&gt;0,'Casos de Prueba'!B461&amp;"-"&amp;'Casos de Prueba'!C461,"")</f>
        <v/>
      </c>
      <c r="E461" s="92">
        <f>IF(LEN($C461)&gt;0,"",'Casos de Prueba'!D461)</f>
        <v>2</v>
      </c>
      <c r="F461" s="92" t="str">
        <f>IF(LEN($C461)&gt;0,"",'Casos de Prueba'!E461)</f>
        <v>Selecciona la opción Factura Electrónica</v>
      </c>
      <c r="G461" s="92" t="str">
        <f>IF(LEN($C461)&gt;0,"",'Casos de Prueba'!F461&amp;CHAR(10)&amp;'Casos de Prueba'!G461)</f>
        <v xml:space="preserve">El sistema muestra las siguientes opciones:
-Consulta Facturas Emitidas
-Consulta Facturas Recibidas
-Recuperar Descargas de CFDI
-Consultar Solicitudes de Cancelación
</v>
      </c>
    </row>
    <row r="462" spans="4:7" x14ac:dyDescent="0.35">
      <c r="D462" s="92" t="str">
        <f>IF('Casos de Prueba'!B462&lt;&gt;0,'Casos de Prueba'!B462&amp;"-"&amp;'Casos de Prueba'!C462,"")</f>
        <v/>
      </c>
      <c r="E462" s="92">
        <f>IF(LEN($C462)&gt;0,"",'Casos de Prueba'!D462)</f>
        <v>3</v>
      </c>
      <c r="F462" s="92" t="str">
        <f>IF(LEN($C462)&gt;0,"",'Casos de Prueba'!E462)</f>
        <v>Da clic en "Consultar Facturas Recibidas"</v>
      </c>
      <c r="G462" s="92" t="str">
        <f>IF(LEN($C462)&gt;0,"",'Casos de Prueba'!F462&amp;CHAR(10)&amp;'Casos de Prueba'!G462)</f>
        <v xml:space="preserve">El sistema muestra las siguientes opciones de búsqueda:
- Folio Fiscal
- Periodo de Fechas
la opción de Folio se habilita por default
</v>
      </c>
    </row>
    <row r="463" spans="4:7" x14ac:dyDescent="0.35">
      <c r="D463" s="92" t="str">
        <f>IF('Casos de Prueba'!B463&lt;&gt;0,'Casos de Prueba'!B463&amp;"-"&amp;'Casos de Prueba'!C463,"")</f>
        <v/>
      </c>
      <c r="E463" s="92">
        <f>IF(LEN($C463)&gt;0,"",'Casos de Prueba'!D463)</f>
        <v>4</v>
      </c>
      <c r="F463" s="92" t="str">
        <f>IF(LEN($C463)&gt;0,"",'Casos de Prueba'!E463)</f>
        <v>Selecciona la opción de Periodo de Fechas</v>
      </c>
      <c r="G463" s="92" t="str">
        <f>IF(LEN($C463)&gt;0,"",'Casos de Prueba'!F463&amp;CHAR(10)&amp;'Casos de Prueba'!G463)</f>
        <v xml:space="preserve">El sistema debe mostrar deshabilitados  los siguientes parámetros de búsqueda cuando la busqueda es por folio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v>
      </c>
    </row>
    <row r="464" spans="4:7" x14ac:dyDescent="0.35">
      <c r="D464" s="92" t="str">
        <f>IF('Casos de Prueba'!B464&lt;&gt;0,'Casos de Prueba'!B464&amp;"-"&amp;'Casos de Prueba'!C464,"")</f>
        <v/>
      </c>
      <c r="E464" s="92">
        <f>IF(LEN($C464)&gt;0,"",'Casos de Prueba'!D464)</f>
        <v>6</v>
      </c>
      <c r="F464" s="92" t="str">
        <f>IF(LEN($C464)&gt;0,"",'Casos de Prueba'!E464)</f>
        <v>Da clic en el botón Buscar CFDI</v>
      </c>
      <c r="G464" s="92" t="str">
        <f>IF(LEN($C464)&gt;0,"",'Casos de Prueba'!F464&amp;CHAR(10)&amp;'Casos de Prueba'!G464)</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465" spans="4:7" x14ac:dyDescent="0.35">
      <c r="D465" s="92" t="str">
        <f>IF('Casos de Prueba'!B465&lt;&gt;0,'Casos de Prueba'!B465&amp;"-"&amp;'Casos de Prueba'!C465,"")</f>
        <v/>
      </c>
      <c r="E465" s="92">
        <f>IF(LEN($C465)&gt;0,"",'Casos de Prueba'!D465)</f>
        <v>7</v>
      </c>
      <c r="F465" s="92" t="str">
        <f>IF(LEN($C465)&gt;0,"",'Casos de Prueba'!E465)</f>
        <v>Dar clic en el botón "Exportar Resultados a PDF "</v>
      </c>
      <c r="G465" s="92" t="str">
        <f>IF(LEN($C465)&gt;0,"",'Casos de Prueba'!F465&amp;CHAR(10)&amp;'Casos de Prueba'!G465)</f>
        <v>Al seleccionar este botón se debe abrir una ventana emergente que indique que el PDF se encuentra en proceso de descarga.  
El PDF contiene el siguiente formato:
Datos del CFDI: 
•	Folio Fiscal
•	RFC Emisor
•	Nombre o Razón Social
•	RFC Receptor
•	Nombre o Razón Social
•	Total
•	PAC que certificó
•	Fecha Emisión
•	Fecha Certificación
•	Estado del Comprobante
•	Efecto del Comprobante
•	Motivo
•	Folio de Sustitución.
El Reporte de Resultados a PDF, deberá contar con las siguientes características: 
•	Logos del SAT y Hacienda vigentes, con el nombre de la institución: ‘Servicio de Administración Tributaria’ y el nombre del aplicativo ‘Consulta CFDI’ al centro de la página.</v>
      </c>
    </row>
    <row r="466" spans="4:7" x14ac:dyDescent="0.35">
      <c r="D466" s="92" t="str">
        <f>IF('Casos de Prueba'!B466&lt;&gt;0,'Casos de Prueba'!B466&amp;"-"&amp;'Casos de Prueba'!C466,"")</f>
        <v/>
      </c>
      <c r="E466" s="92">
        <f>IF(LEN($C466)&gt;0,"",'Casos de Prueba'!D466)</f>
        <v>8</v>
      </c>
      <c r="F466" s="92" t="str">
        <f>IF(LEN($C466)&gt;0,"",'Casos de Prueba'!E466)</f>
        <v>Da clic en Salir</v>
      </c>
      <c r="G466" s="92" t="str">
        <f>IF(LEN($C466)&gt;0,"",'Casos de Prueba'!F466&amp;CHAR(10)&amp;'Casos de Prueba'!G466)</f>
        <v xml:space="preserve">Cierra la sesión del RFC
</v>
      </c>
    </row>
    <row r="467" spans="4:7" x14ac:dyDescent="0.35">
      <c r="D467" s="92" t="str">
        <f>IF('Casos de Prueba'!B467&lt;&gt;0,'Casos de Prueba'!B467&amp;"-"&amp;'Casos de Prueba'!C467,"")</f>
        <v>CP52-Exportar Resultados a PDF</v>
      </c>
      <c r="E467" s="92"/>
      <c r="F467" s="92"/>
      <c r="G467" s="92"/>
    </row>
    <row r="468" spans="4:7" x14ac:dyDescent="0.35">
      <c r="D468" s="92" t="str">
        <f>IF('Casos de Prueba'!B468&lt;&gt;0,'Casos de Prueba'!B468&amp;"-"&amp;'Casos de Prueba'!C468,"")</f>
        <v/>
      </c>
      <c r="E468" s="92">
        <f>IF(LEN($C468)&gt;0,"",'Casos de Prueba'!D468)</f>
        <v>1</v>
      </c>
      <c r="F468" s="92" t="str">
        <f>IF(LEN($C468)&gt;0,"",'Casos de Prueba'!E468)</f>
        <v>Seleccionar la opción Consulta CFDI</v>
      </c>
      <c r="G468" s="92" t="str">
        <f>IF(LEN($C468)&gt;0,"",'Casos de Prueba'!F468&amp;CHAR(10)&amp;'Casos de Prueba'!G468)</f>
        <v xml:space="preserve">El sistema muestra las opciones:
 - Factura Electrónica
 - Retenciones e Inf. de Pagos
El Usuario previamente se autenticó  y accedió al Portal Privado Contribuyente CFDI
</v>
      </c>
    </row>
    <row r="469" spans="4:7" x14ac:dyDescent="0.35">
      <c r="D469" s="92" t="str">
        <f>IF('Casos de Prueba'!B469&lt;&gt;0,'Casos de Prueba'!B469&amp;"-"&amp;'Casos de Prueba'!C469,"")</f>
        <v/>
      </c>
      <c r="E469" s="92">
        <f>IF(LEN($C469)&gt;0,"",'Casos de Prueba'!D469)</f>
        <v>2</v>
      </c>
      <c r="F469" s="92" t="str">
        <f>IF(LEN($C469)&gt;0,"",'Casos de Prueba'!E469)</f>
        <v>Selecciona la opción Factura Electrónica</v>
      </c>
      <c r="G469" s="92" t="str">
        <f>IF(LEN($C469)&gt;0,"",'Casos de Prueba'!F469&amp;CHAR(10)&amp;'Casos de Prueba'!G469)</f>
        <v xml:space="preserve">El sistema muestra las siguientes opciones:
-Consultar Facturas Emitidas 
-Consulta Facturas Recibidas
-Recuperar Descargas de CFDI
-Consultar Solicitudes de Cancelación
</v>
      </c>
    </row>
    <row r="470" spans="4:7" x14ac:dyDescent="0.35">
      <c r="D470" s="92" t="str">
        <f>IF('Casos de Prueba'!B470&lt;&gt;0,'Casos de Prueba'!B470&amp;"-"&amp;'Casos de Prueba'!C470,"")</f>
        <v/>
      </c>
      <c r="E470" s="92">
        <f>IF(LEN($C470)&gt;0,"",'Casos de Prueba'!D470)</f>
        <v>3</v>
      </c>
      <c r="F470" s="92" t="str">
        <f>IF(LEN($C470)&gt;0,"",'Casos de Prueba'!E470)</f>
        <v>Da clic en "Consultar Facturas Recibidas"</v>
      </c>
      <c r="G470" s="92" t="str">
        <f>IF(LEN($C470)&gt;0,"",'Casos de Prueba'!F470&amp;CHAR(10)&amp;'Casos de Prueba'!G470)</f>
        <v xml:space="preserve">El sistema muestra las siguientes opciones de búsqueda:
- Folio Fiscal
- Periodo de Fechas
</v>
      </c>
    </row>
    <row r="471" spans="4:7" x14ac:dyDescent="0.35">
      <c r="D471" s="92" t="str">
        <f>IF('Casos de Prueba'!B471&lt;&gt;0,'Casos de Prueba'!B471&amp;"-"&amp;'Casos de Prueba'!C471,"")</f>
        <v/>
      </c>
      <c r="E471" s="92">
        <f>IF(LEN($C471)&gt;0,"",'Casos de Prueba'!D471)</f>
        <v>4</v>
      </c>
      <c r="F471" s="92" t="str">
        <f>IF(LEN($C471)&gt;0,"",'Casos de Prueba'!E471)</f>
        <v>Selecciona la opción de Periodo de Fechas</v>
      </c>
      <c r="G471" s="92" t="str">
        <f>IF(LEN($C471)&gt;0,"",'Casos de Prueba'!F471&amp;CHAR(10)&amp;'Casos de Prueba'!G471)</f>
        <v xml:space="preserve">Al seleccionar esta opción el sistema debe permitir la selección de los siguientes parámetros de búsqueda (RN05):
•	Año (*):Campo obligatorio que permite la selección del Año.
•	Mes (*).Campo obligatorio que permite la selección del Mes.
•	Día.
•	Hora Inicial.
•	Hora Final.
•	RFC Emisor (RN04).
•	RFC a cuenta terceros (RN04).
•	Estado del Comprobante
•	Tipo de Comprobante (complemento)   (RN03).
•Estatus cancelación 
</v>
      </c>
    </row>
    <row r="472" spans="4:7" x14ac:dyDescent="0.35">
      <c r="D472" s="92" t="str">
        <f>IF('Casos de Prueba'!B472&lt;&gt;0,'Casos de Prueba'!B472&amp;"-"&amp;'Casos de Prueba'!C472,"")</f>
        <v/>
      </c>
      <c r="E472" s="92">
        <f>IF(LEN($C472)&gt;0,"",'Casos de Prueba'!D472)</f>
        <v>5</v>
      </c>
      <c r="F472" s="92" t="str">
        <f>IF(LEN($C472)&gt;0,"",'Casos de Prueba'!E472)</f>
        <v xml:space="preserve">Ingresa los datos:
Obligatorios
•	Año (*)
•	Mes (*)
Opcionales
•	Día.
•	Hora Inicial
•	Hora Final
•	RFC Emisor (RN04).
•	RFC a cuenta terceros (RN04).
•	Estado del Comprobante: Campo que permite seleccionar alguno de los estados: Vigente y Cancelado.
•	Tipo de Comprobante (Complemento): Campo que permite seleccionar el tipo de comprobante. (RN03).
•Estatus cancelación: campo condicional, el sistema muestra este campo si el valor de selección del campo "Estado del comprobante" es "cancelado".
Los valores que muestran en estatus de cancelación son: cancelado con aceptación cancelado sin aceptación y plazo vencido. </v>
      </c>
      <c r="G472" s="92" t="str">
        <f>IF(LEN($C472)&gt;0,"",'Casos de Prueba'!F472&amp;CHAR(10)&amp;'Casos de Prueba'!G472)</f>
        <v xml:space="preserve">El sistema muestra los datos que se van ingresando 
</v>
      </c>
    </row>
    <row r="473" spans="4:7" x14ac:dyDescent="0.35">
      <c r="D473" s="92" t="str">
        <f>IF('Casos de Prueba'!B473&lt;&gt;0,'Casos de Prueba'!B473&amp;"-"&amp;'Casos de Prueba'!C473,"")</f>
        <v/>
      </c>
      <c r="E473" s="92">
        <f>IF(LEN($C473)&gt;0,"",'Casos de Prueba'!D473)</f>
        <v>6</v>
      </c>
      <c r="F473" s="92" t="str">
        <f>IF(LEN($C473)&gt;0,"",'Casos de Prueba'!E473)</f>
        <v>Da clic en el botón Buscar CFDI</v>
      </c>
      <c r="G473" s="92" t="str">
        <f>IF(LEN($C473)&gt;0,"",'Casos de Prueba'!F473&amp;CHAR(10)&amp;'Casos de Prueba'!G473)</f>
        <v>El sistema muestra la sección de resultados que está compuesta:
1.	Casilla Acciones 
•Seleccionar. 
•	Recuperar acuse estatus final.   
(Visible solo cuando contenga acuse)
•	Recuperar acuse de solicitud de cancelación.  
(Visible solo cuando contenga acuse)
•	Ver detalle.  
•	Descargar.  
•	Recuperar Representación Impresa.  
•	Recuperar Representación Impresa Complemento Carta Porte  
(Visible solo cuando contenga Complemento Carta Porte)
2.	Columnas 
Algunas columnas pueden no contener información, lo cual va a depender de la situación en la que se encuentre el CFDI.
•	Acciones
•	Folio Fiscal
•	RFC Emisor
•	Nombre o Razón Social del Emisor
•	RFC Receptor
•	Nombre o Razón Social del Receptor
•	Fecha de Emisión
•	Fecha de Certificación
•	PAC que Certificó
•	Total
•	Efecto del Comprobante
•	Estatus de cancelación
•	Estado del Comprobante
•	Estatus de Proceso de Cancelación
•	Fecha de Solicitud de la Cancelación
•	Fecha de Cancelación
•	RFC a cuenta de terceros
3.	Paginador.
(Solo aplica para búsqueda por periodo) (RN10, RN11).
4.	Botones: 
•	Descargar Seleccionados.
•	Descargar Seleccionados RI.
•	Descargar Metadata.
•	Exportar Resultados a PDF.
Si la búsqueda es correcta va a mostrar la sección de “Sección de Resultados”
En dado caso que el sistema detecta una inconsistencia cuando el contribuyente presiona el botón “Buscar CFDI” mostrará los siguientes mensajes: 
•	En caso de capturar el RFC del receptor incompleto o inválido, el sistema deberá mostrar el siguiente mensaje “El RFC receptor proporcionado no es correcto, favor de ingresarlo nuevamente, (13 posiciones para personas físicas y 12 posiciones para personas morales).
•	En caso de capturar el RFC a cuenta terceros incompleto o inválido, el sistema deberá mostrar el siguiente mensaje “El RFC a cuenta terceros proporcionado no es correcto, favor de ingresarlo nuevamente, (13 posiciones para personas físicas y 12 posiciones para personas morales).
Al seleccionar el botón de Fecha Inicial de Emisión se deben deshabilitar los campos correspondientes a la consulta por Folio Fiscal.</v>
      </c>
    </row>
    <row r="474" spans="4:7" x14ac:dyDescent="0.35">
      <c r="D474" s="92" t="str">
        <f>IF('Casos de Prueba'!B474&lt;&gt;0,'Casos de Prueba'!B474&amp;"-"&amp;'Casos de Prueba'!C474,"")</f>
        <v/>
      </c>
      <c r="E474" s="92">
        <f>IF(LEN($C474)&gt;0,"",'Casos de Prueba'!D474)</f>
        <v>7</v>
      </c>
      <c r="F474" s="92" t="str">
        <f>IF(LEN($C474)&gt;0,"",'Casos de Prueba'!E474)</f>
        <v>Dar clic en el botón "Exportar Resultados a PDF "</v>
      </c>
      <c r="G474" s="92" t="str">
        <f>IF(LEN($C474)&gt;0,"",'Casos de Prueba'!F474&amp;CHAR(10)&amp;'Casos de Prueba'!G474)</f>
        <v>Al seleccionar este botón se debe abrir una ventana emergente que indique que el PDF se encuentra en proceso de descarga.  
El PDF contiene el siguiente formato:
Datos del CFDI: 
•	Folio Fiscal
•	RFC Emisor
•	Nombre o Razón Social
•	RFC Receptor
•	Nombre o Razón Social
•	Total
•	PAC que certificó
•	Fecha Emisión
•	Fecha Certificación
•	Estado del Comprobante
•	Efecto del Comprobante
•	Motivo
•	Folio de Sustitución.
El Reporte de Resultados a PDF, deberá contar con las siguientes características: 
•	Logos del SAT y Hacienda vigentes, con el nombre de la institución: ‘Servicio de Administración Tributaria’ y el nombre del aplicativo ‘Consulta CFDI’ al centro de la página.</v>
      </c>
    </row>
    <row r="475" spans="4:7" x14ac:dyDescent="0.35">
      <c r="D475" s="92" t="str">
        <f>IF('Casos de Prueba'!B475&lt;&gt;0,'Casos de Prueba'!B475&amp;"-"&amp;'Casos de Prueba'!C475,"")</f>
        <v/>
      </c>
      <c r="E475" s="92">
        <f>IF(LEN($C475)&gt;0,"",'Casos de Prueba'!D475)</f>
        <v>8</v>
      </c>
      <c r="F475" s="92" t="str">
        <f>IF(LEN($C475)&gt;0,"",'Casos de Prueba'!E475)</f>
        <v>Da clic en Salir</v>
      </c>
      <c r="G475" s="92" t="str">
        <f>IF(LEN($C475)&gt;0,"",'Casos de Prueba'!F475&amp;CHAR(10)&amp;'Casos de Prueba'!G475)</f>
        <v xml:space="preserve">Cierra la sesión del RFC
</v>
      </c>
    </row>
    <row r="476" spans="4:7" x14ac:dyDescent="0.35">
      <c r="D476" s="92" t="str">
        <f>IF('Casos de Prueba'!B476&lt;&gt;0,'Casos de Prueba'!B476&amp;"-"&amp;'Casos de Prueba'!C476,"")</f>
        <v>CP53-Recuperar descargas CFDI</v>
      </c>
      <c r="E476" s="92"/>
      <c r="F476" s="92"/>
      <c r="G476" s="92"/>
    </row>
    <row r="477" spans="4:7" x14ac:dyDescent="0.35">
      <c r="D477" s="92" t="str">
        <f>IF('Casos de Prueba'!B477&lt;&gt;0,'Casos de Prueba'!B477&amp;"-"&amp;'Casos de Prueba'!C477,"")</f>
        <v/>
      </c>
      <c r="E477" s="92">
        <f>IF(LEN($C477)&gt;0,"",'Casos de Prueba'!D477)</f>
        <v>1</v>
      </c>
      <c r="F477" s="92" t="str">
        <f>IF(LEN($C477)&gt;0,"",'Casos de Prueba'!E477)</f>
        <v>Seleccionar la opción Consulta CFDI</v>
      </c>
      <c r="G477" s="92" t="str">
        <f>IF(LEN($C477)&gt;0,"",'Casos de Prueba'!F477&amp;CHAR(10)&amp;'Casos de Prueba'!G477)</f>
        <v xml:space="preserve">El sistema muestra las opciones:
 - Factura Electrónica
 - Retenciones e Inf. de Pagos
El Usuario previamente se autenticó  y accedió al Portal Privado Contribuyente CFDI
</v>
      </c>
    </row>
    <row r="478" spans="4:7" x14ac:dyDescent="0.35">
      <c r="D478" s="92" t="str">
        <f>IF('Casos de Prueba'!B478&lt;&gt;0,'Casos de Prueba'!B478&amp;"-"&amp;'Casos de Prueba'!C478,"")</f>
        <v/>
      </c>
      <c r="E478" s="92">
        <f>IF(LEN($C478)&gt;0,"",'Casos de Prueba'!D478)</f>
        <v>2</v>
      </c>
      <c r="F478" s="92" t="str">
        <f>IF(LEN($C478)&gt;0,"",'Casos de Prueba'!E478)</f>
        <v>Selecciona la opción Factura Electrónica</v>
      </c>
      <c r="G478" s="92" t="str">
        <f>IF(LEN($C478)&gt;0,"",'Casos de Prueba'!F478&amp;CHAR(10)&amp;'Casos de Prueba'!G478)</f>
        <v xml:space="preserve">El sistema muestra las siguientes opciones:
-Consultar Facturas Emitidas
-Consulta Facturas Recibidas
-Recuperar Descargas de CFDI
-Consultar Solicitudes de Cancelación
</v>
      </c>
    </row>
    <row r="479" spans="4:7" x14ac:dyDescent="0.35">
      <c r="D479" s="92" t="str">
        <f>IF('Casos de Prueba'!B479&lt;&gt;0,'Casos de Prueba'!B479&amp;"-"&amp;'Casos de Prueba'!C479,"")</f>
        <v/>
      </c>
      <c r="E479" s="92">
        <f>IF(LEN($C479)&gt;0,"",'Casos de Prueba'!D479)</f>
        <v>3</v>
      </c>
      <c r="F479" s="92" t="str">
        <f>IF(LEN($C479)&gt;0,"",'Casos de Prueba'!E479)</f>
        <v>Da clic en "Recuperar Descargas de CFDI"</v>
      </c>
      <c r="G479" s="92" t="str">
        <f>IF(LEN($C479)&gt;0,"",'Casos de Prueba'!F479&amp;CHAR(10)&amp;'Casos de Prueba'!G479)</f>
        <v>En dado caso que si existan peticiones en proceso se muestran los registros de descarga con la siguiente estructura (RN19):
•	Descargar Paquete
•	Folio de Descarga
•	RFC Contribuyente
•	Tipo Descarga
•	Cantidad de Documentos
•	Fecha de la Solicitud de descarga
Aplica Regla de Negocio: (RN19)
Exponiendo la nota: “En esta consulta se podrán recuperar solicitudes de descargas de CFDI y Metadata de los últimos 3 días”, con la opción Cerrar la cual cerrará dicha pantalla mostrando la pantalla de búsqueda con los datos ingresados.</v>
      </c>
    </row>
    <row r="480" spans="4:7" x14ac:dyDescent="0.35">
      <c r="D480" s="92" t="str">
        <f>IF('Casos de Prueba'!B480&lt;&gt;0,'Casos de Prueba'!B480&amp;"-"&amp;'Casos de Prueba'!C480,"")</f>
        <v/>
      </c>
      <c r="E480" s="92">
        <f>IF(LEN($C480)&gt;0,"",'Casos de Prueba'!D480)</f>
        <v>4</v>
      </c>
      <c r="F480" s="92" t="str">
        <f>IF(LEN($C480)&gt;0,"",'Casos de Prueba'!E480)</f>
        <v>El aplicativo muestra los registros para su descarga de acuerdo con las peticiones, 
Seleccionar un registro y dar clic en la imagen "Descargar Paquete"</v>
      </c>
      <c r="G480" s="92" t="str">
        <f>IF(LEN($C480)&gt;0,"",'Casos de Prueba'!F480&amp;CHAR(10)&amp;'Casos de Prueba'!G480)</f>
        <v>El sistema inicia el proceso de descarga del archivo seleccionado en formato XML.
El aplicativo debe permitir la descarga de los paquetes con el icono de “Descargar”  , generando una ventana emergente con un archivo ZIP con la información correspondiente.</v>
      </c>
    </row>
    <row r="481" spans="4:7" x14ac:dyDescent="0.35">
      <c r="D481" s="92" t="str">
        <f>IF('Casos de Prueba'!B481&lt;&gt;0,'Casos de Prueba'!B481&amp;"-"&amp;'Casos de Prueba'!C481,"")</f>
        <v/>
      </c>
      <c r="E481" s="92">
        <f>IF(LEN($C481)&gt;0,"",'Casos de Prueba'!D481)</f>
        <v>5</v>
      </c>
      <c r="F481" s="92" t="str">
        <f>IF(LEN($C481)&gt;0,"",'Casos de Prueba'!E481)</f>
        <v>Da clic en Salir</v>
      </c>
      <c r="G481" s="92" t="str">
        <f>IF(LEN($C481)&gt;0,"",'Casos de Prueba'!F481&amp;CHAR(10)&amp;'Casos de Prueba'!G481)</f>
        <v xml:space="preserve">Cierra la sesión del RFC
</v>
      </c>
    </row>
    <row r="482" spans="4:7" x14ac:dyDescent="0.35">
      <c r="D482" s="92" t="str">
        <f>IF('Casos de Prueba'!B482&lt;&gt;0,'Casos de Prueba'!B482&amp;"-"&amp;'Casos de Prueba'!C482,"")</f>
        <v>CP54-Recuperar descargas sin registros</v>
      </c>
      <c r="E482" s="92"/>
      <c r="F482" s="92"/>
      <c r="G482" s="92"/>
    </row>
    <row r="483" spans="4:7" x14ac:dyDescent="0.35">
      <c r="D483" s="92" t="str">
        <f>IF('Casos de Prueba'!B483&lt;&gt;0,'Casos de Prueba'!B483&amp;"-"&amp;'Casos de Prueba'!C483,"")</f>
        <v/>
      </c>
      <c r="E483" s="92">
        <f>IF(LEN($C483)&gt;0,"",'Casos de Prueba'!D483)</f>
        <v>1</v>
      </c>
      <c r="F483" s="92" t="str">
        <f>IF(LEN($C483)&gt;0,"",'Casos de Prueba'!E483)</f>
        <v>Seleccionar la opción Consulta CFDI</v>
      </c>
      <c r="G483" s="92" t="str">
        <f>IF(LEN($C483)&gt;0,"",'Casos de Prueba'!F483&amp;CHAR(10)&amp;'Casos de Prueba'!G483)</f>
        <v xml:space="preserve">El sistema muestra las opciones:
 - Factura Electrónica
 - Retenciones e Inf. de Pagos
El Usuario previamente se autenticó  y accedió al Portal Privado Contribuyente CFDI
</v>
      </c>
    </row>
    <row r="484" spans="4:7" x14ac:dyDescent="0.35">
      <c r="D484" s="92" t="str">
        <f>IF('Casos de Prueba'!B484&lt;&gt;0,'Casos de Prueba'!B484&amp;"-"&amp;'Casos de Prueba'!C484,"")</f>
        <v/>
      </c>
      <c r="E484" s="92">
        <f>IF(LEN($C484)&gt;0,"",'Casos de Prueba'!D484)</f>
        <v>2</v>
      </c>
      <c r="F484" s="92" t="str">
        <f>IF(LEN($C484)&gt;0,"",'Casos de Prueba'!E484)</f>
        <v>Selecciona la opción Factura Electrónica</v>
      </c>
      <c r="G484" s="92" t="str">
        <f>IF(LEN($C484)&gt;0,"",'Casos de Prueba'!F484&amp;CHAR(10)&amp;'Casos de Prueba'!G484)</f>
        <v xml:space="preserve">El sistema muestra las siguientes opciones:
-Consultar Facturas Emitidas
-Consulta Facturas Recibidas
-Recuperar Descargas de CFDI
-Consultar Solicitudes de Cancelación
</v>
      </c>
    </row>
    <row r="485" spans="4:7" x14ac:dyDescent="0.35">
      <c r="D485" s="92" t="str">
        <f>IF('Casos de Prueba'!B485&lt;&gt;0,'Casos de Prueba'!B485&amp;"-"&amp;'Casos de Prueba'!C485,"")</f>
        <v/>
      </c>
      <c r="E485" s="92">
        <f>IF(LEN($C485)&gt;0,"",'Casos de Prueba'!D485)</f>
        <v>3</v>
      </c>
      <c r="F485" s="92" t="str">
        <f>IF(LEN($C485)&gt;0,"",'Casos de Prueba'!E485)</f>
        <v>Da clic en "Recuperar Descargas de CFDI"</v>
      </c>
      <c r="G485" s="92" t="str">
        <f>IF(LEN($C485)&gt;0,"",'Casos de Prueba'!F485&amp;CHAR(10)&amp;'Casos de Prueba'!G485)</f>
        <v xml:space="preserve">El sistema valida si hay peticiones pendientes, en caso de que nos existan peticiones en proceso muestra el siguiente mensaje “No existen registros de descargas desde los últimos 3 días a la fecha”.
</v>
      </c>
    </row>
    <row r="486" spans="4:7" x14ac:dyDescent="0.35">
      <c r="D486" s="92" t="str">
        <f>IF('Casos de Prueba'!B486&lt;&gt;0,'Casos de Prueba'!B486&amp;"-"&amp;'Casos de Prueba'!C486,"")</f>
        <v/>
      </c>
      <c r="E486" s="92">
        <f>IF(LEN($C486)&gt;0,"",'Casos de Prueba'!D486)</f>
        <v>4</v>
      </c>
      <c r="F486" s="92" t="str">
        <f>IF(LEN($C486)&gt;0,"",'Casos de Prueba'!E486)</f>
        <v>Da clic en Salir</v>
      </c>
      <c r="G486" s="92" t="str">
        <f>IF(LEN($C486)&gt;0,"",'Casos de Prueba'!F486&amp;CHAR(10)&amp;'Casos de Prueba'!G486)</f>
        <v xml:space="preserve">Cierra la sesión del RFC
</v>
      </c>
    </row>
    <row r="487" spans="4:7" x14ac:dyDescent="0.35">
      <c r="D487" s="92" t="str">
        <f>IF('Casos de Prueba'!B487&lt;&gt;0,'Casos de Prueba'!B487&amp;"-"&amp;'Casos de Prueba'!C487,"")</f>
        <v>CP55-CHATBOT</v>
      </c>
      <c r="E487" s="92"/>
      <c r="F487" s="92"/>
      <c r="G487" s="92"/>
    </row>
    <row r="488" spans="4:7" x14ac:dyDescent="0.35">
      <c r="D488" s="92" t="str">
        <f>IF('Casos de Prueba'!B488&lt;&gt;0,'Casos de Prueba'!B488&amp;"-"&amp;'Casos de Prueba'!C488,"")</f>
        <v/>
      </c>
      <c r="E488" s="92">
        <f>IF(LEN($C488)&gt;0,"",'Casos de Prueba'!D488)</f>
        <v>1</v>
      </c>
      <c r="F488" s="92" t="str">
        <f>IF(LEN($C488)&gt;0,"",'Casos de Prueba'!E488)</f>
        <v>Ingresar al Portal Privado Contribuyente CFDI</v>
      </c>
      <c r="G488" s="92" t="str">
        <f>IF(LEN($C488)&gt;0,"",'Casos de Prueba'!F488&amp;CHAR(10)&amp;'Casos de Prueba'!G488)</f>
        <v xml:space="preserve">El sistema muestra las opciones en el menú principal.
 - Icono (Búho) CHATBOT OrientaSAT
 - Consulta CFDI
- Generación de CFDI
El Usuario previamente se autenticó  y accedió al Portal Privado Contribuyente CFDI
Servicio de Orienta SAT se activa dentro de la páginas Portal Privado Contribuyente CFDI con el objetivo de recibir asesoría para el cumplimiento de las obligaciones fiscales a través de un medio electrónico atendido por un asesor.  
</v>
      </c>
    </row>
    <row r="489" spans="4:7" x14ac:dyDescent="0.35">
      <c r="D489" s="92" t="str">
        <f>IF('Casos de Prueba'!B489&lt;&gt;0,'Casos de Prueba'!B489&amp;"-"&amp;'Casos de Prueba'!C489,"")</f>
        <v/>
      </c>
      <c r="E489" s="92">
        <f>IF(LEN($C489)&gt;0,"",'Casos de Prueba'!D489)</f>
        <v>2</v>
      </c>
      <c r="F489" s="92" t="str">
        <f>IF(LEN($C489)&gt;0,"",'Casos de Prueba'!E489)</f>
        <v>Selecciona la opción Icono (Búho) CHATBOT OrientaSAT</v>
      </c>
      <c r="G489" s="92" t="str">
        <f>IF(LEN($C489)&gt;0,"",'Casos de Prueba'!F489&amp;CHAR(10)&amp;'Casos de Prueba'!G489)</f>
        <v xml:space="preserve">El sistema va a desplegar una sub-pantalla para que el contribuyente pueda interactuar y recibir asesoría.
</v>
      </c>
    </row>
    <row r="490" spans="4:7" x14ac:dyDescent="0.35">
      <c r="D490" s="92" t="str">
        <f>IF('Casos de Prueba'!B490&lt;&gt;0,'Casos de Prueba'!B490&amp;"-"&amp;'Casos de Prueba'!C490,"")</f>
        <v/>
      </c>
      <c r="E490" s="92">
        <f>IF(LEN($C490)&gt;0,"",'Casos de Prueba'!D490)</f>
        <v>3</v>
      </c>
      <c r="F490" s="92" t="str">
        <f>IF(LEN($C490)&gt;0,"",'Casos de Prueba'!E490)</f>
        <v>Ingresa los datos obligatorios y dar clic en le botón "Comenzar"</v>
      </c>
      <c r="G490" s="92" t="str">
        <f>IF(LEN($C490)&gt;0,"",'Casos de Prueba'!F490&amp;CHAR(10)&amp;'Casos de Prueba'!G490)</f>
        <v xml:space="preserve">El sistema se activa para comenzar a interactuar con un asesor.
</v>
      </c>
    </row>
    <row r="491" spans="4:7" x14ac:dyDescent="0.35">
      <c r="D491" s="92" t="str">
        <f>IF('Casos de Prueba'!B491&lt;&gt;0,'Casos de Prueba'!B491&amp;"-"&amp;'Casos de Prueba'!C491,"")</f>
        <v/>
      </c>
      <c r="E491" s="92">
        <f>IF(LEN($C491)&gt;0,"",'Casos de Prueba'!D491)</f>
        <v>4</v>
      </c>
      <c r="F491" s="92" t="str">
        <f>IF(LEN($C491)&gt;0,"",'Casos de Prueba'!E491)</f>
        <v>Da clic en Salir</v>
      </c>
      <c r="G491" s="92" t="str">
        <f>IF(LEN($C491)&gt;0,"",'Casos de Prueba'!F491&amp;CHAR(10)&amp;'Casos de Prueba'!G491)</f>
        <v xml:space="preserve">Cierra la sesión del RFC
</v>
      </c>
    </row>
    <row r="492" spans="4:7" x14ac:dyDescent="0.35">
      <c r="D492" s="92" t="str">
        <f>IF('Casos de Prueba'!B492&lt;&gt;0,'Casos de Prueba'!B492&amp;"-"&amp;'Casos de Prueba'!C492,"")</f>
        <v>CP56-ENCABEZADO DEL APLICATIVO</v>
      </c>
      <c r="E492" s="92"/>
      <c r="F492" s="92"/>
      <c r="G492" s="92"/>
    </row>
    <row r="493" spans="4:7" x14ac:dyDescent="0.35">
      <c r="D493" s="92" t="str">
        <f>IF('Casos de Prueba'!B493&lt;&gt;0,'Casos de Prueba'!B493&amp;"-"&amp;'Casos de Prueba'!C493,"")</f>
        <v/>
      </c>
      <c r="E493" s="92">
        <f>IF(LEN($C493)&gt;0,"",'Casos de Prueba'!D493)</f>
        <v>1</v>
      </c>
      <c r="F493" s="92" t="str">
        <f>IF(LEN($C493)&gt;0,"",'Casos de Prueba'!E493)</f>
        <v>Usuario abre explorador</v>
      </c>
      <c r="G493" s="92" t="str">
        <f>IF(LEN($C493)&gt;0,"",'Casos de Prueba'!F493&amp;CHAR(10)&amp;'Casos de Prueba'!G493)</f>
        <v xml:space="preserve">
</v>
      </c>
    </row>
    <row r="494" spans="4:7" x14ac:dyDescent="0.35">
      <c r="D494" s="92" t="str">
        <f>IF('Casos de Prueba'!B494&lt;&gt;0,'Casos de Prueba'!B494&amp;"-"&amp;'Casos de Prueba'!C494,"")</f>
        <v/>
      </c>
      <c r="E494" s="92">
        <f>IF(LEN($C494)&gt;0,"",'Casos de Prueba'!D494)</f>
        <v>2</v>
      </c>
      <c r="F494" s="92" t="str">
        <f>IF(LEN($C494)&gt;0,"",'Casos de Prueba'!E494)</f>
        <v xml:space="preserve">Usuario ingresa a la URL correspondiente del Portal Privado Contribuyente CFDI .
-Selecciona la opción por e.firma
</v>
      </c>
      <c r="G494" s="92" t="str">
        <f>IF(LEN($C494)&gt;0,"",'Casos de Prueba'!F494&amp;CHAR(10)&amp;'Casos de Prueba'!G494)</f>
        <v xml:space="preserve">Se muestran los datos para ingresar:
Certificado (.cer)
Clave privada (.Key)
Contraseña de clave privada: 
Se muestra el campo RFC
</v>
      </c>
    </row>
    <row r="495" spans="4:7" x14ac:dyDescent="0.35">
      <c r="D495" s="92" t="str">
        <f>IF('Casos de Prueba'!B495&lt;&gt;0,'Casos de Prueba'!B495&amp;"-"&amp;'Casos de Prueba'!C495,"")</f>
        <v/>
      </c>
      <c r="E495" s="92">
        <f>IF(LEN($C495)&gt;0,"",'Casos de Prueba'!D495)</f>
        <v>3</v>
      </c>
      <c r="F495" s="92" t="str">
        <f>IF(LEN($C495)&gt;0,"",'Casos de Prueba'!E495)</f>
        <v>Usuario da clic en buscar y  en el explorador de documentos selecciona el archivo correspondiente a su certificado</v>
      </c>
      <c r="G495" s="92" t="str">
        <f>IF(LEN($C495)&gt;0,"",'Casos de Prueba'!F495&amp;CHAR(10)&amp;'Casos de Prueba'!G495)</f>
        <v xml:space="preserve">Se muestra el dato en el  campo certificado y en el campo RFC el dato del RFC del Contribuyente
</v>
      </c>
    </row>
    <row r="496" spans="4:7" x14ac:dyDescent="0.35">
      <c r="D496" s="92" t="str">
        <f>IF('Casos de Prueba'!B496&lt;&gt;0,'Casos de Prueba'!B496&amp;"-"&amp;'Casos de Prueba'!C496,"")</f>
        <v/>
      </c>
      <c r="E496" s="92">
        <f>IF(LEN($C496)&gt;0,"",'Casos de Prueba'!D496)</f>
        <v>4</v>
      </c>
      <c r="F496" s="92" t="str">
        <f>IF(LEN($C496)&gt;0,"",'Casos de Prueba'!E496)</f>
        <v>Usuario da clic en buscar y en el explorador de documentos selecciona el archivo correspondiente a su clave privada</v>
      </c>
      <c r="G496" s="92" t="str">
        <f>IF(LEN($C496)&gt;0,"",'Casos de Prueba'!F496&amp;CHAR(10)&amp;'Casos de Prueba'!G496)</f>
        <v xml:space="preserve">Se muestra el dato en el campo clave privada
</v>
      </c>
    </row>
    <row r="497" spans="4:7" x14ac:dyDescent="0.35">
      <c r="D497" s="92" t="str">
        <f>IF('Casos de Prueba'!B497&lt;&gt;0,'Casos de Prueba'!B497&amp;"-"&amp;'Casos de Prueba'!C497,"")</f>
        <v/>
      </c>
      <c r="E497" s="92">
        <f>IF(LEN($C497)&gt;0,"",'Casos de Prueba'!D497)</f>
        <v>5</v>
      </c>
      <c r="F497" s="92" t="str">
        <f>IF(LEN($C497)&gt;0,"",'Casos de Prueba'!E497)</f>
        <v>Usuario ingresa su contraseña</v>
      </c>
      <c r="G497" s="92" t="str">
        <f>IF(LEN($C497)&gt;0,"",'Casos de Prueba'!F497&amp;CHAR(10)&amp;'Casos de Prueba'!G497)</f>
        <v xml:space="preserve">Se muestra oculto el dato en el campo contraseña
</v>
      </c>
    </row>
    <row r="498" spans="4:7" x14ac:dyDescent="0.35">
      <c r="D498" s="92" t="str">
        <f>IF('Casos de Prueba'!B498&lt;&gt;0,'Casos de Prueba'!B498&amp;"-"&amp;'Casos de Prueba'!C498,"")</f>
        <v/>
      </c>
      <c r="E498" s="92">
        <f>IF(LEN($C498)&gt;0,"",'Casos de Prueba'!D498)</f>
        <v>6</v>
      </c>
      <c r="F498" s="92" t="str">
        <f>IF(LEN($C498)&gt;0,"",'Casos de Prueba'!E498)</f>
        <v>Da clic en enviar</v>
      </c>
      <c r="G498" s="92" t="str">
        <f>IF(LEN($C498)&gt;0,"",'Casos de Prueba'!F498&amp;CHAR(10)&amp;'Casos de Prueba'!G498)</f>
        <v xml:space="preserve">Si la autenticación es correcta, el aplicativo abre la página principal del Portal Privado Contribuyente CFDI .
En caso de que el Contribuyente no cuente con los permisos, el aplicativo mostrará el mensaje: “El Usuario no cuenta con los privilegios de acceso” y no va a permitir su acceso. </v>
      </c>
    </row>
    <row r="499" spans="4:7" x14ac:dyDescent="0.35">
      <c r="D499" s="92" t="str">
        <f>IF('Casos de Prueba'!B499&lt;&gt;0,'Casos de Prueba'!B499&amp;"-"&amp;'Casos de Prueba'!C499,"")</f>
        <v/>
      </c>
      <c r="E499" s="92">
        <f>IF(LEN($C499)&gt;0,"",'Casos de Prueba'!D499)</f>
        <v>7</v>
      </c>
      <c r="F499" s="92" t="str">
        <f>IF(LEN($C499)&gt;0,"",'Casos de Prueba'!E499)</f>
        <v xml:space="preserve">El usuario  valida que se muestren los elementos del encabezado </v>
      </c>
      <c r="G499" s="92" t="str">
        <f>IF(LEN($C499)&gt;0,"",'Casos de Prueba'!F499&amp;CHAR(10)&amp;'Casos de Prueba'!G499)</f>
        <v xml:space="preserve">Encabezado con lo siguiente:
(Fondo color guinda)
El imagotipo de "Gobierno de Mexico" -Alineado en parte superior izquierda
Link "Tramites" -Alineado a la derecha
Link "Gobierno" 
Boton lupa "Buscador"
(Fondo color ginda obscuro)
"Factura electronica" -Alineado a la izquiera
Boton desplegable "Consulta CFDI" -Alineado a la derecha
Boton desplegable "Generacion de CFDI" -Alineado a la derecha
Logosimbolo horizontal "Gobierno de Mexico"
Está compuesto por las palabras "Gobierno de
México" en tipografía institucional, junto al Escudo
Nacional.
En la versión horizontal, el Escudo Nacional debe
situarse a la izquierda de la frase "Gobierno
de México"
</v>
      </c>
    </row>
    <row r="500" spans="4:7" x14ac:dyDescent="0.35">
      <c r="D500" s="92" t="str">
        <f>IF('Casos de Prueba'!B500&lt;&gt;0,'Casos de Prueba'!B500&amp;"-"&amp;'Casos de Prueba'!C500,"")</f>
        <v/>
      </c>
      <c r="E500" s="92"/>
      <c r="F500" s="92"/>
      <c r="G500" s="92"/>
    </row>
    <row r="501" spans="4:7" x14ac:dyDescent="0.35">
      <c r="D501" s="92"/>
      <c r="E501" s="92"/>
    </row>
    <row r="502" spans="4:7" x14ac:dyDescent="0.35">
      <c r="D502" s="92"/>
    </row>
    <row r="503" spans="4:7" x14ac:dyDescent="0.35">
      <c r="D503" s="92"/>
    </row>
    <row r="504" spans="4:7" x14ac:dyDescent="0.35">
      <c r="D504" s="92"/>
    </row>
    <row r="505" spans="4:7" x14ac:dyDescent="0.35">
      <c r="D505" s="92"/>
    </row>
    <row r="506" spans="4:7" x14ac:dyDescent="0.35">
      <c r="D506" s="92"/>
    </row>
    <row r="507" spans="4:7" x14ac:dyDescent="0.35">
      <c r="D507" s="92"/>
    </row>
    <row r="508" spans="4:7" x14ac:dyDescent="0.35">
      <c r="D508" s="92"/>
    </row>
    <row r="509" spans="4:7" x14ac:dyDescent="0.35">
      <c r="D509" s="92"/>
    </row>
    <row r="510" spans="4:7" x14ac:dyDescent="0.35">
      <c r="D510" s="92"/>
    </row>
    <row r="511" spans="4:7" x14ac:dyDescent="0.35">
      <c r="D511" s="92"/>
    </row>
    <row r="512" spans="4:7" x14ac:dyDescent="0.35">
      <c r="D512" s="92"/>
    </row>
    <row r="513" spans="4:4" x14ac:dyDescent="0.35">
      <c r="D513" s="92"/>
    </row>
    <row r="514" spans="4:4" x14ac:dyDescent="0.35">
      <c r="D514" s="92"/>
    </row>
    <row r="515" spans="4:4" x14ac:dyDescent="0.35">
      <c r="D515" s="92"/>
    </row>
    <row r="516" spans="4:4" x14ac:dyDescent="0.35">
      <c r="D516" s="92"/>
    </row>
    <row r="517" spans="4:4" x14ac:dyDescent="0.35">
      <c r="D517" s="92"/>
    </row>
    <row r="518" spans="4:4" x14ac:dyDescent="0.35">
      <c r="D518" s="92"/>
    </row>
    <row r="519" spans="4:4" x14ac:dyDescent="0.35">
      <c r="D519" s="92"/>
    </row>
    <row r="520" spans="4:4" x14ac:dyDescent="0.35">
      <c r="D520" s="92"/>
    </row>
    <row r="521" spans="4:4" x14ac:dyDescent="0.35">
      <c r="D521" s="92"/>
    </row>
    <row r="522" spans="4:4" x14ac:dyDescent="0.35">
      <c r="D522" s="92"/>
    </row>
    <row r="523" spans="4:4" x14ac:dyDescent="0.35">
      <c r="D523" s="92"/>
    </row>
    <row r="524" spans="4:4" x14ac:dyDescent="0.35">
      <c r="D524" s="92"/>
    </row>
    <row r="525" spans="4:4" x14ac:dyDescent="0.35">
      <c r="D525" s="92"/>
    </row>
    <row r="526" spans="4:4" x14ac:dyDescent="0.35">
      <c r="D526" s="9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1237C-378B-435F-BEC4-18F32B95D851}">
  <dimension ref="B1:F482"/>
  <sheetViews>
    <sheetView workbookViewId="0">
      <selection activeCell="E5" sqref="E5"/>
    </sheetView>
  </sheetViews>
  <sheetFormatPr baseColWidth="10" defaultRowHeight="14.5" x14ac:dyDescent="0.35"/>
  <sheetData>
    <row r="1" spans="2:6" x14ac:dyDescent="0.35">
      <c r="B1" t="s">
        <v>560</v>
      </c>
      <c r="C1" t="s">
        <v>561</v>
      </c>
      <c r="D1" t="s">
        <v>562</v>
      </c>
      <c r="E1" t="s">
        <v>563</v>
      </c>
    </row>
    <row r="2" spans="2:6" x14ac:dyDescent="0.35">
      <c r="B2" t="s">
        <v>559</v>
      </c>
      <c r="C2" t="s">
        <v>564</v>
      </c>
    </row>
    <row r="3" spans="2:6" x14ac:dyDescent="0.35">
      <c r="C3" t="s">
        <v>565</v>
      </c>
      <c r="D3">
        <v>1</v>
      </c>
      <c r="E3" t="s">
        <v>194</v>
      </c>
      <c r="F3" t="s">
        <v>566</v>
      </c>
    </row>
    <row r="4" spans="2:6" x14ac:dyDescent="0.35">
      <c r="C4" t="s">
        <v>565</v>
      </c>
      <c r="D4">
        <v>2</v>
      </c>
      <c r="E4" t="s">
        <v>196</v>
      </c>
      <c r="F4" t="s">
        <v>567</v>
      </c>
    </row>
    <row r="5" spans="2:6" x14ac:dyDescent="0.35">
      <c r="C5" t="s">
        <v>565</v>
      </c>
      <c r="D5">
        <v>3</v>
      </c>
      <c r="E5" t="s">
        <v>199</v>
      </c>
      <c r="F5" t="s">
        <v>568</v>
      </c>
    </row>
    <row r="6" spans="2:6" x14ac:dyDescent="0.35">
      <c r="C6" t="s">
        <v>565</v>
      </c>
      <c r="D6">
        <v>4</v>
      </c>
      <c r="E6" t="s">
        <v>201</v>
      </c>
      <c r="F6" t="s">
        <v>569</v>
      </c>
    </row>
    <row r="7" spans="2:6" x14ac:dyDescent="0.35">
      <c r="C7" t="s">
        <v>565</v>
      </c>
      <c r="D7">
        <v>5</v>
      </c>
      <c r="E7" t="s">
        <v>203</v>
      </c>
      <c r="F7" t="s">
        <v>570</v>
      </c>
    </row>
    <row r="8" spans="2:6" x14ac:dyDescent="0.35">
      <c r="C8" t="s">
        <v>565</v>
      </c>
      <c r="D8">
        <v>6</v>
      </c>
      <c r="E8" t="s">
        <v>205</v>
      </c>
      <c r="F8" t="s">
        <v>571</v>
      </c>
    </row>
    <row r="9" spans="2:6" x14ac:dyDescent="0.35">
      <c r="C9" t="s">
        <v>572</v>
      </c>
    </row>
    <row r="10" spans="2:6" x14ac:dyDescent="0.35">
      <c r="C10" t="s">
        <v>565</v>
      </c>
      <c r="D10">
        <v>1</v>
      </c>
      <c r="E10" t="s">
        <v>194</v>
      </c>
      <c r="F10" t="s">
        <v>566</v>
      </c>
    </row>
    <row r="11" spans="2:6" x14ac:dyDescent="0.35">
      <c r="C11" t="s">
        <v>565</v>
      </c>
      <c r="D11">
        <v>2</v>
      </c>
      <c r="E11" t="s">
        <v>210</v>
      </c>
      <c r="F11" t="s">
        <v>573</v>
      </c>
    </row>
    <row r="12" spans="2:6" x14ac:dyDescent="0.35">
      <c r="C12" t="s">
        <v>565</v>
      </c>
      <c r="D12">
        <v>3</v>
      </c>
      <c r="E12" t="s">
        <v>213</v>
      </c>
      <c r="F12" t="s">
        <v>566</v>
      </c>
    </row>
    <row r="13" spans="2:6" x14ac:dyDescent="0.35">
      <c r="C13" t="s">
        <v>565</v>
      </c>
      <c r="D13">
        <v>4</v>
      </c>
      <c r="E13" t="s">
        <v>203</v>
      </c>
      <c r="F13" t="s">
        <v>570</v>
      </c>
    </row>
    <row r="14" spans="2:6" x14ac:dyDescent="0.35">
      <c r="C14" t="s">
        <v>565</v>
      </c>
      <c r="D14">
        <v>5</v>
      </c>
      <c r="E14" t="s">
        <v>214</v>
      </c>
      <c r="F14" t="s">
        <v>574</v>
      </c>
    </row>
    <row r="15" spans="2:6" x14ac:dyDescent="0.35">
      <c r="C15" t="s">
        <v>565</v>
      </c>
      <c r="D15">
        <v>6</v>
      </c>
      <c r="E15" t="s">
        <v>205</v>
      </c>
      <c r="F15" t="s">
        <v>571</v>
      </c>
    </row>
    <row r="16" spans="2:6" x14ac:dyDescent="0.35">
      <c r="C16" t="s">
        <v>575</v>
      </c>
    </row>
    <row r="17" spans="3:6" x14ac:dyDescent="0.35">
      <c r="C17" t="s">
        <v>565</v>
      </c>
      <c r="D17">
        <v>1</v>
      </c>
      <c r="E17" t="s">
        <v>217</v>
      </c>
      <c r="F17" t="s">
        <v>576</v>
      </c>
    </row>
    <row r="18" spans="3:6" x14ac:dyDescent="0.35">
      <c r="C18" t="s">
        <v>565</v>
      </c>
      <c r="D18">
        <v>2</v>
      </c>
      <c r="E18" t="s">
        <v>222</v>
      </c>
      <c r="F18" t="s">
        <v>577</v>
      </c>
    </row>
    <row r="19" spans="3:6" x14ac:dyDescent="0.35">
      <c r="C19" t="s">
        <v>565</v>
      </c>
      <c r="D19">
        <v>3</v>
      </c>
      <c r="E19" t="s">
        <v>224</v>
      </c>
      <c r="F19" t="s">
        <v>578</v>
      </c>
    </row>
    <row r="20" spans="3:6" x14ac:dyDescent="0.35">
      <c r="C20" t="s">
        <v>579</v>
      </c>
    </row>
    <row r="21" spans="3:6" x14ac:dyDescent="0.35">
      <c r="C21" t="s">
        <v>565</v>
      </c>
      <c r="D21">
        <v>1</v>
      </c>
      <c r="E21" t="s">
        <v>227</v>
      </c>
      <c r="F21" t="s">
        <v>576</v>
      </c>
    </row>
    <row r="22" spans="3:6" x14ac:dyDescent="0.35">
      <c r="C22" t="s">
        <v>565</v>
      </c>
      <c r="D22">
        <v>2</v>
      </c>
      <c r="E22" t="s">
        <v>222</v>
      </c>
      <c r="F22" t="s">
        <v>577</v>
      </c>
    </row>
    <row r="23" spans="3:6" x14ac:dyDescent="0.35">
      <c r="C23" t="s">
        <v>565</v>
      </c>
      <c r="D23">
        <v>3</v>
      </c>
      <c r="E23" t="s">
        <v>228</v>
      </c>
      <c r="F23" t="s">
        <v>580</v>
      </c>
    </row>
    <row r="24" spans="3:6" x14ac:dyDescent="0.35">
      <c r="C24" t="s">
        <v>581</v>
      </c>
    </row>
    <row r="25" spans="3:6" x14ac:dyDescent="0.35">
      <c r="C25" t="s">
        <v>565</v>
      </c>
      <c r="D25">
        <v>1</v>
      </c>
      <c r="E25" t="s">
        <v>227</v>
      </c>
      <c r="F25" t="s">
        <v>582</v>
      </c>
    </row>
    <row r="26" spans="3:6" x14ac:dyDescent="0.35">
      <c r="C26" t="s">
        <v>565</v>
      </c>
      <c r="D26">
        <v>2</v>
      </c>
      <c r="E26" t="s">
        <v>228</v>
      </c>
      <c r="F26" t="s">
        <v>580</v>
      </c>
    </row>
    <row r="27" spans="3:6" x14ac:dyDescent="0.35">
      <c r="C27" t="s">
        <v>583</v>
      </c>
    </row>
    <row r="28" spans="3:6" x14ac:dyDescent="0.35">
      <c r="C28" t="s">
        <v>565</v>
      </c>
      <c r="D28">
        <v>1</v>
      </c>
      <c r="E28" t="s">
        <v>227</v>
      </c>
      <c r="F28" t="s">
        <v>584</v>
      </c>
    </row>
    <row r="29" spans="3:6" x14ac:dyDescent="0.35">
      <c r="C29" t="s">
        <v>565</v>
      </c>
      <c r="D29">
        <v>2</v>
      </c>
      <c r="E29" t="s">
        <v>228</v>
      </c>
      <c r="F29" t="s">
        <v>580</v>
      </c>
    </row>
    <row r="30" spans="3:6" x14ac:dyDescent="0.35">
      <c r="C30" t="s">
        <v>585</v>
      </c>
    </row>
    <row r="31" spans="3:6" x14ac:dyDescent="0.35">
      <c r="C31" t="s">
        <v>565</v>
      </c>
      <c r="D31">
        <v>1</v>
      </c>
      <c r="E31" t="s">
        <v>238</v>
      </c>
      <c r="F31" t="s">
        <v>586</v>
      </c>
    </row>
    <row r="32" spans="3:6" x14ac:dyDescent="0.35">
      <c r="C32" t="s">
        <v>565</v>
      </c>
      <c r="D32">
        <v>2</v>
      </c>
      <c r="E32" t="s">
        <v>243</v>
      </c>
      <c r="F32" t="s">
        <v>587</v>
      </c>
    </row>
    <row r="33" spans="3:6" x14ac:dyDescent="0.35">
      <c r="C33" t="s">
        <v>565</v>
      </c>
      <c r="D33">
        <v>3</v>
      </c>
      <c r="E33" t="s">
        <v>222</v>
      </c>
      <c r="F33" t="s">
        <v>588</v>
      </c>
    </row>
    <row r="34" spans="3:6" x14ac:dyDescent="0.35">
      <c r="C34" t="s">
        <v>565</v>
      </c>
      <c r="D34">
        <v>4</v>
      </c>
      <c r="E34" t="s">
        <v>245</v>
      </c>
      <c r="F34" t="s">
        <v>589</v>
      </c>
    </row>
    <row r="35" spans="3:6" x14ac:dyDescent="0.35">
      <c r="C35" t="s">
        <v>565</v>
      </c>
      <c r="D35">
        <v>5</v>
      </c>
      <c r="E35" t="s">
        <v>248</v>
      </c>
      <c r="F35" t="s">
        <v>590</v>
      </c>
    </row>
    <row r="36" spans="3:6" x14ac:dyDescent="0.35">
      <c r="C36" t="s">
        <v>565</v>
      </c>
      <c r="D36">
        <v>6</v>
      </c>
      <c r="E36" t="s">
        <v>250</v>
      </c>
      <c r="F36" t="s">
        <v>591</v>
      </c>
    </row>
    <row r="37" spans="3:6" x14ac:dyDescent="0.35">
      <c r="C37" t="s">
        <v>565</v>
      </c>
      <c r="D37">
        <v>7</v>
      </c>
      <c r="E37" t="s">
        <v>228</v>
      </c>
      <c r="F37" t="s">
        <v>580</v>
      </c>
    </row>
    <row r="38" spans="3:6" x14ac:dyDescent="0.35">
      <c r="C38" t="s">
        <v>592</v>
      </c>
    </row>
    <row r="39" spans="3:6" x14ac:dyDescent="0.35">
      <c r="C39" t="s">
        <v>565</v>
      </c>
      <c r="D39">
        <v>1</v>
      </c>
      <c r="E39" t="s">
        <v>238</v>
      </c>
      <c r="F39" t="s">
        <v>586</v>
      </c>
    </row>
    <row r="40" spans="3:6" x14ac:dyDescent="0.35">
      <c r="C40" t="s">
        <v>565</v>
      </c>
      <c r="D40">
        <v>2</v>
      </c>
      <c r="E40" t="s">
        <v>243</v>
      </c>
      <c r="F40" t="s">
        <v>587</v>
      </c>
    </row>
    <row r="41" spans="3:6" x14ac:dyDescent="0.35">
      <c r="C41" t="s">
        <v>565</v>
      </c>
      <c r="D41">
        <v>3</v>
      </c>
      <c r="E41" t="s">
        <v>222</v>
      </c>
      <c r="F41" t="s">
        <v>593</v>
      </c>
    </row>
    <row r="42" spans="3:6" x14ac:dyDescent="0.35">
      <c r="C42" t="s">
        <v>565</v>
      </c>
      <c r="D42">
        <v>4</v>
      </c>
      <c r="E42" t="s">
        <v>256</v>
      </c>
      <c r="F42" t="s">
        <v>594</v>
      </c>
    </row>
    <row r="43" spans="3:6" x14ac:dyDescent="0.35">
      <c r="C43" t="s">
        <v>565</v>
      </c>
      <c r="D43">
        <v>5</v>
      </c>
      <c r="E43" t="s">
        <v>595</v>
      </c>
      <c r="F43" t="s">
        <v>596</v>
      </c>
    </row>
    <row r="44" spans="3:6" x14ac:dyDescent="0.35">
      <c r="C44" t="s">
        <v>565</v>
      </c>
      <c r="D44">
        <v>6</v>
      </c>
      <c r="E44" t="s">
        <v>260</v>
      </c>
      <c r="F44" t="s">
        <v>597</v>
      </c>
    </row>
    <row r="45" spans="3:6" x14ac:dyDescent="0.35">
      <c r="C45" t="s">
        <v>565</v>
      </c>
      <c r="D45">
        <v>7</v>
      </c>
      <c r="E45" t="s">
        <v>228</v>
      </c>
      <c r="F45" t="s">
        <v>580</v>
      </c>
    </row>
    <row r="46" spans="3:6" x14ac:dyDescent="0.35">
      <c r="C46" t="s">
        <v>598</v>
      </c>
    </row>
    <row r="47" spans="3:6" x14ac:dyDescent="0.35">
      <c r="C47" t="s">
        <v>565</v>
      </c>
      <c r="D47">
        <v>1</v>
      </c>
      <c r="E47" t="s">
        <v>238</v>
      </c>
      <c r="F47" t="s">
        <v>599</v>
      </c>
    </row>
    <row r="48" spans="3:6" x14ac:dyDescent="0.35">
      <c r="C48" t="s">
        <v>565</v>
      </c>
      <c r="D48">
        <v>2</v>
      </c>
      <c r="E48" t="s">
        <v>243</v>
      </c>
      <c r="F48" t="s">
        <v>587</v>
      </c>
    </row>
    <row r="49" spans="3:6" x14ac:dyDescent="0.35">
      <c r="C49" t="s">
        <v>565</v>
      </c>
      <c r="D49">
        <v>3</v>
      </c>
      <c r="E49" t="s">
        <v>222</v>
      </c>
      <c r="F49" t="s">
        <v>577</v>
      </c>
    </row>
    <row r="50" spans="3:6" x14ac:dyDescent="0.35">
      <c r="C50" t="s">
        <v>565</v>
      </c>
      <c r="D50">
        <v>4</v>
      </c>
      <c r="E50" t="s">
        <v>245</v>
      </c>
      <c r="F50" t="s">
        <v>600</v>
      </c>
    </row>
    <row r="51" spans="3:6" x14ac:dyDescent="0.35">
      <c r="C51" t="s">
        <v>565</v>
      </c>
      <c r="D51">
        <v>5</v>
      </c>
      <c r="E51" t="s">
        <v>248</v>
      </c>
      <c r="F51" t="s">
        <v>590</v>
      </c>
    </row>
    <row r="52" spans="3:6" x14ac:dyDescent="0.35">
      <c r="C52" t="s">
        <v>565</v>
      </c>
      <c r="D52">
        <v>6</v>
      </c>
      <c r="E52" t="s">
        <v>250</v>
      </c>
      <c r="F52" t="s">
        <v>601</v>
      </c>
    </row>
    <row r="53" spans="3:6" x14ac:dyDescent="0.35">
      <c r="C53" t="s">
        <v>565</v>
      </c>
      <c r="D53">
        <v>7</v>
      </c>
      <c r="E53" t="s">
        <v>602</v>
      </c>
      <c r="F53" t="s">
        <v>603</v>
      </c>
    </row>
    <row r="54" spans="3:6" x14ac:dyDescent="0.35">
      <c r="C54" t="s">
        <v>565</v>
      </c>
      <c r="D54">
        <v>8</v>
      </c>
      <c r="E54" t="s">
        <v>228</v>
      </c>
      <c r="F54" t="s">
        <v>580</v>
      </c>
    </row>
    <row r="55" spans="3:6" x14ac:dyDescent="0.35">
      <c r="C55" t="s">
        <v>604</v>
      </c>
    </row>
    <row r="56" spans="3:6" x14ac:dyDescent="0.35">
      <c r="C56" t="s">
        <v>565</v>
      </c>
      <c r="D56">
        <v>1</v>
      </c>
      <c r="E56" t="s">
        <v>238</v>
      </c>
      <c r="F56" t="s">
        <v>599</v>
      </c>
    </row>
    <row r="57" spans="3:6" x14ac:dyDescent="0.35">
      <c r="C57" t="s">
        <v>565</v>
      </c>
      <c r="D57">
        <v>2</v>
      </c>
      <c r="E57" t="s">
        <v>243</v>
      </c>
      <c r="F57" t="s">
        <v>587</v>
      </c>
    </row>
    <row r="58" spans="3:6" x14ac:dyDescent="0.35">
      <c r="C58" t="s">
        <v>565</v>
      </c>
      <c r="D58">
        <v>3</v>
      </c>
      <c r="E58" t="s">
        <v>222</v>
      </c>
      <c r="F58" t="s">
        <v>605</v>
      </c>
    </row>
    <row r="59" spans="3:6" x14ac:dyDescent="0.35">
      <c r="C59" t="s">
        <v>565</v>
      </c>
      <c r="D59">
        <v>4</v>
      </c>
      <c r="E59" t="s">
        <v>256</v>
      </c>
      <c r="F59" t="s">
        <v>594</v>
      </c>
    </row>
    <row r="60" spans="3:6" x14ac:dyDescent="0.35">
      <c r="C60" t="s">
        <v>565</v>
      </c>
      <c r="D60">
        <v>5</v>
      </c>
      <c r="E60" t="s">
        <v>272</v>
      </c>
      <c r="F60" t="s">
        <v>596</v>
      </c>
    </row>
    <row r="61" spans="3:6" x14ac:dyDescent="0.35">
      <c r="C61" t="s">
        <v>565</v>
      </c>
      <c r="D61">
        <v>6</v>
      </c>
      <c r="E61" t="s">
        <v>260</v>
      </c>
      <c r="F61" t="s">
        <v>606</v>
      </c>
    </row>
    <row r="62" spans="3:6" x14ac:dyDescent="0.35">
      <c r="C62" t="s">
        <v>565</v>
      </c>
      <c r="D62">
        <v>7</v>
      </c>
      <c r="E62" t="s">
        <v>607</v>
      </c>
      <c r="F62" t="s">
        <v>608</v>
      </c>
    </row>
    <row r="63" spans="3:6" x14ac:dyDescent="0.35">
      <c r="C63" t="s">
        <v>565</v>
      </c>
      <c r="D63">
        <v>8</v>
      </c>
      <c r="E63" t="s">
        <v>228</v>
      </c>
      <c r="F63" t="s">
        <v>580</v>
      </c>
    </row>
    <row r="64" spans="3:6" x14ac:dyDescent="0.35">
      <c r="C64" t="s">
        <v>609</v>
      </c>
    </row>
    <row r="65" spans="3:6" x14ac:dyDescent="0.35">
      <c r="C65" t="s">
        <v>565</v>
      </c>
      <c r="D65">
        <v>1</v>
      </c>
      <c r="E65" t="s">
        <v>238</v>
      </c>
      <c r="F65" t="s">
        <v>599</v>
      </c>
    </row>
    <row r="66" spans="3:6" x14ac:dyDescent="0.35">
      <c r="C66" t="s">
        <v>565</v>
      </c>
      <c r="D66">
        <v>2</v>
      </c>
      <c r="E66" t="s">
        <v>243</v>
      </c>
      <c r="F66" t="s">
        <v>587</v>
      </c>
    </row>
    <row r="67" spans="3:6" x14ac:dyDescent="0.35">
      <c r="C67" t="s">
        <v>565</v>
      </c>
      <c r="D67">
        <v>3</v>
      </c>
      <c r="E67" t="s">
        <v>222</v>
      </c>
      <c r="F67" t="s">
        <v>577</v>
      </c>
    </row>
    <row r="68" spans="3:6" x14ac:dyDescent="0.35">
      <c r="C68" t="s">
        <v>565</v>
      </c>
      <c r="D68">
        <v>4</v>
      </c>
      <c r="E68" t="s">
        <v>245</v>
      </c>
      <c r="F68" t="s">
        <v>600</v>
      </c>
    </row>
    <row r="69" spans="3:6" x14ac:dyDescent="0.35">
      <c r="C69" t="s">
        <v>565</v>
      </c>
      <c r="D69">
        <v>5</v>
      </c>
      <c r="E69" t="s">
        <v>248</v>
      </c>
      <c r="F69" t="s">
        <v>590</v>
      </c>
    </row>
    <row r="70" spans="3:6" x14ac:dyDescent="0.35">
      <c r="C70" t="s">
        <v>565</v>
      </c>
      <c r="D70">
        <v>6</v>
      </c>
      <c r="E70" t="s">
        <v>250</v>
      </c>
      <c r="F70" t="s">
        <v>610</v>
      </c>
    </row>
    <row r="71" spans="3:6" x14ac:dyDescent="0.35">
      <c r="C71" t="s">
        <v>565</v>
      </c>
      <c r="D71">
        <v>7</v>
      </c>
      <c r="E71" t="s">
        <v>611</v>
      </c>
      <c r="F71" t="s">
        <v>612</v>
      </c>
    </row>
    <row r="72" spans="3:6" x14ac:dyDescent="0.35">
      <c r="C72" t="s">
        <v>565</v>
      </c>
      <c r="D72">
        <v>8</v>
      </c>
      <c r="E72" t="s">
        <v>228</v>
      </c>
      <c r="F72" t="s">
        <v>580</v>
      </c>
    </row>
    <row r="73" spans="3:6" x14ac:dyDescent="0.35">
      <c r="C73" t="s">
        <v>613</v>
      </c>
    </row>
    <row r="74" spans="3:6" x14ac:dyDescent="0.35">
      <c r="C74" t="s">
        <v>565</v>
      </c>
      <c r="D74">
        <v>1</v>
      </c>
      <c r="E74" t="s">
        <v>238</v>
      </c>
      <c r="F74" t="s">
        <v>599</v>
      </c>
    </row>
    <row r="75" spans="3:6" x14ac:dyDescent="0.35">
      <c r="C75" t="s">
        <v>565</v>
      </c>
      <c r="D75">
        <v>2</v>
      </c>
      <c r="E75" t="s">
        <v>243</v>
      </c>
      <c r="F75" t="s">
        <v>587</v>
      </c>
    </row>
    <row r="76" spans="3:6" x14ac:dyDescent="0.35">
      <c r="C76" t="s">
        <v>565</v>
      </c>
      <c r="D76">
        <v>3</v>
      </c>
      <c r="E76" t="s">
        <v>222</v>
      </c>
      <c r="F76" t="s">
        <v>605</v>
      </c>
    </row>
    <row r="77" spans="3:6" x14ac:dyDescent="0.35">
      <c r="C77" t="s">
        <v>565</v>
      </c>
      <c r="D77">
        <v>4</v>
      </c>
      <c r="E77" t="s">
        <v>256</v>
      </c>
      <c r="F77" t="s">
        <v>594</v>
      </c>
    </row>
    <row r="78" spans="3:6" x14ac:dyDescent="0.35">
      <c r="C78" t="s">
        <v>565</v>
      </c>
      <c r="D78">
        <v>5</v>
      </c>
      <c r="E78" t="s">
        <v>283</v>
      </c>
      <c r="F78" t="s">
        <v>596</v>
      </c>
    </row>
    <row r="79" spans="3:6" x14ac:dyDescent="0.35">
      <c r="C79" t="s">
        <v>565</v>
      </c>
      <c r="D79">
        <v>6</v>
      </c>
      <c r="E79" t="s">
        <v>260</v>
      </c>
      <c r="F79" t="s">
        <v>597</v>
      </c>
    </row>
    <row r="80" spans="3:6" x14ac:dyDescent="0.35">
      <c r="C80" t="s">
        <v>565</v>
      </c>
      <c r="D80">
        <v>7</v>
      </c>
      <c r="E80" t="s">
        <v>614</v>
      </c>
      <c r="F80" t="s">
        <v>615</v>
      </c>
    </row>
    <row r="81" spans="3:6" x14ac:dyDescent="0.35">
      <c r="C81" t="s">
        <v>565</v>
      </c>
      <c r="D81">
        <v>8</v>
      </c>
      <c r="E81" t="s">
        <v>228</v>
      </c>
      <c r="F81" t="s">
        <v>580</v>
      </c>
    </row>
    <row r="82" spans="3:6" x14ac:dyDescent="0.35">
      <c r="C82" t="s">
        <v>616</v>
      </c>
    </row>
    <row r="83" spans="3:6" x14ac:dyDescent="0.35">
      <c r="C83" t="s">
        <v>565</v>
      </c>
      <c r="D83">
        <v>1</v>
      </c>
      <c r="E83" t="s">
        <v>238</v>
      </c>
      <c r="F83" t="s">
        <v>586</v>
      </c>
    </row>
    <row r="84" spans="3:6" x14ac:dyDescent="0.35">
      <c r="C84" t="s">
        <v>565</v>
      </c>
      <c r="D84">
        <v>2</v>
      </c>
      <c r="E84" t="s">
        <v>243</v>
      </c>
      <c r="F84" t="s">
        <v>587</v>
      </c>
    </row>
    <row r="85" spans="3:6" x14ac:dyDescent="0.35">
      <c r="C85" t="s">
        <v>565</v>
      </c>
      <c r="D85">
        <v>3</v>
      </c>
      <c r="E85" t="s">
        <v>222</v>
      </c>
      <c r="F85" t="s">
        <v>577</v>
      </c>
    </row>
    <row r="86" spans="3:6" x14ac:dyDescent="0.35">
      <c r="C86" t="s">
        <v>565</v>
      </c>
      <c r="D86">
        <v>4</v>
      </c>
      <c r="E86" t="s">
        <v>245</v>
      </c>
      <c r="F86" t="s">
        <v>600</v>
      </c>
    </row>
    <row r="87" spans="3:6" x14ac:dyDescent="0.35">
      <c r="C87" t="s">
        <v>565</v>
      </c>
      <c r="D87">
        <v>5</v>
      </c>
      <c r="E87" t="s">
        <v>248</v>
      </c>
      <c r="F87" t="s">
        <v>590</v>
      </c>
    </row>
    <row r="88" spans="3:6" x14ac:dyDescent="0.35">
      <c r="C88" t="s">
        <v>565</v>
      </c>
      <c r="D88">
        <v>6</v>
      </c>
      <c r="E88" t="s">
        <v>250</v>
      </c>
      <c r="F88" t="s">
        <v>617</v>
      </c>
    </row>
    <row r="89" spans="3:6" x14ac:dyDescent="0.35">
      <c r="C89" t="s">
        <v>565</v>
      </c>
      <c r="D89">
        <v>7</v>
      </c>
      <c r="E89" t="s">
        <v>291</v>
      </c>
      <c r="F89" t="s">
        <v>618</v>
      </c>
    </row>
    <row r="90" spans="3:6" x14ac:dyDescent="0.35">
      <c r="C90" t="s">
        <v>565</v>
      </c>
      <c r="D90">
        <v>8</v>
      </c>
      <c r="E90" t="s">
        <v>228</v>
      </c>
      <c r="F90" t="s">
        <v>580</v>
      </c>
    </row>
    <row r="91" spans="3:6" x14ac:dyDescent="0.35">
      <c r="C91" t="s">
        <v>619</v>
      </c>
    </row>
    <row r="92" spans="3:6" x14ac:dyDescent="0.35">
      <c r="C92" t="s">
        <v>565</v>
      </c>
      <c r="D92">
        <v>1</v>
      </c>
      <c r="E92" t="s">
        <v>238</v>
      </c>
      <c r="F92" t="s">
        <v>586</v>
      </c>
    </row>
    <row r="93" spans="3:6" x14ac:dyDescent="0.35">
      <c r="C93" t="s">
        <v>565</v>
      </c>
      <c r="D93">
        <v>2</v>
      </c>
      <c r="E93" t="s">
        <v>243</v>
      </c>
      <c r="F93" t="s">
        <v>587</v>
      </c>
    </row>
    <row r="94" spans="3:6" x14ac:dyDescent="0.35">
      <c r="C94" t="s">
        <v>565</v>
      </c>
      <c r="D94">
        <v>3</v>
      </c>
      <c r="E94" t="s">
        <v>222</v>
      </c>
      <c r="F94" t="s">
        <v>620</v>
      </c>
    </row>
    <row r="95" spans="3:6" x14ac:dyDescent="0.35">
      <c r="C95" t="s">
        <v>565</v>
      </c>
      <c r="D95">
        <v>4</v>
      </c>
      <c r="E95" t="s">
        <v>256</v>
      </c>
      <c r="F95" t="s">
        <v>594</v>
      </c>
    </row>
    <row r="96" spans="3:6" x14ac:dyDescent="0.35">
      <c r="C96" t="s">
        <v>565</v>
      </c>
      <c r="D96">
        <v>5</v>
      </c>
      <c r="E96" t="s">
        <v>621</v>
      </c>
      <c r="F96" t="s">
        <v>596</v>
      </c>
    </row>
    <row r="97" spans="3:6" x14ac:dyDescent="0.35">
      <c r="C97" t="s">
        <v>565</v>
      </c>
      <c r="D97">
        <v>6</v>
      </c>
      <c r="E97" t="s">
        <v>260</v>
      </c>
      <c r="F97" t="s">
        <v>597</v>
      </c>
    </row>
    <row r="98" spans="3:6" x14ac:dyDescent="0.35">
      <c r="C98" t="s">
        <v>565</v>
      </c>
      <c r="D98">
        <v>7</v>
      </c>
      <c r="E98" t="s">
        <v>296</v>
      </c>
      <c r="F98" t="s">
        <v>618</v>
      </c>
    </row>
    <row r="99" spans="3:6" x14ac:dyDescent="0.35">
      <c r="C99" t="s">
        <v>565</v>
      </c>
      <c r="D99">
        <v>8</v>
      </c>
      <c r="E99" t="s">
        <v>228</v>
      </c>
      <c r="F99" t="s">
        <v>580</v>
      </c>
    </row>
    <row r="100" spans="3:6" x14ac:dyDescent="0.35">
      <c r="C100" t="s">
        <v>622</v>
      </c>
    </row>
    <row r="101" spans="3:6" x14ac:dyDescent="0.35">
      <c r="C101" t="s">
        <v>565</v>
      </c>
      <c r="D101">
        <v>1</v>
      </c>
      <c r="E101" t="s">
        <v>238</v>
      </c>
      <c r="F101" t="s">
        <v>599</v>
      </c>
    </row>
    <row r="102" spans="3:6" x14ac:dyDescent="0.35">
      <c r="C102" t="s">
        <v>565</v>
      </c>
      <c r="D102">
        <v>2</v>
      </c>
      <c r="E102" t="s">
        <v>243</v>
      </c>
      <c r="F102" t="s">
        <v>587</v>
      </c>
    </row>
    <row r="103" spans="3:6" x14ac:dyDescent="0.35">
      <c r="C103" t="s">
        <v>565</v>
      </c>
      <c r="D103">
        <v>3</v>
      </c>
      <c r="E103" t="s">
        <v>222</v>
      </c>
      <c r="F103" t="s">
        <v>577</v>
      </c>
    </row>
    <row r="104" spans="3:6" x14ac:dyDescent="0.35">
      <c r="C104" t="s">
        <v>565</v>
      </c>
      <c r="D104">
        <v>4</v>
      </c>
      <c r="E104" t="s">
        <v>245</v>
      </c>
      <c r="F104" t="s">
        <v>600</v>
      </c>
    </row>
    <row r="105" spans="3:6" x14ac:dyDescent="0.35">
      <c r="C105" t="s">
        <v>565</v>
      </c>
      <c r="D105">
        <v>5</v>
      </c>
      <c r="E105" t="s">
        <v>248</v>
      </c>
      <c r="F105" t="s">
        <v>590</v>
      </c>
    </row>
    <row r="106" spans="3:6" x14ac:dyDescent="0.35">
      <c r="C106" t="s">
        <v>565</v>
      </c>
      <c r="D106">
        <v>6</v>
      </c>
      <c r="E106" t="s">
        <v>250</v>
      </c>
      <c r="F106" t="s">
        <v>623</v>
      </c>
    </row>
    <row r="107" spans="3:6" x14ac:dyDescent="0.35">
      <c r="C107" t="s">
        <v>565</v>
      </c>
      <c r="D107">
        <v>7</v>
      </c>
      <c r="E107" t="s">
        <v>300</v>
      </c>
      <c r="F107" t="s">
        <v>624</v>
      </c>
    </row>
    <row r="108" spans="3:6" x14ac:dyDescent="0.35">
      <c r="C108" t="s">
        <v>565</v>
      </c>
      <c r="D108">
        <v>8</v>
      </c>
      <c r="E108" t="s">
        <v>228</v>
      </c>
      <c r="F108" t="s">
        <v>580</v>
      </c>
    </row>
    <row r="109" spans="3:6" x14ac:dyDescent="0.35">
      <c r="C109" t="s">
        <v>625</v>
      </c>
    </row>
    <row r="110" spans="3:6" x14ac:dyDescent="0.35">
      <c r="C110" t="s">
        <v>565</v>
      </c>
      <c r="D110">
        <v>1</v>
      </c>
      <c r="E110" t="s">
        <v>238</v>
      </c>
      <c r="F110" t="s">
        <v>586</v>
      </c>
    </row>
    <row r="111" spans="3:6" x14ac:dyDescent="0.35">
      <c r="C111" t="s">
        <v>565</v>
      </c>
      <c r="D111">
        <v>2</v>
      </c>
      <c r="E111" t="s">
        <v>243</v>
      </c>
      <c r="F111" t="s">
        <v>587</v>
      </c>
    </row>
    <row r="112" spans="3:6" x14ac:dyDescent="0.35">
      <c r="C112" t="s">
        <v>565</v>
      </c>
      <c r="D112">
        <v>3</v>
      </c>
      <c r="E112" t="s">
        <v>222</v>
      </c>
      <c r="F112" t="s">
        <v>626</v>
      </c>
    </row>
    <row r="113" spans="3:6" x14ac:dyDescent="0.35">
      <c r="C113" t="s">
        <v>565</v>
      </c>
      <c r="D113">
        <v>4</v>
      </c>
      <c r="E113" t="s">
        <v>256</v>
      </c>
      <c r="F113" t="s">
        <v>594</v>
      </c>
    </row>
    <row r="114" spans="3:6" x14ac:dyDescent="0.35">
      <c r="C114" t="s">
        <v>565</v>
      </c>
      <c r="D114">
        <v>5</v>
      </c>
      <c r="E114" t="s">
        <v>595</v>
      </c>
      <c r="F114" t="s">
        <v>596</v>
      </c>
    </row>
    <row r="115" spans="3:6" x14ac:dyDescent="0.35">
      <c r="C115" t="s">
        <v>565</v>
      </c>
      <c r="D115">
        <v>6</v>
      </c>
      <c r="E115" t="s">
        <v>260</v>
      </c>
      <c r="F115" t="s">
        <v>597</v>
      </c>
    </row>
    <row r="116" spans="3:6" x14ac:dyDescent="0.35">
      <c r="C116" t="s">
        <v>565</v>
      </c>
      <c r="D116">
        <v>7</v>
      </c>
      <c r="E116" t="s">
        <v>307</v>
      </c>
      <c r="F116" t="s">
        <v>624</v>
      </c>
    </row>
    <row r="117" spans="3:6" x14ac:dyDescent="0.35">
      <c r="C117" t="s">
        <v>565</v>
      </c>
      <c r="D117">
        <v>8</v>
      </c>
      <c r="E117" t="s">
        <v>228</v>
      </c>
      <c r="F117" t="s">
        <v>580</v>
      </c>
    </row>
    <row r="118" spans="3:6" x14ac:dyDescent="0.35">
      <c r="C118" t="s">
        <v>627</v>
      </c>
    </row>
    <row r="119" spans="3:6" x14ac:dyDescent="0.35">
      <c r="C119" t="s">
        <v>565</v>
      </c>
      <c r="D119">
        <v>1</v>
      </c>
      <c r="E119" t="s">
        <v>238</v>
      </c>
      <c r="F119" t="s">
        <v>599</v>
      </c>
    </row>
    <row r="120" spans="3:6" x14ac:dyDescent="0.35">
      <c r="C120" t="s">
        <v>565</v>
      </c>
      <c r="D120">
        <v>2</v>
      </c>
      <c r="E120" t="s">
        <v>243</v>
      </c>
      <c r="F120" t="s">
        <v>587</v>
      </c>
    </row>
    <row r="121" spans="3:6" x14ac:dyDescent="0.35">
      <c r="C121" t="s">
        <v>565</v>
      </c>
      <c r="D121">
        <v>3</v>
      </c>
      <c r="E121" t="s">
        <v>222</v>
      </c>
      <c r="F121" t="s">
        <v>577</v>
      </c>
    </row>
    <row r="122" spans="3:6" x14ac:dyDescent="0.35">
      <c r="C122" t="s">
        <v>565</v>
      </c>
      <c r="D122">
        <v>4</v>
      </c>
      <c r="E122" t="s">
        <v>245</v>
      </c>
      <c r="F122" t="s">
        <v>600</v>
      </c>
    </row>
    <row r="123" spans="3:6" x14ac:dyDescent="0.35">
      <c r="C123" t="s">
        <v>565</v>
      </c>
      <c r="D123">
        <v>5</v>
      </c>
      <c r="E123" t="s">
        <v>248</v>
      </c>
      <c r="F123" t="s">
        <v>590</v>
      </c>
    </row>
    <row r="124" spans="3:6" x14ac:dyDescent="0.35">
      <c r="C124" t="s">
        <v>565</v>
      </c>
      <c r="D124">
        <v>6</v>
      </c>
      <c r="E124" t="s">
        <v>250</v>
      </c>
      <c r="F124" t="s">
        <v>623</v>
      </c>
    </row>
    <row r="125" spans="3:6" x14ac:dyDescent="0.35">
      <c r="C125" t="s">
        <v>565</v>
      </c>
      <c r="D125">
        <v>7</v>
      </c>
      <c r="E125" t="s">
        <v>310</v>
      </c>
      <c r="F125" t="s">
        <v>628</v>
      </c>
    </row>
    <row r="126" spans="3:6" x14ac:dyDescent="0.35">
      <c r="C126" t="s">
        <v>565</v>
      </c>
      <c r="D126">
        <v>8</v>
      </c>
      <c r="E126" t="s">
        <v>228</v>
      </c>
      <c r="F126" t="s">
        <v>580</v>
      </c>
    </row>
    <row r="127" spans="3:6" x14ac:dyDescent="0.35">
      <c r="C127" t="s">
        <v>629</v>
      </c>
    </row>
    <row r="128" spans="3:6" x14ac:dyDescent="0.35">
      <c r="C128" t="s">
        <v>565</v>
      </c>
      <c r="D128">
        <v>1</v>
      </c>
      <c r="E128" t="s">
        <v>238</v>
      </c>
      <c r="F128" t="s">
        <v>586</v>
      </c>
    </row>
    <row r="129" spans="3:6" x14ac:dyDescent="0.35">
      <c r="C129" t="s">
        <v>565</v>
      </c>
      <c r="D129">
        <v>2</v>
      </c>
      <c r="E129" t="s">
        <v>243</v>
      </c>
      <c r="F129" t="s">
        <v>587</v>
      </c>
    </row>
    <row r="130" spans="3:6" x14ac:dyDescent="0.35">
      <c r="C130" t="s">
        <v>565</v>
      </c>
      <c r="D130">
        <v>3</v>
      </c>
      <c r="E130" t="s">
        <v>222</v>
      </c>
      <c r="F130" t="s">
        <v>630</v>
      </c>
    </row>
    <row r="131" spans="3:6" x14ac:dyDescent="0.35">
      <c r="C131" t="s">
        <v>565</v>
      </c>
      <c r="D131">
        <v>4</v>
      </c>
      <c r="E131" t="s">
        <v>256</v>
      </c>
      <c r="F131" t="s">
        <v>594</v>
      </c>
    </row>
    <row r="132" spans="3:6" x14ac:dyDescent="0.35">
      <c r="C132" t="s">
        <v>565</v>
      </c>
      <c r="D132">
        <v>5</v>
      </c>
      <c r="E132" t="s">
        <v>595</v>
      </c>
      <c r="F132" t="s">
        <v>596</v>
      </c>
    </row>
    <row r="133" spans="3:6" x14ac:dyDescent="0.35">
      <c r="C133" t="s">
        <v>565</v>
      </c>
      <c r="D133">
        <v>6</v>
      </c>
      <c r="E133" t="s">
        <v>260</v>
      </c>
      <c r="F133" t="s">
        <v>597</v>
      </c>
    </row>
    <row r="134" spans="3:6" x14ac:dyDescent="0.35">
      <c r="C134" t="s">
        <v>565</v>
      </c>
      <c r="D134">
        <v>7</v>
      </c>
      <c r="E134" t="s">
        <v>313</v>
      </c>
      <c r="F134" t="s">
        <v>628</v>
      </c>
    </row>
    <row r="135" spans="3:6" x14ac:dyDescent="0.35">
      <c r="C135" t="s">
        <v>565</v>
      </c>
      <c r="D135">
        <v>8</v>
      </c>
      <c r="E135" t="s">
        <v>228</v>
      </c>
      <c r="F135" t="s">
        <v>580</v>
      </c>
    </row>
    <row r="136" spans="3:6" x14ac:dyDescent="0.35">
      <c r="C136" t="s">
        <v>631</v>
      </c>
    </row>
    <row r="137" spans="3:6" x14ac:dyDescent="0.35">
      <c r="C137" t="s">
        <v>565</v>
      </c>
      <c r="D137">
        <v>1</v>
      </c>
      <c r="E137" t="s">
        <v>238</v>
      </c>
      <c r="F137" t="s">
        <v>599</v>
      </c>
    </row>
    <row r="138" spans="3:6" x14ac:dyDescent="0.35">
      <c r="C138" t="s">
        <v>565</v>
      </c>
      <c r="D138">
        <v>2</v>
      </c>
      <c r="E138" t="s">
        <v>243</v>
      </c>
      <c r="F138" t="s">
        <v>587</v>
      </c>
    </row>
    <row r="139" spans="3:6" x14ac:dyDescent="0.35">
      <c r="C139" t="s">
        <v>565</v>
      </c>
      <c r="D139">
        <v>3</v>
      </c>
      <c r="E139" t="s">
        <v>222</v>
      </c>
      <c r="F139" t="s">
        <v>577</v>
      </c>
    </row>
    <row r="140" spans="3:6" x14ac:dyDescent="0.35">
      <c r="C140" t="s">
        <v>565</v>
      </c>
      <c r="D140">
        <v>4</v>
      </c>
      <c r="E140" t="s">
        <v>245</v>
      </c>
      <c r="F140" t="s">
        <v>600</v>
      </c>
    </row>
    <row r="141" spans="3:6" x14ac:dyDescent="0.35">
      <c r="C141" t="s">
        <v>565</v>
      </c>
      <c r="D141">
        <v>5</v>
      </c>
      <c r="E141" t="s">
        <v>248</v>
      </c>
      <c r="F141" t="s">
        <v>590</v>
      </c>
    </row>
    <row r="142" spans="3:6" x14ac:dyDescent="0.35">
      <c r="C142" t="s">
        <v>565</v>
      </c>
      <c r="D142">
        <v>6</v>
      </c>
      <c r="E142" t="s">
        <v>250</v>
      </c>
      <c r="F142" t="s">
        <v>623</v>
      </c>
    </row>
    <row r="143" spans="3:6" x14ac:dyDescent="0.35">
      <c r="C143" t="s">
        <v>565</v>
      </c>
      <c r="D143">
        <v>7</v>
      </c>
      <c r="E143" t="s">
        <v>317</v>
      </c>
      <c r="F143" t="s">
        <v>632</v>
      </c>
    </row>
    <row r="144" spans="3:6" x14ac:dyDescent="0.35">
      <c r="C144" t="s">
        <v>565</v>
      </c>
      <c r="D144">
        <v>8</v>
      </c>
      <c r="E144" t="s">
        <v>228</v>
      </c>
      <c r="F144" t="s">
        <v>580</v>
      </c>
    </row>
    <row r="145" spans="3:6" x14ac:dyDescent="0.35">
      <c r="C145" t="s">
        <v>633</v>
      </c>
    </row>
    <row r="146" spans="3:6" x14ac:dyDescent="0.35">
      <c r="C146" t="s">
        <v>565</v>
      </c>
      <c r="D146">
        <v>1</v>
      </c>
      <c r="E146" t="s">
        <v>238</v>
      </c>
      <c r="F146" t="s">
        <v>586</v>
      </c>
    </row>
    <row r="147" spans="3:6" x14ac:dyDescent="0.35">
      <c r="C147" t="s">
        <v>565</v>
      </c>
      <c r="D147">
        <v>2</v>
      </c>
      <c r="E147" t="s">
        <v>243</v>
      </c>
      <c r="F147" t="s">
        <v>587</v>
      </c>
    </row>
    <row r="148" spans="3:6" x14ac:dyDescent="0.35">
      <c r="C148" t="s">
        <v>565</v>
      </c>
      <c r="D148">
        <v>3</v>
      </c>
      <c r="E148" t="s">
        <v>222</v>
      </c>
      <c r="F148" t="s">
        <v>634</v>
      </c>
    </row>
    <row r="149" spans="3:6" x14ac:dyDescent="0.35">
      <c r="C149" t="s">
        <v>565</v>
      </c>
      <c r="D149">
        <v>4</v>
      </c>
      <c r="E149" t="s">
        <v>256</v>
      </c>
      <c r="F149" t="s">
        <v>594</v>
      </c>
    </row>
    <row r="150" spans="3:6" x14ac:dyDescent="0.35">
      <c r="C150" t="s">
        <v>565</v>
      </c>
      <c r="D150">
        <v>5</v>
      </c>
      <c r="E150" t="s">
        <v>283</v>
      </c>
      <c r="F150" t="s">
        <v>596</v>
      </c>
    </row>
    <row r="151" spans="3:6" x14ac:dyDescent="0.35">
      <c r="C151" t="s">
        <v>565</v>
      </c>
      <c r="D151">
        <v>6</v>
      </c>
      <c r="E151" t="s">
        <v>260</v>
      </c>
      <c r="F151" t="s">
        <v>597</v>
      </c>
    </row>
    <row r="152" spans="3:6" x14ac:dyDescent="0.35">
      <c r="C152" t="s">
        <v>565</v>
      </c>
      <c r="D152">
        <v>7</v>
      </c>
      <c r="E152" t="s">
        <v>635</v>
      </c>
      <c r="F152" t="s">
        <v>636</v>
      </c>
    </row>
    <row r="153" spans="3:6" x14ac:dyDescent="0.35">
      <c r="C153" t="s">
        <v>565</v>
      </c>
      <c r="D153">
        <v>8</v>
      </c>
      <c r="E153" t="s">
        <v>228</v>
      </c>
      <c r="F153" t="s">
        <v>580</v>
      </c>
    </row>
    <row r="154" spans="3:6" x14ac:dyDescent="0.35">
      <c r="C154" t="s">
        <v>637</v>
      </c>
    </row>
    <row r="155" spans="3:6" x14ac:dyDescent="0.35">
      <c r="C155" t="s">
        <v>565</v>
      </c>
      <c r="D155">
        <v>1</v>
      </c>
      <c r="E155" t="s">
        <v>238</v>
      </c>
      <c r="F155" t="s">
        <v>599</v>
      </c>
    </row>
    <row r="156" spans="3:6" x14ac:dyDescent="0.35">
      <c r="C156" t="s">
        <v>565</v>
      </c>
      <c r="D156">
        <v>2</v>
      </c>
      <c r="E156" t="s">
        <v>243</v>
      </c>
      <c r="F156" t="s">
        <v>587</v>
      </c>
    </row>
    <row r="157" spans="3:6" x14ac:dyDescent="0.35">
      <c r="C157" t="s">
        <v>565</v>
      </c>
      <c r="D157">
        <v>3</v>
      </c>
      <c r="E157" t="s">
        <v>222</v>
      </c>
      <c r="F157" t="s">
        <v>577</v>
      </c>
    </row>
    <row r="158" spans="3:6" x14ac:dyDescent="0.35">
      <c r="C158" t="s">
        <v>565</v>
      </c>
      <c r="D158">
        <v>4</v>
      </c>
      <c r="E158" t="s">
        <v>245</v>
      </c>
      <c r="F158" t="s">
        <v>600</v>
      </c>
    </row>
    <row r="159" spans="3:6" x14ac:dyDescent="0.35">
      <c r="C159" t="s">
        <v>565</v>
      </c>
      <c r="D159">
        <v>5</v>
      </c>
      <c r="E159" t="s">
        <v>248</v>
      </c>
      <c r="F159" t="s">
        <v>590</v>
      </c>
    </row>
    <row r="160" spans="3:6" x14ac:dyDescent="0.35">
      <c r="C160" t="s">
        <v>565</v>
      </c>
      <c r="D160">
        <v>6</v>
      </c>
      <c r="E160" t="s">
        <v>250</v>
      </c>
      <c r="F160" t="s">
        <v>623</v>
      </c>
    </row>
    <row r="161" spans="3:6" x14ac:dyDescent="0.35">
      <c r="C161" t="s">
        <v>565</v>
      </c>
      <c r="D161">
        <v>7</v>
      </c>
      <c r="E161" t="s">
        <v>638</v>
      </c>
      <c r="F161" t="s">
        <v>639</v>
      </c>
    </row>
    <row r="162" spans="3:6" x14ac:dyDescent="0.35">
      <c r="C162" t="s">
        <v>565</v>
      </c>
      <c r="D162">
        <v>8</v>
      </c>
      <c r="E162" t="s">
        <v>331</v>
      </c>
      <c r="F162" t="s">
        <v>640</v>
      </c>
    </row>
    <row r="163" spans="3:6" x14ac:dyDescent="0.35">
      <c r="C163" t="s">
        <v>565</v>
      </c>
      <c r="D163">
        <v>9</v>
      </c>
      <c r="E163" t="s">
        <v>228</v>
      </c>
      <c r="F163" t="s">
        <v>580</v>
      </c>
    </row>
    <row r="164" spans="3:6" x14ac:dyDescent="0.35">
      <c r="C164" t="s">
        <v>641</v>
      </c>
    </row>
    <row r="165" spans="3:6" x14ac:dyDescent="0.35">
      <c r="C165" t="s">
        <v>565</v>
      </c>
      <c r="D165">
        <v>1</v>
      </c>
      <c r="E165" t="s">
        <v>238</v>
      </c>
      <c r="F165" t="s">
        <v>586</v>
      </c>
    </row>
    <row r="166" spans="3:6" x14ac:dyDescent="0.35">
      <c r="C166" t="s">
        <v>565</v>
      </c>
      <c r="D166">
        <v>2</v>
      </c>
      <c r="E166" t="s">
        <v>243</v>
      </c>
      <c r="F166" t="s">
        <v>587</v>
      </c>
    </row>
    <row r="167" spans="3:6" x14ac:dyDescent="0.35">
      <c r="C167" t="s">
        <v>565</v>
      </c>
      <c r="D167">
        <v>3</v>
      </c>
      <c r="E167" t="s">
        <v>222</v>
      </c>
      <c r="F167" t="s">
        <v>634</v>
      </c>
    </row>
    <row r="168" spans="3:6" x14ac:dyDescent="0.35">
      <c r="C168" t="s">
        <v>565</v>
      </c>
      <c r="D168">
        <v>4</v>
      </c>
      <c r="E168" t="s">
        <v>256</v>
      </c>
      <c r="F168" t="s">
        <v>594</v>
      </c>
    </row>
    <row r="169" spans="3:6" x14ac:dyDescent="0.35">
      <c r="C169" t="s">
        <v>565</v>
      </c>
      <c r="D169">
        <v>5</v>
      </c>
      <c r="E169" t="s">
        <v>642</v>
      </c>
      <c r="F169" t="s">
        <v>596</v>
      </c>
    </row>
    <row r="170" spans="3:6" x14ac:dyDescent="0.35">
      <c r="C170" t="s">
        <v>565</v>
      </c>
      <c r="D170">
        <v>6</v>
      </c>
      <c r="E170" t="s">
        <v>260</v>
      </c>
      <c r="F170" t="s">
        <v>597</v>
      </c>
    </row>
    <row r="171" spans="3:6" x14ac:dyDescent="0.35">
      <c r="C171" t="s">
        <v>565</v>
      </c>
      <c r="D171">
        <v>7</v>
      </c>
      <c r="E171" t="s">
        <v>643</v>
      </c>
      <c r="F171" t="s">
        <v>639</v>
      </c>
    </row>
    <row r="172" spans="3:6" x14ac:dyDescent="0.35">
      <c r="C172" t="s">
        <v>565</v>
      </c>
      <c r="D172">
        <v>8</v>
      </c>
      <c r="E172" t="s">
        <v>331</v>
      </c>
      <c r="F172" t="s">
        <v>640</v>
      </c>
    </row>
    <row r="173" spans="3:6" x14ac:dyDescent="0.35">
      <c r="C173" t="s">
        <v>565</v>
      </c>
      <c r="D173">
        <v>9</v>
      </c>
      <c r="E173" t="s">
        <v>228</v>
      </c>
      <c r="F173" t="s">
        <v>580</v>
      </c>
    </row>
    <row r="174" spans="3:6" x14ac:dyDescent="0.35">
      <c r="C174" t="s">
        <v>644</v>
      </c>
    </row>
    <row r="175" spans="3:6" x14ac:dyDescent="0.35">
      <c r="C175" t="s">
        <v>565</v>
      </c>
      <c r="D175">
        <v>1</v>
      </c>
      <c r="E175" t="s">
        <v>238</v>
      </c>
      <c r="F175" t="s">
        <v>599</v>
      </c>
    </row>
    <row r="176" spans="3:6" x14ac:dyDescent="0.35">
      <c r="C176" t="s">
        <v>565</v>
      </c>
      <c r="D176">
        <v>2</v>
      </c>
      <c r="E176" t="s">
        <v>243</v>
      </c>
      <c r="F176" t="s">
        <v>587</v>
      </c>
    </row>
    <row r="177" spans="3:6" x14ac:dyDescent="0.35">
      <c r="C177" t="s">
        <v>565</v>
      </c>
      <c r="D177">
        <v>3</v>
      </c>
      <c r="E177" t="s">
        <v>222</v>
      </c>
      <c r="F177" t="s">
        <v>577</v>
      </c>
    </row>
    <row r="178" spans="3:6" x14ac:dyDescent="0.35">
      <c r="C178" t="s">
        <v>565</v>
      </c>
      <c r="D178">
        <v>4</v>
      </c>
      <c r="E178" t="s">
        <v>256</v>
      </c>
      <c r="F178" t="s">
        <v>645</v>
      </c>
    </row>
    <row r="179" spans="3:6" x14ac:dyDescent="0.35">
      <c r="C179" t="s">
        <v>565</v>
      </c>
      <c r="D179">
        <v>5</v>
      </c>
      <c r="E179" t="s">
        <v>339</v>
      </c>
      <c r="F179" t="s">
        <v>596</v>
      </c>
    </row>
    <row r="180" spans="3:6" x14ac:dyDescent="0.35">
      <c r="C180" t="s">
        <v>565</v>
      </c>
      <c r="D180">
        <v>6</v>
      </c>
      <c r="E180" t="s">
        <v>260</v>
      </c>
      <c r="F180" t="s">
        <v>646</v>
      </c>
    </row>
    <row r="181" spans="3:6" x14ac:dyDescent="0.35">
      <c r="C181" t="s">
        <v>565</v>
      </c>
      <c r="D181">
        <v>7</v>
      </c>
      <c r="E181" t="s">
        <v>647</v>
      </c>
      <c r="F181" t="s">
        <v>648</v>
      </c>
    </row>
    <row r="182" spans="3:6" x14ac:dyDescent="0.35">
      <c r="C182" t="s">
        <v>565</v>
      </c>
      <c r="D182">
        <v>8</v>
      </c>
      <c r="E182" t="s">
        <v>344</v>
      </c>
      <c r="F182" t="s">
        <v>649</v>
      </c>
    </row>
    <row r="183" spans="3:6" x14ac:dyDescent="0.35">
      <c r="C183" t="s">
        <v>565</v>
      </c>
      <c r="D183">
        <v>9</v>
      </c>
      <c r="E183" t="s">
        <v>228</v>
      </c>
      <c r="F183" t="s">
        <v>580</v>
      </c>
    </row>
    <row r="184" spans="3:6" x14ac:dyDescent="0.35">
      <c r="C184" t="s">
        <v>650</v>
      </c>
    </row>
    <row r="185" spans="3:6" x14ac:dyDescent="0.35">
      <c r="C185" t="s">
        <v>565</v>
      </c>
      <c r="D185">
        <v>1</v>
      </c>
      <c r="E185" t="s">
        <v>238</v>
      </c>
      <c r="F185" t="s">
        <v>586</v>
      </c>
    </row>
    <row r="186" spans="3:6" x14ac:dyDescent="0.35">
      <c r="C186" t="s">
        <v>565</v>
      </c>
      <c r="D186">
        <v>2</v>
      </c>
      <c r="E186" t="s">
        <v>243</v>
      </c>
      <c r="F186" t="s">
        <v>587</v>
      </c>
    </row>
    <row r="187" spans="3:6" x14ac:dyDescent="0.35">
      <c r="C187" t="s">
        <v>565</v>
      </c>
      <c r="D187">
        <v>3</v>
      </c>
      <c r="E187" t="s">
        <v>222</v>
      </c>
      <c r="F187" t="s">
        <v>651</v>
      </c>
    </row>
    <row r="188" spans="3:6" x14ac:dyDescent="0.35">
      <c r="C188" t="s">
        <v>565</v>
      </c>
      <c r="D188">
        <v>4</v>
      </c>
      <c r="E188" t="s">
        <v>245</v>
      </c>
      <c r="F188" t="s">
        <v>589</v>
      </c>
    </row>
    <row r="189" spans="3:6" x14ac:dyDescent="0.35">
      <c r="C189" t="s">
        <v>565</v>
      </c>
      <c r="D189">
        <v>5</v>
      </c>
      <c r="E189" t="s">
        <v>248</v>
      </c>
      <c r="F189" t="s">
        <v>590</v>
      </c>
    </row>
    <row r="190" spans="3:6" x14ac:dyDescent="0.35">
      <c r="C190" t="s">
        <v>565</v>
      </c>
      <c r="D190">
        <v>6</v>
      </c>
      <c r="E190" t="s">
        <v>250</v>
      </c>
      <c r="F190" t="s">
        <v>591</v>
      </c>
    </row>
    <row r="191" spans="3:6" x14ac:dyDescent="0.35">
      <c r="C191" t="s">
        <v>565</v>
      </c>
      <c r="D191">
        <v>7</v>
      </c>
      <c r="E191" t="s">
        <v>652</v>
      </c>
      <c r="F191" t="s">
        <v>648</v>
      </c>
    </row>
    <row r="192" spans="3:6" x14ac:dyDescent="0.35">
      <c r="C192" t="s">
        <v>565</v>
      </c>
      <c r="D192">
        <v>8</v>
      </c>
      <c r="E192" t="s">
        <v>344</v>
      </c>
      <c r="F192" t="s">
        <v>649</v>
      </c>
    </row>
    <row r="193" spans="3:6" x14ac:dyDescent="0.35">
      <c r="C193" t="s">
        <v>565</v>
      </c>
      <c r="D193">
        <v>9</v>
      </c>
      <c r="E193" t="s">
        <v>228</v>
      </c>
      <c r="F193" t="s">
        <v>580</v>
      </c>
    </row>
    <row r="194" spans="3:6" x14ac:dyDescent="0.35">
      <c r="C194" t="s">
        <v>653</v>
      </c>
    </row>
    <row r="195" spans="3:6" x14ac:dyDescent="0.35">
      <c r="C195" t="s">
        <v>565</v>
      </c>
      <c r="D195">
        <v>1</v>
      </c>
      <c r="E195" t="s">
        <v>238</v>
      </c>
      <c r="F195" t="s">
        <v>654</v>
      </c>
    </row>
    <row r="196" spans="3:6" x14ac:dyDescent="0.35">
      <c r="C196" t="s">
        <v>565</v>
      </c>
      <c r="D196">
        <v>2</v>
      </c>
      <c r="E196" t="s">
        <v>243</v>
      </c>
      <c r="F196" t="s">
        <v>655</v>
      </c>
    </row>
    <row r="197" spans="3:6" x14ac:dyDescent="0.35">
      <c r="C197" t="s">
        <v>565</v>
      </c>
      <c r="D197">
        <v>3</v>
      </c>
      <c r="E197" t="s">
        <v>222</v>
      </c>
      <c r="F197" t="s">
        <v>577</v>
      </c>
    </row>
    <row r="198" spans="3:6" x14ac:dyDescent="0.35">
      <c r="C198" t="s">
        <v>565</v>
      </c>
      <c r="D198">
        <v>4</v>
      </c>
      <c r="E198" t="s">
        <v>256</v>
      </c>
      <c r="F198" t="s">
        <v>656</v>
      </c>
    </row>
    <row r="199" spans="3:6" x14ac:dyDescent="0.35">
      <c r="C199" t="s">
        <v>565</v>
      </c>
      <c r="D199">
        <v>5</v>
      </c>
      <c r="E199" t="s">
        <v>369</v>
      </c>
      <c r="F199" t="s">
        <v>596</v>
      </c>
    </row>
    <row r="200" spans="3:6" x14ac:dyDescent="0.35">
      <c r="C200" t="s">
        <v>565</v>
      </c>
      <c r="D200">
        <v>6</v>
      </c>
      <c r="E200" t="s">
        <v>260</v>
      </c>
      <c r="F200" t="s">
        <v>646</v>
      </c>
    </row>
    <row r="201" spans="3:6" x14ac:dyDescent="0.35">
      <c r="C201" t="s">
        <v>565</v>
      </c>
      <c r="D201">
        <v>7</v>
      </c>
      <c r="E201" t="s">
        <v>657</v>
      </c>
      <c r="F201" t="s">
        <v>658</v>
      </c>
    </row>
    <row r="202" spans="3:6" x14ac:dyDescent="0.35">
      <c r="C202" t="s">
        <v>565</v>
      </c>
      <c r="D202">
        <v>8</v>
      </c>
      <c r="E202" t="s">
        <v>344</v>
      </c>
      <c r="F202" t="s">
        <v>659</v>
      </c>
    </row>
    <row r="203" spans="3:6" x14ac:dyDescent="0.35">
      <c r="C203" t="s">
        <v>565</v>
      </c>
      <c r="D203">
        <v>9</v>
      </c>
      <c r="E203" t="s">
        <v>228</v>
      </c>
      <c r="F203" t="s">
        <v>580</v>
      </c>
    </row>
    <row r="204" spans="3:6" x14ac:dyDescent="0.35">
      <c r="C204" t="s">
        <v>660</v>
      </c>
    </row>
    <row r="205" spans="3:6" x14ac:dyDescent="0.35">
      <c r="C205" t="s">
        <v>565</v>
      </c>
      <c r="D205">
        <v>1</v>
      </c>
      <c r="E205" t="s">
        <v>238</v>
      </c>
      <c r="F205" t="s">
        <v>654</v>
      </c>
    </row>
    <row r="206" spans="3:6" x14ac:dyDescent="0.35">
      <c r="C206" t="s">
        <v>565</v>
      </c>
      <c r="D206">
        <v>2</v>
      </c>
      <c r="E206" t="s">
        <v>243</v>
      </c>
      <c r="F206" t="s">
        <v>661</v>
      </c>
    </row>
    <row r="207" spans="3:6" x14ac:dyDescent="0.35">
      <c r="C207" t="s">
        <v>565</v>
      </c>
      <c r="D207">
        <v>3</v>
      </c>
      <c r="E207" t="s">
        <v>222</v>
      </c>
      <c r="F207" t="s">
        <v>577</v>
      </c>
    </row>
    <row r="208" spans="3:6" x14ac:dyDescent="0.35">
      <c r="C208" t="s">
        <v>565</v>
      </c>
      <c r="D208">
        <v>4</v>
      </c>
      <c r="E208" t="s">
        <v>256</v>
      </c>
      <c r="F208" t="s">
        <v>662</v>
      </c>
    </row>
    <row r="209" spans="3:6" x14ac:dyDescent="0.35">
      <c r="C209" t="s">
        <v>565</v>
      </c>
      <c r="D209">
        <v>5</v>
      </c>
      <c r="E209" t="s">
        <v>360</v>
      </c>
      <c r="F209" t="s">
        <v>596</v>
      </c>
    </row>
    <row r="210" spans="3:6" x14ac:dyDescent="0.35">
      <c r="C210" t="s">
        <v>565</v>
      </c>
      <c r="D210">
        <v>6</v>
      </c>
      <c r="E210" t="s">
        <v>260</v>
      </c>
      <c r="F210" t="s">
        <v>663</v>
      </c>
    </row>
    <row r="211" spans="3:6" x14ac:dyDescent="0.35">
      <c r="C211" t="s">
        <v>565</v>
      </c>
      <c r="D211">
        <v>7</v>
      </c>
      <c r="E211" t="s">
        <v>664</v>
      </c>
      <c r="F211" t="s">
        <v>665</v>
      </c>
    </row>
    <row r="212" spans="3:6" x14ac:dyDescent="0.35">
      <c r="C212" t="s">
        <v>565</v>
      </c>
      <c r="D212">
        <v>8</v>
      </c>
      <c r="E212" t="s">
        <v>344</v>
      </c>
      <c r="F212" t="s">
        <v>666</v>
      </c>
    </row>
    <row r="213" spans="3:6" x14ac:dyDescent="0.35">
      <c r="C213" t="s">
        <v>565</v>
      </c>
      <c r="D213">
        <v>9</v>
      </c>
      <c r="E213" t="s">
        <v>228</v>
      </c>
      <c r="F213" t="s">
        <v>580</v>
      </c>
    </row>
    <row r="214" spans="3:6" x14ac:dyDescent="0.35">
      <c r="C214" t="s">
        <v>667</v>
      </c>
    </row>
    <row r="215" spans="3:6" x14ac:dyDescent="0.35">
      <c r="C215" t="s">
        <v>565</v>
      </c>
      <c r="D215">
        <v>1</v>
      </c>
      <c r="E215" t="s">
        <v>238</v>
      </c>
      <c r="F215" t="s">
        <v>586</v>
      </c>
    </row>
    <row r="216" spans="3:6" x14ac:dyDescent="0.35">
      <c r="C216" t="s">
        <v>565</v>
      </c>
      <c r="D216">
        <v>2</v>
      </c>
      <c r="E216" t="s">
        <v>243</v>
      </c>
      <c r="F216" t="s">
        <v>587</v>
      </c>
    </row>
    <row r="217" spans="3:6" x14ac:dyDescent="0.35">
      <c r="C217" t="s">
        <v>565</v>
      </c>
      <c r="D217">
        <v>3</v>
      </c>
      <c r="E217" t="s">
        <v>222</v>
      </c>
      <c r="F217" t="s">
        <v>668</v>
      </c>
    </row>
    <row r="218" spans="3:6" x14ac:dyDescent="0.35">
      <c r="C218" t="s">
        <v>565</v>
      </c>
      <c r="D218">
        <v>4</v>
      </c>
      <c r="E218" t="s">
        <v>245</v>
      </c>
      <c r="F218" t="s">
        <v>589</v>
      </c>
    </row>
    <row r="219" spans="3:6" x14ac:dyDescent="0.35">
      <c r="C219" t="s">
        <v>565</v>
      </c>
      <c r="D219">
        <v>5</v>
      </c>
      <c r="E219" t="s">
        <v>248</v>
      </c>
      <c r="F219" t="s">
        <v>590</v>
      </c>
    </row>
    <row r="220" spans="3:6" x14ac:dyDescent="0.35">
      <c r="C220" t="s">
        <v>565</v>
      </c>
      <c r="D220">
        <v>6</v>
      </c>
      <c r="E220" t="s">
        <v>250</v>
      </c>
      <c r="F220" t="s">
        <v>591</v>
      </c>
    </row>
    <row r="221" spans="3:6" x14ac:dyDescent="0.35">
      <c r="C221" t="s">
        <v>565</v>
      </c>
      <c r="D221">
        <v>7</v>
      </c>
      <c r="E221" t="s">
        <v>664</v>
      </c>
      <c r="F221" t="s">
        <v>665</v>
      </c>
    </row>
    <row r="222" spans="3:6" x14ac:dyDescent="0.35">
      <c r="C222" t="s">
        <v>565</v>
      </c>
      <c r="D222">
        <v>8</v>
      </c>
      <c r="E222" t="s">
        <v>344</v>
      </c>
      <c r="F222" t="s">
        <v>666</v>
      </c>
    </row>
    <row r="223" spans="3:6" x14ac:dyDescent="0.35">
      <c r="C223" t="s">
        <v>565</v>
      </c>
      <c r="D223">
        <v>9</v>
      </c>
      <c r="E223" t="s">
        <v>228</v>
      </c>
      <c r="F223" t="s">
        <v>580</v>
      </c>
    </row>
    <row r="224" spans="3:6" x14ac:dyDescent="0.35">
      <c r="C224" t="s">
        <v>669</v>
      </c>
    </row>
    <row r="225" spans="3:6" x14ac:dyDescent="0.35">
      <c r="C225" t="s">
        <v>565</v>
      </c>
      <c r="D225">
        <v>1</v>
      </c>
      <c r="E225" t="s">
        <v>238</v>
      </c>
      <c r="F225" t="s">
        <v>586</v>
      </c>
    </row>
    <row r="226" spans="3:6" x14ac:dyDescent="0.35">
      <c r="C226" t="s">
        <v>565</v>
      </c>
      <c r="D226">
        <v>2</v>
      </c>
      <c r="E226" t="s">
        <v>243</v>
      </c>
      <c r="F226" t="s">
        <v>587</v>
      </c>
    </row>
    <row r="227" spans="3:6" x14ac:dyDescent="0.35">
      <c r="C227" t="s">
        <v>565</v>
      </c>
      <c r="D227">
        <v>3</v>
      </c>
      <c r="E227" t="s">
        <v>222</v>
      </c>
      <c r="F227" t="s">
        <v>577</v>
      </c>
    </row>
    <row r="228" spans="3:6" x14ac:dyDescent="0.35">
      <c r="C228" t="s">
        <v>565</v>
      </c>
      <c r="D228">
        <v>4</v>
      </c>
      <c r="E228" t="s">
        <v>256</v>
      </c>
      <c r="F228" t="s">
        <v>670</v>
      </c>
    </row>
    <row r="229" spans="3:6" x14ac:dyDescent="0.35">
      <c r="C229" t="s">
        <v>565</v>
      </c>
      <c r="D229">
        <v>5</v>
      </c>
      <c r="E229" t="s">
        <v>369</v>
      </c>
      <c r="F229" t="s">
        <v>596</v>
      </c>
    </row>
    <row r="230" spans="3:6" x14ac:dyDescent="0.35">
      <c r="C230" t="s">
        <v>565</v>
      </c>
      <c r="D230">
        <v>6</v>
      </c>
      <c r="E230" t="s">
        <v>260</v>
      </c>
      <c r="F230" t="s">
        <v>663</v>
      </c>
    </row>
    <row r="231" spans="3:6" x14ac:dyDescent="0.35">
      <c r="C231" t="s">
        <v>565</v>
      </c>
      <c r="D231">
        <v>7</v>
      </c>
      <c r="E231" t="s">
        <v>671</v>
      </c>
      <c r="F231" t="s">
        <v>672</v>
      </c>
    </row>
    <row r="232" spans="3:6" x14ac:dyDescent="0.35">
      <c r="C232" t="s">
        <v>565</v>
      </c>
      <c r="D232">
        <v>8</v>
      </c>
      <c r="E232" t="s">
        <v>228</v>
      </c>
      <c r="F232" t="s">
        <v>580</v>
      </c>
    </row>
    <row r="233" spans="3:6" x14ac:dyDescent="0.35">
      <c r="C233" t="s">
        <v>673</v>
      </c>
    </row>
    <row r="234" spans="3:6" x14ac:dyDescent="0.35">
      <c r="C234" t="s">
        <v>565</v>
      </c>
      <c r="D234">
        <v>1</v>
      </c>
      <c r="E234" t="s">
        <v>238</v>
      </c>
      <c r="F234" t="s">
        <v>586</v>
      </c>
    </row>
    <row r="235" spans="3:6" x14ac:dyDescent="0.35">
      <c r="C235" t="s">
        <v>565</v>
      </c>
      <c r="D235">
        <v>2</v>
      </c>
      <c r="E235" t="s">
        <v>243</v>
      </c>
      <c r="F235" t="s">
        <v>587</v>
      </c>
    </row>
    <row r="236" spans="3:6" x14ac:dyDescent="0.35">
      <c r="C236" t="s">
        <v>565</v>
      </c>
      <c r="D236">
        <v>3</v>
      </c>
      <c r="E236" t="s">
        <v>222</v>
      </c>
      <c r="F236" t="s">
        <v>674</v>
      </c>
    </row>
    <row r="237" spans="3:6" x14ac:dyDescent="0.35">
      <c r="C237" t="s">
        <v>565</v>
      </c>
      <c r="D237">
        <v>4</v>
      </c>
      <c r="E237" t="s">
        <v>245</v>
      </c>
      <c r="F237" t="s">
        <v>589</v>
      </c>
    </row>
    <row r="238" spans="3:6" x14ac:dyDescent="0.35">
      <c r="C238" t="s">
        <v>565</v>
      </c>
      <c r="D238">
        <v>5</v>
      </c>
      <c r="E238" t="s">
        <v>248</v>
      </c>
      <c r="F238" t="s">
        <v>590</v>
      </c>
    </row>
    <row r="239" spans="3:6" x14ac:dyDescent="0.35">
      <c r="C239" t="s">
        <v>565</v>
      </c>
      <c r="D239">
        <v>6</v>
      </c>
      <c r="E239" t="s">
        <v>250</v>
      </c>
      <c r="F239" t="s">
        <v>591</v>
      </c>
    </row>
    <row r="240" spans="3:6" x14ac:dyDescent="0.35">
      <c r="C240" t="s">
        <v>565</v>
      </c>
      <c r="D240">
        <v>7</v>
      </c>
      <c r="E240" t="s">
        <v>671</v>
      </c>
      <c r="F240" t="s">
        <v>672</v>
      </c>
    </row>
    <row r="241" spans="3:6" x14ac:dyDescent="0.35">
      <c r="C241" t="s">
        <v>565</v>
      </c>
      <c r="D241">
        <v>8</v>
      </c>
      <c r="E241" t="s">
        <v>228</v>
      </c>
      <c r="F241" t="s">
        <v>580</v>
      </c>
    </row>
    <row r="242" spans="3:6" x14ac:dyDescent="0.35">
      <c r="C242" t="s">
        <v>675</v>
      </c>
    </row>
    <row r="243" spans="3:6" x14ac:dyDescent="0.35">
      <c r="C243" t="s">
        <v>565</v>
      </c>
      <c r="D243">
        <v>1</v>
      </c>
      <c r="E243" t="s">
        <v>238</v>
      </c>
      <c r="F243" t="s">
        <v>599</v>
      </c>
    </row>
    <row r="244" spans="3:6" x14ac:dyDescent="0.35">
      <c r="C244" t="s">
        <v>565</v>
      </c>
      <c r="D244">
        <v>2</v>
      </c>
      <c r="E244" t="s">
        <v>243</v>
      </c>
      <c r="F244" t="s">
        <v>587</v>
      </c>
    </row>
    <row r="245" spans="3:6" x14ac:dyDescent="0.35">
      <c r="C245" t="s">
        <v>565</v>
      </c>
      <c r="D245">
        <v>3</v>
      </c>
      <c r="E245" t="s">
        <v>222</v>
      </c>
      <c r="F245" t="s">
        <v>577</v>
      </c>
    </row>
    <row r="246" spans="3:6" x14ac:dyDescent="0.35">
      <c r="C246" t="s">
        <v>565</v>
      </c>
      <c r="D246">
        <v>4</v>
      </c>
      <c r="E246" t="s">
        <v>256</v>
      </c>
      <c r="F246" t="s">
        <v>676</v>
      </c>
    </row>
    <row r="247" spans="3:6" x14ac:dyDescent="0.35">
      <c r="C247" t="s">
        <v>565</v>
      </c>
      <c r="D247">
        <v>5</v>
      </c>
      <c r="E247" t="s">
        <v>375</v>
      </c>
      <c r="F247" t="s">
        <v>596</v>
      </c>
    </row>
    <row r="248" spans="3:6" x14ac:dyDescent="0.35">
      <c r="C248" t="s">
        <v>565</v>
      </c>
      <c r="D248">
        <v>6</v>
      </c>
      <c r="E248" t="s">
        <v>260</v>
      </c>
      <c r="F248" t="s">
        <v>677</v>
      </c>
    </row>
    <row r="249" spans="3:6" x14ac:dyDescent="0.35">
      <c r="C249" t="s">
        <v>565</v>
      </c>
      <c r="D249">
        <v>7</v>
      </c>
      <c r="E249" t="s">
        <v>678</v>
      </c>
      <c r="F249" t="s">
        <v>679</v>
      </c>
    </row>
    <row r="250" spans="3:6" x14ac:dyDescent="0.35">
      <c r="C250" t="s">
        <v>565</v>
      </c>
      <c r="D250">
        <v>8</v>
      </c>
      <c r="E250" t="s">
        <v>380</v>
      </c>
      <c r="F250" t="s">
        <v>680</v>
      </c>
    </row>
    <row r="251" spans="3:6" x14ac:dyDescent="0.35">
      <c r="C251" t="s">
        <v>565</v>
      </c>
      <c r="D251">
        <v>9</v>
      </c>
      <c r="E251" t="s">
        <v>382</v>
      </c>
      <c r="F251" t="s">
        <v>681</v>
      </c>
    </row>
    <row r="252" spans="3:6" x14ac:dyDescent="0.35">
      <c r="C252" t="s">
        <v>565</v>
      </c>
      <c r="D252">
        <v>10</v>
      </c>
      <c r="E252" t="s">
        <v>385</v>
      </c>
      <c r="F252" t="s">
        <v>682</v>
      </c>
    </row>
    <row r="253" spans="3:6" x14ac:dyDescent="0.35">
      <c r="C253" t="s">
        <v>565</v>
      </c>
      <c r="D253">
        <v>11</v>
      </c>
      <c r="E253" t="s">
        <v>387</v>
      </c>
      <c r="F253" t="s">
        <v>683</v>
      </c>
    </row>
    <row r="254" spans="3:6" x14ac:dyDescent="0.35">
      <c r="C254" t="s">
        <v>565</v>
      </c>
      <c r="D254">
        <v>12</v>
      </c>
      <c r="E254" t="s">
        <v>228</v>
      </c>
      <c r="F254" t="s">
        <v>580</v>
      </c>
    </row>
    <row r="255" spans="3:6" x14ac:dyDescent="0.35">
      <c r="C255" t="s">
        <v>684</v>
      </c>
    </row>
    <row r="256" spans="3:6" x14ac:dyDescent="0.35">
      <c r="C256" t="s">
        <v>565</v>
      </c>
      <c r="D256">
        <v>1</v>
      </c>
      <c r="E256" t="s">
        <v>238</v>
      </c>
      <c r="F256" t="s">
        <v>586</v>
      </c>
    </row>
    <row r="257" spans="3:6" x14ac:dyDescent="0.35">
      <c r="C257" t="s">
        <v>565</v>
      </c>
      <c r="D257">
        <v>2</v>
      </c>
      <c r="E257" t="s">
        <v>243</v>
      </c>
      <c r="F257" t="s">
        <v>587</v>
      </c>
    </row>
    <row r="258" spans="3:6" x14ac:dyDescent="0.35">
      <c r="C258" t="s">
        <v>565</v>
      </c>
      <c r="D258">
        <v>3</v>
      </c>
      <c r="E258" t="s">
        <v>222</v>
      </c>
      <c r="F258" t="s">
        <v>685</v>
      </c>
    </row>
    <row r="259" spans="3:6" x14ac:dyDescent="0.35">
      <c r="C259" t="s">
        <v>565</v>
      </c>
      <c r="D259">
        <v>4</v>
      </c>
      <c r="E259" t="s">
        <v>245</v>
      </c>
      <c r="F259" t="s">
        <v>589</v>
      </c>
    </row>
    <row r="260" spans="3:6" x14ac:dyDescent="0.35">
      <c r="C260" t="s">
        <v>565</v>
      </c>
      <c r="D260">
        <v>5</v>
      </c>
      <c r="E260" t="s">
        <v>248</v>
      </c>
      <c r="F260" t="s">
        <v>590</v>
      </c>
    </row>
    <row r="261" spans="3:6" x14ac:dyDescent="0.35">
      <c r="C261" t="s">
        <v>565</v>
      </c>
      <c r="D261">
        <v>6</v>
      </c>
      <c r="E261" t="s">
        <v>250</v>
      </c>
      <c r="F261" t="s">
        <v>591</v>
      </c>
    </row>
    <row r="262" spans="3:6" x14ac:dyDescent="0.35">
      <c r="C262" t="s">
        <v>565</v>
      </c>
      <c r="D262">
        <v>7</v>
      </c>
      <c r="E262" t="s">
        <v>686</v>
      </c>
      <c r="F262" t="s">
        <v>679</v>
      </c>
    </row>
    <row r="263" spans="3:6" x14ac:dyDescent="0.35">
      <c r="C263" t="s">
        <v>565</v>
      </c>
      <c r="D263">
        <v>8</v>
      </c>
      <c r="E263" t="s">
        <v>380</v>
      </c>
      <c r="F263" t="s">
        <v>680</v>
      </c>
    </row>
    <row r="264" spans="3:6" x14ac:dyDescent="0.35">
      <c r="C264" t="s">
        <v>565</v>
      </c>
      <c r="D264">
        <v>9</v>
      </c>
      <c r="E264" t="s">
        <v>382</v>
      </c>
      <c r="F264" t="s">
        <v>681</v>
      </c>
    </row>
    <row r="265" spans="3:6" x14ac:dyDescent="0.35">
      <c r="C265" t="s">
        <v>565</v>
      </c>
      <c r="D265">
        <v>10</v>
      </c>
      <c r="E265" t="s">
        <v>385</v>
      </c>
      <c r="F265" t="s">
        <v>682</v>
      </c>
    </row>
    <row r="266" spans="3:6" x14ac:dyDescent="0.35">
      <c r="C266" t="s">
        <v>565</v>
      </c>
      <c r="D266">
        <v>11</v>
      </c>
      <c r="E266" t="s">
        <v>387</v>
      </c>
      <c r="F266" t="s">
        <v>687</v>
      </c>
    </row>
    <row r="267" spans="3:6" x14ac:dyDescent="0.35">
      <c r="C267" t="s">
        <v>565</v>
      </c>
      <c r="D267">
        <v>12</v>
      </c>
      <c r="E267" t="s">
        <v>228</v>
      </c>
      <c r="F267" t="s">
        <v>580</v>
      </c>
    </row>
    <row r="268" spans="3:6" x14ac:dyDescent="0.35">
      <c r="C268" t="s">
        <v>688</v>
      </c>
    </row>
    <row r="269" spans="3:6" x14ac:dyDescent="0.35">
      <c r="C269" t="s">
        <v>565</v>
      </c>
      <c r="D269">
        <v>1</v>
      </c>
      <c r="E269" t="s">
        <v>238</v>
      </c>
      <c r="F269" t="s">
        <v>586</v>
      </c>
    </row>
    <row r="270" spans="3:6" x14ac:dyDescent="0.35">
      <c r="C270" t="s">
        <v>565</v>
      </c>
      <c r="D270">
        <v>2</v>
      </c>
      <c r="E270" t="s">
        <v>243</v>
      </c>
      <c r="F270" t="s">
        <v>587</v>
      </c>
    </row>
    <row r="271" spans="3:6" x14ac:dyDescent="0.35">
      <c r="C271" t="s">
        <v>565</v>
      </c>
      <c r="D271">
        <v>3</v>
      </c>
      <c r="E271" t="s">
        <v>395</v>
      </c>
      <c r="F271" t="s">
        <v>689</v>
      </c>
    </row>
    <row r="272" spans="3:6" x14ac:dyDescent="0.35">
      <c r="C272" t="s">
        <v>565</v>
      </c>
      <c r="D272">
        <v>4</v>
      </c>
      <c r="E272" t="s">
        <v>245</v>
      </c>
      <c r="F272" t="s">
        <v>589</v>
      </c>
    </row>
    <row r="273" spans="3:6" x14ac:dyDescent="0.35">
      <c r="C273" t="s">
        <v>565</v>
      </c>
      <c r="D273">
        <v>5</v>
      </c>
      <c r="E273" t="s">
        <v>248</v>
      </c>
      <c r="F273" t="s">
        <v>690</v>
      </c>
    </row>
    <row r="274" spans="3:6" x14ac:dyDescent="0.35">
      <c r="C274" t="s">
        <v>565</v>
      </c>
      <c r="D274">
        <v>6</v>
      </c>
      <c r="E274" t="s">
        <v>250</v>
      </c>
      <c r="F274" t="s">
        <v>691</v>
      </c>
    </row>
    <row r="275" spans="3:6" x14ac:dyDescent="0.35">
      <c r="C275" t="s">
        <v>565</v>
      </c>
      <c r="D275">
        <v>7</v>
      </c>
      <c r="E275" t="s">
        <v>228</v>
      </c>
      <c r="F275" t="s">
        <v>580</v>
      </c>
    </row>
    <row r="276" spans="3:6" x14ac:dyDescent="0.35">
      <c r="C276" t="s">
        <v>692</v>
      </c>
    </row>
    <row r="277" spans="3:6" x14ac:dyDescent="0.35">
      <c r="C277" t="s">
        <v>565</v>
      </c>
      <c r="D277">
        <v>1</v>
      </c>
      <c r="E277" t="s">
        <v>238</v>
      </c>
      <c r="F277" t="s">
        <v>599</v>
      </c>
    </row>
    <row r="278" spans="3:6" x14ac:dyDescent="0.35">
      <c r="C278" t="s">
        <v>565</v>
      </c>
      <c r="D278">
        <v>2</v>
      </c>
      <c r="E278" t="s">
        <v>243</v>
      </c>
      <c r="F278" t="s">
        <v>587</v>
      </c>
    </row>
    <row r="279" spans="3:6" x14ac:dyDescent="0.35">
      <c r="C279" t="s">
        <v>565</v>
      </c>
      <c r="D279">
        <v>3</v>
      </c>
      <c r="E279" t="s">
        <v>395</v>
      </c>
      <c r="F279" t="s">
        <v>693</v>
      </c>
    </row>
    <row r="280" spans="3:6" x14ac:dyDescent="0.35">
      <c r="C280" t="s">
        <v>565</v>
      </c>
      <c r="D280">
        <v>4</v>
      </c>
      <c r="E280" t="s">
        <v>256</v>
      </c>
      <c r="F280" t="s">
        <v>694</v>
      </c>
    </row>
    <row r="281" spans="3:6" x14ac:dyDescent="0.35">
      <c r="C281" t="s">
        <v>565</v>
      </c>
      <c r="D281">
        <v>5</v>
      </c>
      <c r="E281" t="s">
        <v>403</v>
      </c>
      <c r="F281" t="s">
        <v>596</v>
      </c>
    </row>
    <row r="282" spans="3:6" x14ac:dyDescent="0.35">
      <c r="C282" t="s">
        <v>565</v>
      </c>
      <c r="D282">
        <v>6</v>
      </c>
      <c r="E282" t="s">
        <v>404</v>
      </c>
      <c r="F282" t="s">
        <v>695</v>
      </c>
    </row>
    <row r="283" spans="3:6" x14ac:dyDescent="0.35">
      <c r="C283" t="s">
        <v>565</v>
      </c>
      <c r="D283">
        <v>7</v>
      </c>
      <c r="E283" t="s">
        <v>228</v>
      </c>
      <c r="F283" t="s">
        <v>580</v>
      </c>
    </row>
    <row r="284" spans="3:6" x14ac:dyDescent="0.35">
      <c r="C284" t="s">
        <v>696</v>
      </c>
    </row>
    <row r="285" spans="3:6" x14ac:dyDescent="0.35">
      <c r="C285" t="s">
        <v>565</v>
      </c>
      <c r="D285">
        <v>1</v>
      </c>
      <c r="E285" t="s">
        <v>238</v>
      </c>
      <c r="F285" t="s">
        <v>586</v>
      </c>
    </row>
    <row r="286" spans="3:6" x14ac:dyDescent="0.35">
      <c r="C286" t="s">
        <v>565</v>
      </c>
      <c r="D286">
        <v>2</v>
      </c>
      <c r="E286" t="s">
        <v>243</v>
      </c>
      <c r="F286" t="s">
        <v>697</v>
      </c>
    </row>
    <row r="287" spans="3:6" x14ac:dyDescent="0.35">
      <c r="C287" t="s">
        <v>565</v>
      </c>
      <c r="D287">
        <v>3</v>
      </c>
      <c r="E287" t="s">
        <v>395</v>
      </c>
      <c r="F287" t="s">
        <v>577</v>
      </c>
    </row>
    <row r="288" spans="3:6" x14ac:dyDescent="0.35">
      <c r="C288" t="s">
        <v>565</v>
      </c>
      <c r="D288">
        <v>4</v>
      </c>
      <c r="E288" t="s">
        <v>245</v>
      </c>
      <c r="F288" t="s">
        <v>589</v>
      </c>
    </row>
    <row r="289" spans="3:6" x14ac:dyDescent="0.35">
      <c r="C289" t="s">
        <v>565</v>
      </c>
      <c r="D289">
        <v>5</v>
      </c>
      <c r="E289" t="s">
        <v>248</v>
      </c>
      <c r="F289" t="s">
        <v>690</v>
      </c>
    </row>
    <row r="290" spans="3:6" x14ac:dyDescent="0.35">
      <c r="C290" t="s">
        <v>565</v>
      </c>
      <c r="D290">
        <v>6</v>
      </c>
      <c r="E290" t="s">
        <v>250</v>
      </c>
      <c r="F290" t="s">
        <v>698</v>
      </c>
    </row>
    <row r="291" spans="3:6" x14ac:dyDescent="0.35">
      <c r="C291" t="s">
        <v>565</v>
      </c>
      <c r="D291">
        <v>7</v>
      </c>
      <c r="E291" t="s">
        <v>411</v>
      </c>
      <c r="F291" t="s">
        <v>699</v>
      </c>
    </row>
    <row r="292" spans="3:6" x14ac:dyDescent="0.35">
      <c r="C292" t="s">
        <v>565</v>
      </c>
      <c r="D292">
        <v>8</v>
      </c>
      <c r="E292" t="s">
        <v>228</v>
      </c>
      <c r="F292" t="s">
        <v>580</v>
      </c>
    </row>
    <row r="293" spans="3:6" x14ac:dyDescent="0.35">
      <c r="C293" t="s">
        <v>700</v>
      </c>
    </row>
    <row r="294" spans="3:6" x14ac:dyDescent="0.35">
      <c r="C294" t="s">
        <v>565</v>
      </c>
      <c r="D294">
        <v>1</v>
      </c>
      <c r="E294" t="s">
        <v>238</v>
      </c>
      <c r="F294" t="s">
        <v>599</v>
      </c>
    </row>
    <row r="295" spans="3:6" x14ac:dyDescent="0.35">
      <c r="C295" t="s">
        <v>565</v>
      </c>
      <c r="D295">
        <v>2</v>
      </c>
      <c r="E295" t="s">
        <v>243</v>
      </c>
      <c r="F295" t="s">
        <v>587</v>
      </c>
    </row>
    <row r="296" spans="3:6" x14ac:dyDescent="0.35">
      <c r="C296" t="s">
        <v>565</v>
      </c>
      <c r="D296">
        <v>3</v>
      </c>
      <c r="E296" t="s">
        <v>395</v>
      </c>
      <c r="F296" t="s">
        <v>701</v>
      </c>
    </row>
    <row r="297" spans="3:6" x14ac:dyDescent="0.35">
      <c r="C297" t="s">
        <v>565</v>
      </c>
      <c r="D297">
        <v>4</v>
      </c>
      <c r="E297" t="s">
        <v>256</v>
      </c>
      <c r="F297" t="s">
        <v>702</v>
      </c>
    </row>
    <row r="298" spans="3:6" x14ac:dyDescent="0.35">
      <c r="C298" t="s">
        <v>565</v>
      </c>
      <c r="D298">
        <v>5</v>
      </c>
      <c r="E298" t="s">
        <v>403</v>
      </c>
      <c r="F298" t="s">
        <v>596</v>
      </c>
    </row>
    <row r="299" spans="3:6" x14ac:dyDescent="0.35">
      <c r="C299" t="s">
        <v>565</v>
      </c>
      <c r="D299">
        <v>6</v>
      </c>
      <c r="E299" t="s">
        <v>404</v>
      </c>
      <c r="F299" t="s">
        <v>703</v>
      </c>
    </row>
    <row r="300" spans="3:6" x14ac:dyDescent="0.35">
      <c r="C300" t="s">
        <v>565</v>
      </c>
      <c r="D300">
        <v>7</v>
      </c>
      <c r="E300" t="s">
        <v>704</v>
      </c>
      <c r="F300" t="s">
        <v>699</v>
      </c>
    </row>
    <row r="301" spans="3:6" x14ac:dyDescent="0.35">
      <c r="C301" t="s">
        <v>565</v>
      </c>
      <c r="D301">
        <v>8</v>
      </c>
      <c r="E301" t="s">
        <v>228</v>
      </c>
      <c r="F301" t="s">
        <v>580</v>
      </c>
    </row>
    <row r="302" spans="3:6" x14ac:dyDescent="0.35">
      <c r="C302" t="s">
        <v>705</v>
      </c>
    </row>
    <row r="303" spans="3:6" x14ac:dyDescent="0.35">
      <c r="C303" t="s">
        <v>565</v>
      </c>
      <c r="D303">
        <v>1</v>
      </c>
      <c r="E303" t="s">
        <v>238</v>
      </c>
      <c r="F303" t="s">
        <v>586</v>
      </c>
    </row>
    <row r="304" spans="3:6" x14ac:dyDescent="0.35">
      <c r="C304" t="s">
        <v>565</v>
      </c>
      <c r="D304">
        <v>2</v>
      </c>
      <c r="E304" t="s">
        <v>243</v>
      </c>
      <c r="F304" t="s">
        <v>697</v>
      </c>
    </row>
    <row r="305" spans="3:6" x14ac:dyDescent="0.35">
      <c r="C305" t="s">
        <v>565</v>
      </c>
      <c r="D305">
        <v>3</v>
      </c>
      <c r="E305" t="s">
        <v>395</v>
      </c>
      <c r="F305" t="s">
        <v>577</v>
      </c>
    </row>
    <row r="306" spans="3:6" x14ac:dyDescent="0.35">
      <c r="C306" t="s">
        <v>565</v>
      </c>
      <c r="D306">
        <v>4</v>
      </c>
      <c r="E306" t="s">
        <v>245</v>
      </c>
      <c r="F306" t="s">
        <v>589</v>
      </c>
    </row>
    <row r="307" spans="3:6" x14ac:dyDescent="0.35">
      <c r="C307" t="s">
        <v>565</v>
      </c>
      <c r="D307">
        <v>5</v>
      </c>
      <c r="E307" t="s">
        <v>248</v>
      </c>
      <c r="F307" t="s">
        <v>690</v>
      </c>
    </row>
    <row r="308" spans="3:6" x14ac:dyDescent="0.35">
      <c r="C308" t="s">
        <v>565</v>
      </c>
      <c r="D308">
        <v>6</v>
      </c>
      <c r="E308" t="s">
        <v>250</v>
      </c>
      <c r="F308" t="s">
        <v>706</v>
      </c>
    </row>
    <row r="309" spans="3:6" x14ac:dyDescent="0.35">
      <c r="C309" t="s">
        <v>565</v>
      </c>
      <c r="D309">
        <v>7</v>
      </c>
      <c r="E309" t="s">
        <v>424</v>
      </c>
      <c r="F309" t="s">
        <v>707</v>
      </c>
    </row>
    <row r="310" spans="3:6" x14ac:dyDescent="0.35">
      <c r="C310" t="s">
        <v>565</v>
      </c>
      <c r="D310">
        <v>8</v>
      </c>
      <c r="E310" t="s">
        <v>228</v>
      </c>
      <c r="F310" t="s">
        <v>580</v>
      </c>
    </row>
    <row r="311" spans="3:6" x14ac:dyDescent="0.35">
      <c r="C311" t="s">
        <v>708</v>
      </c>
    </row>
    <row r="312" spans="3:6" x14ac:dyDescent="0.35">
      <c r="C312" t="s">
        <v>565</v>
      </c>
      <c r="D312">
        <v>1</v>
      </c>
      <c r="E312" t="s">
        <v>238</v>
      </c>
      <c r="F312" t="s">
        <v>599</v>
      </c>
    </row>
    <row r="313" spans="3:6" x14ac:dyDescent="0.35">
      <c r="C313" t="s">
        <v>565</v>
      </c>
      <c r="D313">
        <v>2</v>
      </c>
      <c r="E313" t="s">
        <v>243</v>
      </c>
      <c r="F313" t="s">
        <v>587</v>
      </c>
    </row>
    <row r="314" spans="3:6" x14ac:dyDescent="0.35">
      <c r="C314" t="s">
        <v>565</v>
      </c>
      <c r="D314">
        <v>3</v>
      </c>
      <c r="E314" t="s">
        <v>395</v>
      </c>
      <c r="F314" t="s">
        <v>709</v>
      </c>
    </row>
    <row r="315" spans="3:6" x14ac:dyDescent="0.35">
      <c r="C315" t="s">
        <v>565</v>
      </c>
      <c r="D315">
        <v>4</v>
      </c>
      <c r="E315" t="s">
        <v>256</v>
      </c>
      <c r="F315" t="s">
        <v>710</v>
      </c>
    </row>
    <row r="316" spans="3:6" x14ac:dyDescent="0.35">
      <c r="C316" t="s">
        <v>565</v>
      </c>
      <c r="D316">
        <v>5</v>
      </c>
      <c r="E316" t="s">
        <v>430</v>
      </c>
      <c r="F316" t="s">
        <v>596</v>
      </c>
    </row>
    <row r="317" spans="3:6" x14ac:dyDescent="0.35">
      <c r="C317" t="s">
        <v>565</v>
      </c>
      <c r="D317">
        <v>6</v>
      </c>
      <c r="E317" t="s">
        <v>404</v>
      </c>
      <c r="F317" t="s">
        <v>703</v>
      </c>
    </row>
    <row r="318" spans="3:6" x14ac:dyDescent="0.35">
      <c r="C318" t="s">
        <v>565</v>
      </c>
      <c r="D318">
        <v>7</v>
      </c>
      <c r="E318" t="s">
        <v>711</v>
      </c>
      <c r="F318" t="s">
        <v>707</v>
      </c>
    </row>
    <row r="319" spans="3:6" x14ac:dyDescent="0.35">
      <c r="C319" t="s">
        <v>565</v>
      </c>
      <c r="D319">
        <v>8</v>
      </c>
      <c r="E319" t="s">
        <v>228</v>
      </c>
      <c r="F319" t="s">
        <v>580</v>
      </c>
    </row>
    <row r="320" spans="3:6" x14ac:dyDescent="0.35">
      <c r="C320" t="s">
        <v>712</v>
      </c>
    </row>
    <row r="321" spans="3:6" x14ac:dyDescent="0.35">
      <c r="C321" t="s">
        <v>565</v>
      </c>
      <c r="D321">
        <v>1</v>
      </c>
      <c r="E321" t="s">
        <v>238</v>
      </c>
      <c r="F321" t="s">
        <v>599</v>
      </c>
    </row>
    <row r="322" spans="3:6" x14ac:dyDescent="0.35">
      <c r="C322" t="s">
        <v>565</v>
      </c>
      <c r="D322">
        <v>2</v>
      </c>
      <c r="E322" t="s">
        <v>243</v>
      </c>
      <c r="F322" t="s">
        <v>713</v>
      </c>
    </row>
    <row r="323" spans="3:6" x14ac:dyDescent="0.35">
      <c r="C323" t="s">
        <v>565</v>
      </c>
      <c r="D323">
        <v>3</v>
      </c>
      <c r="E323" t="s">
        <v>395</v>
      </c>
      <c r="F323" t="s">
        <v>577</v>
      </c>
    </row>
    <row r="324" spans="3:6" x14ac:dyDescent="0.35">
      <c r="C324" t="s">
        <v>565</v>
      </c>
      <c r="D324">
        <v>4</v>
      </c>
      <c r="E324" t="s">
        <v>245</v>
      </c>
      <c r="F324" t="s">
        <v>589</v>
      </c>
    </row>
    <row r="325" spans="3:6" x14ac:dyDescent="0.35">
      <c r="C325" t="s">
        <v>565</v>
      </c>
      <c r="D325">
        <v>5</v>
      </c>
      <c r="E325" t="s">
        <v>248</v>
      </c>
      <c r="F325" t="s">
        <v>690</v>
      </c>
    </row>
    <row r="326" spans="3:6" x14ac:dyDescent="0.35">
      <c r="C326" t="s">
        <v>565</v>
      </c>
      <c r="D326">
        <v>6</v>
      </c>
      <c r="E326" t="s">
        <v>250</v>
      </c>
      <c r="F326" t="s">
        <v>714</v>
      </c>
    </row>
    <row r="327" spans="3:6" x14ac:dyDescent="0.35">
      <c r="C327" t="s">
        <v>565</v>
      </c>
      <c r="D327">
        <v>7</v>
      </c>
      <c r="E327" t="s">
        <v>291</v>
      </c>
      <c r="F327" t="s">
        <v>715</v>
      </c>
    </row>
    <row r="328" spans="3:6" x14ac:dyDescent="0.35">
      <c r="C328" t="s">
        <v>565</v>
      </c>
      <c r="D328">
        <v>8</v>
      </c>
      <c r="E328" t="s">
        <v>228</v>
      </c>
      <c r="F328" t="s">
        <v>580</v>
      </c>
    </row>
    <row r="329" spans="3:6" x14ac:dyDescent="0.35">
      <c r="C329" t="s">
        <v>716</v>
      </c>
    </row>
    <row r="330" spans="3:6" x14ac:dyDescent="0.35">
      <c r="C330" t="s">
        <v>565</v>
      </c>
      <c r="D330">
        <v>1</v>
      </c>
      <c r="E330" t="s">
        <v>238</v>
      </c>
      <c r="F330" t="s">
        <v>599</v>
      </c>
    </row>
    <row r="331" spans="3:6" x14ac:dyDescent="0.35">
      <c r="C331" t="s">
        <v>565</v>
      </c>
      <c r="D331">
        <v>2</v>
      </c>
      <c r="E331" t="s">
        <v>243</v>
      </c>
      <c r="F331" t="s">
        <v>587</v>
      </c>
    </row>
    <row r="332" spans="3:6" x14ac:dyDescent="0.35">
      <c r="C332" t="s">
        <v>565</v>
      </c>
      <c r="D332">
        <v>3</v>
      </c>
      <c r="E332" t="s">
        <v>395</v>
      </c>
      <c r="F332" t="s">
        <v>717</v>
      </c>
    </row>
    <row r="333" spans="3:6" x14ac:dyDescent="0.35">
      <c r="C333" t="s">
        <v>565</v>
      </c>
      <c r="D333">
        <v>4</v>
      </c>
      <c r="E333" t="s">
        <v>256</v>
      </c>
      <c r="F333" t="s">
        <v>718</v>
      </c>
    </row>
    <row r="334" spans="3:6" x14ac:dyDescent="0.35">
      <c r="C334" t="s">
        <v>565</v>
      </c>
      <c r="D334">
        <v>5</v>
      </c>
      <c r="E334" t="s">
        <v>403</v>
      </c>
      <c r="F334" t="s">
        <v>596</v>
      </c>
    </row>
    <row r="335" spans="3:6" x14ac:dyDescent="0.35">
      <c r="C335" t="s">
        <v>565</v>
      </c>
      <c r="D335">
        <v>6</v>
      </c>
      <c r="E335" t="s">
        <v>404</v>
      </c>
      <c r="F335" t="s">
        <v>695</v>
      </c>
    </row>
    <row r="336" spans="3:6" x14ac:dyDescent="0.35">
      <c r="C336" t="s">
        <v>565</v>
      </c>
      <c r="D336">
        <v>7</v>
      </c>
      <c r="E336" t="s">
        <v>719</v>
      </c>
      <c r="F336" t="s">
        <v>715</v>
      </c>
    </row>
    <row r="337" spans="3:6" x14ac:dyDescent="0.35">
      <c r="C337" t="s">
        <v>565</v>
      </c>
      <c r="D337">
        <v>8</v>
      </c>
      <c r="E337" t="s">
        <v>228</v>
      </c>
      <c r="F337" t="s">
        <v>580</v>
      </c>
    </row>
    <row r="338" spans="3:6" x14ac:dyDescent="0.35">
      <c r="C338" t="s">
        <v>720</v>
      </c>
    </row>
    <row r="339" spans="3:6" x14ac:dyDescent="0.35">
      <c r="C339" t="s">
        <v>565</v>
      </c>
      <c r="D339">
        <v>1</v>
      </c>
      <c r="E339" t="s">
        <v>238</v>
      </c>
      <c r="F339" t="s">
        <v>599</v>
      </c>
    </row>
    <row r="340" spans="3:6" x14ac:dyDescent="0.35">
      <c r="C340" t="s">
        <v>565</v>
      </c>
      <c r="D340">
        <v>2</v>
      </c>
      <c r="E340" t="s">
        <v>243</v>
      </c>
      <c r="F340" t="s">
        <v>721</v>
      </c>
    </row>
    <row r="341" spans="3:6" x14ac:dyDescent="0.35">
      <c r="C341" t="s">
        <v>565</v>
      </c>
      <c r="D341">
        <v>3</v>
      </c>
      <c r="E341" t="s">
        <v>395</v>
      </c>
      <c r="F341" t="s">
        <v>577</v>
      </c>
    </row>
    <row r="342" spans="3:6" x14ac:dyDescent="0.35">
      <c r="C342" t="s">
        <v>565</v>
      </c>
      <c r="D342">
        <v>4</v>
      </c>
      <c r="E342" t="s">
        <v>245</v>
      </c>
      <c r="F342" t="s">
        <v>589</v>
      </c>
    </row>
    <row r="343" spans="3:6" x14ac:dyDescent="0.35">
      <c r="C343" t="s">
        <v>565</v>
      </c>
      <c r="D343">
        <v>5</v>
      </c>
      <c r="E343" t="s">
        <v>248</v>
      </c>
      <c r="F343" t="s">
        <v>690</v>
      </c>
    </row>
    <row r="344" spans="3:6" x14ac:dyDescent="0.35">
      <c r="C344" t="s">
        <v>565</v>
      </c>
      <c r="D344">
        <v>6</v>
      </c>
      <c r="E344" t="s">
        <v>250</v>
      </c>
      <c r="F344" t="s">
        <v>722</v>
      </c>
    </row>
    <row r="345" spans="3:6" x14ac:dyDescent="0.35">
      <c r="C345" t="s">
        <v>565</v>
      </c>
      <c r="D345">
        <v>7</v>
      </c>
      <c r="E345" t="s">
        <v>723</v>
      </c>
      <c r="F345" t="s">
        <v>624</v>
      </c>
    </row>
    <row r="346" spans="3:6" x14ac:dyDescent="0.35">
      <c r="C346" t="s">
        <v>565</v>
      </c>
      <c r="D346">
        <v>8</v>
      </c>
      <c r="E346" t="s">
        <v>228</v>
      </c>
      <c r="F346" t="s">
        <v>580</v>
      </c>
    </row>
    <row r="347" spans="3:6" x14ac:dyDescent="0.35">
      <c r="C347" t="s">
        <v>724</v>
      </c>
    </row>
    <row r="348" spans="3:6" x14ac:dyDescent="0.35">
      <c r="C348" t="s">
        <v>565</v>
      </c>
      <c r="D348">
        <v>1</v>
      </c>
      <c r="E348" t="s">
        <v>238</v>
      </c>
      <c r="F348" t="s">
        <v>599</v>
      </c>
    </row>
    <row r="349" spans="3:6" x14ac:dyDescent="0.35">
      <c r="C349" t="s">
        <v>565</v>
      </c>
      <c r="D349">
        <v>2</v>
      </c>
      <c r="E349" t="s">
        <v>243</v>
      </c>
      <c r="F349" t="s">
        <v>587</v>
      </c>
    </row>
    <row r="350" spans="3:6" x14ac:dyDescent="0.35">
      <c r="C350" t="s">
        <v>565</v>
      </c>
      <c r="D350">
        <v>3</v>
      </c>
      <c r="E350" t="s">
        <v>395</v>
      </c>
      <c r="F350" t="s">
        <v>725</v>
      </c>
    </row>
    <row r="351" spans="3:6" x14ac:dyDescent="0.35">
      <c r="C351" t="s">
        <v>565</v>
      </c>
      <c r="D351">
        <v>4</v>
      </c>
      <c r="E351" t="s">
        <v>256</v>
      </c>
      <c r="F351" t="s">
        <v>726</v>
      </c>
    </row>
    <row r="352" spans="3:6" x14ac:dyDescent="0.35">
      <c r="C352" t="s">
        <v>565</v>
      </c>
      <c r="D352">
        <v>5</v>
      </c>
      <c r="E352" t="s">
        <v>403</v>
      </c>
      <c r="F352" t="s">
        <v>596</v>
      </c>
    </row>
    <row r="353" spans="3:6" x14ac:dyDescent="0.35">
      <c r="C353" t="s">
        <v>565</v>
      </c>
      <c r="D353">
        <v>6</v>
      </c>
      <c r="E353" t="s">
        <v>404</v>
      </c>
      <c r="F353" t="s">
        <v>727</v>
      </c>
    </row>
    <row r="354" spans="3:6" x14ac:dyDescent="0.35">
      <c r="C354" t="s">
        <v>565</v>
      </c>
      <c r="D354">
        <v>7</v>
      </c>
      <c r="E354" t="s">
        <v>728</v>
      </c>
      <c r="F354" t="s">
        <v>624</v>
      </c>
    </row>
    <row r="355" spans="3:6" x14ac:dyDescent="0.35">
      <c r="C355" t="s">
        <v>565</v>
      </c>
      <c r="D355">
        <v>8</v>
      </c>
      <c r="E355" t="s">
        <v>228</v>
      </c>
      <c r="F355" t="s">
        <v>580</v>
      </c>
    </row>
    <row r="356" spans="3:6" x14ac:dyDescent="0.35">
      <c r="C356" t="s">
        <v>729</v>
      </c>
    </row>
    <row r="357" spans="3:6" x14ac:dyDescent="0.35">
      <c r="C357" t="s">
        <v>565</v>
      </c>
      <c r="D357">
        <v>1</v>
      </c>
      <c r="E357" t="s">
        <v>238</v>
      </c>
      <c r="F357" t="s">
        <v>586</v>
      </c>
    </row>
    <row r="358" spans="3:6" x14ac:dyDescent="0.35">
      <c r="C358" t="s">
        <v>565</v>
      </c>
      <c r="D358">
        <v>2</v>
      </c>
      <c r="E358" t="s">
        <v>243</v>
      </c>
      <c r="F358" t="s">
        <v>730</v>
      </c>
    </row>
    <row r="359" spans="3:6" x14ac:dyDescent="0.35">
      <c r="C359" t="s">
        <v>565</v>
      </c>
      <c r="D359">
        <v>3</v>
      </c>
      <c r="E359" t="s">
        <v>395</v>
      </c>
      <c r="F359" t="s">
        <v>577</v>
      </c>
    </row>
    <row r="360" spans="3:6" x14ac:dyDescent="0.35">
      <c r="C360" t="s">
        <v>565</v>
      </c>
      <c r="D360">
        <v>4</v>
      </c>
      <c r="E360" t="s">
        <v>245</v>
      </c>
      <c r="F360" t="s">
        <v>589</v>
      </c>
    </row>
    <row r="361" spans="3:6" x14ac:dyDescent="0.35">
      <c r="C361" t="s">
        <v>565</v>
      </c>
      <c r="D361">
        <v>5</v>
      </c>
      <c r="E361" t="s">
        <v>248</v>
      </c>
      <c r="F361" t="s">
        <v>690</v>
      </c>
    </row>
    <row r="362" spans="3:6" x14ac:dyDescent="0.35">
      <c r="C362" t="s">
        <v>565</v>
      </c>
      <c r="D362">
        <v>6</v>
      </c>
      <c r="E362" t="s">
        <v>250</v>
      </c>
      <c r="F362" t="s">
        <v>731</v>
      </c>
    </row>
    <row r="363" spans="3:6" x14ac:dyDescent="0.35">
      <c r="C363" t="s">
        <v>565</v>
      </c>
      <c r="D363">
        <v>7</v>
      </c>
      <c r="E363" t="s">
        <v>310</v>
      </c>
      <c r="F363" t="s">
        <v>628</v>
      </c>
    </row>
    <row r="364" spans="3:6" x14ac:dyDescent="0.35">
      <c r="C364" t="s">
        <v>565</v>
      </c>
      <c r="D364">
        <v>8</v>
      </c>
      <c r="E364" t="s">
        <v>228</v>
      </c>
      <c r="F364" t="s">
        <v>580</v>
      </c>
    </row>
    <row r="365" spans="3:6" x14ac:dyDescent="0.35">
      <c r="C365" t="s">
        <v>732</v>
      </c>
    </row>
    <row r="366" spans="3:6" x14ac:dyDescent="0.35">
      <c r="C366" t="s">
        <v>565</v>
      </c>
      <c r="D366">
        <v>1</v>
      </c>
      <c r="E366" t="s">
        <v>238</v>
      </c>
      <c r="F366" t="s">
        <v>599</v>
      </c>
    </row>
    <row r="367" spans="3:6" x14ac:dyDescent="0.35">
      <c r="C367" t="s">
        <v>565</v>
      </c>
      <c r="D367">
        <v>2</v>
      </c>
      <c r="E367" t="s">
        <v>243</v>
      </c>
      <c r="F367" t="s">
        <v>587</v>
      </c>
    </row>
    <row r="368" spans="3:6" x14ac:dyDescent="0.35">
      <c r="C368" t="s">
        <v>565</v>
      </c>
      <c r="D368">
        <v>3</v>
      </c>
      <c r="E368" t="s">
        <v>395</v>
      </c>
      <c r="F368" t="s">
        <v>733</v>
      </c>
    </row>
    <row r="369" spans="3:6" x14ac:dyDescent="0.35">
      <c r="C369" t="s">
        <v>565</v>
      </c>
      <c r="D369">
        <v>4</v>
      </c>
      <c r="E369" t="s">
        <v>256</v>
      </c>
      <c r="F369" t="s">
        <v>702</v>
      </c>
    </row>
    <row r="370" spans="3:6" x14ac:dyDescent="0.35">
      <c r="C370" t="s">
        <v>565</v>
      </c>
      <c r="D370">
        <v>5</v>
      </c>
      <c r="E370" t="s">
        <v>403</v>
      </c>
      <c r="F370" t="s">
        <v>596</v>
      </c>
    </row>
    <row r="371" spans="3:6" x14ac:dyDescent="0.35">
      <c r="C371" t="s">
        <v>565</v>
      </c>
      <c r="D371">
        <v>6</v>
      </c>
      <c r="E371" t="s">
        <v>404</v>
      </c>
      <c r="F371" t="s">
        <v>727</v>
      </c>
    </row>
    <row r="372" spans="3:6" x14ac:dyDescent="0.35">
      <c r="C372" t="s">
        <v>565</v>
      </c>
      <c r="D372">
        <v>7</v>
      </c>
      <c r="E372" t="s">
        <v>734</v>
      </c>
      <c r="F372" t="s">
        <v>628</v>
      </c>
    </row>
    <row r="373" spans="3:6" x14ac:dyDescent="0.35">
      <c r="C373" t="s">
        <v>565</v>
      </c>
      <c r="D373">
        <v>8</v>
      </c>
      <c r="E373" t="s">
        <v>228</v>
      </c>
      <c r="F373" t="s">
        <v>580</v>
      </c>
    </row>
    <row r="374" spans="3:6" x14ac:dyDescent="0.35">
      <c r="C374" t="s">
        <v>735</v>
      </c>
    </row>
    <row r="375" spans="3:6" x14ac:dyDescent="0.35">
      <c r="C375" t="s">
        <v>565</v>
      </c>
      <c r="D375">
        <v>1</v>
      </c>
      <c r="E375" t="s">
        <v>238</v>
      </c>
      <c r="F375" t="s">
        <v>586</v>
      </c>
    </row>
    <row r="376" spans="3:6" x14ac:dyDescent="0.35">
      <c r="C376" t="s">
        <v>565</v>
      </c>
      <c r="D376">
        <v>2</v>
      </c>
      <c r="E376" t="s">
        <v>243</v>
      </c>
      <c r="F376" t="s">
        <v>736</v>
      </c>
    </row>
    <row r="377" spans="3:6" x14ac:dyDescent="0.35">
      <c r="C377" t="s">
        <v>565</v>
      </c>
      <c r="D377">
        <v>3</v>
      </c>
      <c r="E377" t="s">
        <v>395</v>
      </c>
      <c r="F377" t="s">
        <v>577</v>
      </c>
    </row>
    <row r="378" spans="3:6" x14ac:dyDescent="0.35">
      <c r="C378" t="s">
        <v>565</v>
      </c>
      <c r="D378">
        <v>4</v>
      </c>
      <c r="E378" t="s">
        <v>245</v>
      </c>
      <c r="F378" t="s">
        <v>589</v>
      </c>
    </row>
    <row r="379" spans="3:6" x14ac:dyDescent="0.35">
      <c r="C379" t="s">
        <v>565</v>
      </c>
      <c r="D379">
        <v>5</v>
      </c>
      <c r="E379" t="s">
        <v>248</v>
      </c>
      <c r="F379" t="s">
        <v>690</v>
      </c>
    </row>
    <row r="380" spans="3:6" x14ac:dyDescent="0.35">
      <c r="C380" t="s">
        <v>565</v>
      </c>
      <c r="D380">
        <v>6</v>
      </c>
      <c r="E380" t="s">
        <v>250</v>
      </c>
      <c r="F380" t="s">
        <v>737</v>
      </c>
    </row>
    <row r="381" spans="3:6" x14ac:dyDescent="0.35">
      <c r="C381" t="s">
        <v>565</v>
      </c>
      <c r="D381">
        <v>7</v>
      </c>
      <c r="E381" t="s">
        <v>462</v>
      </c>
      <c r="F381" t="s">
        <v>738</v>
      </c>
    </row>
    <row r="382" spans="3:6" x14ac:dyDescent="0.35">
      <c r="C382" t="s">
        <v>565</v>
      </c>
      <c r="D382">
        <v>8</v>
      </c>
      <c r="E382" t="s">
        <v>228</v>
      </c>
      <c r="F382" t="s">
        <v>580</v>
      </c>
    </row>
    <row r="383" spans="3:6" x14ac:dyDescent="0.35">
      <c r="C383" t="s">
        <v>739</v>
      </c>
    </row>
    <row r="384" spans="3:6" x14ac:dyDescent="0.35">
      <c r="C384" t="s">
        <v>565</v>
      </c>
      <c r="D384">
        <v>1</v>
      </c>
      <c r="E384" t="s">
        <v>238</v>
      </c>
      <c r="F384" t="s">
        <v>599</v>
      </c>
    </row>
    <row r="385" spans="3:6" x14ac:dyDescent="0.35">
      <c r="C385" t="s">
        <v>565</v>
      </c>
      <c r="D385">
        <v>2</v>
      </c>
      <c r="E385" t="s">
        <v>243</v>
      </c>
      <c r="F385" t="s">
        <v>587</v>
      </c>
    </row>
    <row r="386" spans="3:6" x14ac:dyDescent="0.35">
      <c r="C386" t="s">
        <v>565</v>
      </c>
      <c r="D386">
        <v>3</v>
      </c>
      <c r="E386" t="s">
        <v>395</v>
      </c>
      <c r="F386" t="s">
        <v>740</v>
      </c>
    </row>
    <row r="387" spans="3:6" x14ac:dyDescent="0.35">
      <c r="C387" t="s">
        <v>565</v>
      </c>
      <c r="D387">
        <v>4</v>
      </c>
      <c r="E387" t="s">
        <v>256</v>
      </c>
      <c r="F387" t="s">
        <v>702</v>
      </c>
    </row>
    <row r="388" spans="3:6" x14ac:dyDescent="0.35">
      <c r="C388" t="s">
        <v>565</v>
      </c>
      <c r="D388">
        <v>5</v>
      </c>
      <c r="E388" t="s">
        <v>403</v>
      </c>
      <c r="F388" t="s">
        <v>596</v>
      </c>
    </row>
    <row r="389" spans="3:6" x14ac:dyDescent="0.35">
      <c r="C389" t="s">
        <v>565</v>
      </c>
      <c r="D389">
        <v>6</v>
      </c>
      <c r="E389" t="s">
        <v>404</v>
      </c>
      <c r="F389" t="s">
        <v>727</v>
      </c>
    </row>
    <row r="390" spans="3:6" x14ac:dyDescent="0.35">
      <c r="C390" t="s">
        <v>565</v>
      </c>
      <c r="D390">
        <v>7</v>
      </c>
      <c r="E390" t="s">
        <v>462</v>
      </c>
      <c r="F390" t="s">
        <v>738</v>
      </c>
    </row>
    <row r="391" spans="3:6" x14ac:dyDescent="0.35">
      <c r="C391" t="s">
        <v>565</v>
      </c>
      <c r="D391">
        <v>8</v>
      </c>
      <c r="E391" t="s">
        <v>228</v>
      </c>
      <c r="F391" t="s">
        <v>580</v>
      </c>
    </row>
    <row r="392" spans="3:6" x14ac:dyDescent="0.35">
      <c r="C392" t="s">
        <v>741</v>
      </c>
    </row>
    <row r="393" spans="3:6" x14ac:dyDescent="0.35">
      <c r="C393" t="s">
        <v>565</v>
      </c>
      <c r="D393">
        <v>1</v>
      </c>
      <c r="E393" t="s">
        <v>238</v>
      </c>
      <c r="F393" t="s">
        <v>599</v>
      </c>
    </row>
    <row r="394" spans="3:6" x14ac:dyDescent="0.35">
      <c r="C394" t="s">
        <v>565</v>
      </c>
      <c r="D394">
        <v>2</v>
      </c>
      <c r="E394" t="s">
        <v>243</v>
      </c>
      <c r="F394" t="s">
        <v>742</v>
      </c>
    </row>
    <row r="395" spans="3:6" x14ac:dyDescent="0.35">
      <c r="C395" t="s">
        <v>565</v>
      </c>
      <c r="D395">
        <v>3</v>
      </c>
      <c r="E395" t="s">
        <v>395</v>
      </c>
      <c r="F395" t="s">
        <v>577</v>
      </c>
    </row>
    <row r="396" spans="3:6" x14ac:dyDescent="0.35">
      <c r="C396" t="s">
        <v>565</v>
      </c>
      <c r="D396">
        <v>4</v>
      </c>
      <c r="E396" t="s">
        <v>256</v>
      </c>
      <c r="F396" t="s">
        <v>743</v>
      </c>
    </row>
    <row r="397" spans="3:6" x14ac:dyDescent="0.35">
      <c r="C397" t="s">
        <v>565</v>
      </c>
      <c r="D397">
        <v>5</v>
      </c>
      <c r="E397" t="s">
        <v>471</v>
      </c>
      <c r="F397" t="s">
        <v>596</v>
      </c>
    </row>
    <row r="398" spans="3:6" x14ac:dyDescent="0.35">
      <c r="C398" t="s">
        <v>565</v>
      </c>
      <c r="D398">
        <v>6</v>
      </c>
      <c r="E398" t="s">
        <v>404</v>
      </c>
      <c r="F398" t="s">
        <v>744</v>
      </c>
    </row>
    <row r="399" spans="3:6" x14ac:dyDescent="0.35">
      <c r="C399" t="s">
        <v>565</v>
      </c>
      <c r="D399">
        <v>7</v>
      </c>
      <c r="E399" t="s">
        <v>647</v>
      </c>
      <c r="F399" t="s">
        <v>745</v>
      </c>
    </row>
    <row r="400" spans="3:6" x14ac:dyDescent="0.35">
      <c r="C400" t="s">
        <v>565</v>
      </c>
      <c r="D400">
        <v>8</v>
      </c>
      <c r="E400" t="s">
        <v>344</v>
      </c>
      <c r="F400" t="s">
        <v>746</v>
      </c>
    </row>
    <row r="401" spans="3:6" x14ac:dyDescent="0.35">
      <c r="C401" t="s">
        <v>565</v>
      </c>
      <c r="D401">
        <v>9</v>
      </c>
      <c r="E401" t="s">
        <v>228</v>
      </c>
      <c r="F401" t="s">
        <v>580</v>
      </c>
    </row>
    <row r="402" spans="3:6" x14ac:dyDescent="0.35">
      <c r="C402" t="s">
        <v>747</v>
      </c>
    </row>
    <row r="403" spans="3:6" x14ac:dyDescent="0.35">
      <c r="C403" t="s">
        <v>565</v>
      </c>
      <c r="D403">
        <v>1</v>
      </c>
      <c r="E403" t="s">
        <v>238</v>
      </c>
      <c r="F403" t="s">
        <v>586</v>
      </c>
    </row>
    <row r="404" spans="3:6" x14ac:dyDescent="0.35">
      <c r="C404" t="s">
        <v>565</v>
      </c>
      <c r="D404">
        <v>2</v>
      </c>
      <c r="E404" t="s">
        <v>243</v>
      </c>
      <c r="F404" t="s">
        <v>587</v>
      </c>
    </row>
    <row r="405" spans="3:6" x14ac:dyDescent="0.35">
      <c r="C405" t="s">
        <v>565</v>
      </c>
      <c r="D405">
        <v>3</v>
      </c>
      <c r="E405" t="s">
        <v>395</v>
      </c>
      <c r="F405" t="s">
        <v>748</v>
      </c>
    </row>
    <row r="406" spans="3:6" x14ac:dyDescent="0.35">
      <c r="C406" t="s">
        <v>565</v>
      </c>
      <c r="D406">
        <v>4</v>
      </c>
      <c r="E406" t="s">
        <v>245</v>
      </c>
      <c r="F406" t="s">
        <v>589</v>
      </c>
    </row>
    <row r="407" spans="3:6" x14ac:dyDescent="0.35">
      <c r="C407" t="s">
        <v>565</v>
      </c>
      <c r="D407">
        <v>5</v>
      </c>
      <c r="E407" t="s">
        <v>248</v>
      </c>
      <c r="F407" t="s">
        <v>690</v>
      </c>
    </row>
    <row r="408" spans="3:6" x14ac:dyDescent="0.35">
      <c r="C408" t="s">
        <v>565</v>
      </c>
      <c r="D408">
        <v>6</v>
      </c>
      <c r="E408" t="s">
        <v>250</v>
      </c>
      <c r="F408" t="s">
        <v>749</v>
      </c>
    </row>
    <row r="409" spans="3:6" x14ac:dyDescent="0.35">
      <c r="C409" t="s">
        <v>565</v>
      </c>
      <c r="D409">
        <v>7</v>
      </c>
      <c r="E409" t="s">
        <v>750</v>
      </c>
      <c r="F409" t="s">
        <v>745</v>
      </c>
    </row>
    <row r="410" spans="3:6" x14ac:dyDescent="0.35">
      <c r="C410" t="s">
        <v>565</v>
      </c>
      <c r="D410">
        <v>8</v>
      </c>
      <c r="E410" t="s">
        <v>344</v>
      </c>
      <c r="F410" t="s">
        <v>746</v>
      </c>
    </row>
    <row r="411" spans="3:6" x14ac:dyDescent="0.35">
      <c r="C411" t="s">
        <v>565</v>
      </c>
      <c r="D411">
        <v>9</v>
      </c>
      <c r="E411" t="s">
        <v>228</v>
      </c>
      <c r="F411" t="s">
        <v>580</v>
      </c>
    </row>
    <row r="412" spans="3:6" x14ac:dyDescent="0.35">
      <c r="C412" t="s">
        <v>751</v>
      </c>
    </row>
    <row r="413" spans="3:6" x14ac:dyDescent="0.35">
      <c r="C413" t="s">
        <v>565</v>
      </c>
      <c r="D413">
        <v>1</v>
      </c>
      <c r="E413" t="s">
        <v>238</v>
      </c>
      <c r="F413" t="s">
        <v>599</v>
      </c>
    </row>
    <row r="414" spans="3:6" x14ac:dyDescent="0.35">
      <c r="C414" t="s">
        <v>565</v>
      </c>
      <c r="D414">
        <v>2</v>
      </c>
      <c r="E414" t="s">
        <v>243</v>
      </c>
      <c r="F414" t="s">
        <v>752</v>
      </c>
    </row>
    <row r="415" spans="3:6" x14ac:dyDescent="0.35">
      <c r="C415" t="s">
        <v>565</v>
      </c>
      <c r="D415">
        <v>3</v>
      </c>
      <c r="E415" t="s">
        <v>395</v>
      </c>
      <c r="F415" t="s">
        <v>577</v>
      </c>
    </row>
    <row r="416" spans="3:6" x14ac:dyDescent="0.35">
      <c r="C416" t="s">
        <v>565</v>
      </c>
      <c r="D416">
        <v>4</v>
      </c>
      <c r="E416" t="s">
        <v>256</v>
      </c>
      <c r="F416" t="s">
        <v>753</v>
      </c>
    </row>
    <row r="417" spans="3:6" x14ac:dyDescent="0.35">
      <c r="C417" t="s">
        <v>565</v>
      </c>
      <c r="D417">
        <v>5</v>
      </c>
      <c r="E417" t="s">
        <v>471</v>
      </c>
      <c r="F417" t="s">
        <v>596</v>
      </c>
    </row>
    <row r="418" spans="3:6" x14ac:dyDescent="0.35">
      <c r="C418" t="s">
        <v>565</v>
      </c>
      <c r="D418">
        <v>6</v>
      </c>
      <c r="E418" t="s">
        <v>404</v>
      </c>
      <c r="F418" t="s">
        <v>695</v>
      </c>
    </row>
    <row r="419" spans="3:6" x14ac:dyDescent="0.35">
      <c r="C419" t="s">
        <v>565</v>
      </c>
      <c r="D419">
        <v>7</v>
      </c>
      <c r="E419" t="s">
        <v>657</v>
      </c>
      <c r="F419" t="s">
        <v>754</v>
      </c>
    </row>
    <row r="420" spans="3:6" x14ac:dyDescent="0.35">
      <c r="C420" t="s">
        <v>565</v>
      </c>
      <c r="D420">
        <v>8</v>
      </c>
      <c r="E420" t="s">
        <v>344</v>
      </c>
      <c r="F420" t="s">
        <v>659</v>
      </c>
    </row>
    <row r="421" spans="3:6" x14ac:dyDescent="0.35">
      <c r="C421" t="s">
        <v>565</v>
      </c>
      <c r="D421">
        <v>9</v>
      </c>
      <c r="E421" t="s">
        <v>228</v>
      </c>
      <c r="F421" t="s">
        <v>580</v>
      </c>
    </row>
    <row r="422" spans="3:6" x14ac:dyDescent="0.35">
      <c r="C422" t="s">
        <v>755</v>
      </c>
    </row>
    <row r="423" spans="3:6" x14ac:dyDescent="0.35">
      <c r="C423" t="s">
        <v>565</v>
      </c>
      <c r="D423">
        <v>1</v>
      </c>
      <c r="E423" t="s">
        <v>238</v>
      </c>
      <c r="F423" t="s">
        <v>654</v>
      </c>
    </row>
    <row r="424" spans="3:6" x14ac:dyDescent="0.35">
      <c r="C424" t="s">
        <v>565</v>
      </c>
      <c r="D424">
        <v>2</v>
      </c>
      <c r="E424" t="s">
        <v>243</v>
      </c>
      <c r="F424" t="s">
        <v>756</v>
      </c>
    </row>
    <row r="425" spans="3:6" x14ac:dyDescent="0.35">
      <c r="C425" t="s">
        <v>565</v>
      </c>
      <c r="D425">
        <v>3</v>
      </c>
      <c r="E425" t="s">
        <v>395</v>
      </c>
      <c r="F425" t="s">
        <v>577</v>
      </c>
    </row>
    <row r="426" spans="3:6" x14ac:dyDescent="0.35">
      <c r="C426" t="s">
        <v>565</v>
      </c>
      <c r="D426">
        <v>4</v>
      </c>
      <c r="E426" t="s">
        <v>256</v>
      </c>
      <c r="F426" t="s">
        <v>757</v>
      </c>
    </row>
    <row r="427" spans="3:6" x14ac:dyDescent="0.35">
      <c r="C427" t="s">
        <v>565</v>
      </c>
      <c r="D427">
        <v>5</v>
      </c>
      <c r="E427" t="s">
        <v>486</v>
      </c>
      <c r="F427" t="s">
        <v>596</v>
      </c>
    </row>
    <row r="428" spans="3:6" x14ac:dyDescent="0.35">
      <c r="C428" t="s">
        <v>565</v>
      </c>
      <c r="D428">
        <v>6</v>
      </c>
      <c r="E428" t="s">
        <v>404</v>
      </c>
      <c r="F428" t="s">
        <v>758</v>
      </c>
    </row>
    <row r="429" spans="3:6" x14ac:dyDescent="0.35">
      <c r="C429" t="s">
        <v>565</v>
      </c>
      <c r="D429">
        <v>7</v>
      </c>
      <c r="E429" t="s">
        <v>664</v>
      </c>
      <c r="F429" t="s">
        <v>759</v>
      </c>
    </row>
    <row r="430" spans="3:6" x14ac:dyDescent="0.35">
      <c r="C430" t="s">
        <v>565</v>
      </c>
      <c r="D430">
        <v>8</v>
      </c>
      <c r="E430" t="s">
        <v>344</v>
      </c>
      <c r="F430" t="s">
        <v>760</v>
      </c>
    </row>
    <row r="431" spans="3:6" x14ac:dyDescent="0.35">
      <c r="C431" t="s">
        <v>565</v>
      </c>
      <c r="D431">
        <v>9</v>
      </c>
      <c r="E431" t="s">
        <v>228</v>
      </c>
      <c r="F431" t="s">
        <v>580</v>
      </c>
    </row>
    <row r="432" spans="3:6" x14ac:dyDescent="0.35">
      <c r="C432" t="s">
        <v>761</v>
      </c>
    </row>
    <row r="433" spans="3:6" x14ac:dyDescent="0.35">
      <c r="C433" t="s">
        <v>565</v>
      </c>
      <c r="D433">
        <v>1</v>
      </c>
      <c r="E433" t="s">
        <v>238</v>
      </c>
      <c r="F433" t="s">
        <v>586</v>
      </c>
    </row>
    <row r="434" spans="3:6" x14ac:dyDescent="0.35">
      <c r="C434" t="s">
        <v>565</v>
      </c>
      <c r="D434">
        <v>2</v>
      </c>
      <c r="E434" t="s">
        <v>243</v>
      </c>
      <c r="F434" t="s">
        <v>587</v>
      </c>
    </row>
    <row r="435" spans="3:6" x14ac:dyDescent="0.35">
      <c r="C435" t="s">
        <v>565</v>
      </c>
      <c r="D435">
        <v>3</v>
      </c>
      <c r="E435" t="s">
        <v>395</v>
      </c>
      <c r="F435" t="s">
        <v>762</v>
      </c>
    </row>
    <row r="436" spans="3:6" x14ac:dyDescent="0.35">
      <c r="C436" t="s">
        <v>565</v>
      </c>
      <c r="D436">
        <v>4</v>
      </c>
      <c r="E436" t="s">
        <v>245</v>
      </c>
      <c r="F436" t="s">
        <v>589</v>
      </c>
    </row>
    <row r="437" spans="3:6" x14ac:dyDescent="0.35">
      <c r="C437" t="s">
        <v>565</v>
      </c>
      <c r="D437">
        <v>5</v>
      </c>
      <c r="E437" t="s">
        <v>248</v>
      </c>
      <c r="F437" t="s">
        <v>690</v>
      </c>
    </row>
    <row r="438" spans="3:6" x14ac:dyDescent="0.35">
      <c r="C438" t="s">
        <v>565</v>
      </c>
      <c r="D438">
        <v>6</v>
      </c>
      <c r="E438" t="s">
        <v>250</v>
      </c>
      <c r="F438" t="s">
        <v>749</v>
      </c>
    </row>
    <row r="439" spans="3:6" x14ac:dyDescent="0.35">
      <c r="C439" t="s">
        <v>565</v>
      </c>
      <c r="D439">
        <v>7</v>
      </c>
      <c r="E439" t="s">
        <v>664</v>
      </c>
      <c r="F439" t="s">
        <v>759</v>
      </c>
    </row>
    <row r="440" spans="3:6" x14ac:dyDescent="0.35">
      <c r="C440" t="s">
        <v>565</v>
      </c>
      <c r="D440">
        <v>8</v>
      </c>
      <c r="E440" t="s">
        <v>344</v>
      </c>
      <c r="F440" t="s">
        <v>760</v>
      </c>
    </row>
    <row r="441" spans="3:6" x14ac:dyDescent="0.35">
      <c r="C441" t="s">
        <v>565</v>
      </c>
      <c r="D441">
        <v>9</v>
      </c>
      <c r="E441" t="s">
        <v>228</v>
      </c>
      <c r="F441" t="s">
        <v>580</v>
      </c>
    </row>
    <row r="442" spans="3:6" x14ac:dyDescent="0.35">
      <c r="C442" t="s">
        <v>763</v>
      </c>
    </row>
    <row r="443" spans="3:6" x14ac:dyDescent="0.35">
      <c r="C443" t="s">
        <v>565</v>
      </c>
      <c r="D443">
        <v>1</v>
      </c>
      <c r="E443" t="s">
        <v>238</v>
      </c>
      <c r="F443" t="s">
        <v>599</v>
      </c>
    </row>
    <row r="444" spans="3:6" x14ac:dyDescent="0.35">
      <c r="C444" t="s">
        <v>565</v>
      </c>
      <c r="D444">
        <v>2</v>
      </c>
      <c r="E444" t="s">
        <v>243</v>
      </c>
      <c r="F444" t="s">
        <v>764</v>
      </c>
    </row>
    <row r="445" spans="3:6" x14ac:dyDescent="0.35">
      <c r="C445" t="s">
        <v>565</v>
      </c>
      <c r="D445">
        <v>3</v>
      </c>
      <c r="E445" t="s">
        <v>395</v>
      </c>
      <c r="F445" t="s">
        <v>765</v>
      </c>
    </row>
    <row r="446" spans="3:6" x14ac:dyDescent="0.35">
      <c r="C446" t="s">
        <v>565</v>
      </c>
      <c r="D446">
        <v>4</v>
      </c>
      <c r="E446" t="s">
        <v>256</v>
      </c>
      <c r="F446" t="s">
        <v>766</v>
      </c>
    </row>
    <row r="447" spans="3:6" x14ac:dyDescent="0.35">
      <c r="C447" t="s">
        <v>565</v>
      </c>
      <c r="D447">
        <v>6</v>
      </c>
      <c r="E447" t="s">
        <v>404</v>
      </c>
      <c r="F447" t="s">
        <v>727</v>
      </c>
    </row>
    <row r="448" spans="3:6" x14ac:dyDescent="0.35">
      <c r="C448" t="s">
        <v>565</v>
      </c>
      <c r="D448">
        <v>7</v>
      </c>
      <c r="E448" t="s">
        <v>671</v>
      </c>
      <c r="F448" t="s">
        <v>767</v>
      </c>
    </row>
    <row r="449" spans="3:6" x14ac:dyDescent="0.35">
      <c r="C449" t="s">
        <v>565</v>
      </c>
      <c r="D449">
        <v>8</v>
      </c>
      <c r="E449" t="s">
        <v>228</v>
      </c>
      <c r="F449" t="s">
        <v>580</v>
      </c>
    </row>
    <row r="450" spans="3:6" x14ac:dyDescent="0.35">
      <c r="C450" t="s">
        <v>768</v>
      </c>
    </row>
    <row r="451" spans="3:6" x14ac:dyDescent="0.35">
      <c r="C451" t="s">
        <v>565</v>
      </c>
      <c r="D451">
        <v>1</v>
      </c>
      <c r="E451" t="s">
        <v>238</v>
      </c>
      <c r="F451" t="s">
        <v>599</v>
      </c>
    </row>
    <row r="452" spans="3:6" x14ac:dyDescent="0.35">
      <c r="C452" t="s">
        <v>565</v>
      </c>
      <c r="D452">
        <v>2</v>
      </c>
      <c r="E452" t="s">
        <v>243</v>
      </c>
      <c r="F452" t="s">
        <v>713</v>
      </c>
    </row>
    <row r="453" spans="3:6" x14ac:dyDescent="0.35">
      <c r="C453" t="s">
        <v>565</v>
      </c>
      <c r="D453">
        <v>3</v>
      </c>
      <c r="E453" t="s">
        <v>395</v>
      </c>
      <c r="F453" t="s">
        <v>577</v>
      </c>
    </row>
    <row r="454" spans="3:6" x14ac:dyDescent="0.35">
      <c r="C454" t="s">
        <v>565</v>
      </c>
      <c r="D454">
        <v>4</v>
      </c>
      <c r="E454" t="s">
        <v>256</v>
      </c>
      <c r="F454" t="s">
        <v>753</v>
      </c>
    </row>
    <row r="455" spans="3:6" x14ac:dyDescent="0.35">
      <c r="C455" t="s">
        <v>565</v>
      </c>
      <c r="D455">
        <v>5</v>
      </c>
      <c r="E455" t="s">
        <v>501</v>
      </c>
      <c r="F455" t="s">
        <v>596</v>
      </c>
    </row>
    <row r="456" spans="3:6" x14ac:dyDescent="0.35">
      <c r="C456" t="s">
        <v>565</v>
      </c>
      <c r="D456">
        <v>6</v>
      </c>
      <c r="E456" t="s">
        <v>404</v>
      </c>
      <c r="F456" t="s">
        <v>727</v>
      </c>
    </row>
    <row r="457" spans="3:6" x14ac:dyDescent="0.35">
      <c r="C457" t="s">
        <v>565</v>
      </c>
      <c r="D457">
        <v>7</v>
      </c>
      <c r="E457" t="s">
        <v>671</v>
      </c>
      <c r="F457" t="s">
        <v>767</v>
      </c>
    </row>
    <row r="458" spans="3:6" x14ac:dyDescent="0.35">
      <c r="C458" t="s">
        <v>565</v>
      </c>
      <c r="D458">
        <v>8</v>
      </c>
      <c r="E458" t="s">
        <v>228</v>
      </c>
      <c r="F458" t="s">
        <v>580</v>
      </c>
    </row>
    <row r="459" spans="3:6" x14ac:dyDescent="0.35">
      <c r="C459" t="s">
        <v>769</v>
      </c>
    </row>
    <row r="460" spans="3:6" x14ac:dyDescent="0.35">
      <c r="C460" t="s">
        <v>565</v>
      </c>
      <c r="D460">
        <v>1</v>
      </c>
      <c r="E460" t="s">
        <v>238</v>
      </c>
      <c r="F460" t="s">
        <v>599</v>
      </c>
    </row>
    <row r="461" spans="3:6" x14ac:dyDescent="0.35">
      <c r="C461" t="s">
        <v>565</v>
      </c>
      <c r="D461">
        <v>2</v>
      </c>
      <c r="E461" t="s">
        <v>243</v>
      </c>
      <c r="F461" t="s">
        <v>587</v>
      </c>
    </row>
    <row r="462" spans="3:6" x14ac:dyDescent="0.35">
      <c r="C462" t="s">
        <v>565</v>
      </c>
      <c r="D462">
        <v>3</v>
      </c>
      <c r="E462" t="s">
        <v>502</v>
      </c>
      <c r="F462" t="s">
        <v>770</v>
      </c>
    </row>
    <row r="463" spans="3:6" x14ac:dyDescent="0.35">
      <c r="C463" t="s">
        <v>565</v>
      </c>
      <c r="D463">
        <v>4</v>
      </c>
      <c r="E463" t="s">
        <v>505</v>
      </c>
      <c r="F463" t="s">
        <v>771</v>
      </c>
    </row>
    <row r="464" spans="3:6" x14ac:dyDescent="0.35">
      <c r="C464" t="s">
        <v>565</v>
      </c>
      <c r="D464">
        <v>5</v>
      </c>
      <c r="E464" t="s">
        <v>228</v>
      </c>
      <c r="F464" t="s">
        <v>580</v>
      </c>
    </row>
    <row r="465" spans="3:6" x14ac:dyDescent="0.35">
      <c r="C465" t="s">
        <v>772</v>
      </c>
    </row>
    <row r="466" spans="3:6" x14ac:dyDescent="0.35">
      <c r="C466" t="s">
        <v>565</v>
      </c>
      <c r="D466">
        <v>1</v>
      </c>
      <c r="E466" t="s">
        <v>238</v>
      </c>
      <c r="F466" t="s">
        <v>599</v>
      </c>
    </row>
    <row r="467" spans="3:6" x14ac:dyDescent="0.35">
      <c r="C467" t="s">
        <v>565</v>
      </c>
      <c r="D467">
        <v>2</v>
      </c>
      <c r="E467" t="s">
        <v>243</v>
      </c>
      <c r="F467" t="s">
        <v>587</v>
      </c>
    </row>
    <row r="468" spans="3:6" x14ac:dyDescent="0.35">
      <c r="C468" t="s">
        <v>565</v>
      </c>
      <c r="D468">
        <v>3</v>
      </c>
      <c r="E468" t="s">
        <v>502</v>
      </c>
      <c r="F468" t="s">
        <v>773</v>
      </c>
    </row>
    <row r="469" spans="3:6" x14ac:dyDescent="0.35">
      <c r="C469" t="s">
        <v>565</v>
      </c>
      <c r="D469">
        <v>4</v>
      </c>
      <c r="E469" t="s">
        <v>228</v>
      </c>
      <c r="F469" t="s">
        <v>580</v>
      </c>
    </row>
    <row r="470" spans="3:6" x14ac:dyDescent="0.35">
      <c r="C470" t="s">
        <v>774</v>
      </c>
    </row>
    <row r="471" spans="3:6" x14ac:dyDescent="0.35">
      <c r="C471" t="s">
        <v>565</v>
      </c>
      <c r="D471">
        <v>1</v>
      </c>
      <c r="E471" t="s">
        <v>511</v>
      </c>
      <c r="F471" t="s">
        <v>775</v>
      </c>
    </row>
    <row r="472" spans="3:6" x14ac:dyDescent="0.35">
      <c r="C472" t="s">
        <v>565</v>
      </c>
      <c r="D472">
        <v>2</v>
      </c>
      <c r="E472" t="s">
        <v>514</v>
      </c>
      <c r="F472" t="s">
        <v>776</v>
      </c>
    </row>
    <row r="473" spans="3:6" x14ac:dyDescent="0.35">
      <c r="C473" t="s">
        <v>565</v>
      </c>
      <c r="D473">
        <v>3</v>
      </c>
      <c r="E473" t="s">
        <v>516</v>
      </c>
      <c r="F473" t="s">
        <v>777</v>
      </c>
    </row>
    <row r="474" spans="3:6" x14ac:dyDescent="0.35">
      <c r="C474" t="s">
        <v>565</v>
      </c>
      <c r="D474">
        <v>4</v>
      </c>
      <c r="E474" t="s">
        <v>228</v>
      </c>
      <c r="F474" t="s">
        <v>580</v>
      </c>
    </row>
    <row r="475" spans="3:6" x14ac:dyDescent="0.35">
      <c r="C475" t="s">
        <v>778</v>
      </c>
    </row>
    <row r="476" spans="3:6" x14ac:dyDescent="0.35">
      <c r="C476" t="s">
        <v>565</v>
      </c>
      <c r="D476">
        <v>1</v>
      </c>
      <c r="E476" t="s">
        <v>194</v>
      </c>
      <c r="F476" t="s">
        <v>566</v>
      </c>
    </row>
    <row r="477" spans="3:6" x14ac:dyDescent="0.35">
      <c r="C477" t="s">
        <v>565</v>
      </c>
      <c r="D477">
        <v>2</v>
      </c>
      <c r="E477" t="s">
        <v>552</v>
      </c>
      <c r="F477" t="s">
        <v>779</v>
      </c>
    </row>
    <row r="478" spans="3:6" x14ac:dyDescent="0.35">
      <c r="C478" t="s">
        <v>565</v>
      </c>
      <c r="D478">
        <v>3</v>
      </c>
      <c r="E478" t="s">
        <v>555</v>
      </c>
      <c r="F478" t="s">
        <v>568</v>
      </c>
    </row>
    <row r="479" spans="3:6" x14ac:dyDescent="0.35">
      <c r="C479" t="s">
        <v>565</v>
      </c>
      <c r="D479">
        <v>4</v>
      </c>
      <c r="E479" t="s">
        <v>556</v>
      </c>
      <c r="F479" t="s">
        <v>569</v>
      </c>
    </row>
    <row r="480" spans="3:6" x14ac:dyDescent="0.35">
      <c r="C480" t="s">
        <v>565</v>
      </c>
      <c r="D480">
        <v>5</v>
      </c>
      <c r="E480" t="s">
        <v>203</v>
      </c>
      <c r="F480" t="s">
        <v>570</v>
      </c>
    </row>
    <row r="481" spans="3:6" x14ac:dyDescent="0.35">
      <c r="C481" t="s">
        <v>565</v>
      </c>
      <c r="D481">
        <v>6</v>
      </c>
      <c r="E481" t="s">
        <v>205</v>
      </c>
      <c r="F481" t="s">
        <v>571</v>
      </c>
    </row>
    <row r="482" spans="3:6" x14ac:dyDescent="0.35">
      <c r="C482" t="s">
        <v>565</v>
      </c>
      <c r="D482">
        <v>7</v>
      </c>
      <c r="E482" t="s">
        <v>554</v>
      </c>
      <c r="F482" t="s">
        <v>780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26"/>
  <sheetViews>
    <sheetView showGridLines="0" zoomScale="85" zoomScaleNormal="85" workbookViewId="0">
      <selection activeCell="C33" sqref="C33"/>
    </sheetView>
  </sheetViews>
  <sheetFormatPr baseColWidth="10" defaultColWidth="11.453125" defaultRowHeight="14.5" x14ac:dyDescent="0.35"/>
  <cols>
    <col min="1" max="1" width="5.453125" customWidth="1"/>
    <col min="2" max="3" width="54.81640625" customWidth="1"/>
    <col min="4" max="4" width="19.81640625" customWidth="1"/>
    <col min="5" max="5" width="12.453125" customWidth="1"/>
    <col min="6" max="7" width="17.7265625" customWidth="1"/>
    <col min="10" max="10" width="16.1796875" customWidth="1"/>
    <col min="11" max="11" width="18.453125" customWidth="1"/>
    <col min="12" max="12" width="59.1796875" customWidth="1"/>
    <col min="13" max="13" width="3.81640625" customWidth="1"/>
    <col min="14" max="14" width="3.453125" customWidth="1"/>
    <col min="15" max="15" width="8.453125" customWidth="1"/>
    <col min="16" max="17" width="15.7265625" customWidth="1"/>
    <col min="18" max="18" width="8.453125" customWidth="1"/>
    <col min="19" max="20" width="15.7265625" customWidth="1"/>
    <col min="21" max="21" width="7.7265625" customWidth="1"/>
    <col min="22" max="22" width="15.453125" customWidth="1"/>
    <col min="23" max="23" width="62.1796875" customWidth="1"/>
  </cols>
  <sheetData>
    <row r="2" spans="2:12" s="76" customFormat="1" ht="15" x14ac:dyDescent="0.4">
      <c r="B2" s="77" t="s">
        <v>518</v>
      </c>
    </row>
    <row r="3" spans="2:12" s="76" customFormat="1" ht="15" x14ac:dyDescent="0.4">
      <c r="B3" s="78" t="s">
        <v>519</v>
      </c>
    </row>
    <row r="4" spans="2:12" s="76" customFormat="1" ht="16.5" customHeight="1" x14ac:dyDescent="0.4">
      <c r="B4" s="78" t="s">
        <v>520</v>
      </c>
      <c r="K4" s="79"/>
      <c r="L4" s="80"/>
    </row>
    <row r="5" spans="2:12" s="76" customFormat="1" ht="12" customHeight="1" x14ac:dyDescent="0.4">
      <c r="K5" s="81"/>
      <c r="L5" s="82"/>
    </row>
    <row r="6" spans="2:12" s="76" customFormat="1" ht="16.5" customHeight="1" x14ac:dyDescent="0.4">
      <c r="B6" s="118" t="s">
        <v>521</v>
      </c>
      <c r="C6" s="118"/>
    </row>
    <row r="7" spans="2:12" ht="15" customHeight="1" x14ac:dyDescent="0.35">
      <c r="B7" s="83" t="s">
        <v>522</v>
      </c>
      <c r="C7" s="84" t="s">
        <v>522</v>
      </c>
    </row>
    <row r="8" spans="2:12" x14ac:dyDescent="0.35">
      <c r="B8" s="85" t="s">
        <v>523</v>
      </c>
      <c r="C8" s="86" t="s">
        <v>524</v>
      </c>
    </row>
    <row r="9" spans="2:12" ht="29" x14ac:dyDescent="0.35">
      <c r="B9" s="85" t="s">
        <v>525</v>
      </c>
      <c r="C9" s="86" t="s">
        <v>526</v>
      </c>
    </row>
    <row r="10" spans="2:12" x14ac:dyDescent="0.35">
      <c r="B10" s="85" t="s">
        <v>527</v>
      </c>
      <c r="C10" s="86" t="s">
        <v>528</v>
      </c>
    </row>
    <row r="11" spans="2:12" ht="71.25" customHeight="1" x14ac:dyDescent="0.35">
      <c r="B11" s="87"/>
      <c r="C11" s="88"/>
    </row>
    <row r="12" spans="2:12" x14ac:dyDescent="0.35">
      <c r="B12" s="83" t="s">
        <v>529</v>
      </c>
      <c r="C12" s="84" t="s">
        <v>529</v>
      </c>
    </row>
    <row r="13" spans="2:12" x14ac:dyDescent="0.35">
      <c r="B13" s="85" t="s">
        <v>530</v>
      </c>
      <c r="C13" s="86" t="s">
        <v>531</v>
      </c>
    </row>
    <row r="14" spans="2:12" ht="29" x14ac:dyDescent="0.35">
      <c r="B14" s="85" t="s">
        <v>532</v>
      </c>
      <c r="C14" s="86" t="s">
        <v>533</v>
      </c>
    </row>
    <row r="15" spans="2:12" x14ac:dyDescent="0.35">
      <c r="B15" s="85" t="s">
        <v>527</v>
      </c>
      <c r="C15" s="86" t="s">
        <v>534</v>
      </c>
    </row>
    <row r="16" spans="2:12" ht="71.25" customHeight="1" x14ac:dyDescent="0.35">
      <c r="B16" s="89"/>
      <c r="C16" s="87"/>
    </row>
    <row r="17" spans="2:3" ht="14.25" customHeight="1" x14ac:dyDescent="0.35">
      <c r="B17" s="83" t="s">
        <v>529</v>
      </c>
      <c r="C17" s="83" t="s">
        <v>529</v>
      </c>
    </row>
    <row r="18" spans="2:3" ht="14.25" customHeight="1" x14ac:dyDescent="0.35">
      <c r="B18" s="85" t="s">
        <v>535</v>
      </c>
      <c r="C18" s="85" t="s">
        <v>536</v>
      </c>
    </row>
    <row r="19" spans="2:3" ht="29" x14ac:dyDescent="0.35">
      <c r="B19" s="85" t="s">
        <v>532</v>
      </c>
      <c r="C19" s="85" t="s">
        <v>537</v>
      </c>
    </row>
    <row r="20" spans="2:3" x14ac:dyDescent="0.35">
      <c r="B20" s="85" t="s">
        <v>527</v>
      </c>
      <c r="C20" s="86" t="s">
        <v>528</v>
      </c>
    </row>
    <row r="21" spans="2:3" ht="71.25" customHeight="1" x14ac:dyDescent="0.35">
      <c r="B21" s="87"/>
      <c r="C21" s="88"/>
    </row>
    <row r="22" spans="2:3" x14ac:dyDescent="0.35">
      <c r="B22" s="83" t="s">
        <v>529</v>
      </c>
      <c r="C22" s="84" t="s">
        <v>538</v>
      </c>
    </row>
    <row r="23" spans="2:3" x14ac:dyDescent="0.35">
      <c r="B23" s="85" t="s">
        <v>539</v>
      </c>
      <c r="C23" s="86" t="s">
        <v>540</v>
      </c>
    </row>
    <row r="24" spans="2:3" ht="29" x14ac:dyDescent="0.35">
      <c r="B24" s="85" t="s">
        <v>537</v>
      </c>
      <c r="C24" s="86" t="s">
        <v>541</v>
      </c>
    </row>
    <row r="25" spans="2:3" x14ac:dyDescent="0.35">
      <c r="B25" s="85" t="s">
        <v>527</v>
      </c>
      <c r="C25" s="86" t="s">
        <v>528</v>
      </c>
    </row>
    <row r="26" spans="2:3" ht="72" customHeight="1" x14ac:dyDescent="0.35">
      <c r="B26" s="87"/>
      <c r="C26" s="88"/>
    </row>
  </sheetData>
  <mergeCells count="1">
    <mergeCell ref="B6:C6"/>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K16"/>
  <sheetViews>
    <sheetView showGridLines="0" zoomScale="85" zoomScaleNormal="85" workbookViewId="0">
      <selection activeCell="H20" sqref="H20"/>
    </sheetView>
  </sheetViews>
  <sheetFormatPr baseColWidth="10" defaultColWidth="11.453125" defaultRowHeight="14.5" x14ac:dyDescent="0.35"/>
  <cols>
    <col min="1" max="1" width="3.453125" customWidth="1"/>
    <col min="2" max="2" width="2.453125" customWidth="1"/>
    <col min="5" max="5" width="14" customWidth="1"/>
    <col min="6" max="6" width="13.7265625" customWidth="1"/>
    <col min="7" max="7" width="13.26953125" customWidth="1"/>
    <col min="8" max="8" width="13.453125" customWidth="1"/>
    <col min="9" max="9" width="12.1796875" customWidth="1"/>
    <col min="15" max="15" width="9.81640625" customWidth="1"/>
    <col min="16" max="16" width="2.1796875" customWidth="1"/>
  </cols>
  <sheetData>
    <row r="1" spans="3:11" ht="41.25" customHeight="1" x14ac:dyDescent="0.35">
      <c r="C1" s="90" t="s">
        <v>542</v>
      </c>
    </row>
    <row r="3" spans="3:11" s="91" customFormat="1" ht="12" customHeight="1" x14ac:dyDescent="0.3"/>
    <row r="4" spans="3:11" s="91" customFormat="1" ht="13.5" customHeight="1" x14ac:dyDescent="0.3">
      <c r="H4" s="119" t="s">
        <v>543</v>
      </c>
      <c r="I4" s="119"/>
      <c r="J4" s="119"/>
      <c r="K4" s="119"/>
    </row>
    <row r="5" spans="3:11" s="91" customFormat="1" ht="13.5" x14ac:dyDescent="0.3">
      <c r="H5" s="119"/>
      <c r="I5" s="119"/>
      <c r="J5" s="119"/>
      <c r="K5" s="119"/>
    </row>
    <row r="6" spans="3:11" s="91" customFormat="1" ht="14" x14ac:dyDescent="0.3">
      <c r="H6" s="120" t="s">
        <v>544</v>
      </c>
      <c r="I6" s="120"/>
      <c r="J6" s="120"/>
      <c r="K6" s="120"/>
    </row>
    <row r="7" spans="3:11" s="91" customFormat="1" ht="99.75" customHeight="1" x14ac:dyDescent="0.3">
      <c r="C7" s="121" t="s">
        <v>545</v>
      </c>
      <c r="D7" s="121"/>
      <c r="E7" s="122" t="s">
        <v>546</v>
      </c>
      <c r="F7" s="122"/>
      <c r="G7" s="122"/>
      <c r="H7" s="122"/>
      <c r="I7" s="122"/>
      <c r="J7" s="121" t="s">
        <v>547</v>
      </c>
      <c r="K7" s="121"/>
    </row>
    <row r="8" spans="3:11" s="91" customFormat="1" ht="13.5" x14ac:dyDescent="0.3"/>
    <row r="9" spans="3:11" s="91" customFormat="1" ht="13.5" x14ac:dyDescent="0.3"/>
    <row r="10" spans="3:11" s="91" customFormat="1" ht="13.5" x14ac:dyDescent="0.3"/>
    <row r="11" spans="3:11" s="91" customFormat="1" ht="13.5" x14ac:dyDescent="0.3"/>
    <row r="12" spans="3:11" s="91" customFormat="1" ht="13.5" x14ac:dyDescent="0.3"/>
    <row r="13" spans="3:11" s="91" customFormat="1" ht="13.5" customHeight="1" x14ac:dyDescent="0.3">
      <c r="H13" s="119" t="s">
        <v>543</v>
      </c>
      <c r="I13" s="119"/>
      <c r="J13" s="119"/>
      <c r="K13" s="119"/>
    </row>
    <row r="14" spans="3:11" s="91" customFormat="1" ht="13.5" x14ac:dyDescent="0.3">
      <c r="H14" s="119"/>
      <c r="I14" s="119"/>
      <c r="J14" s="119"/>
      <c r="K14" s="119"/>
    </row>
    <row r="15" spans="3:11" s="91" customFormat="1" ht="14" x14ac:dyDescent="0.3">
      <c r="H15" s="120" t="s">
        <v>544</v>
      </c>
      <c r="I15" s="120"/>
      <c r="J15" s="120"/>
      <c r="K15" s="120"/>
    </row>
    <row r="16" spans="3:11" s="91" customFormat="1" ht="51.75" customHeight="1" x14ac:dyDescent="0.4">
      <c r="C16" s="123" t="s">
        <v>545</v>
      </c>
      <c r="D16" s="123"/>
      <c r="E16" s="122" t="s">
        <v>548</v>
      </c>
      <c r="F16" s="122"/>
      <c r="G16" s="122"/>
      <c r="H16" s="122"/>
      <c r="I16" s="122"/>
      <c r="J16" s="121" t="s">
        <v>547</v>
      </c>
      <c r="K16" s="121"/>
    </row>
  </sheetData>
  <mergeCells count="10">
    <mergeCell ref="H13:K14"/>
    <mergeCell ref="H15:K15"/>
    <mergeCell ref="C16:D16"/>
    <mergeCell ref="E16:I16"/>
    <mergeCell ref="J16:K16"/>
    <mergeCell ref="H4:K5"/>
    <mergeCell ref="H6:K6"/>
    <mergeCell ref="C7:D7"/>
    <mergeCell ref="E7:I7"/>
    <mergeCell ref="J7:K7"/>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7</vt:i4>
      </vt:variant>
    </vt:vector>
  </HeadingPairs>
  <TitlesOfParts>
    <vt:vector size="15" baseType="lpstr">
      <vt:lpstr>Instrucciones</vt:lpstr>
      <vt:lpstr>Versionamiento</vt:lpstr>
      <vt:lpstr>ListadoCP</vt:lpstr>
      <vt:lpstr>Casos de Prueba</vt:lpstr>
      <vt:lpstr>Devops</vt:lpstr>
      <vt:lpstr>Devops_Carga</vt:lpstr>
      <vt:lpstr>Firmas Conformidad</vt:lpstr>
      <vt:lpstr>Encabezado</vt:lpstr>
      <vt:lpstr>'Casos de Prueba'!_Hlk170121364</vt:lpstr>
      <vt:lpstr>'Firmas Conformidad'!_Toc180680970</vt:lpstr>
      <vt:lpstr>'Casos de Prueba'!Área_de_impresión</vt:lpstr>
      <vt:lpstr>Instrucciones!Área_de_impresión</vt:lpstr>
      <vt:lpstr>ListadoCP!Área_de_impresión</vt:lpstr>
      <vt:lpstr>Versionamiento!Área_de_impresión</vt:lpstr>
      <vt:lpstr>'Casos de Prueba'!Títulos_a_imprimir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Licencia Office</cp:lastModifiedBy>
  <cp:revision>4</cp:revision>
  <cp:lastPrinted>2025-07-28T17:14:18Z</cp:lastPrinted>
  <dcterms:created xsi:type="dcterms:W3CDTF">2010-09-30T14:54:59Z</dcterms:created>
  <dcterms:modified xsi:type="dcterms:W3CDTF">2026-01-20T22:46:58Z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