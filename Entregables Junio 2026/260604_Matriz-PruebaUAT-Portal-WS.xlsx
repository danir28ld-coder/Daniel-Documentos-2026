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caceres\Desktop\ECV_Documents\SAT\1 SECTOR PRIMARIO WS\QA UAT WS\260603 matriz - Luis\"/>
    </mc:Choice>
  </mc:AlternateContent>
  <xr:revisionPtr revIDLastSave="0" documentId="13_ncr:1_{359F8F46-3136-401C-9F5B-129F416F905F}" xr6:coauthVersionLast="47" xr6:coauthVersionMax="47" xr10:uidLastSave="{00000000-0000-0000-0000-000000000000}"/>
  <bookViews>
    <workbookView xWindow="28680" yWindow="-120" windowWidth="21840" windowHeight="13140" tabRatio="500" xr2:uid="{00000000-000D-0000-FFFF-FFFF00000000}"/>
  </bookViews>
  <sheets>
    <sheet name="Pruebas Port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1" i="2" l="1"/>
  <c r="M11" i="2"/>
  <c r="N10" i="2"/>
  <c r="M10" i="2"/>
  <c r="N9" i="2"/>
  <c r="M9" i="2"/>
  <c r="N8" i="2"/>
  <c r="M8" i="2"/>
  <c r="N7" i="2"/>
  <c r="M7" i="2"/>
  <c r="N6" i="2"/>
  <c r="M6" i="2"/>
  <c r="N5" i="2"/>
  <c r="M5" i="2"/>
  <c r="O5" i="2" s="1"/>
  <c r="N4" i="2"/>
  <c r="M4" i="2"/>
  <c r="N3" i="2"/>
  <c r="M3" i="2"/>
  <c r="N2" i="2"/>
  <c r="M2" i="2"/>
  <c r="O8" i="2" l="1"/>
  <c r="O6" i="2"/>
  <c r="O7" i="2"/>
  <c r="O4" i="2"/>
  <c r="O9" i="2"/>
  <c r="O3" i="2"/>
  <c r="O11" i="2"/>
  <c r="O2" i="2"/>
  <c r="O10" i="2"/>
</calcChain>
</file>

<file path=xl/sharedStrings.xml><?xml version="1.0" encoding="utf-8"?>
<sst xmlns="http://schemas.openxmlformats.org/spreadsheetml/2006/main" count="94" uniqueCount="40">
  <si>
    <t>300031, 300155</t>
  </si>
  <si>
    <t>TO</t>
  </si>
  <si>
    <t>Emisor</t>
  </si>
  <si>
    <t>Receptor</t>
  </si>
  <si>
    <t xml:space="preserve">REGIMEN </t>
  </si>
  <si>
    <t>Num serie Receptor</t>
  </si>
  <si>
    <t>Obligaciones</t>
  </si>
  <si>
    <t>Roles</t>
  </si>
  <si>
    <t>Actividades</t>
  </si>
  <si>
    <t xml:space="preserve">Resultado </t>
  </si>
  <si>
    <t>Petición Consulta - Primera firma EMISOR-RECEPTOR</t>
  </si>
  <si>
    <t>Petición Consulta - Segunda firma PAC</t>
  </si>
  <si>
    <t>Peticion Token</t>
  </si>
  <si>
    <t>30001000000500003456</t>
  </si>
  <si>
    <t>QUJJ830623JL0</t>
  </si>
  <si>
    <t>300031, 300155, 300665</t>
  </si>
  <si>
    <t>Aprobado</t>
  </si>
  <si>
    <t>PILY750909JI9</t>
  </si>
  <si>
    <t>N/A</t>
  </si>
  <si>
    <t>300031, 300155, 300682</t>
  </si>
  <si>
    <t>FAGJ760203QH4</t>
  </si>
  <si>
    <t>626, 616</t>
  </si>
  <si>
    <t>300475, 300155, 300665, 300682</t>
  </si>
  <si>
    <t>CAMD301211QE2</t>
  </si>
  <si>
    <t>605, 621</t>
  </si>
  <si>
    <t>300155, 300476,
300514</t>
  </si>
  <si>
    <t>216, 94</t>
  </si>
  <si>
    <t>BAGJ8803124R5</t>
  </si>
  <si>
    <t>3, 9 ,579, 30, 203, 33</t>
  </si>
  <si>
    <t>300155, 300429</t>
  </si>
  <si>
    <t>862, 884</t>
  </si>
  <si>
    <t>ROTC910125C1A</t>
  </si>
  <si>
    <t>POVA521205734</t>
  </si>
  <si>
    <t>AAML920925E50</t>
  </si>
  <si>
    <t>30001000000500010891</t>
  </si>
  <si>
    <t>PEZN680104SS2</t>
  </si>
  <si>
    <t>NEGA880410498</t>
  </si>
  <si>
    <t>VEEA9302069E0</t>
  </si>
  <si>
    <t>405, 632</t>
  </si>
  <si>
    <t>04-06-2026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</si>
</sst>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charset val="1"/>
    </font>
    <font>
      <b/>
      <sz val="10"/>
      <color rgb="FF000000"/>
      <name val="Aptos Black"/>
      <family val="2"/>
      <charset val="1"/>
    </font>
    <font>
      <b/>
      <sz val="14"/>
      <color rgb="FF000000"/>
      <name val="Aptos Black"/>
      <family val="2"/>
      <charset val="1"/>
    </font>
    <font>
      <b/>
      <sz val="16"/>
      <name val="Aptos Black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6CAEC"/>
        <bgColor rgb="FFBFBFBF"/>
      </patternFill>
    </fill>
    <fill>
      <patternFill patternType="solid">
        <fgColor rgb="FF46B1E1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BFBFBF"/>
      <rgbColor rgb="FF808080"/>
      <rgbColor rgb="FF9999FF"/>
      <rgbColor rgb="FF993366"/>
      <rgbColor rgb="FFF2F2F2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A6CAEC"/>
      <rgbColor rgb="FFFF99CC"/>
      <rgbColor rgb="FFCC99FF"/>
      <rgbColor rgb="FFFFCC99"/>
      <rgbColor rgb="FF3366FF"/>
      <rgbColor rgb="FF46B1E1"/>
      <rgbColor rgb="FF92D05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tabSelected="1" zoomScale="160" zoomScaleNormal="160" workbookViewId="0">
      <selection activeCell="A4" sqref="A4"/>
    </sheetView>
  </sheetViews>
  <sheetFormatPr baseColWidth="10" defaultColWidth="10.54296875" defaultRowHeight="14.5" x14ac:dyDescent="0.35"/>
  <cols>
    <col min="1" max="1" width="17.08984375" customWidth="1"/>
    <col min="3" max="3" width="3.1796875" customWidth="1"/>
    <col min="4" max="4" width="16.54296875" customWidth="1"/>
    <col min="5" max="5" width="15.54296875" customWidth="1"/>
    <col min="6" max="6" width="9.54296875" customWidth="1"/>
    <col min="7" max="7" width="21" customWidth="1"/>
    <col min="9" max="9" width="17.1796875" customWidth="1"/>
    <col min="10" max="10" width="11.453125" customWidth="1"/>
    <col min="11" max="11" width="12.08984375" customWidth="1"/>
    <col min="13" max="13" width="88" customWidth="1"/>
    <col min="14" max="14" width="83.90625" customWidth="1"/>
    <col min="15" max="15" width="85.81640625" customWidth="1"/>
    <col min="16" max="16" width="70.81640625" customWidth="1"/>
  </cols>
  <sheetData>
    <row r="1" spans="1:16" ht="26" x14ac:dyDescent="0.35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3" t="s">
        <v>10</v>
      </c>
      <c r="N1" s="3" t="s">
        <v>11</v>
      </c>
      <c r="P1" s="3" t="s">
        <v>12</v>
      </c>
    </row>
    <row r="2" spans="1:16" ht="43.5" x14ac:dyDescent="0.35">
      <c r="A2" s="4" t="s">
        <v>39</v>
      </c>
      <c r="B2" s="5" t="s">
        <v>13</v>
      </c>
      <c r="C2" s="6">
        <v>1</v>
      </c>
      <c r="D2" s="7" t="s">
        <v>14</v>
      </c>
      <c r="E2" s="12" t="s">
        <v>33</v>
      </c>
      <c r="F2" s="7">
        <v>626</v>
      </c>
      <c r="G2" s="8" t="s">
        <v>34</v>
      </c>
      <c r="H2" s="7">
        <v>3</v>
      </c>
      <c r="I2" s="7" t="s">
        <v>15</v>
      </c>
      <c r="J2" s="7">
        <v>68</v>
      </c>
      <c r="K2" s="7" t="s">
        <v>16</v>
      </c>
      <c r="L2" s="9"/>
      <c r="M2" s="10" t="str">
        <f t="shared" ref="M2:M11" si="0">CONCATENATE("||",D2,"|",E2,"|",C2,"|",G2,"|","Petición firmada por el Receptor","||")</f>
        <v>||QUJJ830623JL0|AAML920925E50|1|30001000000500010891|Petición firmada por el Receptor||</v>
      </c>
      <c r="N2" s="10" t="str">
        <f t="shared" ref="N2:N11" si="1">CONCATENATE("||","SPR190613I52","|",A2,"|",B2,"|","Petición firmada por el Receptor","||")</f>
        <v>||SPR190613I52|04-06-2026 18:00:00|30001000000500003456|Petición firmada por el Receptor||</v>
      </c>
      <c r="O2" s="11" t="str">
        <f t="shared" ref="O2:O11" si="2">CONCATENATE(M2, CHAR(10), N2)</f>
        <v>||QUJJ830623JL0|AAML920925E50|1|30001000000500010891|Petición firmada por el Receptor||
||SPR190613I52|04-06-2026 18:00:00|30001000000500003456|Petición firmada por el Receptor||</v>
      </c>
    </row>
    <row r="3" spans="1:16" ht="43.5" x14ac:dyDescent="0.35">
      <c r="A3" s="4" t="s">
        <v>39</v>
      </c>
      <c r="B3" s="5" t="s">
        <v>13</v>
      </c>
      <c r="C3" s="6">
        <v>2</v>
      </c>
      <c r="D3" s="7" t="s">
        <v>17</v>
      </c>
      <c r="E3" s="12" t="s">
        <v>33</v>
      </c>
      <c r="F3" s="7">
        <v>606</v>
      </c>
      <c r="G3" s="8" t="s">
        <v>34</v>
      </c>
      <c r="H3" s="7" t="s">
        <v>18</v>
      </c>
      <c r="I3" s="7" t="s">
        <v>19</v>
      </c>
      <c r="J3" s="7">
        <v>453</v>
      </c>
      <c r="K3" s="7" t="s">
        <v>16</v>
      </c>
      <c r="L3" s="9"/>
      <c r="M3" s="10" t="str">
        <f t="shared" si="0"/>
        <v>||PILY750909JI9|AAML920925E50|2|30001000000500010891|Petición firmada por el Receptor||</v>
      </c>
      <c r="N3" s="10" t="str">
        <f t="shared" si="1"/>
        <v>||SPR190613I52|04-06-2026 18:00:00|30001000000500003456|Petición firmada por el Receptor||</v>
      </c>
      <c r="O3" s="11" t="str">
        <f t="shared" si="2"/>
        <v>||PILY750909JI9|AAML920925E50|2|30001000000500010891|Petición firmada por el Receptor||
||SPR190613I52|04-06-2026 18:00:00|30001000000500003456|Petición firmada por el Receptor||</v>
      </c>
    </row>
    <row r="4" spans="1:16" ht="43.5" x14ac:dyDescent="0.35">
      <c r="A4" s="4" t="s">
        <v>39</v>
      </c>
      <c r="B4" s="5" t="s">
        <v>13</v>
      </c>
      <c r="C4" s="6">
        <v>3</v>
      </c>
      <c r="D4" s="7" t="s">
        <v>20</v>
      </c>
      <c r="E4" s="12" t="s">
        <v>33</v>
      </c>
      <c r="F4" s="7" t="s">
        <v>21</v>
      </c>
      <c r="G4" s="8" t="s">
        <v>34</v>
      </c>
      <c r="H4" s="7" t="s">
        <v>18</v>
      </c>
      <c r="I4" s="7" t="s">
        <v>22</v>
      </c>
      <c r="J4" s="7">
        <v>95</v>
      </c>
      <c r="K4" s="7" t="s">
        <v>16</v>
      </c>
      <c r="L4" s="9"/>
      <c r="M4" s="10" t="str">
        <f t="shared" si="0"/>
        <v>||FAGJ760203QH4|AAML920925E50|3|30001000000500010891|Petición firmada por el Receptor||</v>
      </c>
      <c r="N4" s="10" t="str">
        <f t="shared" si="1"/>
        <v>||SPR190613I52|04-06-2026 18:00:00|30001000000500003456|Petición firmada por el Receptor||</v>
      </c>
      <c r="O4" s="11" t="str">
        <f t="shared" si="2"/>
        <v>||FAGJ760203QH4|AAML920925E50|3|30001000000500010891|Petición firmada por el Receptor||
||SPR190613I52|04-06-2026 18:00:00|30001000000500003456|Petición firmada por el Receptor||</v>
      </c>
    </row>
    <row r="5" spans="1:16" ht="43.5" x14ac:dyDescent="0.35">
      <c r="A5" s="4" t="s">
        <v>39</v>
      </c>
      <c r="B5" s="5" t="s">
        <v>13</v>
      </c>
      <c r="C5" s="6">
        <v>4</v>
      </c>
      <c r="D5" s="7" t="s">
        <v>23</v>
      </c>
      <c r="E5" s="12" t="s">
        <v>33</v>
      </c>
      <c r="F5" s="7" t="s">
        <v>24</v>
      </c>
      <c r="G5" s="8" t="s">
        <v>34</v>
      </c>
      <c r="H5" s="7">
        <v>735</v>
      </c>
      <c r="I5" s="7" t="s">
        <v>25</v>
      </c>
      <c r="J5" s="7" t="s">
        <v>26</v>
      </c>
      <c r="K5" s="7" t="s">
        <v>16</v>
      </c>
      <c r="L5" s="9"/>
      <c r="M5" s="10" t="str">
        <f t="shared" si="0"/>
        <v>||CAMD301211QE2|AAML920925E50|4|30001000000500010891|Petición firmada por el Receptor||</v>
      </c>
      <c r="N5" s="10" t="str">
        <f t="shared" si="1"/>
        <v>||SPR190613I52|04-06-2026 18:00:00|30001000000500003456|Petición firmada por el Receptor||</v>
      </c>
      <c r="O5" s="11" t="str">
        <f t="shared" si="2"/>
        <v>||CAMD301211QE2|AAML920925E50|4|30001000000500010891|Petición firmada por el Receptor||
||SPR190613I52|04-06-2026 18:00:00|30001000000500003456|Petición firmada por el Receptor||</v>
      </c>
    </row>
    <row r="6" spans="1:16" ht="43.5" x14ac:dyDescent="0.35">
      <c r="A6" s="4" t="s">
        <v>39</v>
      </c>
      <c r="B6" s="5" t="s">
        <v>13</v>
      </c>
      <c r="C6" s="6">
        <v>5</v>
      </c>
      <c r="D6" s="7" t="s">
        <v>27</v>
      </c>
      <c r="E6" s="12" t="s">
        <v>33</v>
      </c>
      <c r="F6" s="7">
        <v>612</v>
      </c>
      <c r="G6" s="8" t="s">
        <v>34</v>
      </c>
      <c r="H6" s="7" t="s">
        <v>28</v>
      </c>
      <c r="I6" s="7" t="s">
        <v>29</v>
      </c>
      <c r="J6" s="7" t="s">
        <v>30</v>
      </c>
      <c r="K6" s="7" t="s">
        <v>16</v>
      </c>
      <c r="L6" s="9"/>
      <c r="M6" s="10" t="str">
        <f t="shared" si="0"/>
        <v>||BAGJ8803124R5|AAML920925E50|5|30001000000500010891|Petición firmada por el Receptor||</v>
      </c>
      <c r="N6" s="10" t="str">
        <f t="shared" si="1"/>
        <v>||SPR190613I52|04-06-2026 18:00:00|30001000000500003456|Petición firmada por el Receptor||</v>
      </c>
      <c r="O6" s="11" t="str">
        <f t="shared" si="2"/>
        <v>||BAGJ8803124R5|AAML920925E50|5|30001000000500010891|Petición firmada por el Receptor||
||SPR190613I52|04-06-2026 18:00:00|30001000000500003456|Petición firmada por el Receptor||</v>
      </c>
    </row>
    <row r="7" spans="1:16" ht="43.5" x14ac:dyDescent="0.35">
      <c r="A7" s="4" t="s">
        <v>39</v>
      </c>
      <c r="B7" s="5" t="s">
        <v>13</v>
      </c>
      <c r="C7" s="6">
        <v>6</v>
      </c>
      <c r="D7" s="7" t="s">
        <v>31</v>
      </c>
      <c r="E7" s="12" t="s">
        <v>33</v>
      </c>
      <c r="F7" s="7">
        <v>605</v>
      </c>
      <c r="G7" s="8" t="s">
        <v>34</v>
      </c>
      <c r="H7" s="7" t="s">
        <v>18</v>
      </c>
      <c r="I7" s="7" t="s">
        <v>0</v>
      </c>
      <c r="J7" s="7">
        <v>434</v>
      </c>
      <c r="K7" s="7" t="s">
        <v>16</v>
      </c>
      <c r="L7" s="9"/>
      <c r="M7" s="10" t="str">
        <f t="shared" si="0"/>
        <v>||ROTC910125C1A|AAML920925E50|6|30001000000500010891|Petición firmada por el Receptor||</v>
      </c>
      <c r="N7" s="10" t="str">
        <f t="shared" si="1"/>
        <v>||SPR190613I52|04-06-2026 18:00:00|30001000000500003456|Petición firmada por el Receptor||</v>
      </c>
      <c r="O7" s="11" t="str">
        <f t="shared" si="2"/>
        <v>||ROTC910125C1A|AAML920925E50|6|30001000000500010891|Petición firmada por el Receptor||
||SPR190613I52|04-06-2026 18:00:00|30001000000500003456|Petición firmada por el Receptor||</v>
      </c>
    </row>
    <row r="8" spans="1:16" ht="43.5" x14ac:dyDescent="0.35">
      <c r="A8" s="4" t="s">
        <v>39</v>
      </c>
      <c r="B8" s="5" t="s">
        <v>13</v>
      </c>
      <c r="C8" s="6">
        <v>7</v>
      </c>
      <c r="D8" s="7" t="s">
        <v>32</v>
      </c>
      <c r="E8" s="12" t="s">
        <v>33</v>
      </c>
      <c r="F8" s="7">
        <v>605</v>
      </c>
      <c r="G8" s="8" t="s">
        <v>34</v>
      </c>
      <c r="H8" s="7" t="s">
        <v>18</v>
      </c>
      <c r="I8" s="7" t="s">
        <v>0</v>
      </c>
      <c r="J8" s="7">
        <v>1123</v>
      </c>
      <c r="K8" s="7" t="s">
        <v>16</v>
      </c>
      <c r="L8" s="9"/>
      <c r="M8" s="10" t="str">
        <f t="shared" si="0"/>
        <v>||POVA521205734|AAML920925E50|7|30001000000500010891|Petición firmada por el Receptor||</v>
      </c>
      <c r="N8" s="10" t="str">
        <f t="shared" si="1"/>
        <v>||SPR190613I52|04-06-2026 18:00:00|30001000000500003456|Petición firmada por el Receptor||</v>
      </c>
      <c r="O8" s="11" t="str">
        <f t="shared" si="2"/>
        <v>||POVA521205734|AAML920925E50|7|30001000000500010891|Petición firmada por el Receptor||
||SPR190613I52|04-06-2026 18:00:00|30001000000500003456|Petición firmada por el Receptor||</v>
      </c>
    </row>
    <row r="9" spans="1:16" ht="43.5" x14ac:dyDescent="0.35">
      <c r="A9" s="4" t="s">
        <v>39</v>
      </c>
      <c r="B9" s="5" t="s">
        <v>13</v>
      </c>
      <c r="C9" s="6">
        <v>8</v>
      </c>
      <c r="D9" s="7" t="s">
        <v>35</v>
      </c>
      <c r="E9" s="12" t="s">
        <v>33</v>
      </c>
      <c r="F9" s="7">
        <v>605</v>
      </c>
      <c r="G9" s="8" t="s">
        <v>34</v>
      </c>
      <c r="H9" s="7" t="s">
        <v>18</v>
      </c>
      <c r="I9" s="7" t="s">
        <v>0</v>
      </c>
      <c r="J9" s="7">
        <v>1112</v>
      </c>
      <c r="K9" s="7" t="s">
        <v>16</v>
      </c>
      <c r="L9" s="9"/>
      <c r="M9" s="10" t="str">
        <f t="shared" si="0"/>
        <v>||PEZN680104SS2|AAML920925E50|8|30001000000500010891|Petición firmada por el Receptor||</v>
      </c>
      <c r="N9" s="10" t="str">
        <f t="shared" si="1"/>
        <v>||SPR190613I52|04-06-2026 18:00:00|30001000000500003456|Petición firmada por el Receptor||</v>
      </c>
      <c r="O9" s="11" t="str">
        <f t="shared" si="2"/>
        <v>||PEZN680104SS2|AAML920925E50|8|30001000000500010891|Petición firmada por el Receptor||
||SPR190613I52|04-06-2026 18:00:00|30001000000500003456|Petición firmada por el Receptor||</v>
      </c>
    </row>
    <row r="10" spans="1:16" ht="43.5" x14ac:dyDescent="0.35">
      <c r="A10" s="4" t="s">
        <v>39</v>
      </c>
      <c r="B10" s="5" t="s">
        <v>13</v>
      </c>
      <c r="C10" s="6">
        <v>9</v>
      </c>
      <c r="D10" s="7" t="s">
        <v>36</v>
      </c>
      <c r="E10" s="12" t="s">
        <v>33</v>
      </c>
      <c r="F10" s="7">
        <v>612</v>
      </c>
      <c r="G10" s="8" t="s">
        <v>34</v>
      </c>
      <c r="H10" s="7" t="s">
        <v>18</v>
      </c>
      <c r="I10" s="7" t="s">
        <v>0</v>
      </c>
      <c r="J10" s="7">
        <v>632</v>
      </c>
      <c r="K10" s="7" t="s">
        <v>16</v>
      </c>
      <c r="L10" s="9"/>
      <c r="M10" s="10" t="str">
        <f t="shared" si="0"/>
        <v>||NEGA880410498|AAML920925E50|9|30001000000500010891|Petición firmada por el Receptor||</v>
      </c>
      <c r="N10" s="10" t="str">
        <f t="shared" si="1"/>
        <v>||SPR190613I52|04-06-2026 18:00:00|30001000000500003456|Petición firmada por el Receptor||</v>
      </c>
      <c r="O10" s="11" t="str">
        <f t="shared" si="2"/>
        <v>||NEGA880410498|AAML920925E50|9|30001000000500010891|Petición firmada por el Receptor||
||SPR190613I52|04-06-2026 18:00:00|30001000000500003456|Petición firmada por el Receptor||</v>
      </c>
    </row>
    <row r="11" spans="1:16" ht="43.5" x14ac:dyDescent="0.35">
      <c r="A11" s="4" t="s">
        <v>39</v>
      </c>
      <c r="B11" s="5" t="s">
        <v>13</v>
      </c>
      <c r="C11" s="6">
        <v>10</v>
      </c>
      <c r="D11" s="7" t="s">
        <v>37</v>
      </c>
      <c r="E11" s="12" t="s">
        <v>33</v>
      </c>
      <c r="F11" s="7">
        <v>612</v>
      </c>
      <c r="G11" s="8" t="s">
        <v>34</v>
      </c>
      <c r="H11" s="7" t="s">
        <v>18</v>
      </c>
      <c r="I11" s="7">
        <v>300155</v>
      </c>
      <c r="J11" s="7" t="s">
        <v>38</v>
      </c>
      <c r="K11" s="7" t="s">
        <v>16</v>
      </c>
      <c r="L11" s="9"/>
      <c r="M11" s="10" t="str">
        <f t="shared" si="0"/>
        <v>||VEEA9302069E0|AAML920925E50|10|30001000000500010891|Petición firmada por el Receptor||</v>
      </c>
      <c r="N11" s="10" t="str">
        <f t="shared" si="1"/>
        <v>||SPR190613I52|04-06-2026 18:00:00|30001000000500003456|Petición firmada por el Receptor||</v>
      </c>
      <c r="O11" s="11" t="str">
        <f t="shared" si="2"/>
        <v>||VEEA9302069E0|AAML920925E50|10|30001000000500010891|Petición firmada por el Receptor||
||SPR190613I52|04-06-2026 18:00:00|30001000000500003456|Petición firmada por el Receptor||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 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Licencia Office</dc:creator>
  <dc:description/>
  <cp:lastModifiedBy>Licencia Office</cp:lastModifiedBy>
  <cp:revision>2</cp:revision>
  <cp:lastPrinted>2026-03-25T20:13:18Z</cp:lastPrinted>
  <dcterms:created xsi:type="dcterms:W3CDTF">2025-07-24T22:39:01Z</dcterms:created>
  <dcterms:modified xsi:type="dcterms:W3CDTF">2026-06-04T16:39:38Z</dcterms:modified>
  <dc:language>es-MX</dc:language>
</cp:coreProperties>
</file>