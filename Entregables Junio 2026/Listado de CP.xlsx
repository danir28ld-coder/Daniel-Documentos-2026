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aniel Robles\Desktop\DTA-DPA\Documentacion  RDP\"/>
    </mc:Choice>
  </mc:AlternateContent>
  <xr:revisionPtr revIDLastSave="0" documentId="8_{122EFFCC-C4D0-4F73-81BF-65A7939B015D}" xr6:coauthVersionLast="47" xr6:coauthVersionMax="47" xr10:uidLastSave="{00000000-0000-0000-0000-000000000000}"/>
  <bookViews>
    <workbookView xWindow="-110" yWindow="-110" windowWidth="19420" windowHeight="10300" tabRatio="500" firstSheet="2" activeTab="3" xr2:uid="{00000000-000D-0000-FFFF-FFFF00000000}"/>
  </bookViews>
  <sheets>
    <sheet name="Instrucciones" sheetId="1" r:id="rId1"/>
    <sheet name="Versionamiento" sheetId="2" r:id="rId2"/>
    <sheet name="ListadoCP DTA" sheetId="9" r:id="rId3"/>
    <sheet name="ListadoCP DPA-DTA" sheetId="10" r:id="rId4"/>
    <sheet name="ListadoCP DPA" sheetId="3" r:id="rId5"/>
    <sheet name="Casos de Prueba" sheetId="4" r:id="rId6"/>
    <sheet name="Devops" sheetId="5" r:id="rId7"/>
    <sheet name="Devops_Carga" sheetId="6" r:id="rId8"/>
    <sheet name="Firmas Conformidad" sheetId="7" r:id="rId9"/>
    <sheet name="Encabezado" sheetId="8" r:id="rId10"/>
  </sheets>
  <definedNames>
    <definedName name="_xlnm._FilterDatabase" localSheetId="5" hidden="1">'Casos de Prueba'!$N$17:$N$197</definedName>
    <definedName name="_xlnm.Print_Area" localSheetId="0">Instrucciones!$A$13:$N$30</definedName>
    <definedName name="_xlnm.Print_Area" localSheetId="1">Versionamiento!$A$12:$N$12</definedName>
    <definedName name="_xlnm.Print_Titles" localSheetId="5">'Casos de Prueba'!$1:$9</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10" i="5" l="1"/>
  <c r="B210" i="5" s="1"/>
  <c r="E210" i="5"/>
  <c r="A210" i="5" s="1"/>
  <c r="D210" i="5"/>
  <c r="F209" i="5"/>
  <c r="B209" i="5" s="1"/>
  <c r="E209" i="5"/>
  <c r="A209" i="5" s="1"/>
  <c r="D209" i="5"/>
  <c r="F208" i="5"/>
  <c r="B208" i="5" s="1"/>
  <c r="E208" i="5"/>
  <c r="A208" i="5" s="1"/>
  <c r="D208" i="5"/>
  <c r="F207" i="5"/>
  <c r="B207" i="5" s="1"/>
  <c r="E207" i="5"/>
  <c r="A207" i="5" s="1"/>
  <c r="D207" i="5"/>
  <c r="C206" i="5"/>
  <c r="C205" i="5"/>
  <c r="C204" i="5"/>
  <c r="F204" i="5" s="1"/>
  <c r="B204" i="5" s="1"/>
  <c r="C203" i="5"/>
  <c r="C202" i="5"/>
  <c r="C201" i="5"/>
  <c r="C200" i="5"/>
  <c r="C199" i="5"/>
  <c r="C198" i="5"/>
  <c r="C197" i="5"/>
  <c r="C196" i="5"/>
  <c r="C195" i="5"/>
  <c r="C194" i="5"/>
  <c r="C193" i="5"/>
  <c r="C192" i="5"/>
  <c r="C191" i="5"/>
  <c r="C190" i="5"/>
  <c r="C189" i="5"/>
  <c r="C188" i="5"/>
  <c r="C187" i="5"/>
  <c r="D187" i="5" s="1"/>
  <c r="C186" i="5"/>
  <c r="C185" i="5"/>
  <c r="C184" i="5"/>
  <c r="C183" i="5"/>
  <c r="F183" i="5" s="1"/>
  <c r="B183" i="5" s="1"/>
  <c r="C182" i="5"/>
  <c r="C181" i="5"/>
  <c r="C180" i="5"/>
  <c r="C179" i="5"/>
  <c r="C178" i="5"/>
  <c r="C177" i="5"/>
  <c r="C176" i="5"/>
  <c r="C175" i="5"/>
  <c r="C174" i="5"/>
  <c r="E174" i="5" s="1"/>
  <c r="A174" i="5" s="1"/>
  <c r="C173" i="5"/>
  <c r="C172" i="5"/>
  <c r="C171" i="5"/>
  <c r="C170" i="5"/>
  <c r="C169" i="5"/>
  <c r="C168" i="5"/>
  <c r="C167" i="5"/>
  <c r="C166" i="5"/>
  <c r="C165" i="5"/>
  <c r="C164" i="5"/>
  <c r="C163" i="5"/>
  <c r="D163" i="5" s="1"/>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F130" i="5" s="1"/>
  <c r="B130" i="5" s="1"/>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F77" i="5" s="1"/>
  <c r="B77" i="5" s="1"/>
  <c r="C76" i="5"/>
  <c r="C75" i="5"/>
  <c r="C74" i="5"/>
  <c r="C73" i="5"/>
  <c r="C72" i="5"/>
  <c r="C71" i="5"/>
  <c r="C70" i="5"/>
  <c r="C69" i="5"/>
  <c r="C68" i="5"/>
  <c r="C67" i="5"/>
  <c r="C66" i="5"/>
  <c r="C65" i="5"/>
  <c r="C64" i="5"/>
  <c r="C63" i="5"/>
  <c r="C62" i="5"/>
  <c r="C61" i="5"/>
  <c r="C60" i="5"/>
  <c r="E60" i="5" s="1"/>
  <c r="A60" i="5" s="1"/>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F24" i="5" s="1"/>
  <c r="B24" i="5" s="1"/>
  <c r="C23" i="5"/>
  <c r="C22" i="5"/>
  <c r="C21" i="5"/>
  <c r="C20" i="5"/>
  <c r="C19" i="5"/>
  <c r="F206" i="5" l="1"/>
  <c r="B206" i="5" s="1"/>
  <c r="E206" i="5"/>
  <c r="A206" i="5" s="1"/>
  <c r="D206" i="5"/>
  <c r="F205" i="5"/>
  <c r="B205" i="5" s="1"/>
  <c r="E205" i="5"/>
  <c r="A205" i="5" s="1"/>
  <c r="D205" i="5"/>
  <c r="D204" i="5"/>
  <c r="E204" i="5"/>
  <c r="A204" i="5" s="1"/>
  <c r="E203" i="5"/>
  <c r="A203" i="5" s="1"/>
  <c r="D203" i="5"/>
  <c r="F203" i="5"/>
  <c r="B203" i="5" s="1"/>
  <c r="F202" i="5"/>
  <c r="B202" i="5" s="1"/>
  <c r="E202" i="5"/>
  <c r="A202" i="5" s="1"/>
  <c r="D202" i="5"/>
  <c r="F201" i="5"/>
  <c r="B201" i="5" s="1"/>
  <c r="D201" i="5"/>
  <c r="E201" i="5"/>
  <c r="A201" i="5" s="1"/>
  <c r="D200" i="5"/>
  <c r="F200" i="5"/>
  <c r="B200" i="5" s="1"/>
  <c r="E200" i="5"/>
  <c r="A200" i="5" s="1"/>
  <c r="E199" i="5"/>
  <c r="A199" i="5" s="1"/>
  <c r="F199" i="5"/>
  <c r="B199" i="5" s="1"/>
  <c r="D199" i="5"/>
  <c r="E198" i="5"/>
  <c r="A198" i="5" s="1"/>
  <c r="F198" i="5"/>
  <c r="B198" i="5" s="1"/>
  <c r="D198" i="5"/>
  <c r="D197" i="5"/>
  <c r="E197" i="5"/>
  <c r="A197" i="5" s="1"/>
  <c r="F197" i="5"/>
  <c r="B197" i="5" s="1"/>
  <c r="E196" i="5"/>
  <c r="A196" i="5" s="1"/>
  <c r="D196" i="5"/>
  <c r="F196" i="5"/>
  <c r="B196" i="5" s="1"/>
  <c r="F195" i="5"/>
  <c r="B195" i="5" s="1"/>
  <c r="E195" i="5"/>
  <c r="A195" i="5" s="1"/>
  <c r="D195" i="5"/>
  <c r="F194" i="5"/>
  <c r="B194" i="5" s="1"/>
  <c r="E194" i="5"/>
  <c r="A194" i="5" s="1"/>
  <c r="D194" i="5"/>
  <c r="E193" i="5"/>
  <c r="A193" i="5" s="1"/>
  <c r="F193" i="5"/>
  <c r="B193" i="5" s="1"/>
  <c r="D193" i="5"/>
  <c r="F192" i="5"/>
  <c r="B192" i="5" s="1"/>
  <c r="D192" i="5"/>
  <c r="E192" i="5"/>
  <c r="A192" i="5" s="1"/>
  <c r="F191" i="5"/>
  <c r="B191" i="5" s="1"/>
  <c r="D191" i="5"/>
  <c r="E191" i="5"/>
  <c r="A191" i="5" s="1"/>
  <c r="F190" i="5"/>
  <c r="B190" i="5" s="1"/>
  <c r="D190" i="5"/>
  <c r="E190" i="5"/>
  <c r="A190" i="5" s="1"/>
  <c r="E189" i="5"/>
  <c r="A189" i="5" s="1"/>
  <c r="F189" i="5"/>
  <c r="B189" i="5" s="1"/>
  <c r="D189" i="5"/>
  <c r="E188" i="5"/>
  <c r="A188" i="5" s="1"/>
  <c r="D188" i="5"/>
  <c r="F188" i="5"/>
  <c r="B188" i="5" s="1"/>
  <c r="F187" i="5"/>
  <c r="B187" i="5" s="1"/>
  <c r="E187" i="5"/>
  <c r="A187" i="5" s="1"/>
  <c r="E186" i="5"/>
  <c r="A186" i="5" s="1"/>
  <c r="F186" i="5"/>
  <c r="B186" i="5" s="1"/>
  <c r="D186" i="5"/>
  <c r="E185" i="5"/>
  <c r="A185" i="5" s="1"/>
  <c r="F185" i="5"/>
  <c r="B185" i="5" s="1"/>
  <c r="D185" i="5"/>
  <c r="F184" i="5"/>
  <c r="B184" i="5" s="1"/>
  <c r="E184" i="5"/>
  <c r="A184" i="5" s="1"/>
  <c r="D184" i="5"/>
  <c r="D183" i="5"/>
  <c r="E183" i="5"/>
  <c r="A183" i="5" s="1"/>
  <c r="F182" i="5"/>
  <c r="B182" i="5" s="1"/>
  <c r="E182" i="5"/>
  <c r="A182" i="5" s="1"/>
  <c r="D182" i="5"/>
  <c r="F181" i="5"/>
  <c r="B181" i="5" s="1"/>
  <c r="E181" i="5"/>
  <c r="A181" i="5" s="1"/>
  <c r="D181" i="5"/>
  <c r="F180" i="5"/>
  <c r="B180" i="5" s="1"/>
  <c r="E180" i="5"/>
  <c r="A180" i="5" s="1"/>
  <c r="D180" i="5"/>
  <c r="F179" i="5"/>
  <c r="B179" i="5" s="1"/>
  <c r="E179" i="5"/>
  <c r="A179" i="5" s="1"/>
  <c r="D179" i="5"/>
  <c r="D178" i="5"/>
  <c r="F178" i="5"/>
  <c r="B178" i="5" s="1"/>
  <c r="E178" i="5"/>
  <c r="A178" i="5" s="1"/>
  <c r="F177" i="5"/>
  <c r="B177" i="5" s="1"/>
  <c r="D177" i="5"/>
  <c r="E177" i="5"/>
  <c r="A177" i="5" s="1"/>
  <c r="F176" i="5"/>
  <c r="B176" i="5" s="1"/>
  <c r="D176" i="5"/>
  <c r="E176" i="5"/>
  <c r="A176" i="5" s="1"/>
  <c r="E175" i="5"/>
  <c r="A175" i="5" s="1"/>
  <c r="D175" i="5"/>
  <c r="F175" i="5"/>
  <c r="B175" i="5" s="1"/>
  <c r="D174" i="5"/>
  <c r="F174" i="5"/>
  <c r="B174" i="5" s="1"/>
  <c r="D173" i="5"/>
  <c r="F173" i="5"/>
  <c r="B173" i="5" s="1"/>
  <c r="E173" i="5"/>
  <c r="A173" i="5" s="1"/>
  <c r="F172" i="5"/>
  <c r="B172" i="5" s="1"/>
  <c r="E172" i="5"/>
  <c r="A172" i="5" s="1"/>
  <c r="D172" i="5"/>
  <c r="D171" i="5"/>
  <c r="E171" i="5"/>
  <c r="A171" i="5" s="1"/>
  <c r="F171" i="5"/>
  <c r="B171" i="5" s="1"/>
  <c r="F170" i="5"/>
  <c r="B170" i="5" s="1"/>
  <c r="D170" i="5"/>
  <c r="E170" i="5"/>
  <c r="A170" i="5" s="1"/>
  <c r="E169" i="5"/>
  <c r="A169" i="5" s="1"/>
  <c r="F169" i="5"/>
  <c r="B169" i="5" s="1"/>
  <c r="D169" i="5"/>
  <c r="E168" i="5"/>
  <c r="A168" i="5" s="1"/>
  <c r="F168" i="5"/>
  <c r="B168" i="5" s="1"/>
  <c r="D168" i="5"/>
  <c r="E167" i="5"/>
  <c r="A167" i="5" s="1"/>
  <c r="F167" i="5"/>
  <c r="B167" i="5" s="1"/>
  <c r="D167" i="5"/>
  <c r="E166" i="5"/>
  <c r="A166" i="5" s="1"/>
  <c r="D166" i="5"/>
  <c r="F166" i="5"/>
  <c r="B166" i="5" s="1"/>
  <c r="E165" i="5"/>
  <c r="A165" i="5" s="1"/>
  <c r="D165" i="5"/>
  <c r="F165" i="5"/>
  <c r="B165" i="5" s="1"/>
  <c r="E164" i="5"/>
  <c r="A164" i="5" s="1"/>
  <c r="F164" i="5"/>
  <c r="B164" i="5" s="1"/>
  <c r="D164" i="5"/>
  <c r="F163" i="5"/>
  <c r="B163" i="5" s="1"/>
  <c r="E163" i="5"/>
  <c r="A163" i="5" s="1"/>
  <c r="E162" i="5"/>
  <c r="A162" i="5" s="1"/>
  <c r="F162" i="5"/>
  <c r="B162" i="5" s="1"/>
  <c r="D162" i="5"/>
  <c r="F161" i="5"/>
  <c r="B161" i="5" s="1"/>
  <c r="D161" i="5"/>
  <c r="E161" i="5"/>
  <c r="A161" i="5" s="1"/>
  <c r="F160" i="5"/>
  <c r="B160" i="5" s="1"/>
  <c r="D160" i="5"/>
  <c r="E160" i="5"/>
  <c r="A160" i="5" s="1"/>
  <c r="D159" i="5"/>
  <c r="E159" i="5"/>
  <c r="A159" i="5" s="1"/>
  <c r="F159" i="5"/>
  <c r="B159" i="5" s="1"/>
  <c r="F158" i="5"/>
  <c r="B158" i="5" s="1"/>
  <c r="D158" i="5"/>
  <c r="E158" i="5"/>
  <c r="A158" i="5" s="1"/>
  <c r="F157" i="5"/>
  <c r="B157" i="5" s="1"/>
  <c r="E157" i="5"/>
  <c r="A157" i="5" s="1"/>
  <c r="D157" i="5"/>
  <c r="E156" i="5"/>
  <c r="A156" i="5" s="1"/>
  <c r="F156" i="5"/>
  <c r="B156" i="5" s="1"/>
  <c r="D156" i="5"/>
  <c r="E155" i="5"/>
  <c r="A155" i="5" s="1"/>
  <c r="F155" i="5"/>
  <c r="B155" i="5" s="1"/>
  <c r="D155" i="5"/>
  <c r="D154" i="5"/>
  <c r="F154" i="5"/>
  <c r="B154" i="5" s="1"/>
  <c r="E154" i="5"/>
  <c r="A154" i="5" s="1"/>
  <c r="F153" i="5"/>
  <c r="B153" i="5" s="1"/>
  <c r="E153" i="5"/>
  <c r="A153" i="5" s="1"/>
  <c r="D153" i="5"/>
  <c r="D152" i="5"/>
  <c r="F152" i="5"/>
  <c r="B152" i="5" s="1"/>
  <c r="E152" i="5"/>
  <c r="A152" i="5" s="1"/>
  <c r="F151" i="5"/>
  <c r="B151" i="5" s="1"/>
  <c r="D151" i="5"/>
  <c r="E151" i="5"/>
  <c r="A151" i="5" s="1"/>
  <c r="D150" i="5"/>
  <c r="F150" i="5"/>
  <c r="B150" i="5" s="1"/>
  <c r="E150" i="5"/>
  <c r="A150" i="5" s="1"/>
  <c r="F149" i="5"/>
  <c r="B149" i="5" s="1"/>
  <c r="E149" i="5"/>
  <c r="A149" i="5" s="1"/>
  <c r="D149" i="5"/>
  <c r="D148" i="5"/>
  <c r="F148" i="5"/>
  <c r="B148" i="5" s="1"/>
  <c r="E148" i="5"/>
  <c r="A148" i="5" s="1"/>
  <c r="D147" i="5"/>
  <c r="F147" i="5"/>
  <c r="B147" i="5" s="1"/>
  <c r="E147" i="5"/>
  <c r="A147" i="5" s="1"/>
  <c r="F146" i="5"/>
  <c r="B146" i="5" s="1"/>
  <c r="E146" i="5"/>
  <c r="A146" i="5" s="1"/>
  <c r="D146" i="5"/>
  <c r="F145" i="5"/>
  <c r="B145" i="5" s="1"/>
  <c r="E145" i="5"/>
  <c r="A145" i="5" s="1"/>
  <c r="D145" i="5"/>
  <c r="F144" i="5"/>
  <c r="B144" i="5" s="1"/>
  <c r="E144" i="5"/>
  <c r="A144" i="5" s="1"/>
  <c r="D144" i="5"/>
  <c r="F143" i="5"/>
  <c r="B143" i="5" s="1"/>
  <c r="E143" i="5"/>
  <c r="A143" i="5" s="1"/>
  <c r="D143" i="5"/>
  <c r="F142" i="5"/>
  <c r="B142" i="5" s="1"/>
  <c r="D142" i="5"/>
  <c r="E142" i="5"/>
  <c r="A142" i="5" s="1"/>
  <c r="D141" i="5"/>
  <c r="E141" i="5"/>
  <c r="A141" i="5" s="1"/>
  <c r="F141" i="5"/>
  <c r="B141" i="5" s="1"/>
  <c r="D140" i="5"/>
  <c r="F140" i="5"/>
  <c r="B140" i="5" s="1"/>
  <c r="E140" i="5"/>
  <c r="A140" i="5" s="1"/>
  <c r="F139" i="5"/>
  <c r="B139" i="5" s="1"/>
  <c r="E139" i="5"/>
  <c r="A139" i="5" s="1"/>
  <c r="D139" i="5"/>
  <c r="F138" i="5"/>
  <c r="B138" i="5" s="1"/>
  <c r="E138" i="5"/>
  <c r="A138" i="5" s="1"/>
  <c r="D138" i="5"/>
  <c r="F137" i="5"/>
  <c r="B137" i="5" s="1"/>
  <c r="E137" i="5"/>
  <c r="A137" i="5" s="1"/>
  <c r="D137" i="5"/>
  <c r="F136" i="5"/>
  <c r="B136" i="5" s="1"/>
  <c r="E136" i="5"/>
  <c r="A136" i="5" s="1"/>
  <c r="D136" i="5"/>
  <c r="E135" i="5"/>
  <c r="A135" i="5" s="1"/>
  <c r="D135" i="5"/>
  <c r="F135" i="5"/>
  <c r="B135" i="5" s="1"/>
  <c r="E134" i="5"/>
  <c r="A134" i="5" s="1"/>
  <c r="F134" i="5"/>
  <c r="B134" i="5" s="1"/>
  <c r="D134" i="5"/>
  <c r="D133" i="5"/>
  <c r="E133" i="5"/>
  <c r="A133" i="5" s="1"/>
  <c r="F133" i="5"/>
  <c r="B133" i="5" s="1"/>
  <c r="D132" i="5"/>
  <c r="E132" i="5"/>
  <c r="A132" i="5" s="1"/>
  <c r="F132" i="5"/>
  <c r="B132" i="5" s="1"/>
  <c r="E131" i="5"/>
  <c r="A131" i="5" s="1"/>
  <c r="F131" i="5"/>
  <c r="B131" i="5" s="1"/>
  <c r="D131" i="5"/>
  <c r="D130" i="5"/>
  <c r="E130" i="5"/>
  <c r="A130" i="5" s="1"/>
  <c r="D129" i="5"/>
  <c r="E129" i="5"/>
  <c r="A129" i="5" s="1"/>
  <c r="F129" i="5"/>
  <c r="B129" i="5" s="1"/>
  <c r="D128" i="5"/>
  <c r="E128" i="5"/>
  <c r="A128" i="5" s="1"/>
  <c r="F128" i="5"/>
  <c r="B128" i="5" s="1"/>
  <c r="D127" i="5"/>
  <c r="E127" i="5"/>
  <c r="A127" i="5" s="1"/>
  <c r="F127" i="5"/>
  <c r="B127" i="5" s="1"/>
  <c r="D126" i="5"/>
  <c r="E126" i="5"/>
  <c r="A126" i="5" s="1"/>
  <c r="F126" i="5"/>
  <c r="B126" i="5" s="1"/>
  <c r="E125" i="5"/>
  <c r="A125" i="5" s="1"/>
  <c r="F125" i="5"/>
  <c r="B125" i="5" s="1"/>
  <c r="D125" i="5"/>
  <c r="E124" i="5"/>
  <c r="A124" i="5" s="1"/>
  <c r="F124" i="5"/>
  <c r="B124" i="5" s="1"/>
  <c r="D124" i="5"/>
  <c r="D123" i="5"/>
  <c r="E123" i="5"/>
  <c r="A123" i="5" s="1"/>
  <c r="F123" i="5"/>
  <c r="B123" i="5" s="1"/>
  <c r="D122" i="5"/>
  <c r="E122" i="5"/>
  <c r="A122" i="5" s="1"/>
  <c r="F122" i="5"/>
  <c r="B122" i="5" s="1"/>
  <c r="D121" i="5"/>
  <c r="E121" i="5"/>
  <c r="A121" i="5" s="1"/>
  <c r="F121" i="5"/>
  <c r="B121" i="5" s="1"/>
  <c r="E120" i="5"/>
  <c r="A120" i="5" s="1"/>
  <c r="F120" i="5"/>
  <c r="B120" i="5" s="1"/>
  <c r="D120" i="5"/>
  <c r="D119" i="5"/>
  <c r="F119" i="5"/>
  <c r="B119" i="5" s="1"/>
  <c r="E119" i="5"/>
  <c r="A119" i="5" s="1"/>
  <c r="E118" i="5"/>
  <c r="A118" i="5" s="1"/>
  <c r="F118" i="5"/>
  <c r="B118" i="5" s="1"/>
  <c r="D118" i="5"/>
  <c r="F117" i="5"/>
  <c r="B117" i="5" s="1"/>
  <c r="E117" i="5"/>
  <c r="A117" i="5" s="1"/>
  <c r="D117" i="5"/>
  <c r="D116" i="5"/>
  <c r="E116" i="5"/>
  <c r="A116" i="5" s="1"/>
  <c r="F116" i="5"/>
  <c r="B116" i="5" s="1"/>
  <c r="F115" i="5"/>
  <c r="B115" i="5" s="1"/>
  <c r="E115" i="5"/>
  <c r="A115" i="5" s="1"/>
  <c r="D115" i="5"/>
  <c r="F114" i="5"/>
  <c r="B114" i="5" s="1"/>
  <c r="E114" i="5"/>
  <c r="A114" i="5" s="1"/>
  <c r="D114" i="5"/>
  <c r="E113" i="5"/>
  <c r="A113" i="5" s="1"/>
  <c r="F113" i="5"/>
  <c r="B113" i="5" s="1"/>
  <c r="D113" i="5"/>
  <c r="F112" i="5"/>
  <c r="B112" i="5" s="1"/>
  <c r="E112" i="5"/>
  <c r="A112" i="5" s="1"/>
  <c r="D112" i="5"/>
  <c r="F111" i="5"/>
  <c r="B111" i="5" s="1"/>
  <c r="D111" i="5"/>
  <c r="E111" i="5"/>
  <c r="A111" i="5" s="1"/>
  <c r="F110" i="5"/>
  <c r="B110" i="5" s="1"/>
  <c r="E110" i="5"/>
  <c r="A110" i="5" s="1"/>
  <c r="D110" i="5"/>
  <c r="D109" i="5"/>
  <c r="F109" i="5"/>
  <c r="B109" i="5" s="1"/>
  <c r="E109" i="5"/>
  <c r="A109" i="5" s="1"/>
  <c r="D108" i="5"/>
  <c r="E108" i="5"/>
  <c r="A108" i="5" s="1"/>
  <c r="F108" i="5"/>
  <c r="B108" i="5" s="1"/>
  <c r="D107" i="5"/>
  <c r="E107" i="5"/>
  <c r="A107" i="5" s="1"/>
  <c r="F107" i="5"/>
  <c r="B107" i="5" s="1"/>
  <c r="D106" i="5"/>
  <c r="F106" i="5"/>
  <c r="B106" i="5" s="1"/>
  <c r="E106" i="5"/>
  <c r="A106" i="5" s="1"/>
  <c r="E105" i="5"/>
  <c r="A105" i="5" s="1"/>
  <c r="D105" i="5"/>
  <c r="F105" i="5"/>
  <c r="B105" i="5" s="1"/>
  <c r="F104" i="5"/>
  <c r="B104" i="5" s="1"/>
  <c r="E104" i="5"/>
  <c r="A104" i="5" s="1"/>
  <c r="D104" i="5"/>
  <c r="E103" i="5"/>
  <c r="A103" i="5" s="1"/>
  <c r="D103" i="5"/>
  <c r="F103" i="5"/>
  <c r="B103" i="5" s="1"/>
  <c r="F102" i="5"/>
  <c r="B102" i="5" s="1"/>
  <c r="E102" i="5"/>
  <c r="A102" i="5" s="1"/>
  <c r="D102" i="5"/>
  <c r="F101" i="5"/>
  <c r="B101" i="5" s="1"/>
  <c r="E101" i="5"/>
  <c r="A101" i="5" s="1"/>
  <c r="D101" i="5"/>
  <c r="F100" i="5"/>
  <c r="B100" i="5" s="1"/>
  <c r="E100" i="5"/>
  <c r="A100" i="5" s="1"/>
  <c r="D100" i="5"/>
  <c r="E99" i="5"/>
  <c r="A99" i="5" s="1"/>
  <c r="D99" i="5"/>
  <c r="F99" i="5"/>
  <c r="B99" i="5" s="1"/>
  <c r="F98" i="5"/>
  <c r="B98" i="5" s="1"/>
  <c r="E98" i="5"/>
  <c r="A98" i="5" s="1"/>
  <c r="D98" i="5"/>
  <c r="F97" i="5"/>
  <c r="B97" i="5" s="1"/>
  <c r="E97" i="5"/>
  <c r="A97" i="5" s="1"/>
  <c r="D97" i="5"/>
  <c r="D96" i="5"/>
  <c r="E96" i="5"/>
  <c r="A96" i="5" s="1"/>
  <c r="F96" i="5"/>
  <c r="B96" i="5" s="1"/>
  <c r="F95" i="5"/>
  <c r="B95" i="5" s="1"/>
  <c r="E95" i="5"/>
  <c r="A95" i="5" s="1"/>
  <c r="D95" i="5"/>
  <c r="D94" i="5"/>
  <c r="E94" i="5"/>
  <c r="A94" i="5" s="1"/>
  <c r="F94" i="5"/>
  <c r="B94" i="5" s="1"/>
  <c r="F93" i="5"/>
  <c r="B93" i="5" s="1"/>
  <c r="E93" i="5"/>
  <c r="A93" i="5" s="1"/>
  <c r="D93" i="5"/>
  <c r="F92" i="5"/>
  <c r="B92" i="5" s="1"/>
  <c r="E92" i="5"/>
  <c r="A92" i="5" s="1"/>
  <c r="D92" i="5"/>
  <c r="F91" i="5"/>
  <c r="B91" i="5" s="1"/>
  <c r="D91" i="5"/>
  <c r="E91" i="5"/>
  <c r="A91" i="5" s="1"/>
  <c r="E90" i="5"/>
  <c r="A90" i="5" s="1"/>
  <c r="F90" i="5"/>
  <c r="B90" i="5" s="1"/>
  <c r="D90" i="5"/>
  <c r="E89" i="5"/>
  <c r="A89" i="5" s="1"/>
  <c r="D89" i="5"/>
  <c r="F89" i="5"/>
  <c r="B89" i="5" s="1"/>
  <c r="F88" i="5"/>
  <c r="B88" i="5" s="1"/>
  <c r="E88" i="5"/>
  <c r="A88" i="5" s="1"/>
  <c r="D88" i="5"/>
  <c r="F87" i="5"/>
  <c r="B87" i="5" s="1"/>
  <c r="E87" i="5"/>
  <c r="A87" i="5" s="1"/>
  <c r="D87" i="5"/>
  <c r="E86" i="5"/>
  <c r="A86" i="5" s="1"/>
  <c r="F86" i="5"/>
  <c r="B86" i="5" s="1"/>
  <c r="D86" i="5"/>
  <c r="D85" i="5"/>
  <c r="E85" i="5"/>
  <c r="A85" i="5" s="1"/>
  <c r="F85" i="5"/>
  <c r="B85" i="5" s="1"/>
  <c r="E84" i="5"/>
  <c r="A84" i="5" s="1"/>
  <c r="F84" i="5"/>
  <c r="B84" i="5" s="1"/>
  <c r="D84" i="5"/>
  <c r="E83" i="5"/>
  <c r="A83" i="5" s="1"/>
  <c r="F83" i="5"/>
  <c r="B83" i="5" s="1"/>
  <c r="D83" i="5"/>
  <c r="F82" i="5"/>
  <c r="B82" i="5" s="1"/>
  <c r="E82" i="5"/>
  <c r="A82" i="5" s="1"/>
  <c r="D82" i="5"/>
  <c r="E81" i="5"/>
  <c r="A81" i="5" s="1"/>
  <c r="D81" i="5"/>
  <c r="F81" i="5"/>
  <c r="B81" i="5" s="1"/>
  <c r="F80" i="5"/>
  <c r="B80" i="5" s="1"/>
  <c r="E80" i="5"/>
  <c r="A80" i="5" s="1"/>
  <c r="D80" i="5"/>
  <c r="F79" i="5"/>
  <c r="B79" i="5" s="1"/>
  <c r="E79" i="5"/>
  <c r="A79" i="5" s="1"/>
  <c r="D79" i="5"/>
  <c r="F78" i="5"/>
  <c r="B78" i="5" s="1"/>
  <c r="D78" i="5"/>
  <c r="E78" i="5"/>
  <c r="A78" i="5" s="1"/>
  <c r="E77" i="5"/>
  <c r="A77" i="5" s="1"/>
  <c r="D77" i="5"/>
  <c r="E76" i="5"/>
  <c r="A76" i="5" s="1"/>
  <c r="F76" i="5"/>
  <c r="B76" i="5" s="1"/>
  <c r="D76" i="5"/>
  <c r="F75" i="5"/>
  <c r="B75" i="5" s="1"/>
  <c r="D75" i="5"/>
  <c r="E75" i="5"/>
  <c r="A75" i="5" s="1"/>
  <c r="F74" i="5"/>
  <c r="B74" i="5" s="1"/>
  <c r="E74" i="5"/>
  <c r="A74" i="5" s="1"/>
  <c r="D74" i="5"/>
  <c r="D73" i="5"/>
  <c r="F73" i="5"/>
  <c r="B73" i="5" s="1"/>
  <c r="E73" i="5"/>
  <c r="A73" i="5" s="1"/>
  <c r="F72" i="5"/>
  <c r="B72" i="5" s="1"/>
  <c r="E72" i="5"/>
  <c r="A72" i="5" s="1"/>
  <c r="D72" i="5"/>
  <c r="F71" i="5"/>
  <c r="B71" i="5" s="1"/>
  <c r="E71" i="5"/>
  <c r="A71" i="5" s="1"/>
  <c r="D71" i="5"/>
  <c r="D70" i="5"/>
  <c r="F70" i="5"/>
  <c r="B70" i="5" s="1"/>
  <c r="E70" i="5"/>
  <c r="A70" i="5" s="1"/>
  <c r="F69" i="5"/>
  <c r="B69" i="5" s="1"/>
  <c r="E69" i="5"/>
  <c r="A69" i="5" s="1"/>
  <c r="D69" i="5"/>
  <c r="D68" i="5"/>
  <c r="E68" i="5"/>
  <c r="A68" i="5" s="1"/>
  <c r="F68" i="5"/>
  <c r="B68" i="5" s="1"/>
  <c r="D67" i="5"/>
  <c r="E67" i="5"/>
  <c r="A67" i="5" s="1"/>
  <c r="F67" i="5"/>
  <c r="B67" i="5" s="1"/>
  <c r="E66" i="5"/>
  <c r="A66" i="5" s="1"/>
  <c r="D66" i="5"/>
  <c r="F66" i="5"/>
  <c r="B66" i="5" s="1"/>
  <c r="F65" i="5"/>
  <c r="B65" i="5" s="1"/>
  <c r="E65" i="5"/>
  <c r="A65" i="5" s="1"/>
  <c r="D65" i="5"/>
  <c r="F64" i="5"/>
  <c r="B64" i="5" s="1"/>
  <c r="E64" i="5"/>
  <c r="A64" i="5" s="1"/>
  <c r="D64" i="5"/>
  <c r="D63" i="5"/>
  <c r="F63" i="5"/>
  <c r="B63" i="5" s="1"/>
  <c r="E63" i="5"/>
  <c r="A63" i="5" s="1"/>
  <c r="F62" i="5"/>
  <c r="B62" i="5" s="1"/>
  <c r="E62" i="5"/>
  <c r="A62" i="5" s="1"/>
  <c r="D62" i="5"/>
  <c r="F61" i="5"/>
  <c r="B61" i="5" s="1"/>
  <c r="E61" i="5"/>
  <c r="A61" i="5" s="1"/>
  <c r="D61" i="5"/>
  <c r="F60" i="5"/>
  <c r="B60" i="5" s="1"/>
  <c r="D60" i="5"/>
  <c r="E59" i="5"/>
  <c r="A59" i="5" s="1"/>
  <c r="D59" i="5"/>
  <c r="F59" i="5"/>
  <c r="B59" i="5" s="1"/>
  <c r="D58" i="5"/>
  <c r="E58" i="5"/>
  <c r="A58" i="5" s="1"/>
  <c r="F58" i="5"/>
  <c r="B58" i="5" s="1"/>
  <c r="E57" i="5"/>
  <c r="A57" i="5" s="1"/>
  <c r="F57" i="5"/>
  <c r="B57" i="5" s="1"/>
  <c r="D57" i="5"/>
  <c r="E56" i="5"/>
  <c r="A56" i="5" s="1"/>
  <c r="D56" i="5"/>
  <c r="F56" i="5"/>
  <c r="B56" i="5" s="1"/>
  <c r="D55" i="5"/>
  <c r="E55" i="5"/>
  <c r="A55" i="5" s="1"/>
  <c r="F55" i="5"/>
  <c r="B55" i="5" s="1"/>
  <c r="F54" i="5"/>
  <c r="B54" i="5" s="1"/>
  <c r="D54" i="5"/>
  <c r="E54" i="5"/>
  <c r="A54" i="5" s="1"/>
  <c r="E53" i="5"/>
  <c r="A53" i="5" s="1"/>
  <c r="D53" i="5"/>
  <c r="F53" i="5"/>
  <c r="B53" i="5" s="1"/>
  <c r="E52" i="5"/>
  <c r="A52" i="5" s="1"/>
  <c r="D52" i="5"/>
  <c r="F52" i="5"/>
  <c r="B52" i="5" s="1"/>
  <c r="E51" i="5"/>
  <c r="A51" i="5" s="1"/>
  <c r="F51" i="5"/>
  <c r="B51" i="5" s="1"/>
  <c r="D51" i="5"/>
  <c r="D50" i="5"/>
  <c r="F50" i="5"/>
  <c r="B50" i="5" s="1"/>
  <c r="E50" i="5"/>
  <c r="A50" i="5" s="1"/>
  <c r="F49" i="5"/>
  <c r="B49" i="5" s="1"/>
  <c r="E49" i="5"/>
  <c r="A49" i="5" s="1"/>
  <c r="D49" i="5"/>
  <c r="F48" i="5"/>
  <c r="B48" i="5" s="1"/>
  <c r="D48" i="5"/>
  <c r="E48" i="5"/>
  <c r="A48" i="5" s="1"/>
  <c r="D47" i="5"/>
  <c r="E47" i="5"/>
  <c r="A47" i="5" s="1"/>
  <c r="F47" i="5"/>
  <c r="B47" i="5" s="1"/>
  <c r="D46" i="5"/>
  <c r="E46" i="5"/>
  <c r="A46" i="5" s="1"/>
  <c r="F46" i="5"/>
  <c r="B46" i="5" s="1"/>
  <c r="D45" i="5"/>
  <c r="E45" i="5"/>
  <c r="A45" i="5" s="1"/>
  <c r="F45" i="5"/>
  <c r="B45" i="5" s="1"/>
  <c r="D44" i="5"/>
  <c r="F44" i="5"/>
  <c r="B44" i="5" s="1"/>
  <c r="E44" i="5"/>
  <c r="A44" i="5" s="1"/>
  <c r="E43" i="5"/>
  <c r="A43" i="5" s="1"/>
  <c r="F43" i="5"/>
  <c r="B43" i="5" s="1"/>
  <c r="D43" i="5"/>
  <c r="F42" i="5"/>
  <c r="B42" i="5" s="1"/>
  <c r="E42" i="5"/>
  <c r="A42" i="5" s="1"/>
  <c r="D42" i="5"/>
  <c r="E41" i="5"/>
  <c r="A41" i="5" s="1"/>
  <c r="D41" i="5"/>
  <c r="F41" i="5"/>
  <c r="B41" i="5" s="1"/>
  <c r="F40" i="5"/>
  <c r="B40" i="5" s="1"/>
  <c r="E40" i="5"/>
  <c r="A40" i="5" s="1"/>
  <c r="D40" i="5"/>
  <c r="F39" i="5"/>
  <c r="B39" i="5" s="1"/>
  <c r="E39" i="5"/>
  <c r="A39" i="5" s="1"/>
  <c r="D39" i="5"/>
  <c r="F38" i="5"/>
  <c r="B38" i="5" s="1"/>
  <c r="E38" i="5"/>
  <c r="A38" i="5" s="1"/>
  <c r="D38" i="5"/>
  <c r="F37" i="5"/>
  <c r="B37" i="5" s="1"/>
  <c r="E37" i="5"/>
  <c r="A37" i="5" s="1"/>
  <c r="D37" i="5"/>
  <c r="F36" i="5"/>
  <c r="B36" i="5" s="1"/>
  <c r="E36" i="5"/>
  <c r="A36" i="5" s="1"/>
  <c r="D36" i="5"/>
  <c r="F35" i="5"/>
  <c r="B35" i="5" s="1"/>
  <c r="E35" i="5"/>
  <c r="A35" i="5" s="1"/>
  <c r="D35" i="5"/>
  <c r="F34" i="5"/>
  <c r="B34" i="5" s="1"/>
  <c r="E34" i="5"/>
  <c r="A34" i="5" s="1"/>
  <c r="D34" i="5"/>
  <c r="F33" i="5"/>
  <c r="B33" i="5" s="1"/>
  <c r="E33" i="5"/>
  <c r="A33" i="5" s="1"/>
  <c r="D33" i="5"/>
  <c r="F32" i="5"/>
  <c r="B32" i="5" s="1"/>
  <c r="E32" i="5"/>
  <c r="A32" i="5" s="1"/>
  <c r="D32" i="5"/>
  <c r="F31" i="5"/>
  <c r="B31" i="5" s="1"/>
  <c r="E31" i="5"/>
  <c r="A31" i="5" s="1"/>
  <c r="D31" i="5"/>
  <c r="F30" i="5"/>
  <c r="B30" i="5" s="1"/>
  <c r="E30" i="5"/>
  <c r="A30" i="5" s="1"/>
  <c r="D30" i="5"/>
  <c r="F29" i="5"/>
  <c r="B29" i="5" s="1"/>
  <c r="E29" i="5"/>
  <c r="A29" i="5" s="1"/>
  <c r="D29" i="5"/>
  <c r="F28" i="5"/>
  <c r="B28" i="5" s="1"/>
  <c r="E28" i="5"/>
  <c r="A28" i="5" s="1"/>
  <c r="D28" i="5"/>
  <c r="F27" i="5"/>
  <c r="B27" i="5" s="1"/>
  <c r="E27" i="5"/>
  <c r="A27" i="5" s="1"/>
  <c r="D27" i="5"/>
  <c r="E26" i="5"/>
  <c r="A26" i="5" s="1"/>
  <c r="F26" i="5"/>
  <c r="B26" i="5" s="1"/>
  <c r="D26" i="5"/>
  <c r="F25" i="5"/>
  <c r="B25" i="5" s="1"/>
  <c r="E25" i="5"/>
  <c r="A25" i="5" s="1"/>
  <c r="D25" i="5"/>
  <c r="E24" i="5"/>
  <c r="A24" i="5" s="1"/>
  <c r="D24" i="5"/>
  <c r="E23" i="5"/>
  <c r="A23" i="5" s="1"/>
  <c r="D23" i="5"/>
  <c r="F23" i="5"/>
  <c r="B23" i="5" s="1"/>
  <c r="F22" i="5"/>
  <c r="B22" i="5" s="1"/>
  <c r="E22" i="5"/>
  <c r="A22" i="5" s="1"/>
  <c r="D22" i="5"/>
  <c r="E21" i="5"/>
  <c r="A21" i="5" s="1"/>
  <c r="F21" i="5"/>
  <c r="B21" i="5" s="1"/>
  <c r="D21" i="5"/>
  <c r="E20" i="5"/>
  <c r="F20" i="5"/>
  <c r="D20" i="5"/>
</calcChain>
</file>

<file path=xl/sharedStrings.xml><?xml version="1.0" encoding="utf-8"?>
<sst xmlns="http://schemas.openxmlformats.org/spreadsheetml/2006/main" count="1951" uniqueCount="788">
  <si>
    <r>
      <rPr>
        <b/>
        <i/>
        <sz val="10"/>
        <color rgb="FF1403EF"/>
        <rFont val="Montserrat"/>
      </rPr>
      <t xml:space="preserve">Objetivo: </t>
    </r>
    <r>
      <rPr>
        <i/>
        <sz val="10"/>
        <color rgb="FF1403EF"/>
        <rFont val="Montserrat"/>
      </rPr>
      <t>Identificar los insumos necesarios para pruebas de aceptación de usuario, a través de los casos de prueba, ambientes requeridos, especificación de los datos, cobertura de escenarios y atributos relacionados, a fin de contar con la integración de datos suficientes para la ejecución de las pruebas de la solución tecnológica con el usuario.</t>
    </r>
  </si>
  <si>
    <r>
      <rPr>
        <b/>
        <i/>
        <sz val="10"/>
        <color rgb="FF0000FF"/>
        <rFont val="Montserrat"/>
      </rPr>
      <t xml:space="preserve">Guía de Uso:
</t>
    </r>
    <r>
      <rPr>
        <i/>
        <sz val="10"/>
        <color rgb="FF0000FF"/>
        <rFont val="Montserrat"/>
      </rPr>
      <t xml:space="preserve">
1.- Las pestañas "Casos de Prueba" y "Ambientes Requeridos" serán llenadas por la Administración Central de Soluciones de Negocio (ACSN), en la Fase Análisis, Etapa Especificación Funcional.
2.- Las pestañas "Interfaz de Usuario" y "Cobertura" serán llenadas en la Fase Desarrollo por las áreas ténicas que deban participar.
En la primera también participará la ACSN en la Fase Pruebas, Etapa Pruebas Funcionales (AVL), por tema de Lineamientos Gráficos del SIAT, y para reflejar resultado de dichas pruebas.
3.- El documento está firmado por los responsables del llenado, incluyendo por el negocio cuando participa en la autorización.
4.- Si la pestaña "Casos de Prueba" incluye varias páginas, debe imprimirse sólo la página que contienen las firmas. Una vez firmado, debe digitalizarse y almacenarse en el repositorio como sustento junto con el archivo de Excel que corresponda a todo el documento.
5.- Si fuera necesario </t>
    </r>
    <r>
      <rPr>
        <b/>
        <i/>
        <sz val="10"/>
        <color rgb="FF0000FF"/>
        <rFont val="Montserrat"/>
      </rPr>
      <t>reservar</t>
    </r>
    <r>
      <rPr>
        <i/>
        <sz val="10"/>
        <color rgb="FF0000FF"/>
        <rFont val="Montserrat"/>
      </rPr>
      <t xml:space="preserve"> información generada en esta plantilla, se hará bajo lo estipulado en la Ley General de Transparencia y Acceso a la Información Pública vigente (LGTAIP), pudiendo consultar a la ACPPI para su aplicación. (Ver abajo "Nota acerca de Irformación Reservada").
6.- La aplicación de la sección de Firmas es opcional,dependiendo de las necesidades del consumidor, pero al contener temas de usuario de Negocio es importante la firma de éste.</t>
    </r>
  </si>
  <si>
    <r>
      <rPr>
        <b/>
        <i/>
        <sz val="10"/>
        <color rgb="FF0000FF"/>
        <rFont val="Montserrat"/>
      </rPr>
      <t xml:space="preserve">Nota acerca de Información Reservada
</t>
    </r>
    <r>
      <rPr>
        <i/>
        <sz val="10"/>
        <color rgb="FF0000FF"/>
        <rFont val="Montserrat"/>
      </rPr>
      <t xml:space="preserve">Es reponsabilidad de cada requisitador la identificación de la información que se genere en este formato y así determinar si se cuenta con causas que originen la reserva de la misma, apegándose estrictamente a lo señalado en los ordenamientos jurídicos vigentes en materia de Transparencia.
En caso de detectar información sensible (Reservada), se tendrá que indicar en la sección u hoja que lo amerite de este documento, en la parte inferior del texto, con la siguiente señalización:
[Área dueña de la Información </t>
    </r>
    <r>
      <rPr>
        <b/>
        <i/>
        <sz val="10"/>
        <color rgb="FF1403EF"/>
        <rFont val="Montserrat"/>
      </rPr>
      <t>XX</t>
    </r>
    <r>
      <rPr>
        <i/>
        <sz val="10"/>
        <color rgb="FF0000FF"/>
        <rFont val="Montserrat"/>
      </rPr>
      <t xml:space="preserve">, clasificada como Reservada con Fundamento Legal </t>
    </r>
    <r>
      <rPr>
        <b/>
        <i/>
        <sz val="10"/>
        <color rgb="FF0000FF"/>
        <rFont val="Montserrat"/>
      </rPr>
      <t>XX</t>
    </r>
    <r>
      <rPr>
        <i/>
        <sz val="10"/>
        <color rgb="FF0000FF"/>
        <rFont val="Montserrat"/>
      </rPr>
      <t xml:space="preserve">, Motivación </t>
    </r>
    <r>
      <rPr>
        <b/>
        <i/>
        <sz val="10"/>
        <color rgb="FF0000FF"/>
        <rFont val="Montserrat"/>
      </rPr>
      <t>XX</t>
    </r>
    <r>
      <rPr>
        <i/>
        <sz val="10"/>
        <color rgb="FF0000FF"/>
        <rFont val="Montserrat"/>
      </rPr>
      <t xml:space="preserve">, Fecha de clasificación </t>
    </r>
    <r>
      <rPr>
        <b/>
        <i/>
        <sz val="10"/>
        <color rgb="FF0000FF"/>
        <rFont val="Montserrat"/>
      </rPr>
      <t>XX</t>
    </r>
    <r>
      <rPr>
        <i/>
        <sz val="10"/>
        <color rgb="FF0000FF"/>
        <rFont val="Montserrat"/>
      </rPr>
      <t xml:space="preserve"> y Periodo de la reserva </t>
    </r>
    <r>
      <rPr>
        <b/>
        <i/>
        <sz val="10"/>
        <color rgb="FF0000FF"/>
        <rFont val="Montserrat"/>
      </rPr>
      <t>XX</t>
    </r>
    <r>
      <rPr>
        <i/>
        <sz val="10"/>
        <color rgb="FF0000FF"/>
        <rFont val="Montserrat"/>
      </rPr>
      <t xml:space="preserve">].
</t>
    </r>
    <r>
      <rPr>
        <b/>
        <i/>
        <sz val="10"/>
        <color rgb="FF0000FF"/>
        <rFont val="Montserrat"/>
      </rPr>
      <t>Ejemplo</t>
    </r>
    <r>
      <rPr>
        <i/>
        <sz val="10"/>
        <color rgb="FF0000FF"/>
        <rFont val="Montserrat"/>
      </rPr>
      <t>: "La información contenida en este documento pertenece a la Administración Central de Soluciones de Negocio, teniendo carácter de Reservada a partir del 01 de abril de 2018, con un periodo de reserva de 5 años, por tratarse de información que de revelarse puede causar un serio perjuicio a la recaudación de las contribuciones. Lo anterior tiene su fundamento en el artículo 113, fracción IV, de la Ley General de Transparencia y Acceso a la Información Pública."</t>
    </r>
  </si>
  <si>
    <t>Hoja</t>
  </si>
  <si>
    <t>Descripción</t>
  </si>
  <si>
    <t>Casos de Prueba</t>
  </si>
  <si>
    <t xml:space="preserve">Esta hoja se utiliza para la documentación detallada de los casos de pruebas que serán utilizados en la ejecución de pruebas. </t>
  </si>
  <si>
    <t>Registra varios casos de prueba, con la finalidad de agrupar en un solo documento una cantidad suficiente de casos que pueda ser aprovechada para la importación de casos de prueba en alguna herramienta automatizada, o bien, para obtener de ella la información de casos de prueba.
También se utiliza para especificar los elementos donde se emplearán los datos (Datos de Prueba)</t>
  </si>
  <si>
    <t>Criterios de Aceptación</t>
  </si>
  <si>
    <r>
      <rPr>
        <i/>
        <sz val="10"/>
        <color rgb="FF0000FF"/>
        <rFont val="Montserrat"/>
      </rPr>
      <t xml:space="preserve">• El documento es utilizado de acuerdo al formato establecido.
El documento cumple con el Marco Documental vigente.
• El documento no contiene faltas de ortografía.
• Cuando no se llene un renglón-columna, se deberá especificar el motivo por el cual no se registra la información, conteniendo al menos un "N/A". Ningún campo debe estar vacío.
</t>
    </r>
    <r>
      <rPr>
        <sz val="10"/>
        <color rgb="FF0000FF"/>
        <rFont val="Montserrat"/>
      </rPr>
      <t>●</t>
    </r>
    <r>
      <rPr>
        <i/>
        <sz val="10"/>
        <color rgb="FF0000FF"/>
        <rFont val="Montserrat"/>
      </rPr>
      <t xml:space="preserve">No se combinan celdas (exceptuando la sección de firmas)
</t>
    </r>
    <r>
      <rPr>
        <sz val="10"/>
        <color rgb="FF0000FF"/>
        <rFont val="Montserrat"/>
      </rPr>
      <t>●</t>
    </r>
    <r>
      <rPr>
        <i/>
        <sz val="10"/>
        <color rgb="FF0000FF"/>
        <rFont val="Montserrat"/>
      </rPr>
      <t xml:space="preserve">No incluye fórmulas en ningún renglón-columna
• El documento describe detalladamente paso a paso las actividades a seguir para la validación de requerimientos del sistema.
• El documento describe en cada paso una acción y una respuesta esperada que puede ser evaluada. 
El documento está firmado por los responsables del llenado, incluyendo por el negocio cuando participa en la autorización.
</t>
    </r>
  </si>
  <si>
    <t>Ambientes Requeridos</t>
  </si>
  <si>
    <t>Registra elementos de información sobre repositorios y ambientes necesarios para las pruebas y sus características, relacionadas con criterios que debe cubrir la información que se requiere para las pruebas; cantidad de datos requeridos para la ejecución de la prueba; datos o campos solicitados; condiciones que se deben cubrir para la extracción de datos y comentarios adicionales.</t>
  </si>
  <si>
    <t xml:space="preserve">* El documento es utilizado de acuerdo al formato establecido.
* El documento cumple con el Marco Documental vigente.
* El documento no contiene faltas de ortografía.
* Cuando no se llene un renglón-columna, se deberá especificar el motivo por el cual no se registra la información, conteniendo al menos un "N/A". Ningún campo debe estar vacío.
* El documento está firmado por los responsables del llenado, incluyendo por el negocio cuando participa en la autorización.
</t>
  </si>
  <si>
    <t>Interfaz de Usuario</t>
  </si>
  <si>
    <t>Esta hoja aplica por la naturaleza de la solución tecnológica integrada que haya sido requerida. Se utiliza para validar que se cumplan los criterios definidos para la Interfaz de Usuario, incluyendo la aplicación y verificación de los Lineamientos Gráficos del SIAT, cuando sea el caso.</t>
  </si>
  <si>
    <t>Se detallan los puntos a validar de interfaz de usuario (interfaz gráfica) de las aplicaciones, como encabezados, pie de página, colores, alineación, etiquetas, listas desplegables, áreas de búsqueda, etc, etc.</t>
  </si>
  <si>
    <t>• El documento es utilizado de acuerdo al formato establecido.
• El documento no contiene faltas de ortografía.
• Cuando no se llene un renglón-columna, se deberá especificar el motivo por el cual no se registra la información.
• Cada una de las características consideradas en esta pestaña estarán asociadas al contenido del artefacto "Especificación de Interacción de Usuario", en caso de ajustes o situaciones que expongan desviación al documento en comento, deberá ajustarse.
• Cada defecto detectado deberá registrarse en la herramienta correspondiente para su atención y cierre.</t>
  </si>
  <si>
    <t>Cobertura</t>
  </si>
  <si>
    <t>Esta hoja se utiliza para identificar y detallar la cobertura de la prueba basada en complejidad ciclomática, para asegurar que se diseñen tantos casos de prueba como sean necesarios para que cada condición se ejecute al menos una vez con un valor verdadero, y al menos una vez uno falso.</t>
  </si>
  <si>
    <t>• El documento es utilizado de acuerdo al formato establecido.
• El documento no contiene faltas de ortografía.
• Cuando no se llene un renglón-columna, se deberá especificar el motivo por el cual no se registra la información.
• El documento describe detalladamente los escenarios de prueba necesarios para que cada condición se ejecute al menos una vez con un valor verdadero y al menos una vez uno falso.</t>
  </si>
  <si>
    <t>Encabezado_Imagen</t>
  </si>
  <si>
    <r>
      <rPr>
        <sz val="10"/>
        <rFont val="Montserrat"/>
      </rPr>
      <t xml:space="preserve">En artefactos </t>
    </r>
    <r>
      <rPr>
        <b/>
        <sz val="10"/>
        <rFont val="Montserrat"/>
      </rPr>
      <t>tipo Excel</t>
    </r>
    <r>
      <rPr>
        <sz val="10"/>
        <rFont val="Montserrat"/>
      </rPr>
      <t xml:space="preserve">, la inserción del </t>
    </r>
    <r>
      <rPr>
        <b/>
        <sz val="10"/>
        <rFont val="Montserrat"/>
      </rPr>
      <t>Encabezado como imagen</t>
    </r>
    <r>
      <rPr>
        <sz val="10"/>
        <rFont val="Montserrat"/>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del Encabezado del artefacto.
Si ese fuera el caso, en esta hoja puede configurarse el Encabezado del artefacto y después insertarlo como imagen en cualquier otra sección del mismo, siguiendo las instrucciones allí descritas.</t>
    </r>
  </si>
  <si>
    <t>Firmas Conformidad_Imagen</t>
  </si>
  <si>
    <r>
      <rPr>
        <sz val="10"/>
        <rFont val="Montserrat"/>
      </rPr>
      <t xml:space="preserve">En artefactos </t>
    </r>
    <r>
      <rPr>
        <b/>
        <sz val="10"/>
        <rFont val="Montserrat"/>
      </rPr>
      <t>tipo</t>
    </r>
    <r>
      <rPr>
        <sz val="10"/>
        <rFont val="Montserrat"/>
      </rPr>
      <t xml:space="preserve"> </t>
    </r>
    <r>
      <rPr>
        <b/>
        <sz val="10"/>
        <rFont val="Montserrat"/>
      </rPr>
      <t>Excel</t>
    </r>
    <r>
      <rPr>
        <sz val="10"/>
        <rFont val="Montserrat"/>
      </rPr>
      <t>, la inserción de la</t>
    </r>
    <r>
      <rPr>
        <b/>
        <sz val="10"/>
        <rFont val="Montserrat"/>
      </rPr>
      <t xml:space="preserve"> Sección</t>
    </r>
    <r>
      <rPr>
        <sz val="10"/>
        <rFont val="Montserrat"/>
      </rPr>
      <t xml:space="preserve"> </t>
    </r>
    <r>
      <rPr>
        <b/>
        <sz val="10"/>
        <rFont val="Montserrat"/>
      </rPr>
      <t>FIRMAS DE CONFORMIDAD como imagen</t>
    </r>
    <r>
      <rPr>
        <sz val="10"/>
        <rFont val="Montserrat"/>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 la sección de firmas localizada en la parte inferior del artefacto.
Si ese fuera el caso, en esta hoja puede capturarse la información de las personas que participan en la elaboración y aprobación del artefacto, y después insertarla como imagen en cualquier otra sección del documento, siguiendo los pasos que allí se describen.
</t>
    </r>
  </si>
  <si>
    <t>Tabla de Versiones y Modificaciones</t>
  </si>
  <si>
    <t>En la tabla siguiente se deben listar las versiones y descripciones hechas a este documento, desde el momento de su creación y cada vez que se llene y/o actualice alguna de sus pestañas. La descripción debe incluir una síntesis del cambio hecho.</t>
  </si>
  <si>
    <t>Para la Versión, especificar un número entero consecutivo, iniciando con 1 para la creación del documento e incrementar en decimales conforme se actualice (1.1, 1.2, 1.3, Etc.). Al terminarlo, especificar la versión final para firma, en caso necesario.</t>
  </si>
  <si>
    <t>Para futuros proyectos donde este documento se reutilice, el versionamiento reiniciará en versión 2, incrementando las actualizaciones igualmente con decimales (2.1, 2.2, 2.3, etc.). Posteriores reutilizaciones iniciarían entonces con versión 3, 4, etc.</t>
  </si>
  <si>
    <t>Versión</t>
  </si>
  <si>
    <t>Descripción del Cambio</t>
  </si>
  <si>
    <t>Responsable de la Versión</t>
  </si>
  <si>
    <t>Fecha</t>
  </si>
  <si>
    <t>0.1</t>
  </si>
  <si>
    <t xml:space="preserve">Creación del documento. </t>
  </si>
  <si>
    <t xml:space="preserve">Alma Quetzabeth Torres González </t>
  </si>
  <si>
    <t>0.2</t>
  </si>
  <si>
    <t>Ajustes
Se agregar "Recuperar descargas Detalle de consulta de incidencias"</t>
  </si>
  <si>
    <t>1</t>
  </si>
  <si>
    <t>Versión aprobada para firma</t>
  </si>
  <si>
    <t>Alma Quetzabeth Torres González 
Mario Alberto Huerta Velázquez 
Roberto Benjamín Monroy Vargas</t>
  </si>
  <si>
    <t>Portal Consulta de Incidentes</t>
  </si>
  <si>
    <t>1.- Seguridad</t>
  </si>
  <si>
    <t>CP01/Autenticación</t>
  </si>
  <si>
    <t>CP02/Autenticación_Cer_Key_Incorrecto</t>
  </si>
  <si>
    <t>CP03/Autenticación_Contraseña_Incorrecto</t>
  </si>
  <si>
    <t>Código del Aplicativo:</t>
  </si>
  <si>
    <t>ID de Requerimiento:</t>
  </si>
  <si>
    <t>Nombre de Requerimiento:</t>
  </si>
  <si>
    <t>Consulta de incidentes registrado en recepción</t>
  </si>
  <si>
    <t>[Fase: Análisis] [Etapa: Especificación Funcional] (ACSN)</t>
  </si>
  <si>
    <t>ID del Caso</t>
  </si>
  <si>
    <t>CP</t>
  </si>
  <si>
    <t xml:space="preserve">Nombre del Caso </t>
  </si>
  <si>
    <t xml:space="preserve">Paso </t>
  </si>
  <si>
    <t>Descripción de Paso</t>
  </si>
  <si>
    <t>Resultado Esperado</t>
  </si>
  <si>
    <t xml:space="preserve">Comentarios </t>
  </si>
  <si>
    <t>Perfil de usuario para su ejecución</t>
  </si>
  <si>
    <t>Datos de Prueba</t>
  </si>
  <si>
    <t>Resultado</t>
  </si>
  <si>
    <t>CP01</t>
  </si>
  <si>
    <t>/Autenticación</t>
  </si>
  <si>
    <t>POL_8211\Recepción_Consulta_Incidentes_CFDI</t>
  </si>
  <si>
    <t>PAC abre explorador</t>
  </si>
  <si>
    <t>.PAC</t>
  </si>
  <si>
    <t>e.firma vigentes</t>
  </si>
  <si>
    <t>PAC ingresa a la URL correspondiente al Portal</t>
  </si>
  <si>
    <t>Se muestran los datos para ingresar:
Certificado (.cer)
Clave privada (.Key)
Contraseña de clave privada: 
Se muestra el campo RFC</t>
  </si>
  <si>
    <t>Se requiere que el PAC al ingresar al aplicativo cuente con una opción que le permita autenticarse mediante su e.firma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PAC conforme a los lineamientos institucionales vigentes por el área de Seguridad del SAT. 
El PAC debe tener asignado el rol</t>
  </si>
  <si>
    <t>El PAC debe tener asignado el rol</t>
  </si>
  <si>
    <t>PAC da clic en buscar y selecciona el archivo correspondiente a su certificado</t>
  </si>
  <si>
    <t>Se muestra el dato en el  campo certificado y en el campo RFC el dato del RFC del PAC</t>
  </si>
  <si>
    <t>PAC da clic en buscar y selecciona el archivo correspondiente a su clave privada</t>
  </si>
  <si>
    <t>Se muestra el dato en el campo clave privada</t>
  </si>
  <si>
    <t>PAC ingresa su contraseña</t>
  </si>
  <si>
    <t>Se muestra oculto el dato en el campo contraseña</t>
  </si>
  <si>
    <t>Da clic en enviar</t>
  </si>
  <si>
    <t xml:space="preserve">En caso de que el PAC no cuente con los permisos asignados conforme a los roles establecidos, el aplicativo mostrará el mensaje: “El PAC no cuenta con los privilegios de acceso” y no se va a permitir su acceso. </t>
  </si>
  <si>
    <t>CP02</t>
  </si>
  <si>
    <t>/Autenticación_Cer_Key_Incorrecto</t>
  </si>
  <si>
    <t>PAC abre explorador
.</t>
  </si>
  <si>
    <t>Para  efectos de este caso de prueba se requiere un archivo .cer o un archivo .Key sean incorrectos.</t>
  </si>
  <si>
    <r>
      <rPr>
        <sz val="10"/>
        <rFont val="Noto Sans"/>
        <family val="2"/>
        <charset val="1"/>
      </rPr>
      <t xml:space="preserve">El PAC debe tener asignado el rol
</t>
    </r>
    <r>
      <rPr>
        <b/>
        <sz val="10"/>
        <rFont val="Noto Sans"/>
        <family val="2"/>
        <charset val="1"/>
      </rPr>
      <t>Para  efectos de este caso de prueba se requiere un archivo .cer o un archivo .Key sean incorrectos.</t>
    </r>
  </si>
  <si>
    <t>El sistema muestra mensaje: El certificado no corresponde con la llave privada. Y no permite el acceso al Portal de Incidentes</t>
  </si>
  <si>
    <t>CP03</t>
  </si>
  <si>
    <t>/Autenticación_Contraseña_Incorrecto</t>
  </si>
  <si>
    <t>Para  efectos de este caso de prueba se requiere ingresar una contraseña incorrecta.</t>
  </si>
  <si>
    <r>
      <rPr>
        <sz val="10"/>
        <rFont val="Noto Sans"/>
        <family val="2"/>
        <charset val="1"/>
      </rPr>
      <t xml:space="preserve">El PAC debe tener asignado el rol
</t>
    </r>
    <r>
      <rPr>
        <b/>
        <sz val="10"/>
        <rFont val="Noto Sans"/>
        <family val="2"/>
        <charset val="1"/>
      </rPr>
      <t>Para  efectos de este caso de prueba se requiere ingresar una contraseña incorrecta.</t>
    </r>
  </si>
  <si>
    <t>PAC ingresa su contraseña incorrecta</t>
  </si>
  <si>
    <t>El sistema muestra mensaje: Certificado, clave privada o contraseña de clave privada inválidos, inténtelo nuevamente.</t>
  </si>
  <si>
    <t>CP04</t>
  </si>
  <si>
    <t xml:space="preserve">/Inactividad </t>
  </si>
  <si>
    <t xml:space="preserve">PAC ingresa al Portal de Incidentes </t>
  </si>
  <si>
    <t>El PAC previamente se autenticó  y accedió al portal de Incidentes</t>
  </si>
  <si>
    <t>e.firma vigentes
El PAC debe tener asignado el rol
Comprobante Fiscal CFDI versión 4.0</t>
  </si>
  <si>
    <t>Da clic en "Consulta incidentes CFDI"</t>
  </si>
  <si>
    <t xml:space="preserve">Dejar la sesión abierta </t>
  </si>
  <si>
    <t>CP05</t>
  </si>
  <si>
    <t>/Salir</t>
  </si>
  <si>
    <t>El PAC previamente se autenticó  y accedió al portal de Cancelaciones</t>
  </si>
  <si>
    <t>Comprobante Fiscal CFDI versión 4.0</t>
  </si>
  <si>
    <t>Da clic en "Consultar Facturas Emitidas"</t>
  </si>
  <si>
    <t>Da clic en Salir</t>
  </si>
  <si>
    <t>Cierra la sesión del RFC</t>
  </si>
  <si>
    <t>CP06</t>
  </si>
  <si>
    <t>/FolioFiscalConsulta</t>
  </si>
  <si>
    <t>e.firma vigentes
El PAC debe tener asignado el rol
Para este caso de prueba se requiere un Comprobante Fiscal CFDI versión 4.0</t>
  </si>
  <si>
    <t>Selecciona en el campo "Tipo de Consulta":
Incidentes Servicio de Recepción</t>
  </si>
  <si>
    <t>Selecciona el campo Folio Fiscal e ingresa el UUID del comprobante del cual se desea conocer los incidentes registrados</t>
  </si>
  <si>
    <t>El sistema muestra los datos que se van ingresando</t>
  </si>
  <si>
    <t>Se da clic en el botón "Consultar Incidentes"</t>
  </si>
  <si>
    <t>Fin del caso</t>
  </si>
  <si>
    <t>CP07</t>
  </si>
  <si>
    <t>/MsgErrorConsultaCFDIVacío</t>
  </si>
  <si>
    <t>e.firma vigentes
El PAC debe tener asignado el rol
Para este caso de prueba no se ingresa un Comprobante Fiscal CFDI versión 4.0</t>
  </si>
  <si>
    <t>Se da clic en el botón "Consultar Incidentes"
Nota: Para este caso de prueba no se ingresa el valor del Folio Fiscal</t>
  </si>
  <si>
    <r>
      <rPr>
        <sz val="10"/>
        <rFont val="Noto Sans"/>
        <family val="2"/>
        <charset val="1"/>
      </rPr>
      <t xml:space="preserve">El aplicativo muestra el siguiente mensaje
</t>
    </r>
    <r>
      <rPr>
        <b/>
        <sz val="10"/>
        <rFont val="Noto Sans"/>
        <family val="2"/>
        <charset val="1"/>
      </rPr>
      <t xml:space="preserve"> “ERROR: Favor de ingresar el folio fiscal”.</t>
    </r>
  </si>
  <si>
    <t>CP08</t>
  </si>
  <si>
    <t>/MsgErrorConsultaCFDIFormatoIncorrecto</t>
  </si>
  <si>
    <t>El PAC previamente se autenticó  y accedió al portal de Incidentes
Para este caso de prueba  se ingresa un Comprobante Fiscal CFDI versión 4.0 con formato incorrecto</t>
  </si>
  <si>
    <r>
      <rPr>
        <sz val="10"/>
        <rFont val="Noto Sans"/>
        <family val="2"/>
        <charset val="1"/>
      </rPr>
      <t>e.firma vigentes
El PAC debe tener asignado el rol
Para este caso de prueba  se ingresa un Comprobante Fiscal CFDI versión 4.0</t>
    </r>
    <r>
      <rPr>
        <b/>
        <sz val="10"/>
        <rFont val="Noto Sans"/>
        <family val="2"/>
        <charset val="1"/>
      </rPr>
      <t xml:space="preserve"> con formato incorrecto</t>
    </r>
  </si>
  <si>
    <t>Selecciona el campo Folio Fiscal e ingresa el UUID del comprobante el cual no cumple con la estructura  y selecciona la opción "Consultar Incidentes".</t>
  </si>
  <si>
    <r>
      <rPr>
        <sz val="10"/>
        <rFont val="Noto Sans"/>
        <family val="2"/>
        <charset val="1"/>
      </rPr>
      <t xml:space="preserve">El aplicativo muestra el siguiente mensaje: 
•	</t>
    </r>
    <r>
      <rPr>
        <b/>
        <sz val="10"/>
        <rFont val="Noto Sans"/>
        <family val="2"/>
        <charset val="1"/>
      </rPr>
      <t>“ERROR: El Folio Fiscal no cumple con el formato correcto, favor de ingresarlo nuevamente”.</t>
    </r>
  </si>
  <si>
    <t>CP09</t>
  </si>
  <si>
    <t>/MsgErrorConsultaCFDIRetenciones</t>
  </si>
  <si>
    <t>El PAC previamente se autenticó  y accedió al portal de Incidentes
Para esta prueba se requiere un Comprobante Fiscal CFDI de Retenciones versión 2.0</t>
  </si>
  <si>
    <r>
      <rPr>
        <sz val="10"/>
        <rFont val="Noto Sans"/>
        <family val="2"/>
        <charset val="1"/>
      </rPr>
      <t>e.firma vigentes
El PAC debe tener asignado el rol
Para esta prueba se requiere un Comprobante Fiscal</t>
    </r>
    <r>
      <rPr>
        <b/>
        <sz val="10"/>
        <rFont val="Noto Sans"/>
        <family val="2"/>
        <charset val="1"/>
      </rPr>
      <t xml:space="preserve"> CFDI de Retenciones versión 2.0</t>
    </r>
  </si>
  <si>
    <r>
      <rPr>
        <sz val="10"/>
        <rFont val="Noto Sans"/>
        <family val="2"/>
        <charset val="1"/>
      </rPr>
      <t>Selecciona el campo Folio Fiscal e ingresa el UUID del comprobante y es de tipo</t>
    </r>
    <r>
      <rPr>
        <b/>
        <sz val="10"/>
        <rFont val="Noto Sans"/>
        <family val="2"/>
        <charset val="1"/>
      </rPr>
      <t xml:space="preserve"> CFDI de  Retenciones</t>
    </r>
    <r>
      <rPr>
        <sz val="10"/>
        <rFont val="Noto Sans"/>
        <family val="2"/>
        <charset val="1"/>
      </rPr>
      <t xml:space="preserve">  y selecciona la opción "Consultar Incidentes".</t>
    </r>
  </si>
  <si>
    <t>CP10</t>
  </si>
  <si>
    <t>/FolioFiscalExportarPDF</t>
  </si>
  <si>
    <t>El PAC previamente se autenticó  y accedió al portal de Incidentes
Para este caso de prueba se requiere un Comprobante Fiscal CFDI versión 4.0</t>
  </si>
  <si>
    <t>Selecciona el registro y dar clic en el link de "Detalle"</t>
  </si>
  <si>
    <r>
      <rPr>
        <sz val="10"/>
        <rFont val="Noto Sans"/>
        <family val="2"/>
        <charset val="1"/>
      </rPr>
      <t>Dar clic en el botón "</t>
    </r>
    <r>
      <rPr>
        <b/>
        <sz val="10"/>
        <rFont val="Noto Sans"/>
        <family val="2"/>
        <charset val="1"/>
      </rPr>
      <t>Exportar Detalle a PDF</t>
    </r>
    <r>
      <rPr>
        <sz val="10"/>
        <rFont val="Noto Sans"/>
        <family val="2"/>
        <charset val="1"/>
      </rPr>
      <t>"</t>
    </r>
  </si>
  <si>
    <t>CP11</t>
  </si>
  <si>
    <t>/FolioFiscalExportarJSON</t>
  </si>
  <si>
    <r>
      <rPr>
        <sz val="10"/>
        <rFont val="Noto Sans"/>
        <family val="2"/>
        <charset val="1"/>
      </rPr>
      <t xml:space="preserve">Selecciona el campo </t>
    </r>
    <r>
      <rPr>
        <b/>
        <sz val="10"/>
        <rFont val="Noto Sans"/>
        <family val="2"/>
        <charset val="1"/>
      </rPr>
      <t>Folio Fiscal</t>
    </r>
    <r>
      <rPr>
        <sz val="10"/>
        <rFont val="Noto Sans"/>
        <family val="2"/>
        <charset val="1"/>
      </rPr>
      <t xml:space="preserve"> e ingresa el UUID del comprobante del cual se desea conocer los incidentes registrados</t>
    </r>
  </si>
  <si>
    <r>
      <rPr>
        <sz val="10"/>
        <rFont val="Noto Sans"/>
        <family val="2"/>
        <charset val="1"/>
      </rPr>
      <t>Dar clic en el botón "</t>
    </r>
    <r>
      <rPr>
        <b/>
        <sz val="10"/>
        <rFont val="Noto Sans"/>
        <family val="2"/>
        <charset val="1"/>
      </rPr>
      <t>Exportar Resultados a JSON</t>
    </r>
    <r>
      <rPr>
        <sz val="10"/>
        <rFont val="Noto Sans"/>
        <family val="2"/>
        <charset val="1"/>
      </rPr>
      <t>"</t>
    </r>
  </si>
  <si>
    <t>CP12</t>
  </si>
  <si>
    <t>/FechaConsulta</t>
  </si>
  <si>
    <t>El PAC previamente se autenticó  y accedió al portal de Incidentes
Para este caso de prueba se requiere uno o más comprobantes Fiscal CFDI versión 4.0</t>
  </si>
  <si>
    <t>e.firma vigentes
El PAC debe tener asignado el rol
Para este caso de prueba se requiere uno o más comprobantes Fiscal CFDI versión 4.0</t>
  </si>
  <si>
    <t>Seleccionar y agregar los valores:
- Campo Fecha Inicial de Recepción
- Campo Fecha Final de Recepción.
- Campo "Versión del comprobante"
Dar clic en el botón "Consultar Incidentes".</t>
  </si>
  <si>
    <t xml:space="preserve">Importante mencionar que, el resultado se debe agrupar por tipo de error y presentarse de forma general, 
Campo "Versión del comprobante" por default tiene el valor 4.0 </t>
  </si>
  <si>
    <t>CP13</t>
  </si>
  <si>
    <t>/FechaMsgErrorConsultaRangoFecha</t>
  </si>
  <si>
    <t>El PAC previamente se autenticó  y accedió al portal de Incidentes
El PAC debe tener asignado el rol.
Comprobante Fiscal CFDI versión 4.0</t>
  </si>
  <si>
    <t>e.firma vigentes
El PAC debe tener asignado el rol.
Comprobante Fiscal CFDI versión 4.0</t>
  </si>
  <si>
    <r>
      <rPr>
        <sz val="10"/>
        <rFont val="Noto Sans"/>
        <family val="2"/>
        <charset val="1"/>
      </rPr>
      <t xml:space="preserve">Cuando se ingrese un rango de fechas mayor a un mes y se seleccione el botón “Consultar Incidentes”, el aplicativo deberá mostrar el siguiente mensaje de error: 
•	</t>
    </r>
    <r>
      <rPr>
        <b/>
        <sz val="10"/>
        <rFont val="Noto Sans"/>
        <family val="2"/>
        <charset val="1"/>
      </rPr>
      <t>“ERROR: La consulta no debe ser mayor a un mes”</t>
    </r>
    <r>
      <rPr>
        <sz val="10"/>
        <rFont val="Noto Sans"/>
        <family val="2"/>
        <charset val="1"/>
      </rPr>
      <t xml:space="preserve">.
</t>
    </r>
  </si>
  <si>
    <t xml:space="preserve">Al seleccionar el botón para la consulta por periodo de fecha de emisión, se debe deshabilitar el campo correspondiente a la consulta de Folio Fiscal.
</t>
  </si>
  <si>
    <t>CP14</t>
  </si>
  <si>
    <t>CP15</t>
  </si>
  <si>
    <t>/FechaExportarPDF</t>
  </si>
  <si>
    <t>e.firma vigentes
Firma Electrónica del Usuario.
El PAC debe tener asignado el rol
Para este caso de prueba se requiere uno o más Comprobantes Fiscal CFDI versión 4.0</t>
  </si>
  <si>
    <t>Seleccionar y agregar los valores:
- Campo Fecha Inicial de Recepción
- Campo Fecha Final de Recepción.
- Campo "Versión del comprobante"
Dar clic en el botón "Consultar Incidentes".</t>
  </si>
  <si>
    <r>
      <rPr>
        <sz val="10"/>
        <rFont val="Noto Sans"/>
        <family val="2"/>
        <charset val="1"/>
      </rPr>
      <t>Importante mencionar que, el resultado se debe agrupar por tipo de error</t>
    </r>
    <r>
      <rPr>
        <b/>
        <sz val="10"/>
        <rFont val="Noto Sans"/>
        <family val="2"/>
        <charset val="1"/>
      </rPr>
      <t xml:space="preserve"> </t>
    </r>
    <r>
      <rPr>
        <sz val="10"/>
        <rFont val="Noto Sans"/>
        <family val="2"/>
        <charset val="1"/>
      </rPr>
      <t xml:space="preserve">y presentarse de forma general, 
Campo "Versión del comprobante" por default tiene el valor 4.0 </t>
    </r>
  </si>
  <si>
    <t>De los resultados, se selecciona un registro y se da clic en el link de "Detalle".</t>
  </si>
  <si>
    <t>El orden de los registros es ordenada por el valor del campo “Fecha de registro del incidente” del más reciente a los más antiguos.</t>
  </si>
  <si>
    <t>CP16</t>
  </si>
  <si>
    <t>/FechaExportarJSON</t>
  </si>
  <si>
    <t>Dar clic en el botón "Exportar Resultados a JSON"</t>
  </si>
  <si>
    <t>CP17</t>
  </si>
  <si>
    <t>/Retenciones/FolioFiscalConsulta</t>
  </si>
  <si>
    <t>POL_8211\Recepción_Consulta_Incidentes_CFDI_Retenciones</t>
  </si>
  <si>
    <t>El PAC previamente se autenticó  y accedió al portal de Incidentes
Para este caso de prueba se requiere un Comprobante Fiscal CFDI Retenciones versión 2.0</t>
  </si>
  <si>
    <t>e.firma vigentes
Firma Electrónica del Usuario.
El PAC debe tener asignado el rol
Para este caso de prueba se requiere un Comprobante Fiscal CFDI Retenciones versión 2.0</t>
  </si>
  <si>
    <t>Da clic en "Consulta Incidentes CFDI Retenciones"</t>
  </si>
  <si>
    <t>CP18</t>
  </si>
  <si>
    <t>/Retenciones/MsgErrorConsultaCFDIRetVacío</t>
  </si>
  <si>
    <t>El PAC previamente se autenticó  y accedió al portal de Incidentes
Comprobante Fiscal CFDI Retenciones versión 2.0</t>
  </si>
  <si>
    <t>e.firma vigentes
Firma Electrónica del Usuario.
El PAC debe tener asignado el rol
Comprobante Fiscal CFDI Retenciones versión 2.0</t>
  </si>
  <si>
    <r>
      <rPr>
        <sz val="10"/>
        <rFont val="Noto Sans"/>
        <family val="2"/>
        <charset val="1"/>
      </rPr>
      <t xml:space="preserve">Se da clic en el botón "Consultar Incidentes"
</t>
    </r>
    <r>
      <rPr>
        <b/>
        <sz val="10"/>
        <rFont val="Noto Sans"/>
        <family val="2"/>
        <charset val="1"/>
      </rPr>
      <t>Nota: Para este caso de prueba no se ingresa el Folio Fiscal</t>
    </r>
  </si>
  <si>
    <t>CP19</t>
  </si>
  <si>
    <t>/Retenciones/MsgErrorConsultaCFDIRetFormatoIncorrecto</t>
  </si>
  <si>
    <r>
      <rPr>
        <sz val="10"/>
        <rFont val="Noto Sans"/>
        <family val="2"/>
        <charset val="1"/>
      </rPr>
      <t xml:space="preserve">El aplicativo muestra el siguiente mensaje: 
•	</t>
    </r>
    <r>
      <rPr>
        <b/>
        <sz val="10"/>
        <rFont val="Noto Sans"/>
        <family val="2"/>
        <charset val="1"/>
      </rPr>
      <t>“El Folio Fiscal no cumple con el formato correcto, favor de ingresarlo nuevamente”.</t>
    </r>
  </si>
  <si>
    <t>CP20</t>
  </si>
  <si>
    <t>/MsgErrorConsultaCFDIv4.0</t>
  </si>
  <si>
    <r>
      <rPr>
        <sz val="10"/>
        <rFont val="Noto Sans"/>
        <family val="2"/>
        <charset val="1"/>
      </rPr>
      <t xml:space="preserve">Selecciona el campo Folio Fiscal e ingresa el UUID del comprobante y es de tipo </t>
    </r>
    <r>
      <rPr>
        <b/>
        <sz val="10"/>
        <rFont val="Noto Sans"/>
        <family val="2"/>
        <charset val="1"/>
      </rPr>
      <t>CFDI ver 4.0</t>
    </r>
    <r>
      <rPr>
        <sz val="10"/>
        <rFont val="Noto Sans"/>
        <family val="2"/>
        <charset val="1"/>
      </rPr>
      <t xml:space="preserve">  y selecciona la opción "Consultar Incidentes".</t>
    </r>
  </si>
  <si>
    <t>CP21</t>
  </si>
  <si>
    <t>/Retenciones/FolioFiscalExportarPDF</t>
  </si>
  <si>
    <t>CP22</t>
  </si>
  <si>
    <t>/Retenciones/FolioFiscalExportarJSON</t>
  </si>
  <si>
    <t>CP23</t>
  </si>
  <si>
    <t>/Retenciones/FechaConsulta</t>
  </si>
  <si>
    <t>El PAC previamente se autenticó  y accedió al portal de Incidentes
Para este caso de prueba se requiere uno o más comprobantes Fiscal CFDI Retenciones versión 2.0</t>
  </si>
  <si>
    <t>e.firma vigentes
Firma Electrónica del Usuario.
El PAC debe tener asignado el rol
Para este caso de prueba se requiere uno o más comprobantes Fiscal CFDI Retenciones versión 2.0</t>
  </si>
  <si>
    <t>CP24</t>
  </si>
  <si>
    <t>/Retenciones/FechaMsgErrorConsultaRangoFecha</t>
  </si>
  <si>
    <t xml:space="preserve">Importante mencionar que, el resultado se debe agrupar por tipo de error y presentarse de forma general, 
</t>
  </si>
  <si>
    <t>CP25</t>
  </si>
  <si>
    <t>Seleccionar y agregar los valores:
- Campo Fecha Inicial de Recepción
- Campo Fecha Final de Recepción.
- Campo "Versión del comprobante"
Dar clic en el botón "Consultar Incidentes".
Nota: Para este caso de prueba se no seleccionar el campo "Versión del comprobante"</t>
  </si>
  <si>
    <t>CP26</t>
  </si>
  <si>
    <t>/Retenciones/FechaExportarPDF</t>
  </si>
  <si>
    <t>CP27</t>
  </si>
  <si>
    <t>/Retenciones/FechaExportarJSON</t>
  </si>
  <si>
    <t>/Recuperar descargas Detalle de consulta de incidencias/Descargar/Sin Peticiones</t>
  </si>
  <si>
    <t xml:space="preserve">e.firma vigentes
Firma Electrónica del Usuario.
El PAC debe tener asignado el rol
</t>
  </si>
  <si>
    <t>Da clic en "Recuperar descargas Detalle de consulta de incidencias’"</t>
  </si>
  <si>
    <t>El sistema valida si hay peticiones pendientes. En caso de no existir peticiones en proceso deberá arrojar el siguiente mensaje: “No existen registros de descargas desde los últimos 3 días a la fecha.”</t>
  </si>
  <si>
    <t>/Recuperar descargas Detalle de consulta de incidencias/Descargar/Con Archivos</t>
  </si>
  <si>
    <t>En caso de existir solicitudes de descarga en proceso, se visualizarán los registros de descarga con la siguiente estructura:
•	Descargar Paquete: Opción que permite la descarga solicitada.  Icono que representa la funcionalidad de descarga del paquete de archivos correspondiente.
•	Folio de Descarga: Indica el número de folio que genera el sistema al realizar la descarga.
•	Evento: Indica la clave del evento del detalle de la solicitud de descarga.
•	RFC PAC: Indica el RFC del PAC del detalle de la solicitud de descarga.
•	Tipo Descarga: Indica el tipo de descarga solicitada la cual puede ser: PDF o JSON. 
•	Cantidad de Documentos: Indica el total de documentos que contiene el archivo.
•	Fecha de la Solicitud: Indica la fecha en la que se realizó la solicitud.
•	Estatus de solicitud: Indica si está en proceso o atendida.
•	Fecha de atención de solicitud: Indica la fecha en la que se pusieron a disposición los archivos para descarga</t>
  </si>
  <si>
    <t>Seleccionar registro y dar clic "Descargar Paquete"</t>
  </si>
  <si>
    <t>El sistema realiza la descarga de los archivos PDF o JASON</t>
  </si>
  <si>
    <t>Test Case</t>
  </si>
  <si>
    <t>Work Item type</t>
  </si>
  <si>
    <t>Title</t>
  </si>
  <si>
    <t>Test Step</t>
  </si>
  <si>
    <t>Step Action</t>
  </si>
  <si>
    <t>Step expected</t>
  </si>
  <si>
    <t>CP01-/Autenticación</t>
  </si>
  <si>
    <t xml:space="preserve">
</t>
  </si>
  <si>
    <t>Se muestran los datos para ingresar:
Certificado (.cer)
Clave privada (.Key)
Contraseña de clave privada: 
Se muestra el campo RFC
Se requiere que el PAC al ingresar al aplicativo cuente con una opción que le permita autenticarse mediante su e.firma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PAC conforme a los lineamientos institucionales vigentes por el área de Seguridad del SAT. 
El PAC debe tener asignado el rol</t>
  </si>
  <si>
    <t xml:space="preserve">Se muestra el dato en el  campo certificado y en el campo RFC el dato del RFC del PAC
</t>
  </si>
  <si>
    <t xml:space="preserve">Se muestra el dato en el campo clave privada
</t>
  </si>
  <si>
    <t xml:space="preserve">Se muestra oculto el dato en el campo contraseña
</t>
  </si>
  <si>
    <t xml:space="preserve">Si la autenticación es correcta, el aplicativo abre la página principal del Portal de Incidencias con las opciones:
- Consulta incidentes CFDI
- Consulta incidentes CFDI Retenciones
En caso de que el PAC no cuente con los permisos asignados conforme a los roles establecidos, el aplicativo mostrará el mensaje: “El PAC no cuenta con los privilegios de acceso” y no se va a permitir su acceso. </t>
  </si>
  <si>
    <t>CP02-/Autenticación_Cer_Key_Incorrecto</t>
  </si>
  <si>
    <t>Se muestran los datos para ingresar:
Certificado (.cer)
Clave privada (.Key)
Contraseña de clave privada: 
Se muestra el campo RFC
Para  efectos de este caso de prueba se requiere un archivo .cer o un archivo .Key sean incorrectos.</t>
  </si>
  <si>
    <t xml:space="preserve">Se muestra el dato en el  campo certificado y en el campo RFC el dato del RFC del PAC
El PAC previamente se autenticó  y accedió al portal </t>
  </si>
  <si>
    <t xml:space="preserve">El sistema muestra mensaje: El certificado no corresponde con la llave privada. Y no permite el acceso al Portal de Incidentes
Se debe permitir el cierre de sesión de forma manual cuando el PAC seleccione la opción "cerrar sesión" y se debe redirigir la página al módulo de autenticación.
</t>
  </si>
  <si>
    <t>CP03-/Autenticación_Contraseña_Incorrecto</t>
  </si>
  <si>
    <t>Se muestran los datos para ingresar:
Certificado (.cer)
Clave privada (.Key)
Contraseña de clave privada: 
Se muestra el campo RFC
Para  efectos de este caso de prueba se requiere ingresar una contraseña incorrecta.</t>
  </si>
  <si>
    <t xml:space="preserve">El sistema muestra mensaje: Certificado, clave privada o contraseña de clave privada inválidos, inténtelo nuevamente.
Se debe permitir el cierre de sesión de forma manual cuando el PAC seleccione la opción "cerrar sesión" y se debe redirigir la página al módulo de autenticación.
</t>
  </si>
  <si>
    <t xml:space="preserve">CP04-/Inactividad </t>
  </si>
  <si>
    <t>El sistema muestra las siguientes opciones:
- Consulta incidentes CFDI
- Consulta incidentes CFDI Retenciones
-Recuperar descargas Detalle de consulta de incidencias’
El PAC previamente se autenticó  y accedió al portal de Incidentes</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</si>
  <si>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t>
  </si>
  <si>
    <t xml:space="preserve">La sesión debe cerrarse de forma automática cuando esta se encuentre inactiva por el PAC y permanezca abierta en un plazo mayor a 30 minutos, al cerrarse debe redirigir la página al Módulo de autentificación. 
</t>
  </si>
  <si>
    <t>CP05-/Salir</t>
  </si>
  <si>
    <t>El sistema muestra las siguientes opciones:
- Consulta incidentes CFDI
- Consulta incidentes CFDI Retenciones
-Recuperar descargas Detalle de consulta de incidencias’
El PAC previamente se autenticó  y accedió al portal de Cancelaciones</t>
  </si>
  <si>
    <t xml:space="preserve">Cierra la sesión del RFC
</t>
  </si>
  <si>
    <t>CP06-/FolioFiscalConsulta</t>
  </si>
  <si>
    <t xml:space="preserve">
Al seleccionar esta opción el sistema permitirá la consulta de los registros de incidencias para los CFDI en sus versiones 3.3 y 4.0 al momento de su envío por el servicio del SAT y proveedores autorizados</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</si>
  <si>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El campo Versión desplegará por default  para CFDI la v4.0.. </t>
  </si>
  <si>
    <t xml:space="preserve">El sistema muestra los datos que se van ingresando
</t>
  </si>
  <si>
    <t xml:space="preserve">El servicio inhabilita la sección de Fecha Inicial y Final de Recepción.
El sistema deberá mostrar en una tabla los resultados obtenidos de la consulta:
• RFC del PAC
• Nombre o Razón Social
• Evento
• Mensaje
• Total
• Detalle (Link)
</t>
  </si>
  <si>
    <t>Cierra la sesión del RFC
Fin del caso</t>
  </si>
  <si>
    <t>CP07-/MsgErrorConsultaCFDIVacío</t>
  </si>
  <si>
    <t>El sistema muestra el RFC del PAC autenticado con la opción Salir.
El sistema muestra las opciones:
.Tipo de consulta
Opción: Folio Fiscal*
Opción: Fecha
.Fecha Inicial de Recepción*
.Fecha Final de Recepción*
.Versión del comprobante*
Botón "Consultar Incidentes"
Al seleccionar esta opción el sistema permitirá la consulta de los registros de incidencias para los CFDI en sus versiones 3.3 y 4.0 al momento de su envío por el servicio del SAT y proveedores autorizados</t>
  </si>
  <si>
    <t xml:space="preserve">
El campo Versión desplegará por default  para CFDI la v4.0.. </t>
  </si>
  <si>
    <t xml:space="preserve">El aplicativo muestra el siguiente mensaje
 “ERROR: Favor de ingresar el folio fiscal”.
</t>
  </si>
  <si>
    <t>CP08-/MsgErrorConsultaCFDIFormatoIncorrecto</t>
  </si>
  <si>
    <t>El sistema muestra las siguientes opciones:
- Consulta incidentes CFDI
- Consulta incidentes CFDI Retenciones
-Recuperar descargas Detalle de consulta de incidencias’
El PAC previamente se autenticó  y accedió al portal de Incidentes
Para este caso de prueba  se ingresa un Comprobante Fiscal CFDI versión 4.0 con formato incorrecto</t>
  </si>
  <si>
    <t xml:space="preserve">El aplicativo muestra el siguiente mensaje: 
•	“ERROR: El Folio Fiscal no cumple con el formato correcto, favor de ingresarlo nuevamente”.
</t>
  </si>
  <si>
    <t>CP09-/MsgErrorConsultaCFDIRetenciones</t>
  </si>
  <si>
    <t>El sistema muestra las siguientes opciones:
- Consulta incidentes CFDI
- Consulta incidentes CFDI Retenciones
-Recuperar descargas Detalle de consulta de incidencias’
El PAC previamente se autenticó  y accedió al portal de Incidentes
Para esta prueba se requiere un Comprobante Fiscal CFDI de Retenciones versión 2.0</t>
  </si>
  <si>
    <t>Selecciona el campo Folio Fiscal e ingresa el UUID del comprobante y es de tipo CFDI de  Retenciones  y selecciona la opción "Consultar Incidentes".</t>
  </si>
  <si>
    <t xml:space="preserve">El aplicativo muestra el siguiente mensaje: 
“ERROR: El Folio Fiscal que desea consultar no se encuentra en la BD”.
Nota: Este mensaje de error aparece porque se quiere consultar un comprobante CFDI de Retenciones.
</t>
  </si>
  <si>
    <t>CP10-/FolioFiscalExportarPDF</t>
  </si>
  <si>
    <t>El sistema muestra las siguientes opciones:
- Consulta incidentes CFDI
- Consulta incidentes CFDI Retenciones
-Recuperar descargas Detalle de consulta de incidencias’
El PAC previamente se autenticó  y accedió al portal de Incidentes
Para este caso de prueba se requiere un Comprobante Fiscal CFDI versión 4.0</t>
  </si>
  <si>
    <t>El sistema muestra una subpantalla con la siguiente información:
•	RFC PAC: El RFC del PAC.
•	Nombre o Razón Social: La razón social del PAC.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Se descarga el archivo conforme al formato seleccionado con los siguientes campos:
*RFC PAC 
*Fecha de recepción
*Folio Fiscal 
*Clave Incidencia 
*Nodo incidente
*Descripción de Incidencia</t>
  </si>
  <si>
    <t>Dar clic en el botón "Exportar Detalle a PDF"</t>
  </si>
  <si>
    <t xml:space="preserve">Al seleccionar este botón se debe generar una petición de descarga para los registros de incidentes que se muestran en la ventana ‘Detalle de Consulta’.
Más de 100 registros de incidencias. 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.Letras mayúsculas.
.Números.
.Guiones.
.Longitud de 32 caracteres (sin contar el guion).
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</si>
  <si>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CP11-/FolioFiscalExportarJSON</t>
  </si>
  <si>
    <t xml:space="preserve">El sistema muestra una subpantalla con la siguiente información:
•	RFC PAC: El RFC del PAC.
•	Nombre o Razón Social: La razón social del PAC.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t>
  </si>
  <si>
    <t xml:space="preserve">Al seleccionar esta opción  se debe generar una petición de descarga para los registros de incidentes que se muestran en la ventana ‘Detalle de Consulta’ en formato JSON
El sistema cierra la pantalla modal y genera la descarga con la totalidad de registros de incidencias de manera asíncrona, mostrando en pantalla un mensaje con el número de ‘Folio de Descarga’ conforme a las siguientes características:
.Letras mayúsculas.
.Números.
.Guiones.
.Longitud de 32 caracteres (sin contar el guion).
El folio de descarga se proporciona mediante el siguiente mensaje: 
¡Descarga realizada con éxito!
La descarga del Detalle de la Consulta (JSON)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</si>
  <si>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CP12-/FechaConsulta</t>
  </si>
  <si>
    <t>El sistema muestra las siguientes opciones:
- Consulta incidentes CFDI
- Consulta incidentes CFDI Retenciones
-Recuperar descargas Detalle de consulta de incidencias’
El PAC previamente se autenticó  y accedió al portal de Incidentes
Para este caso de prueba se requiere uno o más comprobantes Fiscal CFDI versión 4.0</t>
  </si>
  <si>
    <t xml:space="preserve">El campo Folio Fiscal se deshabilita.
El resultado de la consulta deberá mostrarse en una tabla con el título “Resultado de consulta” y la información:
•	RFC del PAC 
•	Nombre o Razón Social
•	Evento 
•	Mensaje
•	Total
•	Detalle
Importante mencionar que, el resultado se debe agrupar por tipo de error y presentarse de forma general, 
Campo "Versión del comprobante" por default tiene el valor 4.0 </t>
  </si>
  <si>
    <t>CP13-/FechaMsgErrorConsultaRangoFecha</t>
  </si>
  <si>
    <t>El sistema muestra las siguientes opciones:
- Consulta incidentes CFDI
- Consulta incidentes CFDI Retenciones
-Recuperar descargas Detalle de consulta de incidencias’
El PAC previamente se autenticó  y accedió al portal de Incidentes
El PAC debe tener asignado el rol.
Comprobante Fiscal CFDI versión 4.0</t>
  </si>
  <si>
    <t>Seleccionar y agregar los valores:
- Campo Fecha Inicial de Recepción
- Campo Fecha Final de Recepción.
- Campo "Versión del comprobante"
Dar clic en el botón "Consultar Incidentes".
Nota: Para este caso de prueba se debe seleccionar un rango mayor a un mes</t>
  </si>
  <si>
    <t xml:space="preserve">Cuando se ingrese un rango de fechas mayor a un mes y se seleccione el botón “Consultar Incidentes”, el aplicativo deberá mostrar el siguiente mensaje de error: 
•	“ERROR: La consulta no debe ser mayor a un mes”.
Al seleccionar el botón para la consulta por periodo de fecha de emisión, se debe deshabilitar el campo correspondiente a la consulta de Folio Fiscal.
</t>
  </si>
  <si>
    <t>CP14-/FechaMsgErrorSelecciónVersión</t>
  </si>
  <si>
    <t>Seleccionar y agregar los valores:
- Campo Fecha Inicial de Recepción
- Campo Fecha Final de Recepción.
- Campo "Versión del comprobante"
Dar clic en el botón "Consultar Incidentes".
Nota: Para este caso de prueba no seleccionar el campo "Versión del comprobante"</t>
  </si>
  <si>
    <t xml:space="preserve">Cuando en el campo Versión no se seleccione ninguna opción y se seleccione el botón “Consultar Incidentes”, el aplicativo deberá mostrar el siguiente mensaje de error:
•	 “ERROR: Favor de seleccionar la versión de CFDI a consultar”.
</t>
  </si>
  <si>
    <t>CP15-/FechaExportarPDF</t>
  </si>
  <si>
    <t>El sistema muestra una subpantalla con la siguiente información:
•	RFC PAC: El RFC del PAC.
•	Nombre o Razón Social: La razón social del PAC.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t>
  </si>
  <si>
    <t xml:space="preserve">Al seleccionar este botón se debe generar una petición de descarga para los registros de incidentes que se muestran en la ventana ‘Detalle de Consulta’.
Más de 100 registros de incidencias. 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.Letras mayúsculas.
.Números.
.Guiones.
.Longitud de 32 caracteres (sin contar el guion).
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</si>
  <si>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CP16-/FechaExportarJSON</t>
  </si>
  <si>
    <t>CP17-/Retenciones/FolioFiscalConsulta</t>
  </si>
  <si>
    <t>El sistema muestra las siguientes opciones:
- Consulta incidentes CFDI
- Consulta incidentes CFDI Retenciones
-Recuperar descargas Detalle de consulta de incidencias’
El PAC previamente se autenticó  y accedió al portal de Incidentes
Para este caso de prueba se requiere un Comprobante Fiscal CFDI Retenciones versión 2.0</t>
  </si>
  <si>
    <t>El sistema muestra el RFC del PAC autenticado con la opción Salir.
El sistema muestra las opciones:
.Tipo de consulta
Opción: Folio Fiscal*
Opción: Fecha
.Fecha Inicial de Recepción*
.Fecha Final de Recepción*
.Versión del comprobante*
Botón "Consultar Incidentes"
Al seleccionar esta opción el sistema permitirá la consulta de los registros de incidencias para los CFDI de Retenciones en sus versiones 1.0 y 2.0 al momento de su envío por el servicio del SAT y proveedores autorizados.</t>
  </si>
  <si>
    <t xml:space="preserve">
El campo Versión desplegará por default  para CFDI la v2.0.</t>
  </si>
  <si>
    <t>CP18-/Retenciones/MsgErrorConsultaCFDIRetVacío</t>
  </si>
  <si>
    <t>El sistema muestra las siguientes opciones:
- Consulta incidentes CFDI
- Consulta incidentes CFDI Retenciones
-Recuperar descargas Detalle de consulta de incidencias’
El PAC previamente se autenticó  y accedió al portal de Incidentes
Comprobante Fiscal CFDI Retenciones versión 2.0</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</si>
  <si>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t>
  </si>
  <si>
    <t>Se da clic en el botón "Consultar Incidentes"
Nota: Para este caso de prueba no se ingresa el Folio Fiscal</t>
  </si>
  <si>
    <t>CP19-/Retenciones/MsgErrorConsultaCFDIRetFormatoIncorrecto</t>
  </si>
  <si>
    <t xml:space="preserve">El aplicativo muestra el siguiente mensaje: 
•	“El Folio Fiscal no cumple con el formato correcto, favor de ingresarlo nuevamente”.
</t>
  </si>
  <si>
    <t>CP20-/MsgErrorConsultaCFDIv4.0</t>
  </si>
  <si>
    <t>El sistema muestra las siguientes opciones:
- Consulta incidentes CFDI
- Consulta incidentes CFDI Retenciones
-Recuperar descargas Detalle de consulta de incidencias’
El PAC previamente se autenticó  y accedió al portal de Incidentes
Para este caso de pruebas consultar un Comprobante Fiscal CFDI ver 4.0</t>
  </si>
  <si>
    <t>Selecciona el campo Folio Fiscal e ingresa el UUID del comprobante y es de tipo CFDI ver 4.0  y selecciona la opción "Consultar Incidentes".</t>
  </si>
  <si>
    <t xml:space="preserve">El aplicativo muestra el siguiente mensaje: 
“ERROR: El Folio Fiscal que desea consultar no se encuentra en la BD”.
Nota: Este mensaje de error aparece porque se quiere consultar un comprobante CFDI que no es de tipo Retenciones
</t>
  </si>
  <si>
    <t>CP21-/Retenciones/FolioFiscalExportarPDF</t>
  </si>
  <si>
    <t>CP22-/Retenciones/FolioFiscalExportarJSON</t>
  </si>
  <si>
    <t>CP23-/Retenciones/FechaConsulta</t>
  </si>
  <si>
    <t>El sistema muestra las siguientes opciones:
- Consulta incidentes CFDI
- Consulta incidentes CFDI Retenciones
-Recuperar descargas Detalle de consulta de incidencias’
El PAC previamente se autenticó  y accedió al portal de Incidentes
Para este caso de prueba se requiere uno o más comprobantes Fiscal CFDI Retenciones versión 2.0</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</si>
  <si>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t>
  </si>
  <si>
    <t>CP24-/Retenciones/FechaMsgErrorConsultaRangoFecha</t>
  </si>
  <si>
    <t xml:space="preserve">Cuando se ingrese un rango de fechas mayor a un mes y se seleccione el botón “Consultar Incidentes”, el aplicativo deberá mostrar el siguiente mensaje de error: 
•	“ERROR: La consulta no debe ser mayor a un mes”.
Importante mencionar que, el resultado se debe agrupar por tipo de error y presentarse de forma general, 
</t>
  </si>
  <si>
    <t>CP25-/Retenciones/FechaMsgErrorSelecciónVersión</t>
  </si>
  <si>
    <t>El sistema muestra las siguientes opciones:
- Consulta incidentes CFDI
- Consulta incidentes CFDI Retenciones
-Recuperar descargas Detalle de consulta de incidencias’
El PAC previamente se autenticó  y accedió al portal de Incidentes
Para este caso de prueba se requiere comprobante Fiscal CFDI Retenciones versión 2.0</t>
  </si>
  <si>
    <t>Cuando en el campo Versión no se seleccione ninguna opción y se seleccione el botón “Consultar Incidentes”, el aplicativo deberá mostrar el siguiente mensaje de error:
•	 “ERROR: Favor de seleccionar la versión de CFDI a consultar”..
Importante mencionar que, el resultado se debe agrupar por tipo de error y presentarse de forma general, 
El campo Versión desplegará por default  para CFDI la v2.0.</t>
  </si>
  <si>
    <t>CP26-/Retenciones/FechaExportarPDF</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</si>
  <si>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t>
  </si>
  <si>
    <t xml:space="preserve">El campo Folio Fiscal se deshabilita.
El resultado de la consulta deberá mostrarse en una tabla con el título “Resultado de consulta” y la información:
•	RFC del PAC 
•	Nombre o Razón Social
•	Evento 
•	Mensaje
•	Total
•	Detalle
Importante mencionar que, el resultado se debe agrupar por tipo de error y presentarse de forma general, 
</t>
  </si>
  <si>
    <t xml:space="preserve">Al seleccionar este botón se debe generar una petición de descarga para los registros de incidentes que se muestran en la ventana ‘Detalle de Consulta’.
Más de 100 registros de incidencias. 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.Letras mayúsculas.
.Números.
.Guiones.
.Longitud de 32 caracteres (sin contar el guion).
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</si>
  <si>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CP27-/Retenciones/FechaExportarJSON</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</si>
  <si>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t>
  </si>
  <si>
    <t xml:space="preserve">Al seleccionar esta opción  se debe generar una petición de descarga para los registros de incidentes que se muestran en la ventana ‘Detalle de Consulta’ en formato JSON
.Letras mayúsculas.
.Números.
.Guiones.
.Longitud de 32 caracteres (sin contar el guion).
El folio de descarga se proporciona mediante el siguiente mensaje: 
¡Descarga realizada con éxito!
La descarga del Detalle de la Consulta (JSON)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</si>
  <si>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CP28-/Recuperar descargas Detalle de consulta de incidencias/Descargar/Sin Peticiones</t>
  </si>
  <si>
    <t xml:space="preserve">El sistema valida si hay peticiones pendientes. En caso de no existir peticiones en proceso deberá arrojar el siguiente mensaje: “No existen registros de descargas desde los últimos 3 días a la fecha.”
</t>
  </si>
  <si>
    <t>CP29-/Recuperar descargas Detalle de consulta de incidencias/Descargar/Con Archivos</t>
  </si>
  <si>
    <t xml:space="preserve">En caso de existir solicitudes de descarga en proceso, se visualizarán los registros de descarga con la siguiente estructura:
•	Descargar Paquete: Opción que permite la descarga solicitada.  Icono que representa la funcionalidad de descarga del paquete de archivos correspondiente.
•	Folio de Descarga: Indica el número de folio que genera el sistema al realizar la descarga.
•	Evento: Indica la clave del evento del detalle de la solicitud de descarga.
•	RFC PAC: Indica el RFC del PAC del detalle de la solicitud de descarga.
•	Tipo Descarga: Indica el tipo de descarga solicitada la cual puede ser: PDF o JSON. 
•	Cantidad de Documentos: Indica el total de documentos que contiene el archivo.
•	Fecha de la Solicitud: Indica la fecha en la que se realizó la solicitud.
•	Estatus de solicitud: Indica si está en proceso o atendida.
•	Fecha de atención de solicitud: Indica la fecha en la que se pusieron a disposición los archivos para descarga
</t>
  </si>
  <si>
    <t xml:space="preserve">El sistema realiza la descarga de los archivos PDF o JASON
</t>
  </si>
  <si>
    <t>El uso de la siguiente Sección de Firmas de Conformidad es opcional, dependiendo de la necesidad del consumidor de la información.</t>
  </si>
  <si>
    <t>Instrucciones:</t>
  </si>
  <si>
    <t>Registrar en la tabla la información de los participantes en la elaboración, revisión, aprobación, etc. del artefacto.</t>
  </si>
  <si>
    <t>FIRMAS DE CONFORMIDAD</t>
  </si>
  <si>
    <t>Autorizó</t>
  </si>
  <si>
    <r>
      <rPr>
        <b/>
        <sz val="10"/>
        <color rgb="FF000000"/>
        <rFont val="Montserrat"/>
      </rPr>
      <t>Nombre</t>
    </r>
    <r>
      <rPr>
        <sz val="10"/>
        <color rgb="FF000000"/>
        <rFont val="Montserrat"/>
      </rPr>
      <t>: Pedro López Bernal.</t>
    </r>
  </si>
  <si>
    <r>
      <rPr>
        <b/>
        <sz val="10"/>
        <color rgb="FF000000"/>
        <rFont val="Montserrat"/>
      </rPr>
      <t>Nombre</t>
    </r>
    <r>
      <rPr>
        <sz val="10"/>
        <color rgb="FF000000"/>
        <rFont val="Montserrat"/>
      </rPr>
      <t>: Diana Maribel Velazquez Barroso</t>
    </r>
  </si>
  <si>
    <r>
      <rPr>
        <b/>
        <sz val="10"/>
        <color rgb="FF000000"/>
        <rFont val="Montserrat"/>
      </rPr>
      <t>Puesto</t>
    </r>
    <r>
      <rPr>
        <sz val="10"/>
        <color rgb="FF000000"/>
        <rFont val="Montserrat"/>
      </rPr>
      <t>: Administrador de Gestión de Servicios y Trámites con Medios Electrónicos 3</t>
    </r>
  </si>
  <si>
    <r>
      <rPr>
        <b/>
        <sz val="10"/>
        <color rgb="FF000000"/>
        <rFont val="Montserrat"/>
      </rPr>
      <t>Puesto</t>
    </r>
    <r>
      <rPr>
        <sz val="10"/>
        <color rgb="FF000000"/>
        <rFont val="Montserrat"/>
      </rPr>
      <t xml:space="preserve">: Administradora de Soluciones de Negocio 3 </t>
    </r>
  </si>
  <si>
    <r>
      <rPr>
        <b/>
        <sz val="10"/>
        <color rgb="FF000000"/>
        <rFont val="Montserrat"/>
      </rPr>
      <t>Fecha</t>
    </r>
    <r>
      <rPr>
        <sz val="10"/>
        <color rgb="FF000000"/>
        <rFont val="Montserrat"/>
      </rPr>
      <t>:</t>
    </r>
  </si>
  <si>
    <t xml:space="preserve">Fecha: </t>
  </si>
  <si>
    <t>‍</t>
  </si>
  <si>
    <t>Revisó</t>
  </si>
  <si>
    <r>
      <rPr>
        <b/>
        <sz val="10"/>
        <color rgb="FF000000"/>
        <rFont val="Montserrat"/>
      </rPr>
      <t>Nombre</t>
    </r>
    <r>
      <rPr>
        <sz val="10"/>
        <color rgb="FF000000"/>
        <rFont val="Montserrat"/>
      </rPr>
      <t xml:space="preserve">: Mario Alberto Huerta Velazquez </t>
    </r>
  </si>
  <si>
    <r>
      <rPr>
        <b/>
        <sz val="10"/>
        <color rgb="FF000000"/>
        <rFont val="Montserrat"/>
      </rPr>
      <t xml:space="preserve">Nombre: </t>
    </r>
    <r>
      <rPr>
        <sz val="10"/>
        <color rgb="FF000000"/>
        <rFont val="Montserrat"/>
      </rPr>
      <t>Roberto Benjamín Monroy Vargas</t>
    </r>
  </si>
  <si>
    <r>
      <rPr>
        <b/>
        <sz val="10"/>
        <color rgb="FF000000"/>
        <rFont val="Montserrat"/>
      </rPr>
      <t>Puesto</t>
    </r>
    <r>
      <rPr>
        <sz val="10"/>
        <color rgb="FF000000"/>
        <rFont val="Montserrat"/>
      </rPr>
      <t>: Subadministrador de Gestión de Servicios y Trámites con Medios Electrónicos</t>
    </r>
  </si>
  <si>
    <r>
      <rPr>
        <b/>
        <sz val="10"/>
        <color rgb="FF000000"/>
        <rFont val="Montserrat"/>
      </rPr>
      <t>Puesto</t>
    </r>
    <r>
      <rPr>
        <sz val="10"/>
        <color rgb="FF000000"/>
        <rFont val="Montserrat"/>
      </rPr>
      <t>: Subadministrador de Soluciones de Negocio</t>
    </r>
  </si>
  <si>
    <r>
      <rPr>
        <b/>
        <sz val="10"/>
        <color rgb="FF000000"/>
        <rFont val="Montserrat"/>
      </rPr>
      <t>Fecha</t>
    </r>
    <r>
      <rPr>
        <sz val="10"/>
        <color rgb="FF000000"/>
        <rFont val="Montserrat"/>
      </rPr>
      <t xml:space="preserve">: </t>
    </r>
  </si>
  <si>
    <t>Elaboró</t>
  </si>
  <si>
    <r>
      <rPr>
        <b/>
        <sz val="10"/>
        <color rgb="FF000000"/>
        <rFont val="Montserrat"/>
      </rPr>
      <t xml:space="preserve">Nombre: </t>
    </r>
    <r>
      <rPr>
        <sz val="10"/>
        <color rgb="FF000000"/>
        <rFont val="Montserrat"/>
      </rPr>
      <t>Nadia Anahí Ortega Nava</t>
    </r>
    <r>
      <rPr>
        <b/>
        <sz val="10"/>
        <color rgb="FF000000"/>
        <rFont val="Montserrat"/>
      </rPr>
      <t xml:space="preserve"> </t>
    </r>
  </si>
  <si>
    <r>
      <rPr>
        <b/>
        <sz val="10"/>
        <color rgb="FF000000"/>
        <rFont val="Montserrat"/>
      </rPr>
      <t xml:space="preserve">Nombre: </t>
    </r>
    <r>
      <rPr>
        <sz val="10"/>
        <color rgb="FF000000"/>
        <rFont val="Montserrat"/>
      </rPr>
      <t>Alma Quetzabeth Torres González</t>
    </r>
    <r>
      <rPr>
        <b/>
        <sz val="10"/>
        <color rgb="FF000000"/>
        <rFont val="Montserrat"/>
      </rPr>
      <t xml:space="preserve"> </t>
    </r>
  </si>
  <si>
    <r>
      <rPr>
        <b/>
        <sz val="10"/>
        <color rgb="FF000000"/>
        <rFont val="Montserrat"/>
      </rPr>
      <t xml:space="preserve">Puesto: </t>
    </r>
    <r>
      <rPr>
        <sz val="10"/>
        <color rgb="FF000000"/>
        <rFont val="Montserrat"/>
      </rPr>
      <t>Jefe de Departamento de Gestión de Servicios y Trámites con Medios Electrónicos</t>
    </r>
  </si>
  <si>
    <r>
      <rPr>
        <b/>
        <sz val="10"/>
        <color rgb="FF000000"/>
        <rFont val="Montserrat"/>
      </rPr>
      <t xml:space="preserve">Puesto: </t>
    </r>
    <r>
      <rPr>
        <sz val="10"/>
        <color rgb="FF000000"/>
        <rFont val="Montserrat"/>
      </rPr>
      <t>Jefe de Departamento de Soluciones de Negocio</t>
    </r>
  </si>
  <si>
    <t>Tomar como referencia el siguiente Encabezado para edición:</t>
  </si>
  <si>
    <t>Administración General de Comunicaciones
y Tecnologías de la Información</t>
  </si>
  <si>
    <t>Marco Documental 7.0</t>
  </si>
  <si>
    <t>Fecha de aprobación
del Template:
01/11/2021</t>
  </si>
  <si>
    <r>
      <rPr>
        <b/>
        <sz val="11"/>
        <color rgb="FF000000"/>
        <rFont val="Montserrat"/>
      </rPr>
      <t xml:space="preserve">Requerimientos de Pruebas
</t>
    </r>
    <r>
      <rPr>
        <sz val="6"/>
        <color rgb="FF0000FF"/>
        <rFont val="Montserrat"/>
      </rPr>
      <t xml:space="preserve">Clave del Documento
</t>
    </r>
    <r>
      <rPr>
        <sz val="11"/>
        <color rgb="FF000000"/>
        <rFont val="Montserrat"/>
      </rPr>
      <t xml:space="preserve">XX_RDP_REQPRUEBAS.xlsx
</t>
    </r>
    <r>
      <rPr>
        <sz val="7"/>
        <color rgb="FF0000FF"/>
        <rFont val="Montserrat"/>
      </rPr>
      <t xml:space="preserve">[Nomenclatura del artefacto, punto, extensión del archivo actual]
Servicio Administración del Ciclo de Vida de Aplicaciones de TIC
</t>
    </r>
    <r>
      <rPr>
        <b/>
        <sz val="7"/>
        <color rgb="FF0000FF"/>
        <rFont val="Montserrat"/>
      </rPr>
      <t>Central Dueña</t>
    </r>
    <r>
      <rPr>
        <sz val="7"/>
        <color rgb="FF0000FF"/>
        <rFont val="Montserrat"/>
      </rPr>
      <t>:</t>
    </r>
    <r>
      <rPr>
        <b/>
        <sz val="7"/>
        <color rgb="FF0000FF"/>
        <rFont val="Montserrat"/>
      </rPr>
      <t xml:space="preserve"> Administración Central de Soluciones de Negocio (ACSN)
Central que Elabora: ACSN
Central Consumidora: ACDMA</t>
    </r>
  </si>
  <si>
    <t>Versión del template:
7.00</t>
  </si>
  <si>
    <r>
      <rPr>
        <b/>
        <sz val="11"/>
        <color rgb="FF000000"/>
        <rFont val="Montserrat"/>
      </rPr>
      <t xml:space="preserve">Requerimientos de Pruebas
</t>
    </r>
    <r>
      <rPr>
        <sz val="11"/>
        <color rgb="FF000000"/>
        <rFont val="Montserrat"/>
      </rPr>
      <t>RDP-Consulta_Incidentes_PAC.xlsx</t>
    </r>
  </si>
  <si>
    <t xml:space="preserve"> </t>
  </si>
  <si>
    <r>
      <t>Da clic en "</t>
    </r>
    <r>
      <rPr>
        <sz val="10"/>
        <color rgb="FFFF0000"/>
        <rFont val="Noto Sans"/>
      </rPr>
      <t>Consulta Incidentes CFDI</t>
    </r>
    <r>
      <rPr>
        <sz val="10"/>
        <rFont val="Noto Sans"/>
        <family val="2"/>
        <charset val="1"/>
      </rPr>
      <t>"</t>
    </r>
  </si>
  <si>
    <r>
      <t xml:space="preserve">El sistema muestra una subpantalla con la siguiente información:
•	RFC PAC: El RFC del PAC.
•	Nombre o Razón Social: La razón social del PAC.
•	</t>
    </r>
    <r>
      <rPr>
        <sz val="10"/>
        <color rgb="FFFF0000"/>
        <rFont val="Noto Sans"/>
      </rPr>
      <t>Fecha incidente: La fecha de registro de incidente</t>
    </r>
    <r>
      <rPr>
        <sz val="10"/>
        <rFont val="Noto Sans"/>
        <family val="2"/>
        <charset val="1"/>
      </rPr>
      <t xml:space="preserv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t>
    </r>
  </si>
  <si>
    <r>
      <t xml:space="preserve">El sistema muestra una subpantalla con la siguiente información:
•	RFC PAC: El RFC del PAC.
•	Nombre o Razón Social: La razón social del PAC.
</t>
    </r>
    <r>
      <rPr>
        <sz val="10"/>
        <color rgb="FF00B050"/>
        <rFont val="Noto Sans"/>
        <family val="2"/>
      </rPr>
      <t xml:space="preserve">•	</t>
    </r>
    <r>
      <rPr>
        <sz val="10"/>
        <color rgb="FFFF0000"/>
        <rFont val="Noto Sans"/>
      </rPr>
      <t>Fecha incidente: La fecha de registro de incidente</t>
    </r>
    <r>
      <rPr>
        <sz val="10"/>
        <rFont val="Noto Sans"/>
        <family val="2"/>
        <charset val="1"/>
      </rPr>
      <t xml:space="preserv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t>
    </r>
  </si>
  <si>
    <r>
      <t xml:space="preserve">El sistema muestra una subpantalla con la siguiente información:
•	RFC PAC: El RFC del PAC.
•	Nombre o Razón Social: La razón social del PAC.
</t>
    </r>
    <r>
      <rPr>
        <sz val="10"/>
        <color rgb="FF00B050"/>
        <rFont val="Noto Sans"/>
        <family val="2"/>
      </rPr>
      <t xml:space="preserve">•	</t>
    </r>
    <r>
      <rPr>
        <sz val="10"/>
        <color rgb="FFFF0000"/>
        <rFont val="Noto Sans"/>
      </rPr>
      <t>Fecha incidente: La fecha de registro de incidente</t>
    </r>
    <r>
      <rPr>
        <sz val="10"/>
        <rFont val="Noto Sans"/>
        <family val="2"/>
        <charset val="1"/>
      </rPr>
      <t xml:space="preserv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t>
    </r>
  </si>
  <si>
    <r>
      <t xml:space="preserve">El sistema muestra una subpantalla con la siguiente información:
•	RFC PAC: El RFC del PAC.
•	Nombre o Razón Social: La razón social del PAC.
•	</t>
    </r>
    <r>
      <rPr>
        <sz val="10"/>
        <color rgb="FFFF0000"/>
        <rFont val="Noto Sans"/>
      </rPr>
      <t>Fecha incidente: La fecha de registro de incidente</t>
    </r>
    <r>
      <rPr>
        <sz val="10"/>
        <rFont val="Noto Sans"/>
        <family val="2"/>
        <charset val="1"/>
      </rPr>
      <t xml:space="preserv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t>
    </r>
  </si>
  <si>
    <r>
      <t xml:space="preserve">Importante mencionar que, el resultado se debe agrupar por tipo de error y presentarse de forma general, 
Campo "Versión del comprobante" por default tiene el valor </t>
    </r>
    <r>
      <rPr>
        <sz val="10"/>
        <color rgb="FFFF0000"/>
        <rFont val="Noto Sans"/>
      </rPr>
      <t>2.0</t>
    </r>
    <r>
      <rPr>
        <sz val="10"/>
        <rFont val="Noto Sans"/>
        <family val="2"/>
        <charset val="1"/>
      </rPr>
      <t xml:space="preserve"> </t>
    </r>
  </si>
  <si>
    <r>
      <t>El servicio inhabilita la sección de Fecha Inicial y Final de Recepción.
El sistema deberá mostrar en una tabla los resultados obtenidos de la consulta:
• RFC del PAC
• Nombre o Razón Social
• Evento
• Mensaje
• Total
• Detalle (</t>
    </r>
    <r>
      <rPr>
        <sz val="10"/>
        <color rgb="FFFF0000"/>
        <rFont val="Noto Sans"/>
      </rPr>
      <t>Boton</t>
    </r>
    <r>
      <rPr>
        <sz val="10"/>
        <rFont val="Noto Sans"/>
        <family val="2"/>
        <charset val="1"/>
      </rPr>
      <t>)</t>
    </r>
  </si>
  <si>
    <r>
      <t>El campo Folio Fiscal se deshabilita.
El resultado de la consulta deberá mostrarse en una tabla con el título “Resultado de consulta” y la información:
• RFC del PAC
• Nombre o Razón Social
• Evento
• Mensaje
• Total
• Detalle (</t>
    </r>
    <r>
      <rPr>
        <sz val="10"/>
        <color rgb="FFFF0000"/>
        <rFont val="Noto Sans"/>
      </rPr>
      <t>Boton</t>
    </r>
    <r>
      <rPr>
        <sz val="10"/>
        <rFont val="Noto Sans"/>
        <family val="2"/>
        <charset val="1"/>
      </rPr>
      <t xml:space="preserve">)
</t>
    </r>
  </si>
  <si>
    <r>
      <t>El campo Folio Fiscal se deshabilita.
El resultado de la consulta deberá mostrarse en una tabla con el título “Resultado de consulta” y la información:
•	RFC del PAC 
•	Nombre o Razón Social
•	Evento 
•	Mensaje
•	Total
•	Detalle(</t>
    </r>
    <r>
      <rPr>
        <sz val="10"/>
        <color rgb="FFFF0000"/>
        <rFont val="Noto Sans"/>
      </rPr>
      <t>Boton</t>
    </r>
    <r>
      <rPr>
        <sz val="10"/>
        <rFont val="Noto Sans"/>
        <family val="2"/>
        <charset val="1"/>
      </rPr>
      <t xml:space="preserve">)
</t>
    </r>
  </si>
  <si>
    <r>
      <t xml:space="preserve">e.firma vigentes
Firma Electrónica del Usuario.
El PAC debe tener asignado el rol
</t>
    </r>
    <r>
      <rPr>
        <b/>
        <sz val="10"/>
        <rFont val="Noto Sans"/>
      </rPr>
      <t>Para este caso de prueba se requiere un Comprobante Fiscal CFDI versión 4.0</t>
    </r>
  </si>
  <si>
    <r>
      <t xml:space="preserve">El aplicativo muestra el siguiente mensaje: 
</t>
    </r>
    <r>
      <rPr>
        <b/>
        <sz val="10"/>
        <color rgb="FFFF0000"/>
        <rFont val="Noto Sans"/>
      </rPr>
      <t>“ERROR: El Folio Fiscal que desea consultar no se encuentra en la BD.”.</t>
    </r>
    <r>
      <rPr>
        <b/>
        <sz val="10"/>
        <rFont val="Noto Sans"/>
        <family val="2"/>
        <charset val="1"/>
      </rPr>
      <t xml:space="preserve">
Nota: Este mensaje de error aparece porque se quiere consultar un comprobante CFDI que no es de tipo Retenciones</t>
    </r>
  </si>
  <si>
    <r>
      <t xml:space="preserve">El aplicativo muestra el siguiente mensaje: 
</t>
    </r>
    <r>
      <rPr>
        <b/>
        <sz val="10"/>
        <color rgb="FFFF0000"/>
        <rFont val="Noto Sans"/>
      </rPr>
      <t>“• ERROR: El Folio Fiscal que desea consultar no se encuentra en la BD.”.</t>
    </r>
    <r>
      <rPr>
        <b/>
        <sz val="10"/>
        <rFont val="Noto Sans"/>
        <family val="2"/>
        <charset val="1"/>
      </rPr>
      <t xml:space="preserve">
Nota: Este mensaje de error aparece porque se quiere consultar un comprobante CFDI de Retenciones.</t>
    </r>
  </si>
  <si>
    <t>Al seleccionar la opción por Folio Fiscal y al colocar el cursor en el tooltip “?” el sistema deberá mostrar el siguiente mensaje y el sistema aplicará lo que menciona el mismo:
"En esta opción sólo se podrán visualizar las incidencias de los comprobantes que fueron recibidos".</t>
  </si>
  <si>
    <r>
      <t>El servicio inhabilita la sección de Fecha Inicial y Final de Recepción.
El sistema deberá mostrar en una tabla los resultados obtenidos de la consulta:
• Nombre o Razón Social
• Evento
• Mensaje
• Total
• Detalle (</t>
    </r>
    <r>
      <rPr>
        <sz val="10"/>
        <color rgb="FFFF0000"/>
        <rFont val="Noto Sans"/>
        <family val="2"/>
      </rPr>
      <t>Boton</t>
    </r>
    <r>
      <rPr>
        <sz val="10"/>
        <rFont val="Noto Sans"/>
        <family val="2"/>
        <charset val="1"/>
      </rPr>
      <t>)</t>
    </r>
  </si>
  <si>
    <r>
      <t xml:space="preserve">El sistema muestra las siguientes opciones:
</t>
    </r>
    <r>
      <rPr>
        <sz val="10"/>
        <color rgb="FFFF0000"/>
        <rFont val="Noto Sans"/>
        <family val="2"/>
      </rPr>
      <t xml:space="preserve">- Consultar Facturas Emitidas
- Consultar Facturas Recibidas
- Recuperar Descargas de CFDI
- Consultar Solicitudes de Cancelación
</t>
    </r>
    <r>
      <rPr>
        <sz val="10"/>
        <rFont val="Noto Sans"/>
        <family val="2"/>
        <charset val="1"/>
      </rPr>
      <t>- Consulta incidentes CFDI
- Consulta incidentes CFDI Retenciones
-Recuperar descargas Detalle de consulta de incidencias’</t>
    </r>
  </si>
  <si>
    <t>La sesión debe cerrarse de forma automática cuando esta se encuentre inactiva por el PAC y permanezca abierta en un plazo mayor a 10 minutos</t>
  </si>
  <si>
    <r>
      <t>El servicio inhabilita la sección de Fecha Inicial y Final de Recepción.
El sistema deberá mostrar en una tabla los resultados obtenidos de la consulta:
• RFC del PAC
• Nombre o Razón Social
• Evento
• Mensaje
• Total
• Detalle (</t>
    </r>
    <r>
      <rPr>
        <sz val="10"/>
        <color rgb="FFFF0000"/>
        <rFont val="Noto Sans"/>
        <family val="2"/>
      </rPr>
      <t>Boton</t>
    </r>
    <r>
      <rPr>
        <sz val="10"/>
        <rFont val="Noto Sans"/>
        <family val="2"/>
        <charset val="1"/>
      </rPr>
      <t>)</t>
    </r>
  </si>
  <si>
    <r>
      <t xml:space="preserve">Da clic en "Consulta incidentes CFDI </t>
    </r>
    <r>
      <rPr>
        <sz val="10"/>
        <color rgb="FFFF0000"/>
        <rFont val="Noto Sans"/>
        <family val="2"/>
      </rPr>
      <t>Retenciones</t>
    </r>
    <r>
      <rPr>
        <sz val="10"/>
        <rFont val="Noto Sans"/>
        <family val="2"/>
        <charset val="1"/>
      </rPr>
      <t>"</t>
    </r>
  </si>
  <si>
    <r>
      <t xml:space="preserve">Selecciona el registro y dar clic en el </t>
    </r>
    <r>
      <rPr>
        <sz val="10"/>
        <color rgb="FFFF0000"/>
        <rFont val="Noto Sans"/>
        <family val="2"/>
      </rPr>
      <t>boton</t>
    </r>
    <r>
      <rPr>
        <sz val="10"/>
        <rFont val="Noto Sans"/>
        <family val="2"/>
        <charset val="1"/>
      </rPr>
      <t xml:space="preserve"> de "</t>
    </r>
    <r>
      <rPr>
        <sz val="10"/>
        <color rgb="FFFF0000"/>
        <rFont val="Noto Sans"/>
        <family val="2"/>
      </rPr>
      <t>Ver</t>
    </r>
    <r>
      <rPr>
        <sz val="10"/>
        <rFont val="Noto Sans"/>
        <family val="2"/>
        <charset val="1"/>
      </rPr>
      <t xml:space="preserve"> detalle"</t>
    </r>
  </si>
  <si>
    <r>
      <t xml:space="preserve">De los resultados, se selecciona un registro y se da clic en el </t>
    </r>
    <r>
      <rPr>
        <sz val="10"/>
        <color rgb="FFFF0000"/>
        <rFont val="Noto Sans"/>
        <family val="2"/>
      </rPr>
      <t>boton</t>
    </r>
    <r>
      <rPr>
        <sz val="10"/>
        <rFont val="Noto Sans"/>
        <family val="2"/>
        <charset val="1"/>
      </rPr>
      <t xml:space="preserve"> de "</t>
    </r>
    <r>
      <rPr>
        <sz val="10"/>
        <color rgb="FFFF0000"/>
        <rFont val="Noto Sans"/>
        <family val="2"/>
      </rPr>
      <t>Ver</t>
    </r>
    <r>
      <rPr>
        <sz val="10"/>
        <rFont val="Noto Sans"/>
        <family val="2"/>
        <charset val="1"/>
      </rPr>
      <t xml:space="preserve"> detalle".</t>
    </r>
  </si>
  <si>
    <r>
      <t xml:space="preserve">De los resultados, se selecciona un registro y se da clic en el </t>
    </r>
    <r>
      <rPr>
        <sz val="10"/>
        <color rgb="FFFF0000"/>
        <rFont val="Noto Sans"/>
        <family val="2"/>
      </rPr>
      <t>boton</t>
    </r>
    <r>
      <rPr>
        <sz val="10"/>
        <rFont val="Noto Sans"/>
        <family val="2"/>
        <charset val="1"/>
      </rPr>
      <t xml:space="preserve"> de "</t>
    </r>
    <r>
      <rPr>
        <sz val="10"/>
        <color rgb="FFFF0000"/>
        <rFont val="Noto Sans"/>
        <family val="2"/>
      </rPr>
      <t>ver</t>
    </r>
    <r>
      <rPr>
        <sz val="10"/>
        <rFont val="Noto Sans"/>
        <family val="2"/>
        <charset val="1"/>
      </rPr>
      <t xml:space="preserve"> detalle".</t>
    </r>
  </si>
  <si>
    <t>Al seleccionar este botón se debe generar una petición de descarga para los registros de incidentes que se muestran en la ventana ‘Detalle de Consulta’.
Al seleccionar el botón ‘Exportar Detalle a PDF’ se debe mostrar que el PDF se encuentra en proceso de descarga.</t>
  </si>
  <si>
    <t>Al seleccionar este botón se debe generar una petición de descarga para los registros de incidentes que se muestran en la ventana ‘Detalle de Consulta’ en formato JSON.
Al seleccionar el botón ‘Exportar Detalle a JSON se debe mostrar que el JSON se encuentra en proceso de descarga.</t>
  </si>
  <si>
    <t>CP28</t>
  </si>
  <si>
    <t>/Retenciones/FechaExportarPDFmas100Registros</t>
  </si>
  <si>
    <t>CP29</t>
  </si>
  <si>
    <t>/Retenciones/FechaExportarJSONmas100Registros</t>
  </si>
  <si>
    <r>
      <t xml:space="preserve">Al seleccionar este botón se debe generar una petición de descarga para los registros de incidentes que se muestran en la ventana ‘Detalle de Consulta’.
•	</t>
    </r>
    <r>
      <rPr>
        <b/>
        <sz val="10"/>
        <color rgb="FFFF0000"/>
        <rFont val="Montserrat"/>
      </rPr>
      <t>Mas de 100 registros de incidencias</t>
    </r>
    <r>
      <rPr>
        <sz val="10"/>
        <color rgb="FFFF0000"/>
        <rFont val="Montserrat"/>
      </rPr>
      <t xml:space="preserve">
</t>
    </r>
    <r>
      <rPr>
        <sz val="10"/>
        <color theme="1"/>
        <rFont val="Montserrat"/>
      </rPr>
      <t xml:space="preserve">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	Letras mayúsculas.
	Números.
	Guiones.
	Longitud de 32 caracteres (sin contar el guion)
</t>
    </r>
    <r>
      <rPr>
        <sz val="10"/>
        <rFont val="Montserrat"/>
      </rPr>
      <t>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t>
    </r>
  </si>
  <si>
    <r>
      <t xml:space="preserve">Al seleccionar este botón se debe generar una petición de descarga para los registros de incidentes que se muestran en la ventana ‘Detalle de Consulta’ en formato JSON.
</t>
    </r>
    <r>
      <rPr>
        <b/>
        <sz val="10"/>
        <rFont val="Noto Sans"/>
        <family val="2"/>
      </rPr>
      <t xml:space="preserve">B.	Más de 100 registros de incidencias.
</t>
    </r>
    <r>
      <rPr>
        <sz val="10"/>
        <rFont val="Noto Sans"/>
        <family val="2"/>
        <charset val="1"/>
      </rPr>
      <t xml:space="preserve"> Al seleccionar el botón ‘Exportar Detalle a JSON’ el sistema cierra la pantalla modal y genera la descarga con la totalidad de registros de incidencias de manera asíncrona, mostrando en pantalla un mensaje con el número de ‘Folio de Descarga’ conforme a las siguientes características:
•	Letras mayúsculas.
•	Números.
•	Guiones.
•	Longitud de 32 caracteres (sin contar el guion).
El folio de descarga se proporciona mediante el siguiente mensaje: 
¡Descarga realizada con éxito!
La descarga del Detalle de la Consulta (JSON) se encuentra en proceso y podrás obtener el resultado con el folio de descarga: xxxxxxxx-xxxx-xxxx-xxxx-xxxxxxxxxxxx, en la opción: 
Recuperar descargas ‘Detalle de consulta de incidencias’.
Importante: el tiempo máximo para atender la solicitud es de 48 horas a partir de este momento.</t>
    </r>
  </si>
  <si>
    <r>
      <t xml:space="preserve">Al seleccionar este botón se debe generar una petición de descarga para los registros de incidentes que se muestran en la ventana ‘Detalle de Consulta’ en formato JSON.
A.	</t>
    </r>
    <r>
      <rPr>
        <b/>
        <sz val="10"/>
        <rFont val="Noto Sans"/>
        <family val="2"/>
      </rPr>
      <t xml:space="preserve">Máximo 100 registros de incidencias. </t>
    </r>
    <r>
      <rPr>
        <sz val="10"/>
        <rFont val="Noto Sans"/>
        <family val="2"/>
      </rPr>
      <t xml:space="preserve">
Al seleccionar el botón ‘Exportar Detalle a JSON se debe mostrar que el JSON se encuentra en proceso de descarga.</t>
    </r>
  </si>
  <si>
    <r>
      <t xml:space="preserve">Al seleccionar este botón se debe generar una petición de descarga para los registros de incidentes que se muestran en la ventana ‘Detalle de Consulta’ en formato JSON.
A.	</t>
    </r>
    <r>
      <rPr>
        <b/>
        <sz val="10"/>
        <rFont val="Noto Sans"/>
        <family val="2"/>
      </rPr>
      <t xml:space="preserve">Máximo 100 registros de incidencias. </t>
    </r>
    <r>
      <rPr>
        <sz val="10"/>
        <rFont val="Noto Sans"/>
        <family val="2"/>
      </rPr>
      <t xml:space="preserve">
Al seleccionar el botón ‘Exportar Detalle a PDF se debe mostrar que el PDF se encuentra en proceso de descarga.</t>
    </r>
  </si>
  <si>
    <t>/FechaExportarPDFmas100Registros</t>
  </si>
  <si>
    <t>/FechaExportarJSONmas100Registros</t>
  </si>
  <si>
    <t>CP30</t>
  </si>
  <si>
    <t>CP31</t>
  </si>
  <si>
    <t>CP32</t>
  </si>
  <si>
    <t>/Lineamientos Gráficos/Encabezado</t>
  </si>
  <si>
    <t>Usuario abre explorador</t>
  </si>
  <si>
    <t xml:space="preserve">Contribuyente
</t>
  </si>
  <si>
    <t xml:space="preserve">
</t>
  </si>
  <si>
    <t>El Usuario de negocio debe tener asignado el rol</t>
  </si>
  <si>
    <t>Usuario da clic en buscar y  en el explorador de documentos selecciona el archivo correspondiente a su certificado</t>
  </si>
  <si>
    <t>Se muestra el dato en el  campo certificado y en el campo RFC el dato del RFC del Contribuyente</t>
  </si>
  <si>
    <t>Usuario da clic en buscar y en el explorador de documentos selecciona el archivo correspondiente a su clave privada</t>
  </si>
  <si>
    <t>Usuario ingresa su contraseña</t>
  </si>
  <si>
    <t>Si la autenticación es correcta, el aplicativo abre la página principal del Portal Privado Contribuyente CFDI .</t>
  </si>
  <si>
    <t xml:space="preserve">En caso de que el Contribuyente no cuente con los permisos, el aplicativo mostrará el mensaje: “El Usuario no cuenta con los privilegios de acceso” y no va a permitir su acceso. </t>
  </si>
  <si>
    <t>El usuario  valida que se muestren los lineamientos gŕaficos encabezado</t>
  </si>
  <si>
    <t xml:space="preserve">Encabezado con lo siguiente:
(Fondo color guinda)
El imagotipo de "Gobierno de México" -Alineado en parte superior izquierda
Link "Tramites" -Alineado a la derecha
Link "Gobierno" 
Link lupa "Buscador"
(Fondo color guinda obscuro)
"FACTURA ELECTRÓNICA" -Alineado a la izquierda
Botón desplegable "Consulta CFDI" -Alineado a la derecha
Botón desplegable "Generación de CFDI" -Alineado a la derecha
</t>
  </si>
  <si>
    <t xml:space="preserve">Logosimbolo horizontal "Gobierno de México"
Está compuesto por las palabras "Gobierno de
México" en tipografía institucional, junto al Escudo
Nacional.
En la versión horizontal, el Escudo Nacional debe
situarse a la izquierda de la frase "Gobierno
de México"
</t>
  </si>
  <si>
    <t>CP33</t>
  </si>
  <si>
    <t>/Lineamientos Gráficos/Pie de página</t>
  </si>
  <si>
    <t>El usuario  valida que se muestren los lineamientos gŕaficos pie de página</t>
  </si>
  <si>
    <t xml:space="preserve">Pie de página con lo siguiente:
(Fondo color guinda)
El imagotipo de "Gobierno de México" - Alineado a la izquierda
Sección "Enlaces" de lado derecho del imagotipo 
Link "Participa"
Link "Marco Jurídico"
Link "Plataforma Nacional de Transparencia"
Link "Transparencia para el pueblo"
Link "Alerta"
Sección "¿Qué es gob?" del lado derecho de la sección "Enlaces"
Leyenda "Es el portal único de trámites, información y participación ciudadana." Link "Leer más"
Link "Portal de datos abiertos"
Link "Declaración de accesibilidad"
Link "Términos y Condiciones"
Link "Denuncia contra servidores públicos" - Alineado a la derecha
Sección "Síguenos en"
Enlace (Logo de Facebook)
Enlace (Logo de Twitter)
Enlace (Logo de Instagram)
Enlace (Logo de YouTube)
Enlace (Logo de una flor) "079 Comunícate, estamos para ayudarte"
</t>
  </si>
  <si>
    <r>
      <t xml:space="preserve">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t>
    </r>
    <r>
      <rPr>
        <b/>
        <sz val="10"/>
        <color rgb="FFFF0000"/>
        <rFont val="Noto Sans"/>
        <family val="2"/>
      </rPr>
      <t xml:space="preserve">Importante: La descarga total de los registros se puede realizar mediante los botones 
</t>
    </r>
    <r>
      <rPr>
        <sz val="10"/>
        <color rgb="FFFF0000"/>
        <rFont val="Noto Sans"/>
        <family val="2"/>
      </rPr>
      <t>"Exportar Detalle a PDF" o "Exportar resultados a JSON"</t>
    </r>
  </si>
  <si>
    <r>
      <rPr>
        <sz val="10"/>
        <color rgb="FFFF0000"/>
        <rFont val="Noto Sans"/>
        <family val="2"/>
      </rPr>
      <t xml:space="preserve">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t>
    </r>
    <r>
      <rPr>
        <b/>
        <sz val="10"/>
        <color rgb="FFFF0000"/>
        <rFont val="Noto Sans"/>
        <family val="2"/>
      </rPr>
      <t>Importante: La descarga total de los registros se puede realizar mediante los botones</t>
    </r>
    <r>
      <rPr>
        <sz val="10"/>
        <color rgb="FFFF0000"/>
        <rFont val="Noto Sans"/>
        <family val="2"/>
      </rPr>
      <t xml:space="preserve"> 
"Exportar Detalle a PDF" o "Exportar resultados a JSON"
</t>
    </r>
    <r>
      <rPr>
        <sz val="10"/>
        <rFont val="Noto Sans"/>
        <family val="2"/>
        <charset val="1"/>
      </rPr>
      <t xml:space="preserve">
El orden de los registros es ordenada por el valor del campo “Fecha de registro del incidente” del más reciente a los más antiguos.</t>
    </r>
  </si>
  <si>
    <r>
      <rPr>
        <sz val="10"/>
        <color rgb="FFFF0000"/>
        <rFont val="Noto Sans"/>
        <family val="2"/>
      </rPr>
      <t xml:space="preserve">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t>
    </r>
    <r>
      <rPr>
        <b/>
        <sz val="10"/>
        <color rgb="FFFF0000"/>
        <rFont val="Noto Sans"/>
        <family val="2"/>
      </rPr>
      <t xml:space="preserve">Importante: La descarga total de los registros se puede realizar mediante los botones </t>
    </r>
    <r>
      <rPr>
        <sz val="10"/>
        <color rgb="FFFF0000"/>
        <rFont val="Noto Sans"/>
        <family val="2"/>
      </rPr>
      <t xml:space="preserve">
"Exportar Detalle a PDF" o "Exportar resultados a JSON"</t>
    </r>
    <r>
      <rPr>
        <sz val="10"/>
        <rFont val="Noto Sans"/>
        <family val="2"/>
        <charset val="1"/>
      </rPr>
      <t xml:space="preserve">
El orden de los registros es ordenada por el valor del campo “Fecha de registro del incidente” del más reciente a los más antiguos.</t>
    </r>
  </si>
  <si>
    <r>
      <rPr>
        <sz val="10"/>
        <color theme="3"/>
        <rFont val="Noto Sans"/>
        <family val="2"/>
      </rPr>
      <t xml:space="preserve">Al seleccionar este botón se debe generar una petición de descarga para los registros de incidentes que se muestran en la ventana ‘Detalle de Consulta’.
</t>
    </r>
    <r>
      <rPr>
        <b/>
        <sz val="10"/>
        <color theme="3"/>
        <rFont val="Noto Sans"/>
        <family val="2"/>
      </rPr>
      <t>A.	Máximo 100 registros de incidencias.</t>
    </r>
    <r>
      <rPr>
        <sz val="10"/>
        <color theme="3"/>
        <rFont val="Noto Sans"/>
        <family val="2"/>
      </rPr>
      <t xml:space="preserve">
Al seleccionar el botón ‘Exportar Detalle a PDF’ se debe mostrar que el PDF se encuentra en proceso de descarga.</t>
    </r>
  </si>
  <si>
    <r>
      <rPr>
        <sz val="10"/>
        <color theme="3"/>
        <rFont val="Noto Sans"/>
        <family val="2"/>
      </rPr>
      <t xml:space="preserve">Al seleccionar este botón se debe generar una petición de descarga para los registros de incidentes que se muestran en la ventana ‘Detalle de Consulta’ en formato JSON.
</t>
    </r>
    <r>
      <rPr>
        <b/>
        <sz val="10"/>
        <color theme="3"/>
        <rFont val="Noto Sans"/>
        <family val="2"/>
      </rPr>
      <t>•Máximo 100 registros de incidencias.</t>
    </r>
    <r>
      <rPr>
        <sz val="10"/>
        <color theme="3"/>
        <rFont val="Noto Sans"/>
        <family val="2"/>
      </rPr>
      <t xml:space="preserve"> 
Al seleccionar el botón ‘Exportar Detalle a JSON se debe mostrar que el JSON se encuentra en proceso de descarga.</t>
    </r>
  </si>
  <si>
    <r>
      <rPr>
        <sz val="10"/>
        <color rgb="FFFF0000"/>
        <rFont val="Noto Sans"/>
        <family val="2"/>
      </rPr>
      <t>Si el total de incidencias es</t>
    </r>
    <r>
      <rPr>
        <sz val="10"/>
        <rFont val="Noto Sans"/>
        <family val="2"/>
        <charset val="1"/>
      </rPr>
      <t xml:space="preserve"> </t>
    </r>
    <r>
      <rPr>
        <sz val="10"/>
        <color rgb="FFFF0000"/>
        <rFont val="Noto Sans"/>
        <family val="2"/>
      </rPr>
      <t xml:space="preserve">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t>
    </r>
    <r>
      <rPr>
        <b/>
        <sz val="10"/>
        <color rgb="FFFF0000"/>
        <rFont val="Noto Sans"/>
        <family val="2"/>
      </rPr>
      <t xml:space="preserve">Importante: La descarga total de los registros se puede realizar mediante los botones </t>
    </r>
    <r>
      <rPr>
        <sz val="10"/>
        <color rgb="FFFF0000"/>
        <rFont val="Noto Sans"/>
        <family val="2"/>
      </rPr>
      <t xml:space="preserve">
"Exportar Detalle a PDF" o "Exportar resultados a JSON"</t>
    </r>
    <r>
      <rPr>
        <sz val="10"/>
        <rFont val="Noto Sans"/>
        <family val="2"/>
        <charset val="1"/>
      </rPr>
      <t xml:space="preserve">
El orden de los registros es ordenada por el valor del campo “Fecha de registro del incidente” del más reciente a los más antiguos.</t>
    </r>
  </si>
  <si>
    <t>PAC ingresa al Portal Contribuyente CFDI</t>
  </si>
  <si>
    <t>El PAC previamente se autenticó  y accedió al Portal Contribuyente CFDI</t>
  </si>
  <si>
    <t xml:space="preserve">Usuario ingresa a la URL correspondiente del Portal Contribuyente CFDI .
-Selecciona la opción por e.firma
</t>
  </si>
  <si>
    <r>
      <t xml:space="preserve">Si la autenticación es correcta, el aplicativo abre la página principal del Portal Contribuyente con las opciones:
</t>
    </r>
    <r>
      <rPr>
        <sz val="10"/>
        <color rgb="FFFF0000"/>
        <rFont val="Noto Sans"/>
        <family val="2"/>
      </rPr>
      <t xml:space="preserve">- Consultar Facturas Emitidas
- Consultar Facturas Recibidas
- Recuperar Descargas de CFDI
- Consultar Solicitudes de Cancelación
</t>
    </r>
    <r>
      <rPr>
        <sz val="10"/>
        <rFont val="Noto Sans"/>
        <family val="2"/>
        <charset val="1"/>
      </rPr>
      <t>- Consulta incidentes CFDI
- Consulta incidentes CFDI Retenciones
- Recuperar descargas Detalle de consulta de incidencias</t>
    </r>
  </si>
  <si>
    <r>
      <t xml:space="preserve">Al seleccionar esta opción el sistema permitirá la consulta de los registros de incidencias para los CFDI en su version </t>
    </r>
    <r>
      <rPr>
        <sz val="10"/>
        <color rgb="FFFF0000"/>
        <rFont val="Noto Sans"/>
      </rPr>
      <t>4.0</t>
    </r>
    <r>
      <rPr>
        <sz val="10"/>
        <rFont val="Noto Sans"/>
        <family val="2"/>
        <charset val="1"/>
      </rPr>
      <t xml:space="preserve"> al momento de su envío por el servicio del SAT y proveedores autorizados</t>
    </r>
  </si>
  <si>
    <t>El PAC previamente se autenticó  y accedió al portal Contribuyente CFDI</t>
  </si>
  <si>
    <t xml:space="preserve">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t>
  </si>
  <si>
    <r>
      <t xml:space="preserve">El sistema muestra el RFC del PAC autenticado con la opción Salir.
Los campos marcados con (*) son obligatorios
Tipo de consulta: Incidentes Servicio de Recepción
</t>
    </r>
    <r>
      <rPr>
        <b/>
        <sz val="10"/>
        <rFont val="Noto Sans"/>
        <family val="2"/>
      </rPr>
      <t>Opción: Folio Fiscal</t>
    </r>
    <r>
      <rPr>
        <sz val="10"/>
        <rFont val="Noto Sans"/>
        <family val="2"/>
        <charset val="1"/>
      </rPr>
      <t xml:space="preserve">
Textbox: Folio Fiscal Digital*
Opción: Por Fechas
Tooltip
Checkbox (Comprobantes Rechazados).
Fecha Inicial de Recepción*
Fecha Final de Recepción*
Versión del comprobante (Valor es por default 4.0)
Botón "Consultar Incidentes"</t>
    </r>
  </si>
  <si>
    <r>
      <t xml:space="preserve">Al seleccionar esta opción el sistema permitirá la consulta de los registros de incidencias para los CFDI en sus versiones </t>
    </r>
    <r>
      <rPr>
        <sz val="10"/>
        <color rgb="FFFF0000"/>
        <rFont val="Noto Sans"/>
      </rPr>
      <t>4.0</t>
    </r>
    <r>
      <rPr>
        <sz val="10"/>
        <rFont val="Noto Sans"/>
        <family val="2"/>
        <charset val="1"/>
      </rPr>
      <t xml:space="preserve"> al momento de su envío por el servicio del SAT y proveedores autorizados
</t>
    </r>
  </si>
  <si>
    <t>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t>
  </si>
  <si>
    <r>
      <t xml:space="preserve">Al seleccionar esta opción el sistema permitirá la consulta de los registros de incidencias para los CFDI en sus versiones </t>
    </r>
    <r>
      <rPr>
        <sz val="10"/>
        <color rgb="FFFF0000"/>
        <rFont val="Noto Sans"/>
      </rPr>
      <t>4.0</t>
    </r>
    <r>
      <rPr>
        <sz val="10"/>
        <rFont val="Noto Sans"/>
        <family val="2"/>
        <charset val="1"/>
      </rPr>
      <t xml:space="preserve"> al momento de su envío por el servicio del SAT y proveedores autorizados
</t>
    </r>
  </si>
  <si>
    <r>
      <t xml:space="preserve">El sistema muestra el RFC del PAC autenticado con la opción Salir.
El sistema muestra las opciones:
</t>
    </r>
    <r>
      <rPr>
        <b/>
        <sz val="10"/>
        <color rgb="FF000000"/>
        <rFont val="Montserrat"/>
      </rPr>
      <t xml:space="preserve">Tipo de consulta
</t>
    </r>
    <r>
      <rPr>
        <sz val="10"/>
        <color rgb="FF000000"/>
        <rFont val="Montserrat"/>
      </rPr>
      <t xml:space="preserve">Lista desplegable
(Opciones inhabilitadas)
</t>
    </r>
    <r>
      <rPr>
        <b/>
        <sz val="10"/>
        <color rgb="FF000000"/>
        <rFont val="Montserrat"/>
      </rPr>
      <t>Folio Fiscal</t>
    </r>
    <r>
      <rPr>
        <sz val="10"/>
        <color rgb="FF000000"/>
        <rFont val="Montserrat"/>
      </rPr>
      <t xml:space="preserve">
</t>
    </r>
    <r>
      <rPr>
        <b/>
        <sz val="10"/>
        <color rgb="FF000000"/>
        <rFont val="Montserrat"/>
      </rPr>
      <t>Por Fechas</t>
    </r>
    <r>
      <rPr>
        <sz val="10"/>
        <color rgb="FF000000"/>
        <rFont val="Montserrat"/>
      </rPr>
      <t xml:space="preserve">
Fecha Inicial de Recepción*
Fecha Final de Recepción*
</t>
    </r>
    <r>
      <rPr>
        <b/>
        <sz val="10"/>
        <color rgb="FF000000"/>
        <rFont val="Montserrat"/>
      </rPr>
      <t>Versión del comprobante</t>
    </r>
    <r>
      <rPr>
        <sz val="10"/>
        <color rgb="FF000000"/>
        <rFont val="Montserrat"/>
      </rPr>
      <t xml:space="preserve"> (Valor es por default 4.0)
Botón "Consultar Incidentes"</t>
    </r>
  </si>
  <si>
    <r>
      <t xml:space="preserve">El sistema muestra las opciones:
Los campos marcados con (*) son obligatorios
Tipo de consulta: Incidentes Servicio de Recepción
Opción: Folio Fiscal
Textbox: Folio Fiscal Digital*
</t>
    </r>
    <r>
      <rPr>
        <b/>
        <sz val="10"/>
        <color rgb="FF000000"/>
        <rFont val="Montserrat"/>
      </rPr>
      <t>Opción: Por Fechas</t>
    </r>
    <r>
      <rPr>
        <sz val="10"/>
        <color rgb="FF000000"/>
        <rFont val="Montserrat"/>
      </rPr>
      <t xml:space="preserve">
Tooltip
Checkbox (Comprobantes Rechazados).
</t>
    </r>
    <r>
      <rPr>
        <b/>
        <sz val="10"/>
        <color rgb="FF000000"/>
        <rFont val="Montserrat"/>
      </rPr>
      <t xml:space="preserve">Fecha Inicial de Recepción*
Fecha Final de Recepción*
</t>
    </r>
    <r>
      <rPr>
        <sz val="10"/>
        <color rgb="FF000000"/>
        <rFont val="Montserrat"/>
      </rPr>
      <t>Versión del comprobante (Valor es por default 4.0)</t>
    </r>
    <r>
      <rPr>
        <b/>
        <sz val="10"/>
        <color rgb="FF000000"/>
        <rFont val="Montserrat"/>
      </rPr>
      <t xml:space="preserve">
</t>
    </r>
    <r>
      <rPr>
        <sz val="10"/>
        <color rgb="FF000000"/>
        <rFont val="Montserrat"/>
      </rPr>
      <t xml:space="preserve">
Botón "Consultar Incidentes"</t>
    </r>
  </si>
  <si>
    <t>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t>
  </si>
  <si>
    <r>
      <t xml:space="preserve">El sistema muestra el RFC del PAC autenticado con la opción Salir.
El sistema muestra las opciones:
</t>
    </r>
    <r>
      <rPr>
        <b/>
        <sz val="10"/>
        <color rgb="FF000000"/>
        <rFont val="Montserrat"/>
      </rPr>
      <t>Tipo de consulta</t>
    </r>
    <r>
      <rPr>
        <sz val="10"/>
        <color rgb="FF000000"/>
        <rFont val="Montserrat"/>
      </rPr>
      <t xml:space="preserve">
Opciones inhabilitadas
</t>
    </r>
    <r>
      <rPr>
        <b/>
        <sz val="10"/>
        <color rgb="FF000000"/>
        <rFont val="Montserrat"/>
      </rPr>
      <t>Folio Fiscal</t>
    </r>
    <r>
      <rPr>
        <sz val="10"/>
        <color rgb="FF000000"/>
        <rFont val="Montserrat"/>
      </rPr>
      <t xml:space="preserve">
</t>
    </r>
    <r>
      <rPr>
        <b/>
        <sz val="10"/>
        <color rgb="FF000000"/>
        <rFont val="Montserrat"/>
      </rPr>
      <t>Por Fechas</t>
    </r>
    <r>
      <rPr>
        <sz val="10"/>
        <color rgb="FF000000"/>
        <rFont val="Montserrat"/>
      </rPr>
      <t xml:space="preserve">
Fecha Inicial de Recepción*
Fecha Final de Recepción*
</t>
    </r>
    <r>
      <rPr>
        <b/>
        <sz val="10"/>
        <color rgb="FF000000"/>
        <rFont val="Montserrat"/>
      </rPr>
      <t>Versión del comprobante</t>
    </r>
    <r>
      <rPr>
        <sz val="10"/>
        <color rgb="FF000000"/>
        <rFont val="Montserrat"/>
      </rPr>
      <t xml:space="preserve"> (Valor es por default 2.0)
Botón "Consultar Incidentes"</t>
    </r>
  </si>
  <si>
    <r>
      <t xml:space="preserve">El sistema muestra las opciones:
Los campos marcados con (*) son obligatorios
Tipo de consulta: Incidentes Servicio de Recepción
</t>
    </r>
    <r>
      <rPr>
        <b/>
        <sz val="10"/>
        <color rgb="FF000000"/>
        <rFont val="Montserrat"/>
      </rPr>
      <t>Opción: Folio Fiscal</t>
    </r>
    <r>
      <rPr>
        <sz val="10"/>
        <color rgb="FF000000"/>
        <rFont val="Montserrat"/>
      </rPr>
      <t xml:space="preserve">
Tooltip
Textbox: Folio Fiscal Digital*
Opción: Por Fechas
Tooltip
Checkbox (Comprobantes Rechazados).
Fecha Inicial de Recepción*
Fecha Final de Recepción*
Versión del comprobante</t>
    </r>
    <r>
      <rPr>
        <b/>
        <sz val="10"/>
        <color rgb="FF000000"/>
        <rFont val="Montserrat"/>
      </rPr>
      <t xml:space="preserve"> </t>
    </r>
    <r>
      <rPr>
        <sz val="10"/>
        <color rgb="FF000000"/>
        <rFont val="Montserrat"/>
      </rPr>
      <t>(Valor es por default 2.0)</t>
    </r>
    <r>
      <rPr>
        <b/>
        <sz val="10"/>
        <color rgb="FF000000"/>
        <rFont val="Montserrat"/>
      </rPr>
      <t xml:space="preserve">
</t>
    </r>
    <r>
      <rPr>
        <sz val="10"/>
        <color rgb="FF000000"/>
        <rFont val="Montserrat"/>
      </rPr>
      <t xml:space="preserve">
Botón "Consultar Incidentes"</t>
    </r>
  </si>
  <si>
    <r>
      <t xml:space="preserve">Al seleccionar esta opción el sistema permitirá la consulta de los registros de incidencias para los CFDI de Retenciones en su version </t>
    </r>
    <r>
      <rPr>
        <sz val="10"/>
        <color rgb="FFFF0000"/>
        <rFont val="Noto Sans"/>
      </rPr>
      <t>2.0</t>
    </r>
    <r>
      <rPr>
        <sz val="10"/>
        <rFont val="Noto Sans"/>
        <family val="2"/>
        <charset val="1"/>
      </rPr>
      <t xml:space="preserve"> al momento de su envío por el servicio del SAT y proveedores autorizados.
</t>
    </r>
  </si>
  <si>
    <t>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t>
  </si>
  <si>
    <r>
      <t xml:space="preserve">El sistema muestra el RFC del PAC autenticado con la opción Salir.
El sistema muestra las opciones:
</t>
    </r>
    <r>
      <rPr>
        <b/>
        <sz val="10"/>
        <color rgb="FF000000"/>
        <rFont val="Montserrat"/>
      </rPr>
      <t xml:space="preserve">Tipo de consulta
</t>
    </r>
    <r>
      <rPr>
        <sz val="10"/>
        <color rgb="FF000000"/>
        <rFont val="Montserrat"/>
      </rPr>
      <t xml:space="preserve">Lista desplegable
(Opciones inhabilitadas)
</t>
    </r>
    <r>
      <rPr>
        <b/>
        <sz val="10"/>
        <color rgb="FF000000"/>
        <rFont val="Montserrat"/>
      </rPr>
      <t>Folio Fiscal</t>
    </r>
    <r>
      <rPr>
        <sz val="10"/>
        <color rgb="FF000000"/>
        <rFont val="Montserrat"/>
      </rPr>
      <t xml:space="preserve">
</t>
    </r>
    <r>
      <rPr>
        <b/>
        <sz val="10"/>
        <color rgb="FF000000"/>
        <rFont val="Montserrat"/>
      </rPr>
      <t>Por Fechas</t>
    </r>
    <r>
      <rPr>
        <sz val="10"/>
        <color rgb="FF000000"/>
        <rFont val="Montserrat"/>
      </rPr>
      <t xml:space="preserve">
Fecha Inicial de Recepción*
Fecha Final de Recepción*
</t>
    </r>
    <r>
      <rPr>
        <b/>
        <sz val="10"/>
        <color rgb="FF000000"/>
        <rFont val="Montserrat"/>
      </rPr>
      <t>Versión del comprobante</t>
    </r>
    <r>
      <rPr>
        <sz val="10"/>
        <color rgb="FF000000"/>
        <rFont val="Montserrat"/>
      </rPr>
      <t xml:space="preserve"> (Valor es por default 2.0)
Botón "Consultar Incidentes"</t>
    </r>
  </si>
  <si>
    <r>
      <t xml:space="preserve">El sistema muestra las opciones:
Los campos marcados con (*) son obligatorios
Tipo de consulta: Incidentes Servicio de Recepción
Opción: Folio Fiscal
Textbox: Folio Fiscal Digital*
</t>
    </r>
    <r>
      <rPr>
        <b/>
        <sz val="10"/>
        <color rgb="FF000000"/>
        <rFont val="Montserrat"/>
      </rPr>
      <t>Opción: Por Fechas</t>
    </r>
    <r>
      <rPr>
        <sz val="10"/>
        <color rgb="FF000000"/>
        <rFont val="Montserrat"/>
      </rPr>
      <t xml:space="preserve">
Tooltip
Checkbox (Comprobantes Rechazados).
</t>
    </r>
    <r>
      <rPr>
        <b/>
        <sz val="10"/>
        <color rgb="FF000000"/>
        <rFont val="Montserrat"/>
      </rPr>
      <t xml:space="preserve">Fecha Inicial de Recepción*
Fecha Final de Recepción*
</t>
    </r>
    <r>
      <rPr>
        <sz val="10"/>
        <color rgb="FF000000"/>
        <rFont val="Montserrat"/>
      </rPr>
      <t>Versión del comprobante (Valor es por default 2.0)</t>
    </r>
    <r>
      <rPr>
        <b/>
        <sz val="10"/>
        <color rgb="FF000000"/>
        <rFont val="Montserrat"/>
      </rPr>
      <t xml:space="preserve">
</t>
    </r>
    <r>
      <rPr>
        <sz val="10"/>
        <color rgb="FF000000"/>
        <rFont val="Montserrat"/>
      </rPr>
      <t xml:space="preserve">
Botón "Consultar Incidentes"</t>
    </r>
  </si>
  <si>
    <t>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t>
  </si>
  <si>
    <r>
      <t xml:space="preserve">Seleccionar la opcion Por Fechas y agregar los valores:
</t>
    </r>
    <r>
      <rPr>
        <b/>
        <sz val="10"/>
        <rFont val="Montserrat"/>
      </rPr>
      <t xml:space="preserve">Campo Fecha Inicial de Recepción*
Campo Fecha Final de Recepción.*
</t>
    </r>
    <r>
      <rPr>
        <sz val="10"/>
        <rFont val="Montserrat"/>
      </rPr>
      <t xml:space="preserve">Los campos marcados con (*) son obligatorios
Dar clic en el botón "Consultar Incidentes".
</t>
    </r>
  </si>
  <si>
    <r>
      <t xml:space="preserve">Seleccionar la opcion Por Fechas y agregar los valores:
</t>
    </r>
    <r>
      <rPr>
        <b/>
        <sz val="10"/>
        <rFont val="Noto Sans"/>
        <family val="2"/>
      </rPr>
      <t xml:space="preserve">Campo Fecha Inicial de Recepción*
Campo Fecha Final de Recepción.*
</t>
    </r>
    <r>
      <rPr>
        <sz val="10"/>
        <rFont val="Noto Sans"/>
        <family val="2"/>
        <charset val="1"/>
      </rPr>
      <t xml:space="preserve">
Los campos marcados con (*) son obligatorios
Dar clic en el botón "Consultar Incidentes".
</t>
    </r>
    <r>
      <rPr>
        <b/>
        <sz val="10"/>
        <rFont val="Noto Sans"/>
        <family val="2"/>
        <charset val="1"/>
      </rPr>
      <t>Nota: Para este caso de prueba se debe seleccionar un rango mayor a un mes</t>
    </r>
  </si>
  <si>
    <t xml:space="preserve">CP04/Autenticacion_MSGError_Sin_Privilegios  </t>
  </si>
  <si>
    <t>CP05/Autenticacion_MSGError_Certificado_Invalido</t>
  </si>
  <si>
    <t>CP06/Autenticacion_MSGError_E.firma_Revocada</t>
  </si>
  <si>
    <t>CP07/Autenticacion_ROL</t>
  </si>
  <si>
    <t>CP08/Cerrar Sesion</t>
  </si>
  <si>
    <t>2.-  DPA_Empleado_Linea de Captura</t>
  </si>
  <si>
    <t>CP13/DPA/VerificarInsumo</t>
  </si>
  <si>
    <t>CP12/DPA/TransferirInsumo/BotonCancelar</t>
  </si>
  <si>
    <t>CP11/DPA/TransferirInsumo/Mensajes de error</t>
  </si>
  <si>
    <t>CP10/DPA/TransferirInsumo</t>
  </si>
  <si>
    <t>CP9/DPA/GenerarFacturasElectronicas</t>
  </si>
  <si>
    <t>CP14/DPA/VerificarInsumo/Checklist_Errores</t>
  </si>
  <si>
    <t>CP15/DPA/CargaInsumo</t>
  </si>
  <si>
    <t>CP16/DPA/CargaInsumo/Checklist_Errores</t>
  </si>
  <si>
    <t>CP17/DPA/CargaInsumo/BotonDescargarErrores</t>
  </si>
  <si>
    <t>CP18/DPA/CargaInsumo/BotonDescargarPagosExcluidos</t>
  </si>
  <si>
    <t>CP19/DPA/CargaInsumo/BotonFechasDiferentes</t>
  </si>
  <si>
    <t>CP20/DPA/GenerarXML</t>
  </si>
  <si>
    <t>CP21/DPA/GenerarXML/Descargar .xlsx</t>
  </si>
  <si>
    <t>CP22/DPA/GenerarXML/Descargar .txt</t>
  </si>
  <si>
    <t>CP23/DPA/GenerarXML/Descargar Incidencias</t>
  </si>
  <si>
    <t>CP24/DPA/GenerarXML/Archivo de control</t>
  </si>
  <si>
    <t>CP25/DPA/GenerarXML/Descargar XML</t>
  </si>
  <si>
    <t>CP26/DPA/Timbrado</t>
  </si>
  <si>
    <t>CP27/DPA/Timbrado/Descargar .xlsx</t>
  </si>
  <si>
    <t>CP28/DPA/Timbrado/Descargar .txt</t>
  </si>
  <si>
    <t>CP29/DPA/Timbrado/DescargarListaResultados</t>
  </si>
  <si>
    <t>CP30/DPA/Timbrado/DescargarXMLTimbrados</t>
  </si>
  <si>
    <t>CP31/DPA/Consulta_Modificacion_de_Pagos/Buscar</t>
  </si>
  <si>
    <t>CP32/DPA/Consulta_Modificacion_de_Pagos/Editar</t>
  </si>
  <si>
    <t>CP33/DPA/Consulta_Modificacion_de_Pagos/Guardar</t>
  </si>
  <si>
    <t>CP34/DPA/Consulta_Modificacion_de_Pagos/Generar Factura</t>
  </si>
  <si>
    <t>CP35/DPA/Consulta_Modificacion_de_Pagos/Boton Ver Detalle</t>
  </si>
  <si>
    <t>CP36/DPA/Consultar_Informacion_de_Proceso/GeneracionFacturas/Busqueda</t>
  </si>
  <si>
    <t>CP37/DPA/Consultar_Informacion_de_Proceso/GeneracionFacturas/Busqueda/No Iniciado</t>
  </si>
  <si>
    <t>CP38/DPA/Consultar_Informacion_de_Proceso/GeneracionFacturas/Busqueda/En proceso</t>
  </si>
  <si>
    <t>CP39/DPA/Consultar_Informacion_de_Proceso/GeneracionFacturas/Busqueda/Fallido</t>
  </si>
  <si>
    <t>CP40/DPA/Consultar_Informacion_de_Proceso/GeneracionFacturas/Busqueda/Terminado</t>
  </si>
  <si>
    <t>CP41/DPA/Consultar_Informacion_de_Proceso/GeneracionFacturas/Busqueda/Msgs de Error</t>
  </si>
  <si>
    <t>CP42/DPA/Consultar_Informacion_de_Proceso/GeneracionFacturas/VerDetalle/Transferir Insumo</t>
  </si>
  <si>
    <t>CP43/DPA/Consultar_Informacion_de_Proceso/GeneracionFacturas/VerDetalle/Verificar Insumo</t>
  </si>
  <si>
    <t>CP44/DPA/Consultar_Informacion_de_Proceso/GeneracionFacturas/VerDetalle/Carga Insumo</t>
  </si>
  <si>
    <t>CP45/DPA/Consultar_Informacion_de_Proceso/GeneracionFacturas/VerDetalle/Generar XML</t>
  </si>
  <si>
    <t>CP46/DPA/Consultar_Informacion_de_Proceso/GeneracionFacturas/VerDetalle/Timbrado</t>
  </si>
  <si>
    <t>CP47/DPA/Consultar_Informacion_de_Proceso/FacturasModificadasOReexpedidas/Busqueda</t>
  </si>
  <si>
    <t>CP48/DPA/Consultar_Informacion_de_Proceso/FacturasModificadasOReexpedidas/Busqueda/Modificada</t>
  </si>
  <si>
    <t>CP49/DPA/Consultar_Informacion_de_Proceso/FacturasModificadasOReexpedidas/Busqueda/Reexpedida</t>
  </si>
  <si>
    <t>CP50/DPA/Consultar_Facturas/Busqueda/Folio Fiscal</t>
  </si>
  <si>
    <t>CP51/DPA/Consultar_Facturas/Busqueda/Numero de Operación</t>
  </si>
  <si>
    <t>CP52/DPA/Consultar_Facturas/Busqueda/Busqueda por Insumo</t>
  </si>
  <si>
    <t xml:space="preserve">CP53/DPA/Consultar_Facturas/Busqueda/RFC Receptor </t>
  </si>
  <si>
    <t>CP54/DPA/Consultar_Facturas/Busqueda/Folio Fiscal/Ver Detalle</t>
  </si>
  <si>
    <t>CP55/DPA/Consultar_Facturas/Busqueda/Numero de Operación/Ver Detalle</t>
  </si>
  <si>
    <t>CP56/DPA/Consultar_Facturas/Busqueda/Busqueda por Insumo/Ver Detalle</t>
  </si>
  <si>
    <t xml:space="preserve">CP57/DPA/Consultar_Facturas/Busqueda/RFC Receptor/Ver Detalle </t>
  </si>
  <si>
    <t>CP58/DPA/Consultar_Facturas/Busqueda/Folio Fiscal/Acuse</t>
  </si>
  <si>
    <t>CP59/DPA/Consultar_Facturas/Busqueda/Numero de Operación/Acuse</t>
  </si>
  <si>
    <t>CP60/DPA/Consultar_Facturas/Busqueda/Busqueda por Insumo/Acuse</t>
  </si>
  <si>
    <t>CP61/DPA/Consultar_Facturas/Busqueda/RFC Receptor/Acuse</t>
  </si>
  <si>
    <t>CP62/DPA/Consultar_Facturas/Busqueda/Cancelar Seleccionados</t>
  </si>
  <si>
    <t>CP63/DPA/Consultar_Facturas/Busqueda/Reexpedir Factura</t>
  </si>
  <si>
    <t>CP64/DPA/Consultar_Facturas/Busqueda/Nueva Busqueda</t>
  </si>
  <si>
    <t>CP65/DPA/Consulta_De_Movimientos/Busqueda/Filtro</t>
  </si>
  <si>
    <t>CP66/DPA/Consulta_De_Movimientos/Busqueda/Ver Detalle</t>
  </si>
  <si>
    <t>CP67/DPA/Consulta_De_Movimientos/Busqueda/Msgs_ErrorSinPeriodo</t>
  </si>
  <si>
    <t>CP68/DPA/Consulta_De_Movimientos/Busqueda/Msgs_ErrorSinResultados</t>
  </si>
  <si>
    <t>CP69/DPA/Consulta_De_Movimientos/Busqueda/ExportarDatosFiltrados</t>
  </si>
  <si>
    <t>CP70/DPA/Consulta_De_Movimientos/Busqueda/Ver Detalle/Exportar</t>
  </si>
  <si>
    <t>CP73/DPA/Cancelacion_Masiva/Iniciar Cancelacion/Exportar .csv</t>
  </si>
  <si>
    <t>CP74/DPA/Cancelacion_Masiva/MsgsError</t>
  </si>
  <si>
    <t>CP71/DPA/Cancelacion_Masiva/CheckList</t>
  </si>
  <si>
    <t>CP72/DPA/Cancelacion_Masiva/ChecklistError /Descargar Errores</t>
  </si>
  <si>
    <t>CP75/DPA/Cancelacion_Masiva/Iniciar Cancelacion/Descargar Acuse</t>
  </si>
  <si>
    <t>CP76/DPA/Reporte_Estadisticos/Descargar .csv</t>
  </si>
  <si>
    <t>CP77/DPA/Reporte_Estadisticos/DetalleTotalXMLGenerados</t>
  </si>
  <si>
    <t>CP78/DPA/Reporte_Estadisticos/CFDITimbrados</t>
  </si>
  <si>
    <t>CP79/DPA/Reporte_Estadisticos/XMLcon Incidencia</t>
  </si>
  <si>
    <t>3.-  DPA_Empleado_e.5cinco</t>
  </si>
  <si>
    <t>CP9/DTA/GenerarFacturasElectronicas</t>
  </si>
  <si>
    <t>CP10/DTA/TransferirInsumo</t>
  </si>
  <si>
    <t>CP11/DTA/TransferirInsumo/Mensajes de error</t>
  </si>
  <si>
    <t>CP12/DTA/TransferirInsumo/BotonCancelar</t>
  </si>
  <si>
    <t>CP13/DTA/VerificarInsumo</t>
  </si>
  <si>
    <t>CP14/DTA/VerificarInsumo/Checklist_Errores</t>
  </si>
  <si>
    <t>CP15/DTA/CargaInsumo</t>
  </si>
  <si>
    <t>CP16/DTA/CargaInsumo/Checklist_Errores</t>
  </si>
  <si>
    <t>CP17/DTA/CargaInsumo/BotonDescargarErrores</t>
  </si>
  <si>
    <t>CP18/DTA/CargaInsumo/BotonDescargarPagosExcluidos</t>
  </si>
  <si>
    <t>CP19/DTA/CargaInsumo/BotonFechasDiferentes</t>
  </si>
  <si>
    <t>CP20/DTA/GenerarXML</t>
  </si>
  <si>
    <t>CP21/DTA/GenerarXML/Descargar .xlsx</t>
  </si>
  <si>
    <t>CP22/DTA/GenerarXML/Descargar .txt</t>
  </si>
  <si>
    <t>CP23/DTA/GenerarXML/Descargar Incidencias</t>
  </si>
  <si>
    <t>CP24/DTA/GenerarXML/Archivo de control</t>
  </si>
  <si>
    <t>CP25/DTA/GenerarXML/Descargar XML</t>
  </si>
  <si>
    <t>CP26/DTA/Timbrado</t>
  </si>
  <si>
    <t>CP27/DTA/Timbrado/Descargar .xlsx</t>
  </si>
  <si>
    <t>CP28/DTA/Timbrado/Descargar .txt</t>
  </si>
  <si>
    <t>CP29/DTA/Timbrado/DescargarListaResultados</t>
  </si>
  <si>
    <t>CP30/DTA/Timbrado/DescargarXMLTimbrados</t>
  </si>
  <si>
    <t>CP65/DPA/Cancelacion_Masiva/CheckList</t>
  </si>
  <si>
    <t>CP66/DPA/Cancelacion_Masiva/ChecklistError /Descargar Errores</t>
  </si>
  <si>
    <t>CP67/DPA/Cancelacion_Masiva/Iniciar Cancelacion/Exportar .csv</t>
  </si>
  <si>
    <t>CP68/DPA/Cancelacion_Masiva/MsgsError</t>
  </si>
  <si>
    <t>CP69/DPA/Cancelacion_Masiva/Iniciar Cancelacion/Descargar Acuse</t>
  </si>
  <si>
    <t>CP70/DPA/Reporte_Estadisticos/Descargar .csv</t>
  </si>
  <si>
    <t>CP71/DPA/Reporte_Estadisticos/DetalleTotalXMLGenerados</t>
  </si>
  <si>
    <t>CP72/DPA/Reporte_Estadisticos/CFDITimbrados</t>
  </si>
  <si>
    <t>CP73/DPA/Reporte_Estadisticos/XMLcon Incidencia</t>
  </si>
  <si>
    <t>CP31/DTA/Consulta_Modificacion_de_Pagos/Consulta</t>
  </si>
  <si>
    <t>CP32/DTA/Consulta_Modificacion_de_Pagos/Consulta/Editar</t>
  </si>
  <si>
    <t>CP33/DTA/Consulta_Modificacion_de_Pagos/Consulta/Guardar</t>
  </si>
  <si>
    <t>CP34/DTA/Consulta_Modificacion_de_Pagos/Consulta/Generar Factura</t>
  </si>
  <si>
    <t>CP35/DTA/Consulta_Modificacion_de_Pagos/Consulta/Boton Ver Detalle</t>
  </si>
  <si>
    <t>2.-  DTA_Empleado</t>
  </si>
  <si>
    <t>CP36/DTA/Consulta_Modificacion_de_Pagos/ConsultaFechasDiferentes/Guardar</t>
  </si>
  <si>
    <t>CP37/DTA/Consulta_Modificacion_de_Pagos/ConsultaFechasDiferentes/Ver Detalle</t>
  </si>
  <si>
    <t>CP38/DTA/Consulta_Modificacion_de_Pagos/ConsultaFechasDiferentes/Generar Factura</t>
  </si>
  <si>
    <t>CP39/DTA/Consultar_Informacion_de_Proceso/GeneracionFacturas/Busqueda</t>
  </si>
  <si>
    <t>CP40/DTA/Consultar_Informacion_de_Proceso/GeneracionFacturas/Busqueda/No Iniciado</t>
  </si>
  <si>
    <t>CP41/DTA/Consultar_Informacion_de_Proceso/GeneracionFacturas/Busqueda/En proceso</t>
  </si>
  <si>
    <t>CP42/DTA/Consultar_Informacion_de_Proceso/GeneracionFacturas/Busqueda/Fallido</t>
  </si>
  <si>
    <t>CP43/DTA/Consultar_Informacion_de_Proceso/GeneracionFacturas/Busqueda/Terminado</t>
  </si>
  <si>
    <t>CP44/DTA/Consultar_Informacion_de_Proceso/GeneracionFacturas/Busqueda/Msgs de Error</t>
  </si>
  <si>
    <t>CP45/DTA/Consultar_Informacion_de_Proceso/GeneracionFacturas/VerDetalle/Transferir Insumo</t>
  </si>
  <si>
    <t>CP46/DTA/Consultar_Informacion_de_Proceso/GeneracionFacturas/VerDetalle/Verificar Insumo</t>
  </si>
  <si>
    <t>CP47/DTA/Consultar_Informacion_de_Proceso/GeneracionFacturas/VerDetalle/Carga Insumo</t>
  </si>
  <si>
    <t>CP48/DTA/Consultar_Informacion_de_Proceso/GeneracionFacturas/VerDetalle/Generar XML</t>
  </si>
  <si>
    <t>CP49/DTA/Consultar_Informacion_de_Proceso/GeneracionFacturas/VerDetalle/Timbrado</t>
  </si>
  <si>
    <t>CP50/DTA/Consultar_Informacion_de_Proceso/FacturasModificadasOReexpedidas/Busqueda</t>
  </si>
  <si>
    <t>CP51/DTA/Consultar_Informacion_de_Proceso/FacturasModificadasOReexpedidas/Busqueda/Modificada</t>
  </si>
  <si>
    <t>CP52/DTA/Consultar_Informacion_de_Proceso/FacturasModificadasOReexpedidas/Busqueda/Reexpedida</t>
  </si>
  <si>
    <t>CP53/DTA/Consultar_Facturas/Busqueda/Folio Fiscal</t>
  </si>
  <si>
    <t>CP54/DTA/Consultar_Facturas/Busqueda/Numero de Operación</t>
  </si>
  <si>
    <t>CP55/DTA/Consultar_Facturas/Busqueda/Busqueda por Insumo</t>
  </si>
  <si>
    <t xml:space="preserve">CP56/DTA/Consultar_Facturas/Busqueda/RFC Receptor </t>
  </si>
  <si>
    <t>CP57/DTA/Consultar_Facturas/Busqueda/Folio Fiscal/Ver Detalle</t>
  </si>
  <si>
    <t>CP58/DTA/Consultar_Facturas/Busqueda/Numero de Operación/Ver Detalle</t>
  </si>
  <si>
    <t>CP59/DTA/Consultar_Facturas/Busqueda/Busqueda por Insumo/Ver Detalle</t>
  </si>
  <si>
    <t xml:space="preserve">CP60/DTA/Consultar_Facturas/Busqueda/RFC Receptor/Ver Detalle </t>
  </si>
  <si>
    <t>CP61/DTA/Consultar_Facturas/Busqueda/Folio Fiscal/Acuse</t>
  </si>
  <si>
    <t>CP62/DTA/Consultar_Facturas/Busqueda/Numero de Operación/Acuse</t>
  </si>
  <si>
    <t>CP63/DTA/Consultar_Facturas/Busqueda/Busqueda por Insumo/Acuse</t>
  </si>
  <si>
    <t>CP64/DTA/Consultar_Facturas/Busqueda/RFC Receptor/Acuse</t>
  </si>
  <si>
    <t>CP65/DTA/Consultar_Facturas/Busqueda/Cancelar Seleccionados</t>
  </si>
  <si>
    <t>CP66/DTA/Consultar_Facturas/Busqueda/Reexpedir Factura</t>
  </si>
  <si>
    <t>CP67/DTA/Consultar_Facturas/Busqueda/Nueva Busqueda</t>
  </si>
  <si>
    <t>CP68/DTA/Cancelacion_Masiva/CheckList</t>
  </si>
  <si>
    <t>CP69/DTA/Cancelacion_Masiva/ChecklistError /Descargar Errores</t>
  </si>
  <si>
    <t>CP70/DTA/Cancelacion_Masiva/Iniciar Cancelacion/Exportar .csv</t>
  </si>
  <si>
    <t>CP71/DTA/Cancelacion_Masiva/MsgsError</t>
  </si>
  <si>
    <t>CP72/DTA/Cancelacion_Masiva/Iniciar Cancelacion/Descargar Acuse</t>
  </si>
  <si>
    <t>CP73/DTA/Reporte_Estadisticos/Descargar .csv</t>
  </si>
  <si>
    <t>CP74/DTA/Reporte_Estadisticos/DetalleTotalXMLGenerados</t>
  </si>
  <si>
    <t>CP75/DTA/Reporte_Estadisticos/CFDITimbrados</t>
  </si>
  <si>
    <t>CP76/DTA/Reporte_Estadisticos/XMLcon Incidencia</t>
  </si>
  <si>
    <t>CP74/DPA/GenerarFacturasElectronicas</t>
  </si>
  <si>
    <t>CP75/DPA/TransferirInsumo</t>
  </si>
  <si>
    <t>CP76/DPA/TransferirInsumo/Mensajes de error</t>
  </si>
  <si>
    <t>CP77/DPA/TransferirInsumo/BotonCancelar</t>
  </si>
  <si>
    <t>CP78/DPA/VerificarInsumo</t>
  </si>
  <si>
    <t>CP79/DPA/VerificarInsumo/Checklist_Errores</t>
  </si>
  <si>
    <t>CP80/DPA/CargaInsumo</t>
  </si>
  <si>
    <t>CP81/DPA/CargaInsumo/Checklist_Errores</t>
  </si>
  <si>
    <t>CP82/DPA/CargaInsumo/BotonDescargarErrores</t>
  </si>
  <si>
    <t>CP83/DPA/CargaInsumo/BotonDescargarPagosExcluidos</t>
  </si>
  <si>
    <t>CP84/DPA/CargaInsumo/BotonFechasDiferentes</t>
  </si>
  <si>
    <t>CP85/DPA/GenerarXML</t>
  </si>
  <si>
    <t>CP86/DPA/GenerarXML/Descargar .xlsx</t>
  </si>
  <si>
    <t>CP87/DPA/GenerarXML/Descargar .txt</t>
  </si>
  <si>
    <t>CP88/DPA/GenerarXML/Descargar Incidencias</t>
  </si>
  <si>
    <t>CP89/DPA/GenerarXML/Archivo de control</t>
  </si>
  <si>
    <t>CP90/DPA/GenerarXML/Descargar XML</t>
  </si>
  <si>
    <t>CP91/DPA/Timbrado</t>
  </si>
  <si>
    <t>CP92/DPA/Timbrado/Descargar .xlsx</t>
  </si>
  <si>
    <t>CP94/DPA/Timbrado/Descargar .txt</t>
  </si>
  <si>
    <t>CP95/DPA/Timbrado/DescargarListaResultados</t>
  </si>
  <si>
    <t>CP96/DPA/Timbrado/DescargarXMLTimbrados</t>
  </si>
  <si>
    <t>CP97/DPA/Consulta_Modificacion_de_Pagos/Buscar</t>
  </si>
  <si>
    <t>CP98/DPA/Consulta_Modificacion_de_Pagos/Editar</t>
  </si>
  <si>
    <t>CP99/DPA/Consulta_Modificacion_de_Pagos/Guardar</t>
  </si>
  <si>
    <t>CP100/DPA/Consulta_Modificacion_de_Pagos/Generar Factura</t>
  </si>
  <si>
    <t>CP101/DPA/Consulta_Modificacion_de_Pagos/Boton Ver Detalle</t>
  </si>
  <si>
    <t>CP102/DPA/Consultar_Informacion_de_Proceso/GeneracionFacturas/Busqueda</t>
  </si>
  <si>
    <t>CP103/DPA/Consultar_Informacion_de_Proceso/GeneracionFacturas/Busqueda/No Iniciado</t>
  </si>
  <si>
    <t>CP104/DPA/Consultar_Informacion_de_Proceso/GeneracionFacturas/Busqueda/En proceso</t>
  </si>
  <si>
    <t>CP105/DPA/Consultar_Informacion_de_Proceso/GeneracionFacturas/Busqueda/Fallido</t>
  </si>
  <si>
    <t>CP106/DPA/Consultar_Informacion_de_Proceso/GeneracionFacturas/Busqueda/Terminado</t>
  </si>
  <si>
    <t>CP107/DPA/Consultar_Informacion_de_Proceso/GeneracionFacturas/Busqueda/Msgs de Error</t>
  </si>
  <si>
    <t>CP108/DPA/Consultar_Informacion_de_Proceso/GeneracionFacturas/VerDetalle/Transferir Insumo</t>
  </si>
  <si>
    <t>CP109/DPA/Consultar_Informacion_de_Proceso/GeneracionFacturas/VerDetalle/Verificar Insumo</t>
  </si>
  <si>
    <t>CP110/DPA/Consultar_Informacion_de_Proceso/GeneracionFacturas/VerDetalle/Carga Insumo</t>
  </si>
  <si>
    <t>CP111/DPA/Consultar_Informacion_de_Proceso/GeneracionFacturas/VerDetalle/Generar XML</t>
  </si>
  <si>
    <t>CP112/DPA/Consultar_Informacion_de_Proceso/GeneracionFacturas/VerDetalle/Timbrado</t>
  </si>
  <si>
    <t>CP113/DPA/Consultar_Informacion_de_Proceso/FacturasModificadasOReexpedidas/Busqueda</t>
  </si>
  <si>
    <t>CP114/DPA/Consultar_Informacion_de_Proceso/FacturasModificadasOReexpedidas/Busqueda/Modificada</t>
  </si>
  <si>
    <t>CP115/DPA/Consultar_Informacion_de_Proceso/FacturasModificadasOReexpedidas/Busqueda/Reexpedida</t>
  </si>
  <si>
    <t>CP116/DPA/Consultar_Facturas/Busqueda/Folio Fiscal</t>
  </si>
  <si>
    <t>CP117/DPA/Consultar_Facturas/Busqueda/Numero de Operación</t>
  </si>
  <si>
    <t>CP118/DPA/Consultar_Facturas/Busqueda/Busqueda por Insumo</t>
  </si>
  <si>
    <t xml:space="preserve">CP119/DPA/Consultar_Facturas/Busqueda/RFC Receptor </t>
  </si>
  <si>
    <t>CP120/DPA/Consultar_Facturas/Busqueda/Folio Fiscal/Ver Detalle</t>
  </si>
  <si>
    <t>CP121/DPA/Consultar_Facturas/Busqueda/Numero de Operación/Ver Detalle</t>
  </si>
  <si>
    <t>CP122/DPA/Consultar_Facturas/Busqueda/Busqueda por Insumo/Ver Detalle</t>
  </si>
  <si>
    <t xml:space="preserve">CP123/DPA/Consultar_Facturas/Busqueda/RFC Receptor/Ver Detalle </t>
  </si>
  <si>
    <t>CP124/DPA/Consultar_Facturas/Busqueda/Folio Fiscal/Acuse</t>
  </si>
  <si>
    <t>CP125/DPA/Consultar_Facturas/Busqueda/Numero de Operación/Acuse</t>
  </si>
  <si>
    <t>CP126/DPA/Consultar_Facturas/Busqueda/Busqueda por Insumo/Acuse</t>
  </si>
  <si>
    <t>CP127/DPA/Consultar_Facturas/Busqueda/RFC Receptor/Acuse</t>
  </si>
  <si>
    <t>CP128/DPA/Consultar_Facturas/Busqueda/Cancelar Seleccionados</t>
  </si>
  <si>
    <t>CP129/DPA/Consultar_Facturas/Busqueda/Reexpedir Factura</t>
  </si>
  <si>
    <t>CP130/DPA/Consultar_Facturas/Busqueda/Nueva Busqueda</t>
  </si>
  <si>
    <t>CP131/DPA/Cancelacion_Masiva/CheckList</t>
  </si>
  <si>
    <t>CP132/DPA/Cancelacion_Masiva/ChecklistError /Descargar Errores</t>
  </si>
  <si>
    <t>CP133/DPA/Cancelacion_Masiva/Iniciar Cancelacion/Exportar .csv</t>
  </si>
  <si>
    <t>CP134/DPA/Cancelacion_Masiva/MsgsError</t>
  </si>
  <si>
    <t>CP135/DPA/Cancelacion_Masiva/Iniciar Cancelacion/Descargar Acuse</t>
  </si>
  <si>
    <t>CP136/DPA/Reporte_Estadisticos/Descargar .csv</t>
  </si>
  <si>
    <t>CP137/DPA/Reporte_Estadisticos/DetalleTotalXMLGenerados</t>
  </si>
  <si>
    <t>CP138/DPA/Reporte_Estadisticos/CFDITimbrados</t>
  </si>
  <si>
    <t>CP139/DPA/Reporte_Estadisticos/XMLcon Incidencia</t>
  </si>
  <si>
    <t>CP80/DPA/GenerarFacturasElectronicas</t>
  </si>
  <si>
    <t>CP81/DPA/TransferirInsumo</t>
  </si>
  <si>
    <t>CP82/DPA/TransferirInsumo/Mensajes de error</t>
  </si>
  <si>
    <t>CP83/DPA/TransferirInsumo/BotonCancelar</t>
  </si>
  <si>
    <t>CP84/DPA/VerificarInsumo</t>
  </si>
  <si>
    <t>CP85/DPA/VerificarInsumo/Checklist_Errores</t>
  </si>
  <si>
    <t>CP86/DPA/CargaInsumo</t>
  </si>
  <si>
    <t>CP87/DPA/CargaInsumo/Checklist_Errores</t>
  </si>
  <si>
    <t>CP88/DPA/CargaInsumo/BotonDescargarErrores</t>
  </si>
  <si>
    <t>CP89/DPA/CargaInsumo/BotonDescargarPagosExcluidos</t>
  </si>
  <si>
    <t>CP90/DPA/CargaInsumo/BotonFechasDiferentes</t>
  </si>
  <si>
    <t>CP91/DPA/GenerarXML</t>
  </si>
  <si>
    <t>CP92/DPA/GenerarXML/Descargar .xlsx</t>
  </si>
  <si>
    <t>CP93/DPA/GenerarXML/Descargar .txt</t>
  </si>
  <si>
    <t>CP94/DPA/GenerarXML/Descargar Incidencias</t>
  </si>
  <si>
    <t>CP95/DPA/GenerarXML/Archivo de control</t>
  </si>
  <si>
    <t>CP96/DPA/GenerarXML/Descargar XML</t>
  </si>
  <si>
    <t>CP97/DPA/Timbrado</t>
  </si>
  <si>
    <t>CP98/DPA/Timbrado/Descargar .xlsx</t>
  </si>
  <si>
    <t>CP99/DPA/Timbrado/Descargar .txt</t>
  </si>
  <si>
    <t>CP100/DPA/Timbrado/DescargarListaResultados</t>
  </si>
  <si>
    <t>CP101/DPA/Timbrado/DescargarXMLTimbrados</t>
  </si>
  <si>
    <t>CP102/DPA/Consulta_Modificacion_de_Pagos/Buscar</t>
  </si>
  <si>
    <t>CP103/DPA/Consulta_Modificacion_de_Pagos/Editar</t>
  </si>
  <si>
    <t>CP104/DPA/Consulta_Modificacion_de_Pagos/Guardar</t>
  </si>
  <si>
    <t>CP105/DPA/Consulta_Modificacion_de_Pagos/Generar Factura</t>
  </si>
  <si>
    <t>CP106/DPA/Consulta_Modificacion_de_Pagos/Boton Ver Detalle</t>
  </si>
  <si>
    <t>CP107/DPA/Consultar_Informacion_de_Proceso/GeneracionFacturas/Busqueda</t>
  </si>
  <si>
    <t>CP108/DPA/Consultar_Informacion_de_Proceso/GeneracionFacturas/Busqueda/No Iniciado</t>
  </si>
  <si>
    <t>CP109/DPA/Consultar_Informacion_de_Proceso/GeneracionFacturas/Busqueda/En proceso</t>
  </si>
  <si>
    <t>CP110/DPA/Consultar_Informacion_de_Proceso/GeneracionFacturas/Busqueda/Fallido</t>
  </si>
  <si>
    <t>CP111/DPA/Consultar_Informacion_de_Proceso/GeneracionFacturas/Busqueda/Terminado</t>
  </si>
  <si>
    <t>CP112/DPA/Consultar_Informacion_de_Proceso/GeneracionFacturas/Busqueda/Msgs de Error</t>
  </si>
  <si>
    <t>CP113/DPA/Consultar_Informacion_de_Proceso/GeneracionFacturas/VerDetalle/Transferir Insumo</t>
  </si>
  <si>
    <t>CP114/DPA/Consultar_Informacion_de_Proceso/GeneracionFacturas/VerDetalle/Verificar Insumo</t>
  </si>
  <si>
    <t>CP115/DPA/Consultar_Informacion_de_Proceso/GeneracionFacturas/VerDetalle/Carga Insumo</t>
  </si>
  <si>
    <t>CP116/DPA/Consultar_Informacion_de_Proceso/GeneracionFacturas/VerDetalle/Generar XML</t>
  </si>
  <si>
    <t>CP117/DPA/Consultar_Informacion_de_Proceso/GeneracionFacturas/VerDetalle/Timbrado</t>
  </si>
  <si>
    <t>CP118/DPA/Consultar_Informacion_de_Proceso/FacturasModificadasOReexpedidas/Busqueda</t>
  </si>
  <si>
    <t>CP119/DPA/Consultar_Informacion_de_Proceso/FacturasModificadasOReexpedidas/Busqueda/Modificada</t>
  </si>
  <si>
    <t>CP120/DPA/Consultar_Informacion_de_Proceso/FacturasModificadasOReexpedidas/Busqueda/Reexpedida</t>
  </si>
  <si>
    <t>CP121/DPA/Consultar_Facturas/Busqueda/Folio Fiscal</t>
  </si>
  <si>
    <t>CP122/DPA/Consultar_Facturas/Busqueda/Numero de Operación</t>
  </si>
  <si>
    <t>CP123/DPA/Consultar_Facturas/Busqueda/Busqueda por Insumo</t>
  </si>
  <si>
    <t xml:space="preserve">CP124/DPA/Consultar_Facturas/Busqueda/RFC Receptor </t>
  </si>
  <si>
    <t>CP125/DPA/Consultar_Facturas/Busqueda/Folio Fiscal/Ver Detalle</t>
  </si>
  <si>
    <t>CP126/DPA/Consultar_Facturas/Busqueda/Numero de Operación/Ver Detalle</t>
  </si>
  <si>
    <t>CP127/DPA/Consultar_Facturas/Busqueda/Busqueda por Insumo/Ver Detalle</t>
  </si>
  <si>
    <t xml:space="preserve">CP128/DPA/Consultar_Facturas/Busqueda/RFC Receptor/Ver Detalle </t>
  </si>
  <si>
    <t>CP129/DPA/Consultar_Facturas/Busqueda/Folio Fiscal/Acuse</t>
  </si>
  <si>
    <t>CP130/DPA/Consultar_Facturas/Busqueda/Numero de Operación/Acuse</t>
  </si>
  <si>
    <t>CP131/DPA/Consultar_Facturas/Busqueda/Busqueda por Insumo/Acuse</t>
  </si>
  <si>
    <t>CP132/DPA/Consultar_Facturas/Busqueda/RFC Receptor/Acuse</t>
  </si>
  <si>
    <t>CP133/DPA/Consultar_Facturas/Busqueda/Cancelar Seleccionados</t>
  </si>
  <si>
    <t>CP134/DPA/Consultar_Facturas/Busqueda/Reexpedir Factura</t>
  </si>
  <si>
    <t>CP135/DPA/Consultar_Facturas/Busqueda/Nueva Busqueda</t>
  </si>
  <si>
    <t>CP136/DPA/Consulta_De_Movimientos/Busqueda/Filtro</t>
  </si>
  <si>
    <t>CP137/DPA/Consulta_De_Movimientos/Busqueda/Ver Detalle</t>
  </si>
  <si>
    <t>CP138/DPA/Consulta_De_Movimientos/Busqueda/Msgs_ErrorSinPeriodo</t>
  </si>
  <si>
    <t>CP139/DPA/Consulta_De_Movimientos/Busqueda/Msgs_ErrorSinResultados</t>
  </si>
  <si>
    <t>CP140/DPA/Consulta_De_Movimientos/Busqueda/ExportarDatosFiltrados</t>
  </si>
  <si>
    <t>CP141/DPA/Consulta_De_Movimientos/Busqueda/Ver Detalle/Exportar</t>
  </si>
  <si>
    <t>CP142/DPA/Cancelacion_Masiva/CheckList</t>
  </si>
  <si>
    <t>CP143/DPA/Cancelacion_Masiva/ChecklistError /Descargar Errores</t>
  </si>
  <si>
    <t>CP144/DPA/Cancelacion_Masiva/Iniciar Cancelacion/Exportar .csv</t>
  </si>
  <si>
    <t>CP145/DPA/Cancelacion_Masiva/MsgsError</t>
  </si>
  <si>
    <t>CP146/DPA/Cancelacion_Masiva/Iniciar Cancelacion/Descargar Acuse</t>
  </si>
  <si>
    <t>CP147/DPA/Reporte_Estadisticos/Descargar .csv</t>
  </si>
  <si>
    <t>CP148/DPA/Reporte_Estadisticos/DetalleTotalXMLGenerados</t>
  </si>
  <si>
    <t>CP149/DPA/Reporte_Estadisticos/CFDITimbrados</t>
  </si>
  <si>
    <t>CP150/DPA/Reporte_Estadisticos/XMLcon Incidencia</t>
  </si>
  <si>
    <t>CP151/DPA/Cancelacion_Masiva/CheckList</t>
  </si>
  <si>
    <t>CP152/DPA/Cancelacion_Masiva/ChecklistError /Descargar Errores</t>
  </si>
  <si>
    <t>CP153/DPA/Cancelacion_Masiva/Iniciar Cancelacion/Exportar .csv</t>
  </si>
  <si>
    <t>CP154/DPA/Cancelacion_Masiva/MsgsError</t>
  </si>
  <si>
    <t>CP155/DPA/Cancelacion_Masiva/Iniciar Cancelacion/Descargar Acuse</t>
  </si>
  <si>
    <t>CP156/DPA/Reporte_Estadisticos/Descargar .csv</t>
  </si>
  <si>
    <t>CP157/DPA/Reporte_Estadisticos/DetalleTotalXMLGenerados</t>
  </si>
  <si>
    <t>CP158/DPA/Reporte_Estadisticos/CFDITimbrados</t>
  </si>
  <si>
    <t>CP159/DPA/Reporte_Estadisticos/XMLcon Incidencia</t>
  </si>
  <si>
    <t>4.-  DTA_Empleado</t>
  </si>
  <si>
    <t>CP160/DTA/GenerarFacturasElectronicas</t>
  </si>
  <si>
    <t>CP161/DTA/TransferirInsumo</t>
  </si>
  <si>
    <t>CP162/DTA/TransferirInsumo/Mensajes de error</t>
  </si>
  <si>
    <t>CP163/DTA/TransferirInsumo/BotonCancelar</t>
  </si>
  <si>
    <t>CP164/DTA/VerificarInsumo</t>
  </si>
  <si>
    <t>CP165/DTA/VerificarInsumo/Checklist_Errores</t>
  </si>
  <si>
    <t>CP166/DTA/CargaInsumo</t>
  </si>
  <si>
    <t>CP167/DTA/CargaInsumo/Checklist_Errores</t>
  </si>
  <si>
    <t>CP168/DTA/CargaInsumo/BotonDescargarErrores</t>
  </si>
  <si>
    <t>CP169/DTA/CargaInsumo/BotonDescargarPagosExcluidos</t>
  </si>
  <si>
    <t>CP170/DTA/CargaInsumo/BotonFechasDiferentes</t>
  </si>
  <si>
    <t>CP171/DTA/GenerarXML</t>
  </si>
  <si>
    <t>CP172/DTA/GenerarXML/Descargar .xlsx</t>
  </si>
  <si>
    <t>CP173/DTA/GenerarXML/Descargar .txt</t>
  </si>
  <si>
    <t>CP174/DTA/GenerarXML/Descargar Incidencias</t>
  </si>
  <si>
    <t>CP175/DTA/GenerarXML/Archivo de control</t>
  </si>
  <si>
    <t>CP176/DTA/GenerarXML/Descargar XML</t>
  </si>
  <si>
    <t>CP177/DTA/Timbrado</t>
  </si>
  <si>
    <t>CP178/DTA/Timbrado/Descargar .xlsx</t>
  </si>
  <si>
    <t>CP179/DTA/Timbrado/Descargar .txt</t>
  </si>
  <si>
    <t>CP180/DTA/Timbrado/DescargarListaResultados</t>
  </si>
  <si>
    <t>CP181/DTA/Timbrado/DescargarXMLTimbrados</t>
  </si>
  <si>
    <t>CP182/DTA/Consulta_Modificacion_de_Pagos/Consulta</t>
  </si>
  <si>
    <t>CP183/DTA/Consulta_Modificacion_de_Pagos/Consulta/Editar</t>
  </si>
  <si>
    <t>CP184/DTA/Consulta_Modificacion_de_Pagos/Consulta/Guardar</t>
  </si>
  <si>
    <t>CP185/DTA/Consulta_Modificacion_de_Pagos/Consulta/Generar Factura</t>
  </si>
  <si>
    <t>CP186/DTA/Consulta_Modificacion_de_Pagos/Consulta/Boton Ver Detalle</t>
  </si>
  <si>
    <t>CP187/DTA/Consulta_Modificacion_de_Pagos/ConsultaFechasDiferentes/Guardar</t>
  </si>
  <si>
    <t>CP188/DTA/Consulta_Modificacion_de_Pagos/ConsultaFechasDiferentes/Ver Detalle</t>
  </si>
  <si>
    <t>CP189/DTA/Consulta_Modificacion_de_Pagos/ConsultaFechasDiferentes/Generar Factura</t>
  </si>
  <si>
    <t>CP190/DTA/Consultar_Informacion_de_Proceso/GeneracionFacturas/Busqueda</t>
  </si>
  <si>
    <t>CP191/DTA/Consultar_Informacion_de_Proceso/GeneracionFacturas/Busqueda/No Iniciado</t>
  </si>
  <si>
    <t>CP192/DTA/Consultar_Informacion_de_Proceso/GeneracionFacturas/Busqueda/En proceso</t>
  </si>
  <si>
    <t>CP193/DTA/Consultar_Informacion_de_Proceso/GeneracionFacturas/Busqueda/Fallido</t>
  </si>
  <si>
    <t>CP194/DTA/Consultar_Informacion_de_Proceso/GeneracionFacturas/Busqueda/Terminado</t>
  </si>
  <si>
    <t>CP195/DTA/Consultar_Informacion_de_Proceso/GeneracionFacturas/Busqueda/Msgs de Error</t>
  </si>
  <si>
    <t>CP196/DTA/Consultar_Informacion_de_Proceso/GeneracionFacturas/VerDetalle/Transferir Insumo</t>
  </si>
  <si>
    <t>CP197/DTA/Consultar_Informacion_de_Proceso/GeneracionFacturas/VerDetalle/Verificar Insumo</t>
  </si>
  <si>
    <t>CP198/DTA/Consultar_Informacion_de_Proceso/GeneracionFacturas/VerDetalle/Carga Insumo</t>
  </si>
  <si>
    <t>CP199/DTA/Consultar_Informacion_de_Proceso/GeneracionFacturas/VerDetalle/Generar XML</t>
  </si>
  <si>
    <t>CP200/DTA/Consultar_Informacion_de_Proceso/GeneracionFacturas/VerDetalle/Timbrado</t>
  </si>
  <si>
    <t>CP201/DTA/Consultar_Informacion_de_Proceso/FacturasModificadasOReexpedidas/Busqueda</t>
  </si>
  <si>
    <t>CP202/DTA/Consultar_Informacion_de_Proceso/FacturasModificadasOReexpedidas/Busqueda/Modificada</t>
  </si>
  <si>
    <t>CP203/DTA/Consultar_Informacion_de_Proceso/FacturasModificadasOReexpedidas/Busqueda/Reexpedida</t>
  </si>
  <si>
    <t>CP204/DTA/Consultar_Facturas/Busqueda/Folio Fiscal</t>
  </si>
  <si>
    <t>CP205/DTA/Consultar_Facturas/Busqueda/Numero de Operación</t>
  </si>
  <si>
    <t>CP206/DTA/Consultar_Facturas/Busqueda/Busqueda por Insumo</t>
  </si>
  <si>
    <t xml:space="preserve">CP207/DTA/Consultar_Facturas/Busqueda/RFC Receptor </t>
  </si>
  <si>
    <t>CP208/DTA/Consultar_Facturas/Busqueda/Folio Fiscal/Ver Detalle</t>
  </si>
  <si>
    <t>CP209/DTA/Consultar_Facturas/Busqueda/Numero de Operación/Ver Detalle</t>
  </si>
  <si>
    <t>CP210/DTA/Consultar_Facturas/Busqueda/Busqueda por Insumo/Ver Detalle</t>
  </si>
  <si>
    <t xml:space="preserve">CP211/DTA/Consultar_Facturas/Busqueda/RFC Receptor/Ver Detalle </t>
  </si>
  <si>
    <t>CP212/DTA/Consultar_Facturas/Busqueda/Folio Fiscal/Acuse</t>
  </si>
  <si>
    <t>CP213/DTA/Consultar_Facturas/Busqueda/Numero de Operación/Acuse</t>
  </si>
  <si>
    <t>CP214/DTA/Consultar_Facturas/Busqueda/Busqueda por Insumo/Acuse</t>
  </si>
  <si>
    <t>CP215/DTA/Consultar_Facturas/Busqueda/RFC Receptor/Acuse</t>
  </si>
  <si>
    <t>CP216/DTA/Consultar_Facturas/Busqueda/Cancelar Seleccionados</t>
  </si>
  <si>
    <t>CP217/DTA/Consultar_Facturas/Busqueda/Reexpedir Factura</t>
  </si>
  <si>
    <t>CP218/DTA/Consultar_Facturas/Busqueda/Nueva Busqueda</t>
  </si>
  <si>
    <t>CP219/DTA/Cancelacion_Masiva/CheckList</t>
  </si>
  <si>
    <t>CP220/DTA/Cancelacion_Masiva/ChecklistError /Descargar Errores</t>
  </si>
  <si>
    <t>CP221/DTA/Cancelacion_Masiva/Iniciar Cancelacion/Exportar .csv</t>
  </si>
  <si>
    <t>CP222/DTA/Cancelacion_Masiva/MsgsError</t>
  </si>
  <si>
    <t>CP223/DTA/Cancelacion_Masiva/Iniciar Cancelacion/Descargar Acuse</t>
  </si>
  <si>
    <t>CP224/DTA/Reporte_Estadisticos/Descargar .csv</t>
  </si>
  <si>
    <t>CP225/DTA/Reporte_Estadisticos/DetalleTotalXMLGenerados</t>
  </si>
  <si>
    <t>CP226/DTA/Reporte_Estadisticos/CFDITimbrados</t>
  </si>
  <si>
    <t>CP227/DTA/Reporte_Estadisticos/XMLcon Incidencia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</si>
</sst>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_-;_-@_-"/>
    <numFmt numFmtId="165" formatCode="dd/mm/yyyy;@"/>
  </numFmts>
  <fonts count="47" x14ac:knownFonts="1">
    <font>
      <sz val="11"/>
      <color rgb="FF000000"/>
      <name val="Calibri"/>
      <family val="2"/>
      <charset val="1"/>
    </font>
    <font>
      <sz val="10"/>
      <name val="Arial"/>
      <family val="2"/>
      <charset val="1"/>
    </font>
    <font>
      <b/>
      <sz val="12"/>
      <name val="Arial"/>
      <family val="2"/>
      <charset val="1"/>
    </font>
    <font>
      <sz val="10"/>
      <name val="Verdana"/>
      <family val="2"/>
      <charset val="1"/>
    </font>
    <font>
      <sz val="8"/>
      <name val="Arial"/>
      <family val="2"/>
      <charset val="1"/>
    </font>
    <font>
      <sz val="10"/>
      <name val="Montserrat"/>
    </font>
    <font>
      <sz val="10"/>
      <color rgb="FF0070C0"/>
      <name val="Montserrat"/>
    </font>
    <font>
      <b/>
      <i/>
      <sz val="10"/>
      <color rgb="FF1403EF"/>
      <name val="Montserrat"/>
    </font>
    <font>
      <i/>
      <sz val="10"/>
      <color rgb="FF1403EF"/>
      <name val="Montserrat"/>
    </font>
    <font>
      <sz val="10"/>
      <color rgb="FF1403EF"/>
      <name val="Montserrat"/>
    </font>
    <font>
      <b/>
      <i/>
      <sz val="10"/>
      <color rgb="FF0000FF"/>
      <name val="Montserrat"/>
    </font>
    <font>
      <i/>
      <sz val="10"/>
      <color rgb="FF0000FF"/>
      <name val="Montserrat"/>
    </font>
    <font>
      <b/>
      <sz val="10"/>
      <name val="Montserrat"/>
    </font>
    <font>
      <b/>
      <sz val="10"/>
      <color rgb="FF002060"/>
      <name val="Montserrat"/>
    </font>
    <font>
      <sz val="10"/>
      <color rgb="FF0000FF"/>
      <name val="Montserrat"/>
    </font>
    <font>
      <b/>
      <sz val="10"/>
      <color rgb="FF000000"/>
      <name val="Montserrat"/>
    </font>
    <font>
      <sz val="10"/>
      <color rgb="FF000000"/>
      <name val="Montserrat"/>
    </font>
    <font>
      <b/>
      <sz val="10"/>
      <color rgb="FF0000FF"/>
      <name val="Montserrat"/>
    </font>
    <font>
      <b/>
      <sz val="10"/>
      <name val="Noto Sans"/>
      <family val="2"/>
      <charset val="1"/>
    </font>
    <font>
      <b/>
      <sz val="10"/>
      <color rgb="FF000000"/>
      <name val="Noto Sans"/>
      <family val="2"/>
      <charset val="1"/>
    </font>
    <font>
      <sz val="10"/>
      <name val="Noto Sans"/>
      <family val="2"/>
      <charset val="1"/>
    </font>
    <font>
      <b/>
      <i/>
      <sz val="10"/>
      <color rgb="FF000000"/>
      <name val="Montserrat"/>
    </font>
    <font>
      <sz val="10"/>
      <color rgb="FF000000"/>
      <name val="Times New Roman"/>
      <family val="1"/>
      <charset val="1"/>
    </font>
    <font>
      <b/>
      <i/>
      <sz val="9"/>
      <color rgb="FF1403EF"/>
      <name val="Verdana"/>
      <family val="2"/>
      <charset val="1"/>
    </font>
    <font>
      <b/>
      <sz val="8"/>
      <color rgb="FF000000"/>
      <name val="Montserrat"/>
    </font>
    <font>
      <b/>
      <sz val="9"/>
      <color rgb="FF376B48"/>
      <name val="Montserrat"/>
    </font>
    <font>
      <sz val="9"/>
      <color rgb="FF000000"/>
      <name val="Montserrat"/>
    </font>
    <font>
      <b/>
      <sz val="11"/>
      <color rgb="FF000000"/>
      <name val="Montserrat"/>
    </font>
    <font>
      <sz val="6"/>
      <color rgb="FF0000FF"/>
      <name val="Montserrat"/>
    </font>
    <font>
      <sz val="11"/>
      <color rgb="FF000000"/>
      <name val="Montserrat"/>
    </font>
    <font>
      <sz val="7"/>
      <color rgb="FF0000FF"/>
      <name val="Montserrat"/>
    </font>
    <font>
      <b/>
      <sz val="7"/>
      <color rgb="FF0000FF"/>
      <name val="Montserrat"/>
    </font>
    <font>
      <sz val="11"/>
      <color rgb="FF000000"/>
      <name val="Calibri"/>
      <family val="2"/>
      <charset val="1"/>
    </font>
    <font>
      <sz val="10"/>
      <color rgb="FF00B050"/>
      <name val="Noto Sans"/>
      <family val="2"/>
    </font>
    <font>
      <b/>
      <sz val="10"/>
      <color rgb="FFFF0000"/>
      <name val="Noto Sans"/>
    </font>
    <font>
      <sz val="10"/>
      <color rgb="FFFF0000"/>
      <name val="Noto Sans"/>
    </font>
    <font>
      <sz val="10"/>
      <color rgb="FFFF0000"/>
      <name val="Montserrat"/>
    </font>
    <font>
      <b/>
      <sz val="10"/>
      <name val="Noto Sans"/>
    </font>
    <font>
      <sz val="10"/>
      <color rgb="FFFF0000"/>
      <name val="Noto Sans"/>
      <family val="2"/>
    </font>
    <font>
      <b/>
      <sz val="10"/>
      <name val="Noto Sans"/>
      <family val="2"/>
    </font>
    <font>
      <sz val="10"/>
      <color theme="1"/>
      <name val="Montserrat"/>
    </font>
    <font>
      <b/>
      <sz val="10"/>
      <color rgb="FFFF0000"/>
      <name val="Montserrat"/>
    </font>
    <font>
      <sz val="10"/>
      <name val="Noto Sans"/>
      <family val="2"/>
    </font>
    <font>
      <sz val="11"/>
      <name val="Calibri"/>
      <family val="2"/>
      <charset val="1"/>
    </font>
    <font>
      <b/>
      <sz val="10"/>
      <color rgb="FFFF0000"/>
      <name val="Noto Sans"/>
      <family val="2"/>
    </font>
    <font>
      <sz val="10"/>
      <color theme="3"/>
      <name val="Noto Sans"/>
      <family val="2"/>
    </font>
    <font>
      <b/>
      <sz val="10"/>
      <color theme="3"/>
      <name val="Noto Sans"/>
      <family val="2"/>
    </font>
  </fonts>
  <fills count="12">
    <fill>
      <patternFill patternType="none"/>
    </fill>
    <fill>
      <patternFill patternType="gray125"/>
    </fill>
    <fill>
      <patternFill patternType="solid">
        <fgColor rgb="FF969696"/>
        <bgColor rgb="FF808080"/>
      </patternFill>
    </fill>
    <fill>
      <patternFill patternType="solid">
        <fgColor rgb="FFC0C0C0"/>
        <bgColor rgb="FFBFBFBF"/>
      </patternFill>
    </fill>
    <fill>
      <patternFill patternType="solid">
        <fgColor rgb="FFD9D9D9"/>
        <bgColor rgb="FFDCE6F2"/>
      </patternFill>
    </fill>
    <fill>
      <patternFill patternType="solid">
        <fgColor rgb="FFF2F2F2"/>
        <bgColor rgb="FFFFFFFF"/>
      </patternFill>
    </fill>
    <fill>
      <patternFill patternType="solid">
        <fgColor rgb="FFDCE6F2"/>
        <bgColor rgb="FFD9D9D9"/>
      </patternFill>
    </fill>
    <fill>
      <patternFill patternType="solid">
        <fgColor rgb="FFC6D9F1"/>
        <bgColor rgb="FFD9D9D9"/>
      </patternFill>
    </fill>
    <fill>
      <patternFill patternType="solid">
        <fgColor rgb="FFFFFFFF"/>
        <bgColor rgb="FFF2F2F2"/>
      </patternFill>
    </fill>
    <fill>
      <patternFill patternType="solid">
        <fgColor rgb="FFBFBFBF"/>
        <bgColor rgb="FFC0C0C0"/>
      </patternFill>
    </fill>
    <fill>
      <patternFill patternType="solid">
        <fgColor theme="0"/>
        <bgColor indexed="64"/>
      </patternFill>
    </fill>
    <fill>
      <patternFill patternType="solid">
        <fgColor theme="0"/>
        <bgColor rgb="FFD9D9D9"/>
      </patternFill>
    </fill>
  </fills>
  <borders count="25">
    <border>
      <left/>
      <right/>
      <top/>
      <bottom/>
      <diagonal/>
    </border>
    <border>
      <left/>
      <right/>
      <top style="medium">
        <color auto="1"/>
      </top>
      <bottom style="medium">
        <color auto="1"/>
      </bottom>
      <diagonal/>
    </border>
    <border>
      <left/>
      <right/>
      <top style="thin">
        <color auto="1"/>
      </top>
      <bottom style="thin">
        <color auto="1"/>
      </bottom>
      <diagonal/>
    </border>
    <border>
      <left style="thin">
        <color rgb="FF2C1CFC"/>
      </left>
      <right style="thin">
        <color rgb="FF2C1CFC"/>
      </right>
      <top style="thin">
        <color rgb="FF2C1CFC"/>
      </top>
      <bottom style="thin">
        <color rgb="FF2C1CFC"/>
      </bottom>
      <diagonal/>
    </border>
    <border>
      <left style="thin">
        <color rgb="FF2C1CFC"/>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diagonal/>
    </border>
    <border>
      <left/>
      <right/>
      <top style="thin">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s>
  <cellStyleXfs count="14">
    <xf numFmtId="0" fontId="0" fillId="0" borderId="0"/>
    <xf numFmtId="0" fontId="1" fillId="0" borderId="0"/>
    <xf numFmtId="164" fontId="32" fillId="0" borderId="0" applyBorder="0" applyProtection="0"/>
    <xf numFmtId="164" fontId="32" fillId="0" borderId="0" applyBorder="0" applyProtection="0"/>
    <xf numFmtId="0" fontId="2" fillId="0" borderId="1" applyProtection="0"/>
    <xf numFmtId="0" fontId="2" fillId="0" borderId="2">
      <alignment horizontal="left" vertical="center"/>
    </xf>
    <xf numFmtId="164" fontId="32" fillId="0" borderId="0" applyBorder="0" applyProtection="0"/>
    <xf numFmtId="0" fontId="3" fillId="0" borderId="0"/>
    <xf numFmtId="0" fontId="4" fillId="0" borderId="0"/>
    <xf numFmtId="0" fontId="3" fillId="0" borderId="0"/>
    <xf numFmtId="0" fontId="3" fillId="0" borderId="0"/>
    <xf numFmtId="0" fontId="32" fillId="0" borderId="0"/>
    <xf numFmtId="9" fontId="32" fillId="0" borderId="0" applyBorder="0" applyProtection="0"/>
    <xf numFmtId="9" fontId="32" fillId="0" borderId="0" applyBorder="0" applyProtection="0"/>
  </cellStyleXfs>
  <cellXfs count="121">
    <xf numFmtId="0" fontId="0" fillId="0" borderId="0" xfId="0"/>
    <xf numFmtId="0" fontId="3" fillId="0" borderId="0" xfId="9" applyAlignment="1">
      <alignment wrapText="1"/>
    </xf>
    <xf numFmtId="0" fontId="5" fillId="0" borderId="0" xfId="9" applyFont="1" applyAlignment="1">
      <alignment wrapText="1"/>
    </xf>
    <xf numFmtId="0" fontId="6" fillId="0" borderId="0" xfId="9" applyFont="1" applyAlignment="1">
      <alignment horizontal="center" vertical="center" wrapText="1"/>
    </xf>
    <xf numFmtId="0" fontId="5" fillId="0" borderId="0" xfId="9" applyFont="1" applyAlignment="1">
      <alignment horizontal="center" vertical="center" wrapText="1"/>
    </xf>
    <xf numFmtId="0" fontId="5" fillId="0" borderId="4" xfId="9" applyFont="1" applyBorder="1" applyAlignment="1">
      <alignment wrapText="1"/>
    </xf>
    <xf numFmtId="0" fontId="9" fillId="0" borderId="0" xfId="7" applyFont="1" applyAlignment="1">
      <alignment horizontal="left" wrapText="1"/>
    </xf>
    <xf numFmtId="0" fontId="11" fillId="0" borderId="0" xfId="9" applyFont="1" applyAlignment="1">
      <alignment horizontal="left" vertical="center" wrapText="1"/>
    </xf>
    <xf numFmtId="0" fontId="12" fillId="0" borderId="0" xfId="9" applyFont="1" applyAlignment="1">
      <alignment wrapText="1"/>
    </xf>
    <xf numFmtId="0" fontId="5" fillId="0" borderId="0" xfId="9" applyFont="1" applyAlignment="1">
      <alignment vertical="center" wrapText="1"/>
    </xf>
    <xf numFmtId="0" fontId="13" fillId="0" borderId="0" xfId="9" applyFont="1" applyAlignment="1">
      <alignment horizontal="center" vertical="center" wrapText="1"/>
    </xf>
    <xf numFmtId="0" fontId="14" fillId="0" borderId="0" xfId="0" applyFont="1" applyAlignment="1">
      <alignment vertical="center" wrapText="1"/>
    </xf>
    <xf numFmtId="0" fontId="15" fillId="5" borderId="14" xfId="0" applyFont="1" applyFill="1" applyBorder="1" applyAlignment="1">
      <alignment horizontal="center" vertical="center"/>
    </xf>
    <xf numFmtId="49" fontId="16" fillId="0" borderId="14" xfId="0" applyNumberFormat="1" applyFont="1" applyBorder="1" applyAlignment="1">
      <alignment horizontal="center" vertical="center"/>
    </xf>
    <xf numFmtId="0" fontId="16" fillId="0" borderId="14" xfId="0" applyFont="1" applyBorder="1" applyAlignment="1">
      <alignment horizontal="left" vertical="center" wrapText="1"/>
    </xf>
    <xf numFmtId="0" fontId="5" fillId="0" borderId="14" xfId="0" applyFont="1" applyBorder="1" applyAlignment="1">
      <alignment horizontal="left" vertical="center" wrapText="1"/>
    </xf>
    <xf numFmtId="165" fontId="5" fillId="0" borderId="14" xfId="0" applyNumberFormat="1" applyFont="1" applyBorder="1" applyAlignment="1">
      <alignment horizontal="center" vertical="center"/>
    </xf>
    <xf numFmtId="0" fontId="12" fillId="4" borderId="14" xfId="0" applyFont="1" applyFill="1" applyBorder="1" applyAlignment="1">
      <alignment horizontal="center" vertical="center" wrapText="1"/>
    </xf>
    <xf numFmtId="0" fontId="12" fillId="5" borderId="16" xfId="0" applyFont="1" applyFill="1" applyBorder="1" applyAlignment="1">
      <alignment horizontal="center" vertical="center" wrapText="1"/>
    </xf>
    <xf numFmtId="0" fontId="16" fillId="0" borderId="16" xfId="0" applyFont="1" applyBorder="1"/>
    <xf numFmtId="0" fontId="12" fillId="6" borderId="14" xfId="0" applyFont="1" applyFill="1" applyBorder="1" applyAlignment="1">
      <alignment wrapText="1"/>
    </xf>
    <xf numFmtId="0" fontId="5" fillId="0" borderId="14" xfId="0" applyFont="1" applyBorder="1" applyAlignment="1">
      <alignment vertical="center" wrapText="1"/>
    </xf>
    <xf numFmtId="0" fontId="5" fillId="0" borderId="0" xfId="0" applyFont="1" applyAlignment="1">
      <alignment vertical="center" wrapText="1"/>
    </xf>
    <xf numFmtId="0" fontId="5" fillId="0" borderId="14" xfId="0" applyFont="1" applyBorder="1" applyAlignment="1">
      <alignment wrapText="1"/>
    </xf>
    <xf numFmtId="0" fontId="12" fillId="0" borderId="0" xfId="0" applyFont="1" applyAlignment="1">
      <alignment vertical="center" wrapText="1"/>
    </xf>
    <xf numFmtId="0" fontId="12" fillId="6" borderId="14" xfId="0" applyFont="1" applyFill="1" applyBorder="1" applyAlignment="1">
      <alignment vertical="center" wrapText="1"/>
    </xf>
    <xf numFmtId="0" fontId="0" fillId="0" borderId="0" xfId="0" applyAlignment="1">
      <alignment wrapText="1"/>
    </xf>
    <xf numFmtId="0" fontId="16" fillId="0" borderId="0" xfId="0" applyFont="1" applyAlignment="1">
      <alignment wrapText="1"/>
    </xf>
    <xf numFmtId="0" fontId="9" fillId="0" borderId="0" xfId="0" applyFont="1" applyAlignment="1">
      <alignment vertical="center" wrapText="1"/>
    </xf>
    <xf numFmtId="0" fontId="16" fillId="0" borderId="0" xfId="0" applyFont="1" applyAlignment="1">
      <alignment horizontal="center" vertical="center" wrapText="1"/>
    </xf>
    <xf numFmtId="0" fontId="6" fillId="0" borderId="0" xfId="0" applyFont="1" applyAlignment="1">
      <alignment horizontal="justify" vertical="center" wrapText="1"/>
    </xf>
    <xf numFmtId="0" fontId="16" fillId="0" borderId="0" xfId="0" applyFont="1"/>
    <xf numFmtId="0" fontId="18" fillId="9" borderId="18" xfId="0" applyFont="1" applyFill="1" applyBorder="1" applyAlignment="1">
      <alignment horizontal="center" vertical="center" wrapText="1"/>
    </xf>
    <xf numFmtId="0" fontId="18" fillId="8" borderId="18" xfId="0" applyFont="1" applyFill="1" applyBorder="1" applyAlignment="1">
      <alignment horizontal="center" vertical="center" wrapText="1"/>
    </xf>
    <xf numFmtId="0" fontId="18" fillId="9" borderId="19" xfId="0" applyFont="1" applyFill="1" applyBorder="1" applyAlignment="1">
      <alignment horizontal="center" vertical="center" wrapText="1"/>
    </xf>
    <xf numFmtId="0" fontId="19" fillId="0" borderId="18" xfId="0" applyFont="1" applyBorder="1" applyAlignment="1">
      <alignment horizontal="center" vertical="center" wrapText="1"/>
    </xf>
    <xf numFmtId="0" fontId="5" fillId="0" borderId="0" xfId="0" applyFont="1" applyAlignment="1">
      <alignment wrapText="1"/>
    </xf>
    <xf numFmtId="0" fontId="18" fillId="5" borderId="14" xfId="0" applyFont="1" applyFill="1" applyBorder="1" applyAlignment="1">
      <alignment horizontal="center" vertical="center" wrapText="1"/>
    </xf>
    <xf numFmtId="0" fontId="18" fillId="5" borderId="14" xfId="0" applyFont="1" applyFill="1" applyBorder="1" applyAlignment="1">
      <alignment vertical="center" wrapText="1"/>
    </xf>
    <xf numFmtId="0" fontId="19" fillId="5" borderId="14" xfId="0" applyFont="1" applyFill="1" applyBorder="1" applyAlignment="1">
      <alignment horizontal="center" vertical="center" wrapText="1"/>
    </xf>
    <xf numFmtId="0" fontId="20" fillId="0" borderId="14" xfId="0" applyFont="1" applyBorder="1" applyAlignment="1">
      <alignment horizontal="left" vertical="center" wrapText="1"/>
    </xf>
    <xf numFmtId="0" fontId="20" fillId="0" borderId="14" xfId="0" applyFont="1" applyBorder="1" applyAlignment="1">
      <alignment vertical="center" wrapText="1"/>
    </xf>
    <xf numFmtId="0" fontId="20" fillId="0" borderId="14" xfId="0" applyFont="1" applyBorder="1" applyAlignment="1">
      <alignment horizontal="center" vertical="center" wrapText="1"/>
    </xf>
    <xf numFmtId="0" fontId="20" fillId="0" borderId="14" xfId="0" applyFont="1" applyBorder="1" applyAlignment="1">
      <alignment horizontal="justify" vertical="center" wrapText="1"/>
    </xf>
    <xf numFmtId="0" fontId="20" fillId="0" borderId="0" xfId="0" applyFont="1" applyAlignment="1">
      <alignment vertical="center" wrapText="1"/>
    </xf>
    <xf numFmtId="0" fontId="18" fillId="0" borderId="14" xfId="0" applyFont="1" applyBorder="1" applyAlignment="1">
      <alignment vertical="center" wrapText="1"/>
    </xf>
    <xf numFmtId="0" fontId="1" fillId="0" borderId="0" xfId="0" applyFont="1" applyAlignment="1">
      <alignment wrapText="1"/>
    </xf>
    <xf numFmtId="0" fontId="20" fillId="0" borderId="14" xfId="0" applyFont="1" applyBorder="1" applyAlignment="1">
      <alignment wrapText="1"/>
    </xf>
    <xf numFmtId="0" fontId="20" fillId="0" borderId="20" xfId="0" applyFont="1" applyBorder="1" applyAlignment="1">
      <alignment horizontal="center" vertical="center" wrapText="1"/>
    </xf>
    <xf numFmtId="0" fontId="20" fillId="0" borderId="20" xfId="0" applyFont="1" applyBorder="1" applyAlignment="1">
      <alignment horizontal="justify" vertical="center" wrapText="1"/>
    </xf>
    <xf numFmtId="0" fontId="20" fillId="0" borderId="20" xfId="0" applyFont="1" applyBorder="1" applyAlignment="1">
      <alignment vertical="center" wrapText="1"/>
    </xf>
    <xf numFmtId="0" fontId="20" fillId="8" borderId="14" xfId="0" applyFont="1" applyFill="1" applyBorder="1" applyAlignment="1">
      <alignment horizontal="justify" vertical="center" wrapText="1"/>
    </xf>
    <xf numFmtId="0" fontId="20" fillId="0" borderId="21" xfId="0" applyFont="1" applyBorder="1" applyAlignment="1">
      <alignment vertical="center" wrapText="1"/>
    </xf>
    <xf numFmtId="0" fontId="20" fillId="0" borderId="22" xfId="0" applyFont="1" applyBorder="1" applyAlignment="1">
      <alignment horizontal="justify" vertical="center" wrapText="1"/>
    </xf>
    <xf numFmtId="0" fontId="20" fillId="0" borderId="22" xfId="0" applyFont="1" applyBorder="1" applyAlignment="1">
      <alignment horizontal="left" vertical="center" wrapText="1"/>
    </xf>
    <xf numFmtId="0" fontId="20" fillId="0" borderId="22" xfId="0" applyFont="1" applyBorder="1" applyAlignment="1">
      <alignment vertical="center" wrapText="1"/>
    </xf>
    <xf numFmtId="0" fontId="20" fillId="0" borderId="22" xfId="0" applyFont="1" applyBorder="1" applyAlignment="1">
      <alignment horizontal="center" vertical="center" wrapText="1"/>
    </xf>
    <xf numFmtId="0" fontId="11" fillId="0" borderId="0" xfId="11" applyFont="1"/>
    <xf numFmtId="0" fontId="8" fillId="0" borderId="0" xfId="11" applyFont="1" applyAlignment="1">
      <alignment vertical="center"/>
    </xf>
    <xf numFmtId="0" fontId="21" fillId="0" borderId="0" xfId="0" applyFont="1" applyAlignment="1">
      <alignment vertical="center"/>
    </xf>
    <xf numFmtId="0" fontId="7" fillId="0" borderId="0" xfId="0" applyFont="1" applyAlignment="1">
      <alignment horizontal="center" vertical="center"/>
    </xf>
    <xf numFmtId="0" fontId="15" fillId="0" borderId="0" xfId="0" applyFont="1" applyAlignment="1">
      <alignment horizontal="right" vertical="center"/>
    </xf>
    <xf numFmtId="0" fontId="16" fillId="0" borderId="0" xfId="0" applyFont="1" applyAlignment="1">
      <alignment horizontal="left" vertical="center"/>
    </xf>
    <xf numFmtId="0" fontId="15" fillId="4" borderId="18" xfId="0" applyFont="1" applyFill="1" applyBorder="1" applyAlignment="1">
      <alignment horizontal="center" vertical="center" wrapText="1"/>
    </xf>
    <xf numFmtId="0" fontId="15" fillId="0" borderId="23" xfId="0" applyFont="1" applyBorder="1" applyAlignment="1">
      <alignment horizontal="justify" vertical="center" wrapText="1"/>
    </xf>
    <xf numFmtId="0" fontId="15" fillId="0" borderId="24" xfId="0" applyFont="1" applyBorder="1" applyAlignment="1">
      <alignment horizontal="justify" vertical="center" wrapText="1"/>
    </xf>
    <xf numFmtId="0" fontId="22" fillId="0" borderId="23" xfId="0" applyFont="1" applyBorder="1" applyAlignment="1">
      <alignment horizontal="justify" vertical="center" wrapText="1"/>
    </xf>
    <xf numFmtId="0" fontId="15" fillId="4" borderId="23" xfId="0" applyFont="1" applyFill="1" applyBorder="1" applyAlignment="1">
      <alignment horizontal="center" vertical="center" wrapText="1"/>
    </xf>
    <xf numFmtId="0" fontId="15" fillId="4" borderId="24" xfId="0" applyFont="1" applyFill="1" applyBorder="1" applyAlignment="1">
      <alignment horizontal="center" vertical="center" wrapText="1"/>
    </xf>
    <xf numFmtId="0" fontId="16" fillId="0" borderId="23" xfId="0" applyFont="1" applyBorder="1" applyAlignment="1">
      <alignment horizontal="justify" vertical="center" wrapText="1"/>
    </xf>
    <xf numFmtId="0" fontId="23" fillId="0" borderId="0" xfId="0" applyFont="1" applyAlignment="1">
      <alignment vertical="center"/>
    </xf>
    <xf numFmtId="0" fontId="3" fillId="0" borderId="0" xfId="7"/>
    <xf numFmtId="0" fontId="36" fillId="0" borderId="14" xfId="0" applyFont="1" applyBorder="1" applyAlignment="1">
      <alignment horizontal="justify" vertical="center" wrapText="1"/>
    </xf>
    <xf numFmtId="0" fontId="20" fillId="0" borderId="0" xfId="0" applyFont="1" applyAlignment="1">
      <alignment wrapText="1"/>
    </xf>
    <xf numFmtId="0" fontId="38" fillId="0" borderId="14" xfId="0" applyFont="1" applyBorder="1" applyAlignment="1">
      <alignment horizontal="justify" vertical="center" wrapText="1"/>
    </xf>
    <xf numFmtId="0" fontId="38" fillId="0" borderId="0" xfId="0" applyFont="1" applyAlignment="1">
      <alignment vertical="center" wrapText="1"/>
    </xf>
    <xf numFmtId="0" fontId="42" fillId="0" borderId="0" xfId="0" applyFont="1" applyAlignment="1">
      <alignment vertical="center" wrapText="1"/>
    </xf>
    <xf numFmtId="0" fontId="43" fillId="0" borderId="0" xfId="0" applyFont="1" applyAlignment="1">
      <alignment wrapText="1"/>
    </xf>
    <xf numFmtId="0" fontId="5" fillId="0" borderId="22" xfId="0" applyFont="1" applyBorder="1" applyAlignment="1">
      <alignment horizontal="center" vertical="center" wrapText="1"/>
    </xf>
    <xf numFmtId="0" fontId="5" fillId="0" borderId="22" xfId="0" applyFont="1" applyBorder="1" applyAlignment="1">
      <alignment vertical="center" wrapText="1"/>
    </xf>
    <xf numFmtId="0" fontId="5" fillId="0" borderId="14" xfId="0" applyFont="1" applyBorder="1" applyAlignment="1">
      <alignment horizontal="justify" vertical="center" wrapText="1"/>
    </xf>
    <xf numFmtId="0" fontId="5" fillId="0" borderId="14" xfId="0" applyFont="1" applyBorder="1" applyAlignment="1">
      <alignment horizontal="center" vertical="center" wrapText="1"/>
    </xf>
    <xf numFmtId="0" fontId="12" fillId="0" borderId="14" xfId="0" applyFont="1" applyBorder="1" applyAlignment="1">
      <alignment vertical="center" wrapText="1"/>
    </xf>
    <xf numFmtId="0" fontId="42" fillId="0" borderId="14" xfId="0" applyFont="1" applyBorder="1" applyAlignment="1">
      <alignment horizontal="justify" vertical="center" wrapText="1"/>
    </xf>
    <xf numFmtId="0" fontId="45" fillId="0" borderId="0" xfId="0" applyFont="1" applyAlignment="1">
      <alignment vertical="center" wrapText="1"/>
    </xf>
    <xf numFmtId="0" fontId="16" fillId="0" borderId="20" xfId="0" applyFont="1" applyBorder="1" applyAlignment="1">
      <alignment horizontal="justify" vertical="center" wrapText="1"/>
    </xf>
    <xf numFmtId="0" fontId="16" fillId="0" borderId="14" xfId="0" applyFont="1" applyBorder="1" applyAlignment="1">
      <alignment horizontal="justify" vertical="center" wrapText="1"/>
    </xf>
    <xf numFmtId="0" fontId="12" fillId="7" borderId="14" xfId="8" applyFont="1" applyFill="1" applyBorder="1" applyAlignment="1">
      <alignment horizontal="center" vertical="center"/>
    </xf>
    <xf numFmtId="0" fontId="16" fillId="0" borderId="14" xfId="0" applyFont="1" applyBorder="1" applyAlignment="1">
      <alignment vertical="center" wrapText="1"/>
    </xf>
    <xf numFmtId="0" fontId="17" fillId="8" borderId="17" xfId="0" applyFont="1" applyFill="1" applyBorder="1" applyAlignment="1">
      <alignment horizontal="left" vertical="center" wrapText="1"/>
    </xf>
    <xf numFmtId="0" fontId="15" fillId="0" borderId="0" xfId="0" applyFont="1" applyAlignment="1">
      <alignment horizontal="center" wrapText="1"/>
    </xf>
    <xf numFmtId="0" fontId="9" fillId="0" borderId="14" xfId="0" applyFont="1" applyBorder="1" applyAlignment="1">
      <alignment horizontal="center" vertical="center" wrapText="1"/>
    </xf>
    <xf numFmtId="0" fontId="5" fillId="0" borderId="14" xfId="0" applyFont="1" applyBorder="1" applyAlignment="1">
      <alignment horizontal="left" vertical="center" wrapText="1"/>
    </xf>
    <xf numFmtId="0" fontId="13" fillId="3" borderId="6" xfId="9" applyFont="1" applyFill="1" applyBorder="1" applyAlignment="1">
      <alignment horizontal="center" vertical="center" wrapText="1"/>
    </xf>
    <xf numFmtId="0" fontId="5" fillId="0" borderId="7" xfId="9" applyFont="1" applyBorder="1" applyAlignment="1">
      <alignment horizontal="justify" vertical="center" wrapText="1"/>
    </xf>
    <xf numFmtId="0" fontId="12" fillId="2" borderId="13" xfId="9" applyFont="1" applyFill="1" applyBorder="1" applyAlignment="1">
      <alignment horizontal="center" vertical="center" wrapText="1"/>
    </xf>
    <xf numFmtId="0" fontId="12" fillId="2" borderId="7" xfId="9" applyFont="1" applyFill="1" applyBorder="1" applyAlignment="1">
      <alignment horizontal="center" vertical="center" wrapText="1"/>
    </xf>
    <xf numFmtId="0" fontId="12" fillId="2" borderId="6" xfId="9" applyFont="1" applyFill="1" applyBorder="1" applyAlignment="1">
      <alignment horizontal="center" vertical="center" wrapText="1"/>
    </xf>
    <xf numFmtId="0" fontId="5" fillId="0" borderId="15" xfId="9" applyFont="1" applyBorder="1" applyAlignment="1">
      <alignment horizontal="justify" vertical="center" wrapText="1"/>
    </xf>
    <xf numFmtId="0" fontId="12" fillId="3" borderId="14" xfId="9" applyFont="1" applyFill="1" applyBorder="1" applyAlignment="1">
      <alignment horizontal="center" vertical="center" wrapText="1"/>
    </xf>
    <xf numFmtId="0" fontId="11" fillId="0" borderId="11" xfId="9" applyFont="1" applyBorder="1" applyAlignment="1">
      <alignment horizontal="left" vertical="center" wrapText="1"/>
    </xf>
    <xf numFmtId="0" fontId="5" fillId="0" borderId="8" xfId="9" applyFont="1" applyBorder="1" applyAlignment="1">
      <alignment horizontal="justify" vertical="center" wrapText="1"/>
    </xf>
    <xf numFmtId="0" fontId="5" fillId="0" borderId="9" xfId="9" applyFont="1" applyBorder="1" applyAlignment="1">
      <alignment horizontal="justify" vertical="center" wrapText="1"/>
    </xf>
    <xf numFmtId="0" fontId="13" fillId="3" borderId="12" xfId="9" applyFont="1" applyFill="1" applyBorder="1" applyAlignment="1">
      <alignment horizontal="center" vertical="center" wrapText="1"/>
    </xf>
    <xf numFmtId="0" fontId="12" fillId="3" borderId="10" xfId="9" applyFont="1" applyFill="1" applyBorder="1" applyAlignment="1">
      <alignment horizontal="center" vertical="center" wrapText="1"/>
    </xf>
    <xf numFmtId="0" fontId="7" fillId="0" borderId="3" xfId="7" applyFont="1" applyBorder="1" applyAlignment="1">
      <alignment horizontal="left" vertical="center" wrapText="1"/>
    </xf>
    <xf numFmtId="0" fontId="10" fillId="0" borderId="5" xfId="9" applyFont="1" applyBorder="1" applyAlignment="1">
      <alignment horizontal="left" vertical="center" wrapText="1"/>
    </xf>
    <xf numFmtId="0" fontId="10" fillId="0" borderId="5" xfId="9" applyFont="1" applyBorder="1" applyAlignment="1">
      <alignment horizontal="justify" vertical="center" wrapText="1"/>
    </xf>
    <xf numFmtId="0" fontId="12" fillId="4" borderId="5" xfId="9" applyFont="1" applyFill="1" applyBorder="1" applyAlignment="1">
      <alignment horizontal="center" vertical="center" wrapText="1"/>
    </xf>
    <xf numFmtId="0" fontId="14" fillId="0" borderId="0" xfId="0" applyFont="1" applyAlignment="1">
      <alignment horizontal="justify" vertical="center" wrapText="1"/>
    </xf>
    <xf numFmtId="0" fontId="15" fillId="9" borderId="18" xfId="0" applyFont="1" applyFill="1" applyBorder="1" applyAlignment="1">
      <alignment horizontal="center" vertical="center" wrapText="1"/>
    </xf>
    <xf numFmtId="0" fontId="24" fillId="0" borderId="0" xfId="7" applyFont="1" applyAlignment="1">
      <alignment horizontal="right" vertical="center" wrapText="1"/>
    </xf>
    <xf numFmtId="0" fontId="25" fillId="0" borderId="0" xfId="7" applyFont="1" applyAlignment="1">
      <alignment horizontal="right" vertical="top"/>
    </xf>
    <xf numFmtId="0" fontId="26" fillId="0" borderId="14" xfId="7" applyFont="1" applyBorder="1" applyAlignment="1">
      <alignment horizontal="center" wrapText="1"/>
    </xf>
    <xf numFmtId="0" fontId="27" fillId="0" borderId="14" xfId="7" applyFont="1" applyBorder="1" applyAlignment="1">
      <alignment horizontal="center" vertical="center" wrapText="1"/>
    </xf>
    <xf numFmtId="0" fontId="26" fillId="0" borderId="14" xfId="7" applyFont="1" applyBorder="1" applyAlignment="1">
      <alignment horizontal="center" vertical="center" wrapText="1"/>
    </xf>
    <xf numFmtId="0" fontId="5" fillId="0" borderId="0" xfId="0" applyFont="1" applyBorder="1" applyAlignment="1">
      <alignment wrapText="1"/>
    </xf>
    <xf numFmtId="0" fontId="5" fillId="0" borderId="0" xfId="0" applyFont="1" applyBorder="1" applyAlignment="1">
      <alignment vertical="center" wrapText="1"/>
    </xf>
    <xf numFmtId="0" fontId="5" fillId="10" borderId="14" xfId="0" applyFont="1" applyFill="1" applyBorder="1" applyAlignment="1">
      <alignment vertical="center" wrapText="1"/>
    </xf>
    <xf numFmtId="0" fontId="5" fillId="10" borderId="0" xfId="0" applyFont="1" applyFill="1" applyBorder="1" applyAlignment="1">
      <alignment vertical="center" wrapText="1"/>
    </xf>
    <xf numFmtId="0" fontId="12" fillId="11" borderId="0" xfId="0" applyFont="1" applyFill="1" applyBorder="1" applyAlignment="1">
      <alignment vertical="center" wrapText="1"/>
    </xf>
  </cellXfs>
  <cellStyles count="14">
    <cellStyle name=" 1" xfId="1" xr:uid="{00000000-0005-0000-0000-000006000000}"/>
    <cellStyle name="Comma 2" xfId="2" xr:uid="{00000000-0005-0000-0000-000007000000}"/>
    <cellStyle name="Comma 2 2" xfId="3" xr:uid="{00000000-0005-0000-0000-000008000000}"/>
    <cellStyle name="Header1" xfId="4" xr:uid="{00000000-0005-0000-0000-000009000000}"/>
    <cellStyle name="Header2" xfId="5" xr:uid="{00000000-0005-0000-0000-00000A000000}"/>
    <cellStyle name="Millares 2" xfId="6" xr:uid="{00000000-0005-0000-0000-00000B000000}"/>
    <cellStyle name="Normal" xfId="0" builtinId="0"/>
    <cellStyle name="Normal 2" xfId="7" xr:uid="{00000000-0005-0000-0000-00000C000000}"/>
    <cellStyle name="Normal 2 2" xfId="8" xr:uid="{00000000-0005-0000-0000-00000D000000}"/>
    <cellStyle name="Normal 3" xfId="9" xr:uid="{00000000-0005-0000-0000-00000E000000}"/>
    <cellStyle name="Normal 3 2" xfId="10" xr:uid="{00000000-0005-0000-0000-00000F000000}"/>
    <cellStyle name="Normal 4 2" xfId="11" xr:uid="{00000000-0005-0000-0000-000010000000}"/>
    <cellStyle name="Percent 2" xfId="12" xr:uid="{00000000-0005-0000-0000-000011000000}"/>
    <cellStyle name="Porcentual 2" xfId="13" xr:uid="{00000000-0005-0000-0000-00001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CE6F2"/>
      <rgbColor rgb="FF660066"/>
      <rgbColor rgb="FFFF8080"/>
      <rgbColor rgb="FF0070C0"/>
      <rgbColor rgb="FFC6D9F1"/>
      <rgbColor rgb="FF000080"/>
      <rgbColor rgb="FFFF00FF"/>
      <rgbColor rgb="FFFFFF00"/>
      <rgbColor rgb="FF00FFFF"/>
      <rgbColor rgb="FF800080"/>
      <rgbColor rgb="FF800000"/>
      <rgbColor rgb="FF008080"/>
      <rgbColor rgb="FF1403EF"/>
      <rgbColor rgb="FF00CCFF"/>
      <rgbColor rgb="FFCCFFFF"/>
      <rgbColor rgb="FFD9D9D9"/>
      <rgbColor rgb="FFFFFF99"/>
      <rgbColor rgb="FFBFBFBF"/>
      <rgbColor rgb="FFFF99CC"/>
      <rgbColor rgb="FFCC99FF"/>
      <rgbColor rgb="FFFFCC99"/>
      <rgbColor rgb="FF3366FF"/>
      <rgbColor rgb="FF33CCCC"/>
      <rgbColor rgb="FF99CC00"/>
      <rgbColor rgb="FFFFCC00"/>
      <rgbColor rgb="FFFF9900"/>
      <rgbColor rgb="FFFF6600"/>
      <rgbColor rgb="FF666699"/>
      <rgbColor rgb="FF969696"/>
      <rgbColor rgb="FF002060"/>
      <rgbColor rgb="FF376B48"/>
      <rgbColor rgb="FF003300"/>
      <rgbColor rgb="FF333300"/>
      <rgbColor rgb="FF993300"/>
      <rgbColor rgb="FF993366"/>
      <rgbColor rgb="FF2C1CF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wmf"/><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257040</xdr:colOff>
      <xdr:row>0</xdr:row>
      <xdr:rowOff>57240</xdr:rowOff>
    </xdr:from>
    <xdr:to>
      <xdr:col>12</xdr:col>
      <xdr:colOff>551880</xdr:colOff>
      <xdr:row>12</xdr:row>
      <xdr:rowOff>9360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t="7653"/>
        <a:stretch/>
      </xdr:blipFill>
      <xdr:spPr>
        <a:xfrm>
          <a:off x="1687680" y="57240"/>
          <a:ext cx="9887040" cy="2047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6</xdr:col>
      <xdr:colOff>30960</xdr:colOff>
      <xdr:row>8</xdr:row>
      <xdr:rowOff>12960</xdr:rowOff>
    </xdr:to>
    <xdr:pic>
      <xdr:nvPicPr>
        <xdr:cNvPr id="2" name="Imagen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430640" y="0"/>
          <a:ext cx="10394280" cy="13845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361080</xdr:colOff>
      <xdr:row>7</xdr:row>
      <xdr:rowOff>100440</xdr:rowOff>
    </xdr:to>
    <xdr:pic>
      <xdr:nvPicPr>
        <xdr:cNvPr id="2" name="Imagen 2">
          <a:extLst>
            <a:ext uri="{FF2B5EF4-FFF2-40B4-BE49-F238E27FC236}">
              <a16:creationId xmlns:a16="http://schemas.microsoft.com/office/drawing/2014/main" id="{03234EC6-7456-466E-8757-D1B72BDF04C9}"/>
            </a:ext>
          </a:extLst>
        </xdr:cNvPr>
        <xdr:cNvPicPr/>
      </xdr:nvPicPr>
      <xdr:blipFill>
        <a:blip xmlns:r="http://schemas.openxmlformats.org/officeDocument/2006/relationships" r:embed="rId1"/>
        <a:stretch/>
      </xdr:blipFill>
      <xdr:spPr>
        <a:xfrm>
          <a:off x="0" y="0"/>
          <a:ext cx="8146180" cy="138949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361080</xdr:colOff>
      <xdr:row>7</xdr:row>
      <xdr:rowOff>100440</xdr:rowOff>
    </xdr:to>
    <xdr:pic>
      <xdr:nvPicPr>
        <xdr:cNvPr id="2" name="Imagen 2">
          <a:extLst>
            <a:ext uri="{FF2B5EF4-FFF2-40B4-BE49-F238E27FC236}">
              <a16:creationId xmlns:a16="http://schemas.microsoft.com/office/drawing/2014/main" id="{36ED78FE-BBF1-4F32-A828-0AA751467318}"/>
            </a:ext>
          </a:extLst>
        </xdr:cNvPr>
        <xdr:cNvPicPr/>
      </xdr:nvPicPr>
      <xdr:blipFill>
        <a:blip xmlns:r="http://schemas.openxmlformats.org/officeDocument/2006/relationships" r:embed="rId1"/>
        <a:stretch/>
      </xdr:blipFill>
      <xdr:spPr>
        <a:xfrm>
          <a:off x="0" y="0"/>
          <a:ext cx="8146180" cy="138949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361080</xdr:colOff>
      <xdr:row>7</xdr:row>
      <xdr:rowOff>100440</xdr:rowOff>
    </xdr:to>
    <xdr:pic>
      <xdr:nvPicPr>
        <xdr:cNvPr id="2" name="Imagen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10270080" cy="13672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7920</xdr:colOff>
      <xdr:row>0</xdr:row>
      <xdr:rowOff>0</xdr:rowOff>
    </xdr:from>
    <xdr:to>
      <xdr:col>4</xdr:col>
      <xdr:colOff>1027800</xdr:colOff>
      <xdr:row>7</xdr:row>
      <xdr:rowOff>106560</xdr:rowOff>
    </xdr:to>
    <xdr:pic>
      <xdr:nvPicPr>
        <xdr:cNvPr id="3" name="Imagen 4">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7920" y="0"/>
          <a:ext cx="10121400" cy="1373400"/>
        </a:xfrm>
        <a:prstGeom prst="rect">
          <a:avLst/>
        </a:prstGeom>
        <a:ln w="0">
          <a:noFill/>
        </a:ln>
      </xdr:spPr>
    </xdr:pic>
    <xdr:clientData/>
  </xdr:twoCellAnchor>
  <xdr:twoCellAnchor editAs="oneCell">
    <xdr:from>
      <xdr:col>1</xdr:col>
      <xdr:colOff>304800</xdr:colOff>
      <xdr:row>248</xdr:row>
      <xdr:rowOff>41240</xdr:rowOff>
    </xdr:from>
    <xdr:to>
      <xdr:col>4</xdr:col>
      <xdr:colOff>3015960</xdr:colOff>
      <xdr:row>280</xdr:row>
      <xdr:rowOff>102800</xdr:rowOff>
    </xdr:to>
    <xdr:pic>
      <xdr:nvPicPr>
        <xdr:cNvPr id="4" name="Imagen 7">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2"/>
        <a:stretch/>
      </xdr:blipFill>
      <xdr:spPr>
        <a:xfrm>
          <a:off x="2349500" y="363832740"/>
          <a:ext cx="7829260" cy="615756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28440</xdr:colOff>
      <xdr:row>1</xdr:row>
      <xdr:rowOff>171360</xdr:rowOff>
    </xdr:from>
    <xdr:to>
      <xdr:col>7</xdr:col>
      <xdr:colOff>104400</xdr:colOff>
      <xdr:row>5</xdr:row>
      <xdr:rowOff>104400</xdr:rowOff>
    </xdr:to>
    <xdr:pic>
      <xdr:nvPicPr>
        <xdr:cNvPr id="5" name="Imagen 1">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1"/>
        <a:stretch/>
      </xdr:blipFill>
      <xdr:spPr>
        <a:xfrm>
          <a:off x="554400" y="695160"/>
          <a:ext cx="5757840" cy="609480"/>
        </a:xfrm>
        <a:prstGeom prst="rect">
          <a:avLst/>
        </a:prstGeom>
        <a:ln w="0">
          <a:noFill/>
        </a:ln>
      </xdr:spPr>
    </xdr:pic>
    <xdr:clientData/>
  </xdr:twoCellAnchor>
  <xdr:twoCellAnchor editAs="oneCell">
    <xdr:from>
      <xdr:col>2</xdr:col>
      <xdr:colOff>28440</xdr:colOff>
      <xdr:row>11</xdr:row>
      <xdr:rowOff>0</xdr:rowOff>
    </xdr:from>
    <xdr:to>
      <xdr:col>7</xdr:col>
      <xdr:colOff>104400</xdr:colOff>
      <xdr:row>14</xdr:row>
      <xdr:rowOff>114120</xdr:rowOff>
    </xdr:to>
    <xdr:pic>
      <xdr:nvPicPr>
        <xdr:cNvPr id="6" name="Imagen 2">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1"/>
        <a:stretch/>
      </xdr:blipFill>
      <xdr:spPr>
        <a:xfrm>
          <a:off x="554400" y="3324240"/>
          <a:ext cx="5757840" cy="62856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AMJ51"/>
  <sheetViews>
    <sheetView showGridLines="0" topLeftCell="A7" zoomScaleNormal="100" workbookViewId="0">
      <selection activeCell="B17" sqref="B17:N17"/>
    </sheetView>
  </sheetViews>
  <sheetFormatPr baseColWidth="10" defaultColWidth="10.26953125" defaultRowHeight="14.5" x14ac:dyDescent="0.35"/>
  <cols>
    <col min="1" max="1" width="5.81640625" style="1" customWidth="1"/>
    <col min="2" max="2" width="10.26953125" style="1"/>
    <col min="3" max="3" width="15.453125" style="1" customWidth="1"/>
    <col min="4" max="1024" width="10.26953125" style="1"/>
  </cols>
  <sheetData>
    <row r="11" spans="2:15" s="2" customFormat="1" ht="15" x14ac:dyDescent="0.4"/>
    <row r="12" spans="2:15" s="2" customFormat="1" ht="15" x14ac:dyDescent="0.4"/>
    <row r="13" spans="2:15" s="2" customFormat="1" ht="12" customHeight="1" x14ac:dyDescent="0.4">
      <c r="B13" s="3"/>
      <c r="C13" s="3"/>
      <c r="D13" s="3"/>
      <c r="E13" s="4"/>
      <c r="F13" s="4"/>
      <c r="G13" s="4"/>
      <c r="H13" s="4"/>
      <c r="I13" s="4"/>
      <c r="J13" s="4"/>
      <c r="K13" s="4"/>
      <c r="L13" s="4"/>
      <c r="M13" s="4"/>
      <c r="N13" s="4"/>
    </row>
    <row r="14" spans="2:15" s="2" customFormat="1" ht="12" customHeight="1" x14ac:dyDescent="0.4">
      <c r="B14" s="3"/>
      <c r="C14" s="3"/>
      <c r="D14" s="3"/>
      <c r="E14" s="4"/>
      <c r="F14" s="4"/>
      <c r="G14" s="4"/>
      <c r="H14" s="4"/>
      <c r="I14" s="4"/>
      <c r="J14" s="4"/>
      <c r="K14" s="4"/>
      <c r="L14" s="4"/>
      <c r="M14" s="4"/>
      <c r="N14" s="4"/>
    </row>
    <row r="15" spans="2:15" s="2" customFormat="1" ht="47.25" customHeight="1" x14ac:dyDescent="0.4">
      <c r="B15" s="105" t="s">
        <v>0</v>
      </c>
      <c r="C15" s="105"/>
      <c r="D15" s="105"/>
      <c r="E15" s="105"/>
      <c r="F15" s="105"/>
      <c r="G15" s="105"/>
      <c r="H15" s="105"/>
      <c r="I15" s="105"/>
      <c r="J15" s="105"/>
      <c r="K15" s="105"/>
      <c r="L15" s="105"/>
      <c r="M15" s="105"/>
      <c r="N15" s="105"/>
      <c r="O15" s="5"/>
    </row>
    <row r="16" spans="2:15" s="2" customFormat="1" ht="18.75" customHeight="1" x14ac:dyDescent="0.4">
      <c r="B16" s="6"/>
      <c r="C16" s="6"/>
      <c r="D16" s="6"/>
      <c r="E16" s="6"/>
      <c r="F16" s="6"/>
      <c r="G16" s="6"/>
      <c r="H16" s="6"/>
      <c r="I16" s="6"/>
      <c r="J16" s="6"/>
      <c r="K16" s="6"/>
      <c r="L16" s="6"/>
      <c r="M16" s="6"/>
      <c r="N16" s="6"/>
    </row>
    <row r="17" spans="2:15" s="2" customFormat="1" ht="299.25" customHeight="1" x14ac:dyDescent="0.4">
      <c r="B17" s="106" t="s">
        <v>1</v>
      </c>
      <c r="C17" s="106"/>
      <c r="D17" s="106"/>
      <c r="E17" s="106"/>
      <c r="F17" s="106"/>
      <c r="G17" s="106"/>
      <c r="H17" s="106"/>
      <c r="I17" s="106"/>
      <c r="J17" s="106"/>
      <c r="K17" s="106"/>
      <c r="L17" s="106"/>
      <c r="M17" s="106"/>
      <c r="N17" s="106"/>
    </row>
    <row r="18" spans="2:15" s="2" customFormat="1" ht="225.75" customHeight="1" x14ac:dyDescent="0.4">
      <c r="B18" s="107" t="s">
        <v>2</v>
      </c>
      <c r="C18" s="107"/>
      <c r="D18" s="107"/>
      <c r="E18" s="107"/>
      <c r="F18" s="107"/>
      <c r="G18" s="107"/>
      <c r="H18" s="107"/>
      <c r="I18" s="107"/>
      <c r="J18" s="107"/>
      <c r="K18" s="107"/>
      <c r="L18" s="107"/>
      <c r="M18" s="107"/>
      <c r="N18" s="107"/>
    </row>
    <row r="19" spans="2:15" s="2" customFormat="1" ht="17.25" customHeight="1" x14ac:dyDescent="0.4">
      <c r="B19" s="7"/>
      <c r="C19" s="7"/>
      <c r="D19" s="7"/>
      <c r="E19" s="7"/>
      <c r="F19" s="7"/>
      <c r="G19" s="7"/>
      <c r="H19" s="7"/>
      <c r="I19" s="7"/>
      <c r="J19" s="7"/>
      <c r="K19" s="7"/>
      <c r="L19" s="7"/>
      <c r="M19" s="7"/>
      <c r="N19" s="7"/>
    </row>
    <row r="20" spans="2:15" s="2" customFormat="1" ht="18" customHeight="1" x14ac:dyDescent="0.4">
      <c r="B20" s="97" t="s">
        <v>3</v>
      </c>
      <c r="C20" s="97"/>
      <c r="D20" s="96" t="s">
        <v>4</v>
      </c>
      <c r="E20" s="96"/>
      <c r="F20" s="96"/>
      <c r="G20" s="96"/>
      <c r="H20" s="96"/>
      <c r="I20" s="96"/>
      <c r="J20" s="96"/>
      <c r="K20" s="96"/>
      <c r="L20" s="96"/>
      <c r="M20" s="96"/>
      <c r="N20" s="96"/>
      <c r="O20" s="8"/>
    </row>
    <row r="21" spans="2:15" s="2" customFormat="1" ht="28.5" customHeight="1" x14ac:dyDescent="0.4">
      <c r="B21" s="93" t="s">
        <v>5</v>
      </c>
      <c r="C21" s="93"/>
      <c r="D21" s="101" t="s">
        <v>6</v>
      </c>
      <c r="E21" s="101"/>
      <c r="F21" s="101"/>
      <c r="G21" s="101"/>
      <c r="H21" s="101"/>
      <c r="I21" s="101"/>
      <c r="J21" s="101"/>
      <c r="K21" s="101"/>
      <c r="L21" s="101"/>
      <c r="M21" s="101"/>
      <c r="N21" s="101"/>
      <c r="O21" s="9"/>
    </row>
    <row r="22" spans="2:15" s="2" customFormat="1" ht="78" customHeight="1" x14ac:dyDescent="0.4">
      <c r="B22" s="93"/>
      <c r="C22" s="93"/>
      <c r="D22" s="102" t="s">
        <v>7</v>
      </c>
      <c r="E22" s="102"/>
      <c r="F22" s="102"/>
      <c r="G22" s="102"/>
      <c r="H22" s="102"/>
      <c r="I22" s="102"/>
      <c r="J22" s="102"/>
      <c r="K22" s="102"/>
      <c r="L22" s="102"/>
      <c r="M22" s="102"/>
      <c r="N22" s="102"/>
      <c r="O22" s="9"/>
    </row>
    <row r="23" spans="2:15" s="2" customFormat="1" ht="12.75" customHeight="1" x14ac:dyDescent="0.4">
      <c r="B23" s="93"/>
      <c r="C23" s="93"/>
      <c r="D23" s="104" t="s">
        <v>8</v>
      </c>
      <c r="E23" s="104"/>
      <c r="F23" s="104"/>
      <c r="G23" s="104"/>
      <c r="H23" s="104"/>
      <c r="I23" s="104"/>
      <c r="J23" s="104"/>
      <c r="K23" s="104"/>
      <c r="L23" s="104"/>
      <c r="M23" s="104"/>
      <c r="N23" s="104"/>
    </row>
    <row r="24" spans="2:15" s="2" customFormat="1" ht="176.25" customHeight="1" x14ac:dyDescent="0.4">
      <c r="B24" s="93"/>
      <c r="C24" s="93"/>
      <c r="D24" s="100" t="s">
        <v>9</v>
      </c>
      <c r="E24" s="100"/>
      <c r="F24" s="100"/>
      <c r="G24" s="100"/>
      <c r="H24" s="100"/>
      <c r="I24" s="100"/>
      <c r="J24" s="100"/>
      <c r="K24" s="100"/>
      <c r="L24" s="100"/>
      <c r="M24" s="100"/>
      <c r="N24" s="100"/>
      <c r="O24" s="9"/>
    </row>
    <row r="25" spans="2:15" s="2" customFormat="1" ht="12.75" customHeight="1" x14ac:dyDescent="0.4">
      <c r="B25" s="10"/>
      <c r="C25" s="10"/>
      <c r="D25" s="7"/>
      <c r="E25" s="7"/>
      <c r="F25" s="7"/>
      <c r="G25" s="7"/>
      <c r="H25" s="7"/>
      <c r="I25" s="7"/>
      <c r="J25" s="7"/>
      <c r="K25" s="7"/>
      <c r="L25" s="7"/>
      <c r="M25" s="7"/>
      <c r="N25" s="7"/>
      <c r="O25" s="9"/>
    </row>
    <row r="26" spans="2:15" s="2" customFormat="1" ht="18" customHeight="1" x14ac:dyDescent="0.4">
      <c r="B26" s="97" t="s">
        <v>3</v>
      </c>
      <c r="C26" s="97"/>
      <c r="D26" s="96" t="s">
        <v>4</v>
      </c>
      <c r="E26" s="96"/>
      <c r="F26" s="96"/>
      <c r="G26" s="96"/>
      <c r="H26" s="96"/>
      <c r="I26" s="96"/>
      <c r="J26" s="96"/>
      <c r="K26" s="96"/>
      <c r="L26" s="96"/>
      <c r="M26" s="96"/>
      <c r="N26" s="96"/>
      <c r="O26" s="8"/>
    </row>
    <row r="27" spans="2:15" s="2" customFormat="1" ht="63.75" customHeight="1" x14ac:dyDescent="0.4">
      <c r="B27" s="103" t="s">
        <v>10</v>
      </c>
      <c r="C27" s="103"/>
      <c r="D27" s="102" t="s">
        <v>11</v>
      </c>
      <c r="E27" s="102"/>
      <c r="F27" s="102"/>
      <c r="G27" s="102"/>
      <c r="H27" s="102"/>
      <c r="I27" s="102"/>
      <c r="J27" s="102"/>
      <c r="K27" s="102"/>
      <c r="L27" s="102"/>
      <c r="M27" s="102"/>
      <c r="N27" s="102"/>
      <c r="O27" s="9"/>
    </row>
    <row r="28" spans="2:15" s="2" customFormat="1" ht="12.75" customHeight="1" x14ac:dyDescent="0.4">
      <c r="B28" s="103"/>
      <c r="C28" s="103"/>
      <c r="D28" s="104" t="s">
        <v>8</v>
      </c>
      <c r="E28" s="104"/>
      <c r="F28" s="104"/>
      <c r="G28" s="104"/>
      <c r="H28" s="104"/>
      <c r="I28" s="104"/>
      <c r="J28" s="104"/>
      <c r="K28" s="104"/>
      <c r="L28" s="104"/>
      <c r="M28" s="104"/>
      <c r="N28" s="104"/>
    </row>
    <row r="29" spans="2:15" s="2" customFormat="1" ht="101.25" customHeight="1" x14ac:dyDescent="0.4">
      <c r="B29" s="103"/>
      <c r="C29" s="103"/>
      <c r="D29" s="100" t="s">
        <v>12</v>
      </c>
      <c r="E29" s="100"/>
      <c r="F29" s="100"/>
      <c r="G29" s="100"/>
      <c r="H29" s="100"/>
      <c r="I29" s="100"/>
      <c r="J29" s="100"/>
      <c r="K29" s="100"/>
      <c r="L29" s="100"/>
      <c r="M29" s="100"/>
      <c r="N29" s="100"/>
      <c r="O29" s="9"/>
    </row>
    <row r="30" spans="2:15" s="2" customFormat="1" ht="15" customHeight="1" x14ac:dyDescent="0.4">
      <c r="B30" s="10"/>
      <c r="C30" s="10"/>
      <c r="D30" s="7"/>
      <c r="E30" s="7"/>
      <c r="F30" s="7"/>
      <c r="G30" s="7"/>
      <c r="H30" s="7"/>
      <c r="I30" s="7"/>
      <c r="J30" s="7"/>
      <c r="K30" s="7"/>
      <c r="L30" s="7"/>
      <c r="M30" s="7"/>
      <c r="N30" s="7"/>
      <c r="O30" s="9"/>
    </row>
    <row r="31" spans="2:15" s="2" customFormat="1" ht="18" customHeight="1" x14ac:dyDescent="0.4">
      <c r="B31" s="95" t="s">
        <v>3</v>
      </c>
      <c r="C31" s="95"/>
      <c r="D31" s="96" t="s">
        <v>4</v>
      </c>
      <c r="E31" s="96"/>
      <c r="F31" s="96"/>
      <c r="G31" s="96"/>
      <c r="H31" s="96"/>
      <c r="I31" s="96"/>
      <c r="J31" s="96"/>
      <c r="K31" s="96"/>
      <c r="L31" s="96"/>
      <c r="M31" s="96"/>
      <c r="N31" s="96"/>
      <c r="O31" s="8"/>
    </row>
    <row r="32" spans="2:15" s="2" customFormat="1" ht="44.25" customHeight="1" x14ac:dyDescent="0.4">
      <c r="B32" s="93" t="s">
        <v>13</v>
      </c>
      <c r="C32" s="93"/>
      <c r="D32" s="101" t="s">
        <v>14</v>
      </c>
      <c r="E32" s="101"/>
      <c r="F32" s="101"/>
      <c r="G32" s="101"/>
      <c r="H32" s="101"/>
      <c r="I32" s="101"/>
      <c r="J32" s="101"/>
      <c r="K32" s="101"/>
      <c r="L32" s="101"/>
      <c r="M32" s="101"/>
      <c r="N32" s="101"/>
      <c r="O32" s="9"/>
    </row>
    <row r="33" spans="2:15" s="2" customFormat="1" ht="42" customHeight="1" x14ac:dyDescent="0.4">
      <c r="B33" s="93"/>
      <c r="C33" s="93"/>
      <c r="D33" s="102" t="s">
        <v>15</v>
      </c>
      <c r="E33" s="102"/>
      <c r="F33" s="102"/>
      <c r="G33" s="102"/>
      <c r="H33" s="102"/>
      <c r="I33" s="102"/>
      <c r="J33" s="102"/>
      <c r="K33" s="102"/>
      <c r="L33" s="102"/>
      <c r="M33" s="102"/>
      <c r="N33" s="102"/>
      <c r="O33" s="9"/>
    </row>
    <row r="34" spans="2:15" s="2" customFormat="1" ht="12.75" customHeight="1" x14ac:dyDescent="0.4">
      <c r="B34" s="93"/>
      <c r="C34" s="93"/>
      <c r="D34" s="99" t="s">
        <v>8</v>
      </c>
      <c r="E34" s="99"/>
      <c r="F34" s="99"/>
      <c r="G34" s="99"/>
      <c r="H34" s="99"/>
      <c r="I34" s="99"/>
      <c r="J34" s="99"/>
      <c r="K34" s="99"/>
      <c r="L34" s="99"/>
      <c r="M34" s="99"/>
      <c r="N34" s="99"/>
    </row>
    <row r="35" spans="2:15" s="2" customFormat="1" ht="115.5" customHeight="1" x14ac:dyDescent="0.4">
      <c r="B35" s="93"/>
      <c r="C35" s="93"/>
      <c r="D35" s="100" t="s">
        <v>16</v>
      </c>
      <c r="E35" s="100"/>
      <c r="F35" s="100"/>
      <c r="G35" s="100"/>
      <c r="H35" s="100"/>
      <c r="I35" s="100"/>
      <c r="J35" s="100"/>
      <c r="K35" s="100"/>
      <c r="L35" s="100"/>
      <c r="M35" s="100"/>
      <c r="N35" s="100"/>
      <c r="O35" s="9"/>
    </row>
    <row r="36" spans="2:15" s="2" customFormat="1" ht="15" x14ac:dyDescent="0.4"/>
    <row r="37" spans="2:15" s="2" customFormat="1" ht="18" customHeight="1" x14ac:dyDescent="0.4">
      <c r="B37" s="97" t="s">
        <v>3</v>
      </c>
      <c r="C37" s="97"/>
      <c r="D37" s="96" t="s">
        <v>4</v>
      </c>
      <c r="E37" s="96"/>
      <c r="F37" s="96"/>
      <c r="G37" s="96"/>
      <c r="H37" s="96"/>
      <c r="I37" s="96"/>
      <c r="J37" s="96"/>
      <c r="K37" s="96"/>
      <c r="L37" s="96"/>
      <c r="M37" s="96"/>
      <c r="N37" s="96"/>
      <c r="O37" s="8"/>
    </row>
    <row r="38" spans="2:15" s="2" customFormat="1" ht="24.75" customHeight="1" x14ac:dyDescent="0.4">
      <c r="B38" s="93" t="s">
        <v>17</v>
      </c>
      <c r="C38" s="93"/>
      <c r="D38" s="98" t="s">
        <v>18</v>
      </c>
      <c r="E38" s="98"/>
      <c r="F38" s="98"/>
      <c r="G38" s="98"/>
      <c r="H38" s="98"/>
      <c r="I38" s="98"/>
      <c r="J38" s="98"/>
      <c r="K38" s="98"/>
      <c r="L38" s="98"/>
      <c r="M38" s="98"/>
      <c r="N38" s="98"/>
      <c r="O38" s="9"/>
    </row>
    <row r="39" spans="2:15" s="2" customFormat="1" ht="41.25" customHeight="1" x14ac:dyDescent="0.4">
      <c r="B39" s="93"/>
      <c r="C39" s="93"/>
      <c r="D39" s="98"/>
      <c r="E39" s="98"/>
      <c r="F39" s="98"/>
      <c r="G39" s="98"/>
      <c r="H39" s="98"/>
      <c r="I39" s="98"/>
      <c r="J39" s="98"/>
      <c r="K39" s="98"/>
      <c r="L39" s="98"/>
      <c r="M39" s="98"/>
      <c r="N39" s="98"/>
      <c r="O39" s="9"/>
    </row>
    <row r="40" spans="2:15" s="2" customFormat="1" ht="12.75" customHeight="1" x14ac:dyDescent="0.4">
      <c r="B40" s="93"/>
      <c r="C40" s="93"/>
      <c r="D40" s="99" t="s">
        <v>8</v>
      </c>
      <c r="E40" s="99"/>
      <c r="F40" s="99"/>
      <c r="G40" s="99"/>
      <c r="H40" s="99"/>
      <c r="I40" s="99"/>
      <c r="J40" s="99"/>
      <c r="K40" s="99"/>
      <c r="L40" s="99"/>
      <c r="M40" s="99"/>
      <c r="N40" s="99"/>
    </row>
    <row r="41" spans="2:15" s="2" customFormat="1" ht="78" customHeight="1" x14ac:dyDescent="0.4">
      <c r="B41" s="93"/>
      <c r="C41" s="93"/>
      <c r="D41" s="100" t="s">
        <v>19</v>
      </c>
      <c r="E41" s="100"/>
      <c r="F41" s="100"/>
      <c r="G41" s="100"/>
      <c r="H41" s="100"/>
      <c r="I41" s="100"/>
      <c r="J41" s="100"/>
      <c r="K41" s="100"/>
      <c r="L41" s="100"/>
      <c r="M41" s="100"/>
      <c r="N41" s="100"/>
      <c r="O41" s="9"/>
    </row>
    <row r="42" spans="2:15" s="2" customFormat="1" ht="15" x14ac:dyDescent="0.4"/>
    <row r="43" spans="2:15" s="2" customFormat="1" ht="15" customHeight="1" x14ac:dyDescent="0.4">
      <c r="B43" s="95" t="s">
        <v>3</v>
      </c>
      <c r="C43" s="95"/>
      <c r="D43" s="96" t="s">
        <v>4</v>
      </c>
      <c r="E43" s="96"/>
      <c r="F43" s="96"/>
      <c r="G43" s="96"/>
      <c r="H43" s="96"/>
      <c r="I43" s="96"/>
      <c r="J43" s="96"/>
      <c r="K43" s="96"/>
      <c r="L43" s="96"/>
      <c r="M43" s="96"/>
      <c r="N43" s="96"/>
    </row>
    <row r="44" spans="2:15" s="2" customFormat="1" ht="120.75" customHeight="1" x14ac:dyDescent="0.4">
      <c r="B44" s="93" t="s">
        <v>20</v>
      </c>
      <c r="C44" s="93"/>
      <c r="D44" s="94" t="s">
        <v>21</v>
      </c>
      <c r="E44" s="94"/>
      <c r="F44" s="94"/>
      <c r="G44" s="94"/>
      <c r="H44" s="94"/>
      <c r="I44" s="94"/>
      <c r="J44" s="94"/>
      <c r="K44" s="94"/>
      <c r="L44" s="94"/>
      <c r="M44" s="94"/>
      <c r="N44" s="94"/>
    </row>
    <row r="45" spans="2:15" s="2" customFormat="1" ht="15" x14ac:dyDescent="0.4">
      <c r="B45" s="7"/>
      <c r="C45" s="7"/>
      <c r="D45" s="7"/>
      <c r="E45" s="7"/>
      <c r="F45" s="7"/>
      <c r="G45" s="7"/>
      <c r="H45" s="7"/>
      <c r="I45" s="7"/>
      <c r="J45" s="7"/>
      <c r="K45" s="7"/>
      <c r="L45" s="7"/>
      <c r="M45" s="7"/>
      <c r="N45" s="7"/>
    </row>
    <row r="46" spans="2:15" s="2" customFormat="1" ht="15" customHeight="1" x14ac:dyDescent="0.4">
      <c r="B46" s="95" t="s">
        <v>3</v>
      </c>
      <c r="C46" s="95"/>
      <c r="D46" s="96" t="s">
        <v>4</v>
      </c>
      <c r="E46" s="96"/>
      <c r="F46" s="96"/>
      <c r="G46" s="96"/>
      <c r="H46" s="96"/>
      <c r="I46" s="96"/>
      <c r="J46" s="96"/>
      <c r="K46" s="96"/>
      <c r="L46" s="96"/>
      <c r="M46" s="96"/>
      <c r="N46" s="96"/>
    </row>
    <row r="47" spans="2:15" s="2" customFormat="1" ht="155.25" customHeight="1" x14ac:dyDescent="0.4">
      <c r="B47" s="93" t="s">
        <v>22</v>
      </c>
      <c r="C47" s="93"/>
      <c r="D47" s="94" t="s">
        <v>23</v>
      </c>
      <c r="E47" s="94"/>
      <c r="F47" s="94"/>
      <c r="G47" s="94"/>
      <c r="H47" s="94"/>
      <c r="I47" s="94"/>
      <c r="J47" s="94"/>
      <c r="K47" s="94"/>
      <c r="L47" s="94"/>
      <c r="M47" s="94"/>
      <c r="N47" s="94"/>
    </row>
    <row r="48" spans="2:15" s="2" customFormat="1" ht="15" x14ac:dyDescent="0.4"/>
    <row r="49" s="2" customFormat="1" ht="15" x14ac:dyDescent="0.4"/>
    <row r="50" s="2" customFormat="1" ht="15" x14ac:dyDescent="0.4"/>
    <row r="51" s="2" customFormat="1" ht="15" x14ac:dyDescent="0.4"/>
  </sheetData>
  <mergeCells count="37">
    <mergeCell ref="B15:N15"/>
    <mergeCell ref="B17:N17"/>
    <mergeCell ref="B18:N18"/>
    <mergeCell ref="B20:C20"/>
    <mergeCell ref="D20:N20"/>
    <mergeCell ref="B21:C24"/>
    <mergeCell ref="D21:N21"/>
    <mergeCell ref="D22:N22"/>
    <mergeCell ref="D23:N23"/>
    <mergeCell ref="D24:N24"/>
    <mergeCell ref="B26:C26"/>
    <mergeCell ref="D26:N26"/>
    <mergeCell ref="B27:C29"/>
    <mergeCell ref="D27:N27"/>
    <mergeCell ref="D28:N28"/>
    <mergeCell ref="D29:N29"/>
    <mergeCell ref="B31:C31"/>
    <mergeCell ref="D31:N31"/>
    <mergeCell ref="B32:C35"/>
    <mergeCell ref="D32:N32"/>
    <mergeCell ref="D33:N33"/>
    <mergeCell ref="D34:N34"/>
    <mergeCell ref="D35:N35"/>
    <mergeCell ref="B37:C37"/>
    <mergeCell ref="D37:N37"/>
    <mergeCell ref="B38:C41"/>
    <mergeCell ref="D38:N39"/>
    <mergeCell ref="D40:N40"/>
    <mergeCell ref="D41:N41"/>
    <mergeCell ref="B47:C47"/>
    <mergeCell ref="D47:N47"/>
    <mergeCell ref="B43:C43"/>
    <mergeCell ref="D43:N43"/>
    <mergeCell ref="B44:C44"/>
    <mergeCell ref="D44:N44"/>
    <mergeCell ref="B46:C46"/>
    <mergeCell ref="D46:N46"/>
  </mergeCells>
  <printOptions horizontalCentered="1"/>
  <pageMargins left="0.74791666666666701" right="0.74791666666666701" top="0.98402777777777795" bottom="0.98402777777777795" header="0.511811023622047" footer="0.51180555555555596"/>
  <pageSetup scale="60" orientation="portrait" horizontalDpi="300" verticalDpi="300"/>
  <headerFooter>
    <oddFooter>&amp;R&amp;"Montserrat,Normal"&amp;10Pagina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2:AMJ22"/>
  <sheetViews>
    <sheetView showGridLines="0" topLeftCell="A7" zoomScaleNormal="100" workbookViewId="0">
      <selection activeCell="E21" sqref="E21"/>
    </sheetView>
  </sheetViews>
  <sheetFormatPr baseColWidth="10" defaultColWidth="10.26953125" defaultRowHeight="14.5" x14ac:dyDescent="0.35"/>
  <cols>
    <col min="1" max="1" width="5.81640625" style="1" customWidth="1"/>
    <col min="2" max="2" width="10.26953125" style="1"/>
    <col min="3" max="3" width="13.81640625" style="1" customWidth="1"/>
    <col min="4" max="4" width="45.81640625" style="1" customWidth="1"/>
    <col min="5" max="5" width="42.453125" style="1" customWidth="1"/>
    <col min="6" max="6" width="14.453125" style="1" customWidth="1"/>
    <col min="7" max="9" width="10.26953125" style="1"/>
    <col min="10" max="10" width="39" style="1" customWidth="1"/>
    <col min="11" max="1024" width="10.26953125" style="1"/>
  </cols>
  <sheetData>
    <row r="12" spans="2:14" s="2" customFormat="1" ht="23.25" customHeight="1" x14ac:dyDescent="0.4">
      <c r="B12" s="108" t="s">
        <v>24</v>
      </c>
      <c r="C12" s="108"/>
      <c r="D12" s="108"/>
      <c r="E12" s="108"/>
      <c r="F12" s="108"/>
      <c r="G12" s="108"/>
    </row>
    <row r="13" spans="2:14" s="2" customFormat="1" ht="33.75" customHeight="1" x14ac:dyDescent="0.4">
      <c r="B13" s="109" t="s">
        <v>25</v>
      </c>
      <c r="C13" s="109"/>
      <c r="D13" s="109"/>
      <c r="E13" s="109"/>
      <c r="F13" s="109"/>
      <c r="G13" s="109"/>
      <c r="H13" s="11"/>
      <c r="I13" s="11"/>
      <c r="J13" s="11"/>
      <c r="K13" s="11"/>
      <c r="L13" s="11"/>
      <c r="M13" s="11"/>
      <c r="N13" s="11"/>
    </row>
    <row r="14" spans="2:14" s="2" customFormat="1" ht="45.75" customHeight="1" x14ac:dyDescent="0.4">
      <c r="B14" s="109" t="s">
        <v>26</v>
      </c>
      <c r="C14" s="109"/>
      <c r="D14" s="109"/>
      <c r="E14" s="109"/>
      <c r="F14" s="109"/>
      <c r="G14" s="109"/>
      <c r="H14" s="11"/>
      <c r="I14" s="11"/>
      <c r="J14" s="11"/>
      <c r="K14" s="11"/>
      <c r="L14" s="11"/>
      <c r="M14" s="11"/>
      <c r="N14" s="11"/>
    </row>
    <row r="15" spans="2:14" s="2" customFormat="1" ht="25.5" customHeight="1" x14ac:dyDescent="0.4">
      <c r="B15" s="109" t="s">
        <v>27</v>
      </c>
      <c r="C15" s="109"/>
      <c r="D15" s="109"/>
      <c r="E15" s="109"/>
      <c r="F15" s="109"/>
      <c r="G15" s="109"/>
      <c r="H15" s="11"/>
      <c r="I15" s="11"/>
      <c r="J15" s="11"/>
      <c r="K15" s="11"/>
      <c r="L15" s="11"/>
      <c r="M15" s="11"/>
      <c r="N15" s="11"/>
    </row>
    <row r="16" spans="2:14" s="2" customFormat="1" ht="15" x14ac:dyDescent="0.4"/>
    <row r="19" spans="3:6" ht="15" x14ac:dyDescent="0.35">
      <c r="C19" s="12" t="s">
        <v>28</v>
      </c>
      <c r="D19" s="12" t="s">
        <v>29</v>
      </c>
      <c r="E19" s="12" t="s">
        <v>30</v>
      </c>
      <c r="F19" s="12" t="s">
        <v>31</v>
      </c>
    </row>
    <row r="20" spans="3:6" ht="15" x14ac:dyDescent="0.35">
      <c r="C20" s="13" t="s">
        <v>32</v>
      </c>
      <c r="D20" s="14" t="s">
        <v>33</v>
      </c>
      <c r="E20" s="15" t="s">
        <v>34</v>
      </c>
      <c r="F20" s="16">
        <v>45604</v>
      </c>
    </row>
    <row r="21" spans="3:6" ht="45" x14ac:dyDescent="0.35">
      <c r="C21" s="13" t="s">
        <v>35</v>
      </c>
      <c r="D21" s="14" t="s">
        <v>36</v>
      </c>
      <c r="E21" s="15" t="s">
        <v>34</v>
      </c>
      <c r="F21" s="16">
        <v>45607</v>
      </c>
    </row>
    <row r="22" spans="3:6" ht="45" x14ac:dyDescent="0.35">
      <c r="C22" s="13" t="s">
        <v>37</v>
      </c>
      <c r="D22" s="14" t="s">
        <v>38</v>
      </c>
      <c r="E22" s="15" t="s">
        <v>39</v>
      </c>
      <c r="F22" s="16"/>
    </row>
  </sheetData>
  <mergeCells count="4">
    <mergeCell ref="B12:G12"/>
    <mergeCell ref="B13:G13"/>
    <mergeCell ref="B14:G14"/>
    <mergeCell ref="B15:G15"/>
  </mergeCells>
  <printOptions horizontalCentered="1"/>
  <pageMargins left="0.74791666666666701" right="0.74791666666666701" top="0.98402777777777795" bottom="0.98402777777777795" header="0.511811023622047" footer="0.51180555555555596"/>
  <pageSetup scale="60" orientation="landscape" horizontalDpi="300" verticalDpi="300"/>
  <headerFooter>
    <oddFooter>&amp;R&amp;"Montserrat,Normal"&amp;10Pagina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6808C-F9A8-4FD1-B063-CC7529090C1A}">
  <dimension ref="B10:C159"/>
  <sheetViews>
    <sheetView showGridLines="0" topLeftCell="A74" zoomScale="90" zoomScaleNormal="90" workbookViewId="0">
      <selection activeCell="B23" sqref="B23:B91"/>
    </sheetView>
  </sheetViews>
  <sheetFormatPr baseColWidth="10" defaultColWidth="10.54296875" defaultRowHeight="14.5" x14ac:dyDescent="0.35"/>
  <cols>
    <col min="2" max="2" width="100.90625" customWidth="1"/>
    <col min="4" max="4" width="60.453125" customWidth="1"/>
  </cols>
  <sheetData>
    <row r="10" spans="2:3" ht="15" x14ac:dyDescent="0.35">
      <c r="B10" s="17" t="s">
        <v>40</v>
      </c>
    </row>
    <row r="11" spans="2:3" ht="15" x14ac:dyDescent="0.35">
      <c r="B11" s="18" t="s">
        <v>5</v>
      </c>
    </row>
    <row r="12" spans="2:3" ht="15" x14ac:dyDescent="0.4">
      <c r="B12" s="19"/>
    </row>
    <row r="13" spans="2:3" ht="15" x14ac:dyDescent="0.4">
      <c r="B13" s="20" t="s">
        <v>41</v>
      </c>
    </row>
    <row r="14" spans="2:3" ht="15" x14ac:dyDescent="0.35">
      <c r="B14" s="21" t="s">
        <v>42</v>
      </c>
    </row>
    <row r="15" spans="2:3" ht="15" x14ac:dyDescent="0.35">
      <c r="B15" s="21" t="s">
        <v>43</v>
      </c>
      <c r="C15" s="22"/>
    </row>
    <row r="16" spans="2:3" ht="15" x14ac:dyDescent="0.35">
      <c r="B16" s="21" t="s">
        <v>44</v>
      </c>
      <c r="C16" s="22"/>
    </row>
    <row r="17" spans="2:3" ht="15" x14ac:dyDescent="0.4">
      <c r="B17" s="23" t="s">
        <v>418</v>
      </c>
      <c r="C17" s="22"/>
    </row>
    <row r="18" spans="2:3" ht="15" x14ac:dyDescent="0.4">
      <c r="B18" s="23" t="s">
        <v>419</v>
      </c>
      <c r="C18" s="22"/>
    </row>
    <row r="19" spans="2:3" ht="15" x14ac:dyDescent="0.4">
      <c r="B19" s="23" t="s">
        <v>420</v>
      </c>
      <c r="C19" s="22"/>
    </row>
    <row r="20" spans="2:3" ht="15" x14ac:dyDescent="0.4">
      <c r="B20" s="23" t="s">
        <v>421</v>
      </c>
      <c r="C20" s="22"/>
    </row>
    <row r="21" spans="2:3" ht="15" x14ac:dyDescent="0.4">
      <c r="B21" s="23" t="s">
        <v>422</v>
      </c>
      <c r="C21" s="22"/>
    </row>
    <row r="22" spans="2:3" ht="15" x14ac:dyDescent="0.4">
      <c r="B22" s="116"/>
      <c r="C22" s="22"/>
    </row>
    <row r="23" spans="2:3" ht="15" x14ac:dyDescent="0.35">
      <c r="B23" s="25" t="s">
        <v>532</v>
      </c>
      <c r="C23" s="22"/>
    </row>
    <row r="24" spans="2:3" ht="15" x14ac:dyDescent="0.35">
      <c r="B24" s="21" t="s">
        <v>496</v>
      </c>
      <c r="C24" s="22"/>
    </row>
    <row r="25" spans="2:3" ht="15" x14ac:dyDescent="0.35">
      <c r="B25" s="21" t="s">
        <v>497</v>
      </c>
      <c r="C25" s="24"/>
    </row>
    <row r="26" spans="2:3" ht="15" x14ac:dyDescent="0.35">
      <c r="B26" s="21" t="s">
        <v>498</v>
      </c>
      <c r="C26" s="22"/>
    </row>
    <row r="27" spans="2:3" ht="15" x14ac:dyDescent="0.35">
      <c r="B27" s="21" t="s">
        <v>499</v>
      </c>
      <c r="C27" s="22"/>
    </row>
    <row r="28" spans="2:3" ht="15" x14ac:dyDescent="0.35">
      <c r="B28" s="21" t="s">
        <v>500</v>
      </c>
      <c r="C28" s="22"/>
    </row>
    <row r="29" spans="2:3" ht="15" x14ac:dyDescent="0.35">
      <c r="B29" s="21" t="s">
        <v>501</v>
      </c>
    </row>
    <row r="30" spans="2:3" ht="15" x14ac:dyDescent="0.35">
      <c r="B30" s="21" t="s">
        <v>502</v>
      </c>
    </row>
    <row r="31" spans="2:3" ht="15" x14ac:dyDescent="0.35">
      <c r="B31" s="21" t="s">
        <v>503</v>
      </c>
    </row>
    <row r="32" spans="2:3" ht="15" x14ac:dyDescent="0.35">
      <c r="B32" s="21" t="s">
        <v>504</v>
      </c>
    </row>
    <row r="33" spans="2:2" ht="15" x14ac:dyDescent="0.35">
      <c r="B33" s="21" t="s">
        <v>505</v>
      </c>
    </row>
    <row r="34" spans="2:2" ht="15" x14ac:dyDescent="0.35">
      <c r="B34" s="21" t="s">
        <v>506</v>
      </c>
    </row>
    <row r="35" spans="2:2" ht="15" x14ac:dyDescent="0.35">
      <c r="B35" s="21" t="s">
        <v>507</v>
      </c>
    </row>
    <row r="36" spans="2:2" ht="15" x14ac:dyDescent="0.35">
      <c r="B36" s="21" t="s">
        <v>508</v>
      </c>
    </row>
    <row r="37" spans="2:2" ht="15" x14ac:dyDescent="0.35">
      <c r="B37" s="21" t="s">
        <v>509</v>
      </c>
    </row>
    <row r="38" spans="2:2" ht="15" x14ac:dyDescent="0.35">
      <c r="B38" s="21" t="s">
        <v>510</v>
      </c>
    </row>
    <row r="39" spans="2:2" ht="15" x14ac:dyDescent="0.35">
      <c r="B39" s="21" t="s">
        <v>511</v>
      </c>
    </row>
    <row r="40" spans="2:2" ht="15" x14ac:dyDescent="0.35">
      <c r="B40" s="21" t="s">
        <v>512</v>
      </c>
    </row>
    <row r="41" spans="2:2" ht="15" x14ac:dyDescent="0.35">
      <c r="B41" s="21" t="s">
        <v>513</v>
      </c>
    </row>
    <row r="42" spans="2:2" ht="15" x14ac:dyDescent="0.35">
      <c r="B42" s="21" t="s">
        <v>514</v>
      </c>
    </row>
    <row r="43" spans="2:2" ht="15" x14ac:dyDescent="0.35">
      <c r="B43" s="21" t="s">
        <v>515</v>
      </c>
    </row>
    <row r="44" spans="2:2" ht="15" x14ac:dyDescent="0.35">
      <c r="B44" s="21" t="s">
        <v>516</v>
      </c>
    </row>
    <row r="45" spans="2:2" ht="15" x14ac:dyDescent="0.35">
      <c r="B45" s="21" t="s">
        <v>517</v>
      </c>
    </row>
    <row r="46" spans="2:2" ht="15" x14ac:dyDescent="0.35">
      <c r="B46" s="21" t="s">
        <v>527</v>
      </c>
    </row>
    <row r="47" spans="2:2" ht="15" x14ac:dyDescent="0.35">
      <c r="B47" s="21" t="s">
        <v>528</v>
      </c>
    </row>
    <row r="48" spans="2:2" ht="15" x14ac:dyDescent="0.35">
      <c r="B48" s="21" t="s">
        <v>529</v>
      </c>
    </row>
    <row r="49" spans="2:2" ht="15" x14ac:dyDescent="0.35">
      <c r="B49" s="21" t="s">
        <v>530</v>
      </c>
    </row>
    <row r="50" spans="2:2" ht="15" x14ac:dyDescent="0.35">
      <c r="B50" s="21" t="s">
        <v>531</v>
      </c>
    </row>
    <row r="51" spans="2:2" ht="15" x14ac:dyDescent="0.35">
      <c r="B51" s="21" t="s">
        <v>533</v>
      </c>
    </row>
    <row r="52" spans="2:2" ht="15" x14ac:dyDescent="0.35">
      <c r="B52" s="21" t="s">
        <v>534</v>
      </c>
    </row>
    <row r="53" spans="2:2" ht="15" x14ac:dyDescent="0.35">
      <c r="B53" s="21" t="s">
        <v>535</v>
      </c>
    </row>
    <row r="54" spans="2:2" ht="15" x14ac:dyDescent="0.35">
      <c r="B54" s="21" t="s">
        <v>536</v>
      </c>
    </row>
    <row r="55" spans="2:2" ht="15" x14ac:dyDescent="0.35">
      <c r="B55" s="21" t="s">
        <v>537</v>
      </c>
    </row>
    <row r="56" spans="2:2" ht="15" x14ac:dyDescent="0.35">
      <c r="B56" s="21" t="s">
        <v>538</v>
      </c>
    </row>
    <row r="57" spans="2:2" ht="15" x14ac:dyDescent="0.35">
      <c r="B57" s="21" t="s">
        <v>539</v>
      </c>
    </row>
    <row r="58" spans="2:2" ht="15" x14ac:dyDescent="0.35">
      <c r="B58" s="21" t="s">
        <v>540</v>
      </c>
    </row>
    <row r="59" spans="2:2" ht="15" x14ac:dyDescent="0.35">
      <c r="B59" s="21" t="s">
        <v>541</v>
      </c>
    </row>
    <row r="60" spans="2:2" ht="15" x14ac:dyDescent="0.35">
      <c r="B60" s="21" t="s">
        <v>542</v>
      </c>
    </row>
    <row r="61" spans="2:2" ht="15" x14ac:dyDescent="0.35">
      <c r="B61" s="21" t="s">
        <v>543</v>
      </c>
    </row>
    <row r="62" spans="2:2" ht="15" x14ac:dyDescent="0.35">
      <c r="B62" s="21" t="s">
        <v>544</v>
      </c>
    </row>
    <row r="63" spans="2:2" ht="15" x14ac:dyDescent="0.35">
      <c r="B63" s="21" t="s">
        <v>545</v>
      </c>
    </row>
    <row r="64" spans="2:2" ht="15" x14ac:dyDescent="0.35">
      <c r="B64" s="21" t="s">
        <v>546</v>
      </c>
    </row>
    <row r="65" spans="2:2" ht="15" x14ac:dyDescent="0.35">
      <c r="B65" s="21" t="s">
        <v>547</v>
      </c>
    </row>
    <row r="66" spans="2:2" ht="15" x14ac:dyDescent="0.35">
      <c r="B66" s="21" t="s">
        <v>548</v>
      </c>
    </row>
    <row r="67" spans="2:2" ht="15" x14ac:dyDescent="0.35">
      <c r="B67" s="21" t="s">
        <v>549</v>
      </c>
    </row>
    <row r="68" spans="2:2" ht="15" x14ac:dyDescent="0.35">
      <c r="B68" s="21" t="s">
        <v>550</v>
      </c>
    </row>
    <row r="69" spans="2:2" ht="15" x14ac:dyDescent="0.35">
      <c r="B69" s="21" t="s">
        <v>551</v>
      </c>
    </row>
    <row r="70" spans="2:2" ht="15" x14ac:dyDescent="0.35">
      <c r="B70" s="21" t="s">
        <v>552</v>
      </c>
    </row>
    <row r="71" spans="2:2" ht="15" x14ac:dyDescent="0.35">
      <c r="B71" s="21" t="s">
        <v>553</v>
      </c>
    </row>
    <row r="72" spans="2:2" ht="15" x14ac:dyDescent="0.35">
      <c r="B72" s="21" t="s">
        <v>554</v>
      </c>
    </row>
    <row r="73" spans="2:2" ht="15" x14ac:dyDescent="0.35">
      <c r="B73" s="21" t="s">
        <v>555</v>
      </c>
    </row>
    <row r="74" spans="2:2" ht="15" x14ac:dyDescent="0.35">
      <c r="B74" s="21" t="s">
        <v>556</v>
      </c>
    </row>
    <row r="75" spans="2:2" ht="15" x14ac:dyDescent="0.35">
      <c r="B75" s="21" t="s">
        <v>557</v>
      </c>
    </row>
    <row r="76" spans="2:2" ht="15" x14ac:dyDescent="0.35">
      <c r="B76" s="21" t="s">
        <v>558</v>
      </c>
    </row>
    <row r="77" spans="2:2" ht="15" x14ac:dyDescent="0.35">
      <c r="B77" s="21" t="s">
        <v>559</v>
      </c>
    </row>
    <row r="78" spans="2:2" ht="15" x14ac:dyDescent="0.35">
      <c r="B78" s="21" t="s">
        <v>560</v>
      </c>
    </row>
    <row r="79" spans="2:2" ht="15" x14ac:dyDescent="0.35">
      <c r="B79" s="21" t="s">
        <v>561</v>
      </c>
    </row>
    <row r="80" spans="2:2" ht="15" x14ac:dyDescent="0.35">
      <c r="B80" s="21" t="s">
        <v>562</v>
      </c>
    </row>
    <row r="81" spans="2:2" ht="15" x14ac:dyDescent="0.35">
      <c r="B81" s="21" t="s">
        <v>563</v>
      </c>
    </row>
    <row r="82" spans="2:2" ht="15" x14ac:dyDescent="0.35">
      <c r="B82" s="21" t="s">
        <v>564</v>
      </c>
    </row>
    <row r="83" spans="2:2" ht="15" x14ac:dyDescent="0.35">
      <c r="B83" s="118" t="s">
        <v>565</v>
      </c>
    </row>
    <row r="84" spans="2:2" ht="15" x14ac:dyDescent="0.35">
      <c r="B84" s="118" t="s">
        <v>566</v>
      </c>
    </row>
    <row r="85" spans="2:2" ht="15" x14ac:dyDescent="0.35">
      <c r="B85" s="118" t="s">
        <v>567</v>
      </c>
    </row>
    <row r="86" spans="2:2" ht="15" x14ac:dyDescent="0.35">
      <c r="B86" s="118" t="s">
        <v>568</v>
      </c>
    </row>
    <row r="87" spans="2:2" ht="15" x14ac:dyDescent="0.35">
      <c r="B87" s="118" t="s">
        <v>569</v>
      </c>
    </row>
    <row r="88" spans="2:2" ht="15" x14ac:dyDescent="0.35">
      <c r="B88" s="118" t="s">
        <v>570</v>
      </c>
    </row>
    <row r="89" spans="2:2" ht="15" x14ac:dyDescent="0.35">
      <c r="B89" s="118" t="s">
        <v>571</v>
      </c>
    </row>
    <row r="90" spans="2:2" ht="15" x14ac:dyDescent="0.35">
      <c r="B90" s="118" t="s">
        <v>572</v>
      </c>
    </row>
    <row r="91" spans="2:2" ht="15" x14ac:dyDescent="0.35">
      <c r="B91" s="118" t="s">
        <v>573</v>
      </c>
    </row>
    <row r="92" spans="2:2" ht="15" x14ac:dyDescent="0.35">
      <c r="B92" s="117"/>
    </row>
    <row r="93" spans="2:2" ht="15" x14ac:dyDescent="0.35">
      <c r="B93" s="24"/>
    </row>
    <row r="94" spans="2:2" ht="15" x14ac:dyDescent="0.35">
      <c r="B94" s="120"/>
    </row>
    <row r="95" spans="2:2" ht="15" x14ac:dyDescent="0.35">
      <c r="B95" s="119"/>
    </row>
    <row r="96" spans="2:2" ht="15" x14ac:dyDescent="0.35">
      <c r="B96" s="119"/>
    </row>
    <row r="97" spans="2:2" ht="15" x14ac:dyDescent="0.35">
      <c r="B97" s="119"/>
    </row>
    <row r="98" spans="2:2" ht="15" x14ac:dyDescent="0.35">
      <c r="B98" s="119"/>
    </row>
    <row r="99" spans="2:2" ht="15" x14ac:dyDescent="0.35">
      <c r="B99" s="119"/>
    </row>
    <row r="100" spans="2:2" ht="15" x14ac:dyDescent="0.35">
      <c r="B100" s="119"/>
    </row>
    <row r="101" spans="2:2" ht="15" x14ac:dyDescent="0.35">
      <c r="B101" s="119"/>
    </row>
    <row r="102" spans="2:2" ht="15" x14ac:dyDescent="0.35">
      <c r="B102" s="119"/>
    </row>
    <row r="103" spans="2:2" ht="15" x14ac:dyDescent="0.35">
      <c r="B103" s="119"/>
    </row>
    <row r="104" spans="2:2" ht="15" x14ac:dyDescent="0.35">
      <c r="B104" s="119"/>
    </row>
    <row r="105" spans="2:2" ht="15" x14ac:dyDescent="0.35">
      <c r="B105" s="119"/>
    </row>
    <row r="106" spans="2:2" ht="15" x14ac:dyDescent="0.35">
      <c r="B106" s="119"/>
    </row>
    <row r="107" spans="2:2" ht="15" x14ac:dyDescent="0.35">
      <c r="B107" s="119"/>
    </row>
    <row r="108" spans="2:2" ht="15" x14ac:dyDescent="0.35">
      <c r="B108" s="119"/>
    </row>
    <row r="109" spans="2:2" ht="15" x14ac:dyDescent="0.35">
      <c r="B109" s="119"/>
    </row>
    <row r="110" spans="2:2" ht="15" x14ac:dyDescent="0.35">
      <c r="B110" s="119"/>
    </row>
    <row r="111" spans="2:2" ht="15" x14ac:dyDescent="0.35">
      <c r="B111" s="119"/>
    </row>
    <row r="112" spans="2:2" ht="15" x14ac:dyDescent="0.35">
      <c r="B112" s="119"/>
    </row>
    <row r="113" spans="2:2" ht="15" x14ac:dyDescent="0.35">
      <c r="B113" s="119"/>
    </row>
    <row r="114" spans="2:2" ht="15" x14ac:dyDescent="0.35">
      <c r="B114" s="119"/>
    </row>
    <row r="115" spans="2:2" ht="15" x14ac:dyDescent="0.35">
      <c r="B115" s="119"/>
    </row>
    <row r="116" spans="2:2" ht="15" x14ac:dyDescent="0.35">
      <c r="B116" s="119"/>
    </row>
    <row r="117" spans="2:2" ht="15" x14ac:dyDescent="0.35">
      <c r="B117" s="119"/>
    </row>
    <row r="118" spans="2:2" ht="15" x14ac:dyDescent="0.35">
      <c r="B118" s="119"/>
    </row>
    <row r="119" spans="2:2" ht="15" x14ac:dyDescent="0.35">
      <c r="B119" s="119"/>
    </row>
    <row r="120" spans="2:2" ht="15" x14ac:dyDescent="0.35">
      <c r="B120" s="119"/>
    </row>
    <row r="121" spans="2:2" ht="15" x14ac:dyDescent="0.35">
      <c r="B121" s="119"/>
    </row>
    <row r="122" spans="2:2" ht="15" x14ac:dyDescent="0.35">
      <c r="B122" s="119"/>
    </row>
    <row r="123" spans="2:2" ht="15" x14ac:dyDescent="0.35">
      <c r="B123" s="119"/>
    </row>
    <row r="124" spans="2:2" ht="15" x14ac:dyDescent="0.35">
      <c r="B124" s="119"/>
    </row>
    <row r="125" spans="2:2" ht="15" x14ac:dyDescent="0.35">
      <c r="B125" s="119"/>
    </row>
    <row r="126" spans="2:2" ht="15" x14ac:dyDescent="0.35">
      <c r="B126" s="119"/>
    </row>
    <row r="127" spans="2:2" ht="15" x14ac:dyDescent="0.35">
      <c r="B127" s="119"/>
    </row>
    <row r="128" spans="2:2" ht="15" x14ac:dyDescent="0.35">
      <c r="B128" s="119"/>
    </row>
    <row r="129" spans="2:2" ht="15" x14ac:dyDescent="0.35">
      <c r="B129" s="119"/>
    </row>
    <row r="130" spans="2:2" ht="15" x14ac:dyDescent="0.35">
      <c r="B130" s="119"/>
    </row>
    <row r="131" spans="2:2" ht="15" x14ac:dyDescent="0.35">
      <c r="B131" s="119"/>
    </row>
    <row r="132" spans="2:2" ht="15" x14ac:dyDescent="0.35">
      <c r="B132" s="119"/>
    </row>
    <row r="133" spans="2:2" ht="15" x14ac:dyDescent="0.35">
      <c r="B133" s="119"/>
    </row>
    <row r="134" spans="2:2" ht="15" x14ac:dyDescent="0.35">
      <c r="B134" s="119"/>
    </row>
    <row r="135" spans="2:2" ht="15" x14ac:dyDescent="0.35">
      <c r="B135" s="119"/>
    </row>
    <row r="136" spans="2:2" ht="15" x14ac:dyDescent="0.35">
      <c r="B136" s="119"/>
    </row>
    <row r="137" spans="2:2" ht="15" x14ac:dyDescent="0.35">
      <c r="B137" s="119"/>
    </row>
    <row r="138" spans="2:2" ht="15" x14ac:dyDescent="0.35">
      <c r="B138" s="119"/>
    </row>
    <row r="139" spans="2:2" ht="15" x14ac:dyDescent="0.35">
      <c r="B139" s="119"/>
    </row>
    <row r="140" spans="2:2" ht="15" x14ac:dyDescent="0.35">
      <c r="B140" s="119"/>
    </row>
    <row r="141" spans="2:2" ht="15" x14ac:dyDescent="0.35">
      <c r="B141" s="119"/>
    </row>
    <row r="142" spans="2:2" ht="15" x14ac:dyDescent="0.35">
      <c r="B142" s="119"/>
    </row>
    <row r="143" spans="2:2" ht="15" x14ac:dyDescent="0.35">
      <c r="B143" s="119"/>
    </row>
    <row r="144" spans="2:2" ht="15" x14ac:dyDescent="0.35">
      <c r="B144" s="119"/>
    </row>
    <row r="145" spans="2:2" ht="15" x14ac:dyDescent="0.35">
      <c r="B145" s="119"/>
    </row>
    <row r="146" spans="2:2" ht="15" x14ac:dyDescent="0.35">
      <c r="B146" s="119"/>
    </row>
    <row r="147" spans="2:2" ht="15" x14ac:dyDescent="0.35">
      <c r="B147" s="119"/>
    </row>
    <row r="148" spans="2:2" ht="15" x14ac:dyDescent="0.35">
      <c r="B148" s="119"/>
    </row>
    <row r="149" spans="2:2" ht="15" x14ac:dyDescent="0.35">
      <c r="B149" s="119"/>
    </row>
    <row r="150" spans="2:2" ht="15" x14ac:dyDescent="0.35">
      <c r="B150" s="119"/>
    </row>
    <row r="151" spans="2:2" ht="15" x14ac:dyDescent="0.35">
      <c r="B151" s="119"/>
    </row>
    <row r="152" spans="2:2" ht="15" x14ac:dyDescent="0.35">
      <c r="B152" s="119"/>
    </row>
    <row r="153" spans="2:2" ht="15" x14ac:dyDescent="0.35">
      <c r="B153" s="119"/>
    </row>
    <row r="154" spans="2:2" ht="15" x14ac:dyDescent="0.35">
      <c r="B154" s="119"/>
    </row>
    <row r="155" spans="2:2" ht="15" x14ac:dyDescent="0.35">
      <c r="B155" s="119"/>
    </row>
    <row r="156" spans="2:2" ht="15" x14ac:dyDescent="0.35">
      <c r="B156" s="119"/>
    </row>
    <row r="157" spans="2:2" ht="15" x14ac:dyDescent="0.35">
      <c r="B157" s="119"/>
    </row>
    <row r="158" spans="2:2" ht="15" x14ac:dyDescent="0.35">
      <c r="B158" s="119"/>
    </row>
    <row r="159" spans="2:2" ht="15" x14ac:dyDescent="0.35">
      <c r="B159" s="119"/>
    </row>
  </sheetData>
  <pageMargins left="0.7" right="0.7" top="0.75" bottom="0.75"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82212-F643-4D5F-B27C-48611268A404}">
  <dimension ref="B10:C248"/>
  <sheetViews>
    <sheetView showGridLines="0" tabSelected="1" topLeftCell="A137" zoomScale="90" zoomScaleNormal="90" workbookViewId="0">
      <selection activeCell="B245" sqref="B245"/>
    </sheetView>
  </sheetViews>
  <sheetFormatPr baseColWidth="10" defaultColWidth="10.54296875" defaultRowHeight="14.5" x14ac:dyDescent="0.35"/>
  <cols>
    <col min="2" max="2" width="100.90625" customWidth="1"/>
    <col min="4" max="4" width="60.453125" customWidth="1"/>
  </cols>
  <sheetData>
    <row r="10" spans="2:3" ht="15" x14ac:dyDescent="0.35">
      <c r="B10" s="17" t="s">
        <v>40</v>
      </c>
    </row>
    <row r="11" spans="2:3" ht="15" x14ac:dyDescent="0.35">
      <c r="B11" s="18" t="s">
        <v>5</v>
      </c>
    </row>
    <row r="12" spans="2:3" ht="15" x14ac:dyDescent="0.4">
      <c r="B12" s="19"/>
    </row>
    <row r="13" spans="2:3" ht="15" x14ac:dyDescent="0.4">
      <c r="B13" s="20" t="s">
        <v>41</v>
      </c>
    </row>
    <row r="14" spans="2:3" ht="15" x14ac:dyDescent="0.35">
      <c r="B14" s="21" t="s">
        <v>42</v>
      </c>
    </row>
    <row r="15" spans="2:3" ht="15" x14ac:dyDescent="0.35">
      <c r="B15" s="21" t="s">
        <v>43</v>
      </c>
      <c r="C15" s="22"/>
    </row>
    <row r="16" spans="2:3" ht="15" x14ac:dyDescent="0.35">
      <c r="B16" s="21" t="s">
        <v>44</v>
      </c>
      <c r="C16" s="22"/>
    </row>
    <row r="17" spans="2:3" ht="15" x14ac:dyDescent="0.4">
      <c r="B17" s="23" t="s">
        <v>418</v>
      </c>
      <c r="C17" s="22"/>
    </row>
    <row r="18" spans="2:3" ht="15" x14ac:dyDescent="0.4">
      <c r="B18" s="23" t="s">
        <v>419</v>
      </c>
      <c r="C18" s="22"/>
    </row>
    <row r="19" spans="2:3" ht="15" x14ac:dyDescent="0.4">
      <c r="B19" s="23" t="s">
        <v>420</v>
      </c>
      <c r="C19" s="22"/>
    </row>
    <row r="20" spans="2:3" ht="15" x14ac:dyDescent="0.4">
      <c r="B20" s="23" t="s">
        <v>421</v>
      </c>
      <c r="C20" s="22"/>
    </row>
    <row r="21" spans="2:3" ht="15" x14ac:dyDescent="0.4">
      <c r="B21" s="23" t="s">
        <v>422</v>
      </c>
      <c r="C21" s="22"/>
    </row>
    <row r="22" spans="2:3" ht="15" x14ac:dyDescent="0.4">
      <c r="B22" s="116"/>
      <c r="C22" s="22"/>
    </row>
    <row r="23" spans="2:3" ht="15" x14ac:dyDescent="0.35">
      <c r="B23" s="25" t="s">
        <v>423</v>
      </c>
      <c r="C23" s="22"/>
    </row>
    <row r="24" spans="2:3" ht="15" x14ac:dyDescent="0.35">
      <c r="B24" s="21" t="s">
        <v>428</v>
      </c>
      <c r="C24" s="22"/>
    </row>
    <row r="25" spans="2:3" ht="15" x14ac:dyDescent="0.35">
      <c r="B25" s="21" t="s">
        <v>427</v>
      </c>
      <c r="C25" s="24"/>
    </row>
    <row r="26" spans="2:3" ht="15" x14ac:dyDescent="0.35">
      <c r="B26" s="21" t="s">
        <v>426</v>
      </c>
      <c r="C26" s="22"/>
    </row>
    <row r="27" spans="2:3" ht="15" x14ac:dyDescent="0.35">
      <c r="B27" s="21" t="s">
        <v>425</v>
      </c>
      <c r="C27" s="22"/>
    </row>
    <row r="28" spans="2:3" ht="15" x14ac:dyDescent="0.35">
      <c r="B28" s="21" t="s">
        <v>424</v>
      </c>
      <c r="C28" s="22"/>
    </row>
    <row r="29" spans="2:3" ht="15" x14ac:dyDescent="0.35">
      <c r="B29" s="21" t="s">
        <v>429</v>
      </c>
    </row>
    <row r="30" spans="2:3" ht="15" x14ac:dyDescent="0.35">
      <c r="B30" s="21" t="s">
        <v>430</v>
      </c>
    </row>
    <row r="31" spans="2:3" ht="15" x14ac:dyDescent="0.35">
      <c r="B31" s="21" t="s">
        <v>431</v>
      </c>
    </row>
    <row r="32" spans="2:3" ht="15" x14ac:dyDescent="0.35">
      <c r="B32" s="21" t="s">
        <v>432</v>
      </c>
    </row>
    <row r="33" spans="2:2" ht="15" x14ac:dyDescent="0.35">
      <c r="B33" s="21" t="s">
        <v>433</v>
      </c>
    </row>
    <row r="34" spans="2:2" ht="15" x14ac:dyDescent="0.35">
      <c r="B34" s="21" t="s">
        <v>434</v>
      </c>
    </row>
    <row r="35" spans="2:2" ht="15" x14ac:dyDescent="0.35">
      <c r="B35" s="21" t="s">
        <v>435</v>
      </c>
    </row>
    <row r="36" spans="2:2" ht="15" x14ac:dyDescent="0.35">
      <c r="B36" s="21" t="s">
        <v>436</v>
      </c>
    </row>
    <row r="37" spans="2:2" ht="15" x14ac:dyDescent="0.35">
      <c r="B37" s="21" t="s">
        <v>437</v>
      </c>
    </row>
    <row r="38" spans="2:2" ht="15" x14ac:dyDescent="0.35">
      <c r="B38" s="21" t="s">
        <v>438</v>
      </c>
    </row>
    <row r="39" spans="2:2" ht="15" x14ac:dyDescent="0.35">
      <c r="B39" s="21" t="s">
        <v>439</v>
      </c>
    </row>
    <row r="40" spans="2:2" ht="15" x14ac:dyDescent="0.35">
      <c r="B40" s="21" t="s">
        <v>440</v>
      </c>
    </row>
    <row r="41" spans="2:2" ht="15" x14ac:dyDescent="0.35">
      <c r="B41" s="21" t="s">
        <v>441</v>
      </c>
    </row>
    <row r="42" spans="2:2" ht="15" x14ac:dyDescent="0.35">
      <c r="B42" s="21" t="s">
        <v>442</v>
      </c>
    </row>
    <row r="43" spans="2:2" ht="15" x14ac:dyDescent="0.35">
      <c r="B43" s="21" t="s">
        <v>443</v>
      </c>
    </row>
    <row r="44" spans="2:2" ht="15" x14ac:dyDescent="0.35">
      <c r="B44" s="21" t="s">
        <v>444</v>
      </c>
    </row>
    <row r="45" spans="2:2" ht="15" x14ac:dyDescent="0.35">
      <c r="B45" s="21" t="s">
        <v>445</v>
      </c>
    </row>
    <row r="46" spans="2:2" ht="15" x14ac:dyDescent="0.35">
      <c r="B46" s="21" t="s">
        <v>446</v>
      </c>
    </row>
    <row r="47" spans="2:2" ht="15" x14ac:dyDescent="0.35">
      <c r="B47" s="21" t="s">
        <v>447</v>
      </c>
    </row>
    <row r="48" spans="2:2" ht="15" x14ac:dyDescent="0.35">
      <c r="B48" s="21" t="s">
        <v>448</v>
      </c>
    </row>
    <row r="49" spans="2:2" ht="15" x14ac:dyDescent="0.35">
      <c r="B49" s="21" t="s">
        <v>449</v>
      </c>
    </row>
    <row r="50" spans="2:2" ht="15" x14ac:dyDescent="0.35">
      <c r="B50" s="21" t="s">
        <v>450</v>
      </c>
    </row>
    <row r="51" spans="2:2" ht="15" x14ac:dyDescent="0.35">
      <c r="B51" s="21" t="s">
        <v>451</v>
      </c>
    </row>
    <row r="52" spans="2:2" ht="15" x14ac:dyDescent="0.35">
      <c r="B52" s="21" t="s">
        <v>452</v>
      </c>
    </row>
    <row r="53" spans="2:2" ht="15" x14ac:dyDescent="0.35">
      <c r="B53" s="21" t="s">
        <v>453</v>
      </c>
    </row>
    <row r="54" spans="2:2" ht="15" x14ac:dyDescent="0.35">
      <c r="B54" s="21" t="s">
        <v>454</v>
      </c>
    </row>
    <row r="55" spans="2:2" ht="15" x14ac:dyDescent="0.35">
      <c r="B55" s="21" t="s">
        <v>455</v>
      </c>
    </row>
    <row r="56" spans="2:2" ht="15" x14ac:dyDescent="0.35">
      <c r="B56" s="21" t="s">
        <v>456</v>
      </c>
    </row>
    <row r="57" spans="2:2" ht="15" x14ac:dyDescent="0.35">
      <c r="B57" s="21" t="s">
        <v>457</v>
      </c>
    </row>
    <row r="58" spans="2:2" ht="15" x14ac:dyDescent="0.35">
      <c r="B58" s="21" t="s">
        <v>458</v>
      </c>
    </row>
    <row r="59" spans="2:2" ht="15" x14ac:dyDescent="0.35">
      <c r="B59" s="21" t="s">
        <v>459</v>
      </c>
    </row>
    <row r="60" spans="2:2" ht="15" x14ac:dyDescent="0.35">
      <c r="B60" s="21" t="s">
        <v>460</v>
      </c>
    </row>
    <row r="61" spans="2:2" ht="15" x14ac:dyDescent="0.35">
      <c r="B61" s="21" t="s">
        <v>461</v>
      </c>
    </row>
    <row r="62" spans="2:2" ht="15" x14ac:dyDescent="0.35">
      <c r="B62" s="21" t="s">
        <v>462</v>
      </c>
    </row>
    <row r="63" spans="2:2" ht="15" x14ac:dyDescent="0.35">
      <c r="B63" s="21" t="s">
        <v>463</v>
      </c>
    </row>
    <row r="64" spans="2:2" ht="15" x14ac:dyDescent="0.35">
      <c r="B64" s="21" t="s">
        <v>464</v>
      </c>
    </row>
    <row r="65" spans="2:2" ht="15" x14ac:dyDescent="0.35">
      <c r="B65" s="21" t="s">
        <v>465</v>
      </c>
    </row>
    <row r="66" spans="2:2" ht="15" x14ac:dyDescent="0.35">
      <c r="B66" s="21" t="s">
        <v>466</v>
      </c>
    </row>
    <row r="67" spans="2:2" ht="15" x14ac:dyDescent="0.35">
      <c r="B67" s="21" t="s">
        <v>467</v>
      </c>
    </row>
    <row r="68" spans="2:2" ht="15" x14ac:dyDescent="0.35">
      <c r="B68" s="21" t="s">
        <v>468</v>
      </c>
    </row>
    <row r="69" spans="2:2" ht="15" x14ac:dyDescent="0.35">
      <c r="B69" s="21" t="s">
        <v>469</v>
      </c>
    </row>
    <row r="70" spans="2:2" ht="15" x14ac:dyDescent="0.35">
      <c r="B70" s="21" t="s">
        <v>470</v>
      </c>
    </row>
    <row r="71" spans="2:2" ht="15" x14ac:dyDescent="0.35">
      <c r="B71" s="21" t="s">
        <v>471</v>
      </c>
    </row>
    <row r="72" spans="2:2" ht="15" x14ac:dyDescent="0.35">
      <c r="B72" s="21" t="s">
        <v>472</v>
      </c>
    </row>
    <row r="73" spans="2:2" ht="15" x14ac:dyDescent="0.35">
      <c r="B73" s="21" t="s">
        <v>473</v>
      </c>
    </row>
    <row r="74" spans="2:2" ht="15" x14ac:dyDescent="0.35">
      <c r="B74" s="21" t="s">
        <v>474</v>
      </c>
    </row>
    <row r="75" spans="2:2" ht="15" x14ac:dyDescent="0.35">
      <c r="B75" s="21" t="s">
        <v>475</v>
      </c>
    </row>
    <row r="76" spans="2:2" ht="15" x14ac:dyDescent="0.35">
      <c r="B76" s="21" t="s">
        <v>476</v>
      </c>
    </row>
    <row r="77" spans="2:2" ht="15" x14ac:dyDescent="0.35">
      <c r="B77" s="21" t="s">
        <v>477</v>
      </c>
    </row>
    <row r="78" spans="2:2" ht="15" x14ac:dyDescent="0.35">
      <c r="B78" s="21" t="s">
        <v>478</v>
      </c>
    </row>
    <row r="79" spans="2:2" ht="15" x14ac:dyDescent="0.35">
      <c r="B79" s="21" t="s">
        <v>479</v>
      </c>
    </row>
    <row r="80" spans="2:2" ht="15" x14ac:dyDescent="0.35">
      <c r="B80" s="21" t="s">
        <v>480</v>
      </c>
    </row>
    <row r="81" spans="2:2" ht="15" x14ac:dyDescent="0.35">
      <c r="B81" s="21" t="s">
        <v>481</v>
      </c>
    </row>
    <row r="82" spans="2:2" ht="15" x14ac:dyDescent="0.35">
      <c r="B82" s="21" t="s">
        <v>482</v>
      </c>
    </row>
    <row r="83" spans="2:2" ht="15" x14ac:dyDescent="0.35">
      <c r="B83" s="21" t="s">
        <v>483</v>
      </c>
    </row>
    <row r="84" spans="2:2" ht="15" x14ac:dyDescent="0.35">
      <c r="B84" s="21" t="s">
        <v>484</v>
      </c>
    </row>
    <row r="85" spans="2:2" ht="15" x14ac:dyDescent="0.35">
      <c r="B85" s="21" t="s">
        <v>485</v>
      </c>
    </row>
    <row r="86" spans="2:2" ht="15" x14ac:dyDescent="0.35">
      <c r="B86" s="118" t="s">
        <v>488</v>
      </c>
    </row>
    <row r="87" spans="2:2" ht="15" x14ac:dyDescent="0.35">
      <c r="B87" s="118" t="s">
        <v>489</v>
      </c>
    </row>
    <row r="88" spans="2:2" ht="15" x14ac:dyDescent="0.35">
      <c r="B88" s="118" t="s">
        <v>486</v>
      </c>
    </row>
    <row r="89" spans="2:2" ht="15" x14ac:dyDescent="0.35">
      <c r="B89" s="118" t="s">
        <v>487</v>
      </c>
    </row>
    <row r="90" spans="2:2" ht="15" x14ac:dyDescent="0.35">
      <c r="B90" s="118" t="s">
        <v>490</v>
      </c>
    </row>
    <row r="91" spans="2:2" ht="15" x14ac:dyDescent="0.35">
      <c r="B91" s="118" t="s">
        <v>491</v>
      </c>
    </row>
    <row r="92" spans="2:2" ht="15" x14ac:dyDescent="0.35">
      <c r="B92" s="118" t="s">
        <v>492</v>
      </c>
    </row>
    <row r="93" spans="2:2" ht="15" x14ac:dyDescent="0.35">
      <c r="B93" s="118" t="s">
        <v>493</v>
      </c>
    </row>
    <row r="94" spans="2:2" ht="15" x14ac:dyDescent="0.35">
      <c r="B94" s="118" t="s">
        <v>494</v>
      </c>
    </row>
    <row r="95" spans="2:2" ht="15" x14ac:dyDescent="0.35">
      <c r="B95" s="117"/>
    </row>
    <row r="96" spans="2:2" ht="15" x14ac:dyDescent="0.35">
      <c r="B96" s="24"/>
    </row>
    <row r="97" spans="2:2" ht="15" x14ac:dyDescent="0.35">
      <c r="B97" s="25" t="s">
        <v>495</v>
      </c>
    </row>
    <row r="98" spans="2:2" ht="15" x14ac:dyDescent="0.35">
      <c r="B98" s="21" t="s">
        <v>639</v>
      </c>
    </row>
    <row r="99" spans="2:2" ht="15" x14ac:dyDescent="0.35">
      <c r="B99" s="21" t="s">
        <v>640</v>
      </c>
    </row>
    <row r="100" spans="2:2" ht="15" x14ac:dyDescent="0.35">
      <c r="B100" s="21" t="s">
        <v>641</v>
      </c>
    </row>
    <row r="101" spans="2:2" ht="15" x14ac:dyDescent="0.35">
      <c r="B101" s="21" t="s">
        <v>642</v>
      </c>
    </row>
    <row r="102" spans="2:2" ht="15" x14ac:dyDescent="0.35">
      <c r="B102" s="21" t="s">
        <v>643</v>
      </c>
    </row>
    <row r="103" spans="2:2" ht="15" x14ac:dyDescent="0.35">
      <c r="B103" s="21" t="s">
        <v>644</v>
      </c>
    </row>
    <row r="104" spans="2:2" ht="15" x14ac:dyDescent="0.35">
      <c r="B104" s="21" t="s">
        <v>645</v>
      </c>
    </row>
    <row r="105" spans="2:2" ht="15" x14ac:dyDescent="0.35">
      <c r="B105" s="21" t="s">
        <v>646</v>
      </c>
    </row>
    <row r="106" spans="2:2" ht="15" x14ac:dyDescent="0.35">
      <c r="B106" s="21" t="s">
        <v>647</v>
      </c>
    </row>
    <row r="107" spans="2:2" ht="15" x14ac:dyDescent="0.35">
      <c r="B107" s="21" t="s">
        <v>648</v>
      </c>
    </row>
    <row r="108" spans="2:2" ht="15" x14ac:dyDescent="0.35">
      <c r="B108" s="21" t="s">
        <v>649</v>
      </c>
    </row>
    <row r="109" spans="2:2" ht="15" x14ac:dyDescent="0.35">
      <c r="B109" s="21" t="s">
        <v>650</v>
      </c>
    </row>
    <row r="110" spans="2:2" ht="15" x14ac:dyDescent="0.35">
      <c r="B110" s="21" t="s">
        <v>651</v>
      </c>
    </row>
    <row r="111" spans="2:2" ht="15" x14ac:dyDescent="0.35">
      <c r="B111" s="21" t="s">
        <v>652</v>
      </c>
    </row>
    <row r="112" spans="2:2" ht="15" x14ac:dyDescent="0.35">
      <c r="B112" s="21" t="s">
        <v>653</v>
      </c>
    </row>
    <row r="113" spans="2:2" ht="15" x14ac:dyDescent="0.35">
      <c r="B113" s="21" t="s">
        <v>654</v>
      </c>
    </row>
    <row r="114" spans="2:2" ht="15" x14ac:dyDescent="0.35">
      <c r="B114" s="21" t="s">
        <v>655</v>
      </c>
    </row>
    <row r="115" spans="2:2" ht="15" x14ac:dyDescent="0.35">
      <c r="B115" s="21" t="s">
        <v>656</v>
      </c>
    </row>
    <row r="116" spans="2:2" ht="15" x14ac:dyDescent="0.35">
      <c r="B116" s="21" t="s">
        <v>657</v>
      </c>
    </row>
    <row r="117" spans="2:2" ht="15" x14ac:dyDescent="0.35">
      <c r="B117" s="21" t="s">
        <v>658</v>
      </c>
    </row>
    <row r="118" spans="2:2" ht="15" x14ac:dyDescent="0.35">
      <c r="B118" s="21" t="s">
        <v>659</v>
      </c>
    </row>
    <row r="119" spans="2:2" ht="15" x14ac:dyDescent="0.35">
      <c r="B119" s="21" t="s">
        <v>660</v>
      </c>
    </row>
    <row r="120" spans="2:2" ht="15" x14ac:dyDescent="0.35">
      <c r="B120" s="21" t="s">
        <v>661</v>
      </c>
    </row>
    <row r="121" spans="2:2" ht="15" x14ac:dyDescent="0.35">
      <c r="B121" s="21" t="s">
        <v>662</v>
      </c>
    </row>
    <row r="122" spans="2:2" ht="15" x14ac:dyDescent="0.35">
      <c r="B122" s="21" t="s">
        <v>663</v>
      </c>
    </row>
    <row r="123" spans="2:2" ht="15" x14ac:dyDescent="0.35">
      <c r="B123" s="21" t="s">
        <v>664</v>
      </c>
    </row>
    <row r="124" spans="2:2" ht="15" x14ac:dyDescent="0.35">
      <c r="B124" s="21" t="s">
        <v>665</v>
      </c>
    </row>
    <row r="125" spans="2:2" ht="15" x14ac:dyDescent="0.35">
      <c r="B125" s="21" t="s">
        <v>666</v>
      </c>
    </row>
    <row r="126" spans="2:2" ht="15" x14ac:dyDescent="0.35">
      <c r="B126" s="21" t="s">
        <v>667</v>
      </c>
    </row>
    <row r="127" spans="2:2" ht="15" x14ac:dyDescent="0.35">
      <c r="B127" s="21" t="s">
        <v>668</v>
      </c>
    </row>
    <row r="128" spans="2:2" ht="15" x14ac:dyDescent="0.35">
      <c r="B128" s="21" t="s">
        <v>669</v>
      </c>
    </row>
    <row r="129" spans="2:2" ht="15" x14ac:dyDescent="0.35">
      <c r="B129" s="21" t="s">
        <v>670</v>
      </c>
    </row>
    <row r="130" spans="2:2" ht="15" x14ac:dyDescent="0.35">
      <c r="B130" s="21" t="s">
        <v>671</v>
      </c>
    </row>
    <row r="131" spans="2:2" ht="15" x14ac:dyDescent="0.35">
      <c r="B131" s="21" t="s">
        <v>672</v>
      </c>
    </row>
    <row r="132" spans="2:2" ht="15" x14ac:dyDescent="0.35">
      <c r="B132" s="21" t="s">
        <v>673</v>
      </c>
    </row>
    <row r="133" spans="2:2" ht="15" x14ac:dyDescent="0.35">
      <c r="B133" s="21" t="s">
        <v>674</v>
      </c>
    </row>
    <row r="134" spans="2:2" ht="15" x14ac:dyDescent="0.35">
      <c r="B134" s="21" t="s">
        <v>675</v>
      </c>
    </row>
    <row r="135" spans="2:2" ht="15" x14ac:dyDescent="0.35">
      <c r="B135" s="21" t="s">
        <v>676</v>
      </c>
    </row>
    <row r="136" spans="2:2" ht="15" x14ac:dyDescent="0.35">
      <c r="B136" s="21" t="s">
        <v>677</v>
      </c>
    </row>
    <row r="137" spans="2:2" ht="15" x14ac:dyDescent="0.35">
      <c r="B137" s="21" t="s">
        <v>678</v>
      </c>
    </row>
    <row r="138" spans="2:2" ht="15" x14ac:dyDescent="0.35">
      <c r="B138" s="21" t="s">
        <v>679</v>
      </c>
    </row>
    <row r="139" spans="2:2" ht="15" x14ac:dyDescent="0.35">
      <c r="B139" s="21" t="s">
        <v>680</v>
      </c>
    </row>
    <row r="140" spans="2:2" ht="15" x14ac:dyDescent="0.35">
      <c r="B140" s="21" t="s">
        <v>681</v>
      </c>
    </row>
    <row r="141" spans="2:2" ht="15" x14ac:dyDescent="0.35">
      <c r="B141" s="21" t="s">
        <v>682</v>
      </c>
    </row>
    <row r="142" spans="2:2" ht="15" x14ac:dyDescent="0.35">
      <c r="B142" s="21" t="s">
        <v>683</v>
      </c>
    </row>
    <row r="143" spans="2:2" ht="15" x14ac:dyDescent="0.35">
      <c r="B143" s="21" t="s">
        <v>684</v>
      </c>
    </row>
    <row r="144" spans="2:2" ht="15" x14ac:dyDescent="0.35">
      <c r="B144" s="21" t="s">
        <v>685</v>
      </c>
    </row>
    <row r="145" spans="2:2" ht="15" x14ac:dyDescent="0.35">
      <c r="B145" s="21" t="s">
        <v>686</v>
      </c>
    </row>
    <row r="146" spans="2:2" ht="15" x14ac:dyDescent="0.35">
      <c r="B146" s="21" t="s">
        <v>687</v>
      </c>
    </row>
    <row r="147" spans="2:2" ht="15" x14ac:dyDescent="0.35">
      <c r="B147" s="21" t="s">
        <v>688</v>
      </c>
    </row>
    <row r="148" spans="2:2" ht="15" x14ac:dyDescent="0.35">
      <c r="B148" s="21" t="s">
        <v>689</v>
      </c>
    </row>
    <row r="149" spans="2:2" ht="15" x14ac:dyDescent="0.35">
      <c r="B149" s="21" t="s">
        <v>690</v>
      </c>
    </row>
    <row r="150" spans="2:2" ht="15" x14ac:dyDescent="0.35">
      <c r="B150" s="21" t="s">
        <v>691</v>
      </c>
    </row>
    <row r="151" spans="2:2" ht="15" x14ac:dyDescent="0.35">
      <c r="B151" s="21" t="s">
        <v>692</v>
      </c>
    </row>
    <row r="152" spans="2:2" ht="15" x14ac:dyDescent="0.35">
      <c r="B152" s="21" t="s">
        <v>693</v>
      </c>
    </row>
    <row r="153" spans="2:2" ht="15" x14ac:dyDescent="0.35">
      <c r="B153" s="21" t="s">
        <v>694</v>
      </c>
    </row>
    <row r="154" spans="2:2" ht="15" x14ac:dyDescent="0.35">
      <c r="B154" s="21" t="s">
        <v>695</v>
      </c>
    </row>
    <row r="155" spans="2:2" ht="15" x14ac:dyDescent="0.35">
      <c r="B155" s="21" t="s">
        <v>696</v>
      </c>
    </row>
    <row r="156" spans="2:2" ht="15" x14ac:dyDescent="0.35">
      <c r="B156" s="21" t="s">
        <v>697</v>
      </c>
    </row>
    <row r="157" spans="2:2" ht="15" x14ac:dyDescent="0.35">
      <c r="B157" s="21" t="s">
        <v>698</v>
      </c>
    </row>
    <row r="158" spans="2:2" ht="15" x14ac:dyDescent="0.35">
      <c r="B158" s="21" t="s">
        <v>699</v>
      </c>
    </row>
    <row r="159" spans="2:2" ht="15" x14ac:dyDescent="0.35">
      <c r="B159" s="21" t="s">
        <v>700</v>
      </c>
    </row>
    <row r="160" spans="2:2" ht="15" x14ac:dyDescent="0.35">
      <c r="B160" s="118" t="s">
        <v>701</v>
      </c>
    </row>
    <row r="161" spans="2:2" ht="15" x14ac:dyDescent="0.35">
      <c r="B161" s="118" t="s">
        <v>702</v>
      </c>
    </row>
    <row r="162" spans="2:2" ht="15" x14ac:dyDescent="0.35">
      <c r="B162" s="118" t="s">
        <v>703</v>
      </c>
    </row>
    <row r="163" spans="2:2" ht="15" x14ac:dyDescent="0.35">
      <c r="B163" s="118" t="s">
        <v>704</v>
      </c>
    </row>
    <row r="164" spans="2:2" ht="15" x14ac:dyDescent="0.35">
      <c r="B164" s="118" t="s">
        <v>705</v>
      </c>
    </row>
    <row r="165" spans="2:2" ht="15" x14ac:dyDescent="0.35">
      <c r="B165" s="118" t="s">
        <v>706</v>
      </c>
    </row>
    <row r="166" spans="2:2" ht="15" x14ac:dyDescent="0.35">
      <c r="B166" s="118" t="s">
        <v>707</v>
      </c>
    </row>
    <row r="167" spans="2:2" ht="15" x14ac:dyDescent="0.35">
      <c r="B167" s="118" t="s">
        <v>708</v>
      </c>
    </row>
    <row r="168" spans="2:2" ht="15" x14ac:dyDescent="0.35">
      <c r="B168" s="118" t="s">
        <v>709</v>
      </c>
    </row>
    <row r="169" spans="2:2" ht="15" x14ac:dyDescent="0.35">
      <c r="B169" s="118" t="s">
        <v>710</v>
      </c>
    </row>
    <row r="170" spans="2:2" ht="15" x14ac:dyDescent="0.35">
      <c r="B170" s="118" t="s">
        <v>711</v>
      </c>
    </row>
    <row r="171" spans="2:2" ht="15" x14ac:dyDescent="0.35">
      <c r="B171" s="118" t="s">
        <v>712</v>
      </c>
    </row>
    <row r="172" spans="2:2" ht="15" x14ac:dyDescent="0.35">
      <c r="B172" s="118" t="s">
        <v>713</v>
      </c>
    </row>
    <row r="173" spans="2:2" ht="15" x14ac:dyDescent="0.35">
      <c r="B173" s="118" t="s">
        <v>714</v>
      </c>
    </row>
    <row r="174" spans="2:2" ht="15" x14ac:dyDescent="0.35">
      <c r="B174" s="118" t="s">
        <v>715</v>
      </c>
    </row>
    <row r="175" spans="2:2" ht="15" x14ac:dyDescent="0.35">
      <c r="B175" s="118" t="s">
        <v>716</v>
      </c>
    </row>
    <row r="176" spans="2:2" ht="15" x14ac:dyDescent="0.35">
      <c r="B176" s="118" t="s">
        <v>717</v>
      </c>
    </row>
    <row r="177" spans="2:2" ht="15" x14ac:dyDescent="0.35">
      <c r="B177" s="118" t="s">
        <v>718</v>
      </c>
    </row>
    <row r="180" spans="2:2" ht="15" x14ac:dyDescent="0.35">
      <c r="B180" s="25" t="s">
        <v>719</v>
      </c>
    </row>
    <row r="181" spans="2:2" ht="15" x14ac:dyDescent="0.35">
      <c r="B181" s="21" t="s">
        <v>720</v>
      </c>
    </row>
    <row r="182" spans="2:2" ht="15" x14ac:dyDescent="0.35">
      <c r="B182" s="21" t="s">
        <v>721</v>
      </c>
    </row>
    <row r="183" spans="2:2" ht="15" x14ac:dyDescent="0.35">
      <c r="B183" s="21" t="s">
        <v>722</v>
      </c>
    </row>
    <row r="184" spans="2:2" ht="15" x14ac:dyDescent="0.35">
      <c r="B184" s="21" t="s">
        <v>723</v>
      </c>
    </row>
    <row r="185" spans="2:2" ht="15" x14ac:dyDescent="0.35">
      <c r="B185" s="21" t="s">
        <v>724</v>
      </c>
    </row>
    <row r="186" spans="2:2" ht="15" x14ac:dyDescent="0.35">
      <c r="B186" s="21" t="s">
        <v>725</v>
      </c>
    </row>
    <row r="187" spans="2:2" ht="15" x14ac:dyDescent="0.35">
      <c r="B187" s="21" t="s">
        <v>726</v>
      </c>
    </row>
    <row r="188" spans="2:2" ht="15" x14ac:dyDescent="0.35">
      <c r="B188" s="21" t="s">
        <v>727</v>
      </c>
    </row>
    <row r="189" spans="2:2" ht="15" x14ac:dyDescent="0.35">
      <c r="B189" s="21" t="s">
        <v>728</v>
      </c>
    </row>
    <row r="190" spans="2:2" ht="15" x14ac:dyDescent="0.35">
      <c r="B190" s="21" t="s">
        <v>729</v>
      </c>
    </row>
    <row r="191" spans="2:2" ht="15" x14ac:dyDescent="0.35">
      <c r="B191" s="21" t="s">
        <v>730</v>
      </c>
    </row>
    <row r="192" spans="2:2" ht="15" x14ac:dyDescent="0.35">
      <c r="B192" s="21" t="s">
        <v>731</v>
      </c>
    </row>
    <row r="193" spans="2:2" ht="15" x14ac:dyDescent="0.35">
      <c r="B193" s="21" t="s">
        <v>732</v>
      </c>
    </row>
    <row r="194" spans="2:2" ht="15" x14ac:dyDescent="0.35">
      <c r="B194" s="21" t="s">
        <v>733</v>
      </c>
    </row>
    <row r="195" spans="2:2" ht="15" x14ac:dyDescent="0.35">
      <c r="B195" s="21" t="s">
        <v>734</v>
      </c>
    </row>
    <row r="196" spans="2:2" ht="15" x14ac:dyDescent="0.35">
      <c r="B196" s="21" t="s">
        <v>735</v>
      </c>
    </row>
    <row r="197" spans="2:2" ht="15" x14ac:dyDescent="0.35">
      <c r="B197" s="21" t="s">
        <v>736</v>
      </c>
    </row>
    <row r="198" spans="2:2" ht="15" x14ac:dyDescent="0.35">
      <c r="B198" s="21" t="s">
        <v>737</v>
      </c>
    </row>
    <row r="199" spans="2:2" ht="15" x14ac:dyDescent="0.35">
      <c r="B199" s="21" t="s">
        <v>738</v>
      </c>
    </row>
    <row r="200" spans="2:2" ht="15" x14ac:dyDescent="0.35">
      <c r="B200" s="21" t="s">
        <v>739</v>
      </c>
    </row>
    <row r="201" spans="2:2" ht="15" x14ac:dyDescent="0.35">
      <c r="B201" s="21" t="s">
        <v>740</v>
      </c>
    </row>
    <row r="202" spans="2:2" ht="15" x14ac:dyDescent="0.35">
      <c r="B202" s="21" t="s">
        <v>741</v>
      </c>
    </row>
    <row r="203" spans="2:2" ht="15" x14ac:dyDescent="0.35">
      <c r="B203" s="21" t="s">
        <v>742</v>
      </c>
    </row>
    <row r="204" spans="2:2" ht="15" x14ac:dyDescent="0.35">
      <c r="B204" s="21" t="s">
        <v>743</v>
      </c>
    </row>
    <row r="205" spans="2:2" ht="15" x14ac:dyDescent="0.35">
      <c r="B205" s="21" t="s">
        <v>744</v>
      </c>
    </row>
    <row r="206" spans="2:2" ht="15" x14ac:dyDescent="0.35">
      <c r="B206" s="21" t="s">
        <v>745</v>
      </c>
    </row>
    <row r="207" spans="2:2" ht="15" x14ac:dyDescent="0.35">
      <c r="B207" s="21" t="s">
        <v>746</v>
      </c>
    </row>
    <row r="208" spans="2:2" ht="15" x14ac:dyDescent="0.35">
      <c r="B208" s="21" t="s">
        <v>747</v>
      </c>
    </row>
    <row r="209" spans="2:2" ht="15" x14ac:dyDescent="0.35">
      <c r="B209" s="21" t="s">
        <v>748</v>
      </c>
    </row>
    <row r="210" spans="2:2" ht="15" x14ac:dyDescent="0.35">
      <c r="B210" s="21" t="s">
        <v>749</v>
      </c>
    </row>
    <row r="211" spans="2:2" ht="15" x14ac:dyDescent="0.35">
      <c r="B211" s="21" t="s">
        <v>750</v>
      </c>
    </row>
    <row r="212" spans="2:2" ht="15" x14ac:dyDescent="0.35">
      <c r="B212" s="21" t="s">
        <v>751</v>
      </c>
    </row>
    <row r="213" spans="2:2" ht="15" x14ac:dyDescent="0.35">
      <c r="B213" s="21" t="s">
        <v>752</v>
      </c>
    </row>
    <row r="214" spans="2:2" ht="15" x14ac:dyDescent="0.35">
      <c r="B214" s="21" t="s">
        <v>753</v>
      </c>
    </row>
    <row r="215" spans="2:2" ht="15" x14ac:dyDescent="0.35">
      <c r="B215" s="21" t="s">
        <v>754</v>
      </c>
    </row>
    <row r="216" spans="2:2" ht="15" x14ac:dyDescent="0.35">
      <c r="B216" s="21" t="s">
        <v>755</v>
      </c>
    </row>
    <row r="217" spans="2:2" ht="15" x14ac:dyDescent="0.35">
      <c r="B217" s="21" t="s">
        <v>756</v>
      </c>
    </row>
    <row r="218" spans="2:2" ht="15" x14ac:dyDescent="0.35">
      <c r="B218" s="21" t="s">
        <v>757</v>
      </c>
    </row>
    <row r="219" spans="2:2" ht="15" x14ac:dyDescent="0.35">
      <c r="B219" s="21" t="s">
        <v>758</v>
      </c>
    </row>
    <row r="220" spans="2:2" ht="15" x14ac:dyDescent="0.35">
      <c r="B220" s="21" t="s">
        <v>759</v>
      </c>
    </row>
    <row r="221" spans="2:2" ht="15" x14ac:dyDescent="0.35">
      <c r="B221" s="21" t="s">
        <v>760</v>
      </c>
    </row>
    <row r="222" spans="2:2" ht="15" x14ac:dyDescent="0.35">
      <c r="B222" s="21" t="s">
        <v>761</v>
      </c>
    </row>
    <row r="223" spans="2:2" ht="15" x14ac:dyDescent="0.35">
      <c r="B223" s="21" t="s">
        <v>762</v>
      </c>
    </row>
    <row r="224" spans="2:2" ht="15" x14ac:dyDescent="0.35">
      <c r="B224" s="21" t="s">
        <v>763</v>
      </c>
    </row>
    <row r="225" spans="2:2" ht="15" x14ac:dyDescent="0.35">
      <c r="B225" s="21" t="s">
        <v>764</v>
      </c>
    </row>
    <row r="226" spans="2:2" ht="15" x14ac:dyDescent="0.35">
      <c r="B226" s="21" t="s">
        <v>765</v>
      </c>
    </row>
    <row r="227" spans="2:2" ht="15" x14ac:dyDescent="0.35">
      <c r="B227" s="21" t="s">
        <v>766</v>
      </c>
    </row>
    <row r="228" spans="2:2" ht="15" x14ac:dyDescent="0.35">
      <c r="B228" s="21" t="s">
        <v>767</v>
      </c>
    </row>
    <row r="229" spans="2:2" ht="15" x14ac:dyDescent="0.35">
      <c r="B229" s="21" t="s">
        <v>768</v>
      </c>
    </row>
    <row r="230" spans="2:2" ht="15" x14ac:dyDescent="0.35">
      <c r="B230" s="21" t="s">
        <v>769</v>
      </c>
    </row>
    <row r="231" spans="2:2" ht="15" x14ac:dyDescent="0.35">
      <c r="B231" s="21" t="s">
        <v>770</v>
      </c>
    </row>
    <row r="232" spans="2:2" ht="15" x14ac:dyDescent="0.35">
      <c r="B232" s="21" t="s">
        <v>771</v>
      </c>
    </row>
    <row r="233" spans="2:2" ht="15" x14ac:dyDescent="0.35">
      <c r="B233" s="21" t="s">
        <v>772</v>
      </c>
    </row>
    <row r="234" spans="2:2" ht="15" x14ac:dyDescent="0.35">
      <c r="B234" s="21" t="s">
        <v>773</v>
      </c>
    </row>
    <row r="235" spans="2:2" ht="15" x14ac:dyDescent="0.35">
      <c r="B235" s="21" t="s">
        <v>774</v>
      </c>
    </row>
    <row r="236" spans="2:2" ht="15" x14ac:dyDescent="0.35">
      <c r="B236" s="21" t="s">
        <v>775</v>
      </c>
    </row>
    <row r="237" spans="2:2" ht="15" x14ac:dyDescent="0.35">
      <c r="B237" s="21" t="s">
        <v>776</v>
      </c>
    </row>
    <row r="238" spans="2:2" ht="15" x14ac:dyDescent="0.35">
      <c r="B238" s="21" t="s">
        <v>777</v>
      </c>
    </row>
    <row r="239" spans="2:2" ht="15" x14ac:dyDescent="0.35">
      <c r="B239" s="21" t="s">
        <v>778</v>
      </c>
    </row>
    <row r="240" spans="2:2" ht="15" x14ac:dyDescent="0.35">
      <c r="B240" s="118" t="s">
        <v>779</v>
      </c>
    </row>
    <row r="241" spans="2:2" ht="15" x14ac:dyDescent="0.35">
      <c r="B241" s="118" t="s">
        <v>780</v>
      </c>
    </row>
    <row r="242" spans="2:2" ht="15" x14ac:dyDescent="0.35">
      <c r="B242" s="118" t="s">
        <v>781</v>
      </c>
    </row>
    <row r="243" spans="2:2" ht="15" x14ac:dyDescent="0.35">
      <c r="B243" s="118" t="s">
        <v>782</v>
      </c>
    </row>
    <row r="244" spans="2:2" ht="15" x14ac:dyDescent="0.35">
      <c r="B244" s="118" t="s">
        <v>783</v>
      </c>
    </row>
    <row r="245" spans="2:2" ht="15" x14ac:dyDescent="0.35">
      <c r="B245" s="118" t="s">
        <v>784</v>
      </c>
    </row>
    <row r="246" spans="2:2" ht="15" x14ac:dyDescent="0.35">
      <c r="B246" s="118" t="s">
        <v>785</v>
      </c>
    </row>
    <row r="247" spans="2:2" ht="15" x14ac:dyDescent="0.35">
      <c r="B247" s="118" t="s">
        <v>786</v>
      </c>
    </row>
    <row r="248" spans="2:2" ht="15" x14ac:dyDescent="0.35">
      <c r="B248" s="118" t="s">
        <v>787</v>
      </c>
    </row>
  </sheetData>
  <pageMargins left="0.7" right="0.7" top="0.75" bottom="0.75" header="0.511811023622047" footer="0.511811023622047"/>
  <pageSetup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0:C156"/>
  <sheetViews>
    <sheetView showGridLines="0" topLeftCell="A144" zoomScale="90" zoomScaleNormal="90" workbookViewId="0">
      <selection activeCell="B91" sqref="B91:B156"/>
    </sheetView>
  </sheetViews>
  <sheetFormatPr baseColWidth="10" defaultColWidth="10.54296875" defaultRowHeight="14.5" x14ac:dyDescent="0.35"/>
  <cols>
    <col min="2" max="2" width="100.90625" customWidth="1"/>
    <col min="4" max="4" width="60.453125" customWidth="1"/>
  </cols>
  <sheetData>
    <row r="10" spans="2:3" ht="15" x14ac:dyDescent="0.35">
      <c r="B10" s="17" t="s">
        <v>40</v>
      </c>
    </row>
    <row r="11" spans="2:3" ht="15" x14ac:dyDescent="0.35">
      <c r="B11" s="18" t="s">
        <v>5</v>
      </c>
    </row>
    <row r="12" spans="2:3" ht="15" x14ac:dyDescent="0.4">
      <c r="B12" s="19"/>
    </row>
    <row r="13" spans="2:3" ht="15" x14ac:dyDescent="0.4">
      <c r="B13" s="20" t="s">
        <v>41</v>
      </c>
    </row>
    <row r="14" spans="2:3" ht="15" x14ac:dyDescent="0.35">
      <c r="B14" s="21" t="s">
        <v>42</v>
      </c>
    </row>
    <row r="15" spans="2:3" ht="15" x14ac:dyDescent="0.35">
      <c r="B15" s="21" t="s">
        <v>43</v>
      </c>
      <c r="C15" s="22"/>
    </row>
    <row r="16" spans="2:3" ht="15" x14ac:dyDescent="0.35">
      <c r="B16" s="21" t="s">
        <v>44</v>
      </c>
      <c r="C16" s="22"/>
    </row>
    <row r="17" spans="2:3" ht="15" x14ac:dyDescent="0.4">
      <c r="B17" s="23" t="s">
        <v>418</v>
      </c>
      <c r="C17" s="22"/>
    </row>
    <row r="18" spans="2:3" ht="15" x14ac:dyDescent="0.4">
      <c r="B18" s="23" t="s">
        <v>419</v>
      </c>
      <c r="C18" s="22"/>
    </row>
    <row r="19" spans="2:3" ht="15" x14ac:dyDescent="0.4">
      <c r="B19" s="23" t="s">
        <v>420</v>
      </c>
      <c r="C19" s="22"/>
    </row>
    <row r="20" spans="2:3" ht="15" x14ac:dyDescent="0.4">
      <c r="B20" s="23" t="s">
        <v>421</v>
      </c>
      <c r="C20" s="22"/>
    </row>
    <row r="21" spans="2:3" ht="15" x14ac:dyDescent="0.4">
      <c r="B21" s="23" t="s">
        <v>422</v>
      </c>
      <c r="C21" s="22"/>
    </row>
    <row r="22" spans="2:3" ht="15" x14ac:dyDescent="0.4">
      <c r="B22" s="116"/>
      <c r="C22" s="22"/>
    </row>
    <row r="23" spans="2:3" ht="15" x14ac:dyDescent="0.35">
      <c r="B23" s="25" t="s">
        <v>423</v>
      </c>
      <c r="C23" s="22"/>
    </row>
    <row r="24" spans="2:3" ht="15" x14ac:dyDescent="0.35">
      <c r="B24" s="21" t="s">
        <v>428</v>
      </c>
      <c r="C24" s="22"/>
    </row>
    <row r="25" spans="2:3" ht="15" x14ac:dyDescent="0.35">
      <c r="B25" s="21" t="s">
        <v>427</v>
      </c>
      <c r="C25" s="24"/>
    </row>
    <row r="26" spans="2:3" ht="15" x14ac:dyDescent="0.35">
      <c r="B26" s="21" t="s">
        <v>426</v>
      </c>
      <c r="C26" s="22"/>
    </row>
    <row r="27" spans="2:3" ht="15" x14ac:dyDescent="0.35">
      <c r="B27" s="21" t="s">
        <v>425</v>
      </c>
      <c r="C27" s="22"/>
    </row>
    <row r="28" spans="2:3" ht="15" x14ac:dyDescent="0.35">
      <c r="B28" s="21" t="s">
        <v>424</v>
      </c>
      <c r="C28" s="22"/>
    </row>
    <row r="29" spans="2:3" ht="15" x14ac:dyDescent="0.35">
      <c r="B29" s="21" t="s">
        <v>429</v>
      </c>
    </row>
    <row r="30" spans="2:3" ht="15" x14ac:dyDescent="0.35">
      <c r="B30" s="21" t="s">
        <v>430</v>
      </c>
    </row>
    <row r="31" spans="2:3" ht="15" x14ac:dyDescent="0.35">
      <c r="B31" s="21" t="s">
        <v>431</v>
      </c>
    </row>
    <row r="32" spans="2:3" ht="15" x14ac:dyDescent="0.35">
      <c r="B32" s="21" t="s">
        <v>432</v>
      </c>
    </row>
    <row r="33" spans="2:2" ht="15" x14ac:dyDescent="0.35">
      <c r="B33" s="21" t="s">
        <v>433</v>
      </c>
    </row>
    <row r="34" spans="2:2" ht="15" x14ac:dyDescent="0.35">
      <c r="B34" s="21" t="s">
        <v>434</v>
      </c>
    </row>
    <row r="35" spans="2:2" ht="15" x14ac:dyDescent="0.35">
      <c r="B35" s="21" t="s">
        <v>435</v>
      </c>
    </row>
    <row r="36" spans="2:2" ht="15" x14ac:dyDescent="0.35">
      <c r="B36" s="21" t="s">
        <v>436</v>
      </c>
    </row>
    <row r="37" spans="2:2" ht="15" x14ac:dyDescent="0.35">
      <c r="B37" s="21" t="s">
        <v>437</v>
      </c>
    </row>
    <row r="38" spans="2:2" ht="15" x14ac:dyDescent="0.35">
      <c r="B38" s="21" t="s">
        <v>438</v>
      </c>
    </row>
    <row r="39" spans="2:2" ht="15" x14ac:dyDescent="0.35">
      <c r="B39" s="21" t="s">
        <v>439</v>
      </c>
    </row>
    <row r="40" spans="2:2" ht="15" x14ac:dyDescent="0.35">
      <c r="B40" s="21" t="s">
        <v>440</v>
      </c>
    </row>
    <row r="41" spans="2:2" ht="15" x14ac:dyDescent="0.35">
      <c r="B41" s="21" t="s">
        <v>441</v>
      </c>
    </row>
    <row r="42" spans="2:2" ht="15" x14ac:dyDescent="0.35">
      <c r="B42" s="21" t="s">
        <v>442</v>
      </c>
    </row>
    <row r="43" spans="2:2" ht="15" x14ac:dyDescent="0.35">
      <c r="B43" s="21" t="s">
        <v>443</v>
      </c>
    </row>
    <row r="44" spans="2:2" ht="15" x14ac:dyDescent="0.35">
      <c r="B44" s="21" t="s">
        <v>444</v>
      </c>
    </row>
    <row r="45" spans="2:2" ht="15" x14ac:dyDescent="0.35">
      <c r="B45" s="21" t="s">
        <v>445</v>
      </c>
    </row>
    <row r="46" spans="2:2" ht="15" x14ac:dyDescent="0.35">
      <c r="B46" s="21" t="s">
        <v>446</v>
      </c>
    </row>
    <row r="47" spans="2:2" ht="15" x14ac:dyDescent="0.35">
      <c r="B47" s="21" t="s">
        <v>447</v>
      </c>
    </row>
    <row r="48" spans="2:2" ht="15" x14ac:dyDescent="0.35">
      <c r="B48" s="21" t="s">
        <v>448</v>
      </c>
    </row>
    <row r="49" spans="2:2" ht="15" x14ac:dyDescent="0.35">
      <c r="B49" s="21" t="s">
        <v>449</v>
      </c>
    </row>
    <row r="50" spans="2:2" ht="15" x14ac:dyDescent="0.35">
      <c r="B50" s="21" t="s">
        <v>450</v>
      </c>
    </row>
    <row r="51" spans="2:2" ht="15" x14ac:dyDescent="0.35">
      <c r="B51" s="21" t="s">
        <v>451</v>
      </c>
    </row>
    <row r="52" spans="2:2" ht="15" x14ac:dyDescent="0.35">
      <c r="B52" s="21" t="s">
        <v>452</v>
      </c>
    </row>
    <row r="53" spans="2:2" ht="15" x14ac:dyDescent="0.35">
      <c r="B53" s="21" t="s">
        <v>453</v>
      </c>
    </row>
    <row r="54" spans="2:2" ht="15" x14ac:dyDescent="0.35">
      <c r="B54" s="21" t="s">
        <v>454</v>
      </c>
    </row>
    <row r="55" spans="2:2" ht="15" x14ac:dyDescent="0.35">
      <c r="B55" s="21" t="s">
        <v>455</v>
      </c>
    </row>
    <row r="56" spans="2:2" ht="15" x14ac:dyDescent="0.35">
      <c r="B56" s="21" t="s">
        <v>456</v>
      </c>
    </row>
    <row r="57" spans="2:2" ht="15" x14ac:dyDescent="0.35">
      <c r="B57" s="21" t="s">
        <v>457</v>
      </c>
    </row>
    <row r="58" spans="2:2" ht="15" x14ac:dyDescent="0.35">
      <c r="B58" s="21" t="s">
        <v>458</v>
      </c>
    </row>
    <row r="59" spans="2:2" ht="15" x14ac:dyDescent="0.35">
      <c r="B59" s="21" t="s">
        <v>459</v>
      </c>
    </row>
    <row r="60" spans="2:2" ht="15" x14ac:dyDescent="0.35">
      <c r="B60" s="21" t="s">
        <v>460</v>
      </c>
    </row>
    <row r="61" spans="2:2" ht="15" x14ac:dyDescent="0.35">
      <c r="B61" s="21" t="s">
        <v>461</v>
      </c>
    </row>
    <row r="62" spans="2:2" ht="15" x14ac:dyDescent="0.35">
      <c r="B62" s="21" t="s">
        <v>462</v>
      </c>
    </row>
    <row r="63" spans="2:2" ht="15" x14ac:dyDescent="0.35">
      <c r="B63" s="21" t="s">
        <v>463</v>
      </c>
    </row>
    <row r="64" spans="2:2" ht="15" x14ac:dyDescent="0.35">
      <c r="B64" s="21" t="s">
        <v>464</v>
      </c>
    </row>
    <row r="65" spans="2:2" ht="15" x14ac:dyDescent="0.35">
      <c r="B65" s="21" t="s">
        <v>465</v>
      </c>
    </row>
    <row r="66" spans="2:2" ht="15" x14ac:dyDescent="0.35">
      <c r="B66" s="21" t="s">
        <v>466</v>
      </c>
    </row>
    <row r="67" spans="2:2" ht="15" x14ac:dyDescent="0.35">
      <c r="B67" s="21" t="s">
        <v>467</v>
      </c>
    </row>
    <row r="68" spans="2:2" ht="15" x14ac:dyDescent="0.35">
      <c r="B68" s="21" t="s">
        <v>468</v>
      </c>
    </row>
    <row r="69" spans="2:2" ht="15" x14ac:dyDescent="0.35">
      <c r="B69" s="21" t="s">
        <v>469</v>
      </c>
    </row>
    <row r="70" spans="2:2" ht="15" x14ac:dyDescent="0.35">
      <c r="B70" s="21" t="s">
        <v>470</v>
      </c>
    </row>
    <row r="71" spans="2:2" ht="15" x14ac:dyDescent="0.35">
      <c r="B71" s="21" t="s">
        <v>471</v>
      </c>
    </row>
    <row r="72" spans="2:2" ht="15" x14ac:dyDescent="0.35">
      <c r="B72" s="21" t="s">
        <v>472</v>
      </c>
    </row>
    <row r="73" spans="2:2" ht="15" x14ac:dyDescent="0.35">
      <c r="B73" s="21" t="s">
        <v>473</v>
      </c>
    </row>
    <row r="74" spans="2:2" ht="15" x14ac:dyDescent="0.35">
      <c r="B74" s="21" t="s">
        <v>474</v>
      </c>
    </row>
    <row r="75" spans="2:2" ht="15" x14ac:dyDescent="0.35">
      <c r="B75" s="21" t="s">
        <v>475</v>
      </c>
    </row>
    <row r="76" spans="2:2" ht="15" x14ac:dyDescent="0.35">
      <c r="B76" s="21" t="s">
        <v>476</v>
      </c>
    </row>
    <row r="77" spans="2:2" ht="15" x14ac:dyDescent="0.35">
      <c r="B77" s="21" t="s">
        <v>477</v>
      </c>
    </row>
    <row r="78" spans="2:2" ht="15" x14ac:dyDescent="0.35">
      <c r="B78" s="21" t="s">
        <v>478</v>
      </c>
    </row>
    <row r="79" spans="2:2" ht="15" x14ac:dyDescent="0.35">
      <c r="B79" s="21" t="s">
        <v>479</v>
      </c>
    </row>
    <row r="80" spans="2:2" ht="15" x14ac:dyDescent="0.35">
      <c r="B80" s="118" t="s">
        <v>518</v>
      </c>
    </row>
    <row r="81" spans="2:2" ht="15" x14ac:dyDescent="0.35">
      <c r="B81" s="118" t="s">
        <v>519</v>
      </c>
    </row>
    <row r="82" spans="2:2" ht="15" x14ac:dyDescent="0.35">
      <c r="B82" s="118" t="s">
        <v>520</v>
      </c>
    </row>
    <row r="83" spans="2:2" ht="15" x14ac:dyDescent="0.35">
      <c r="B83" s="118" t="s">
        <v>521</v>
      </c>
    </row>
    <row r="84" spans="2:2" ht="15" x14ac:dyDescent="0.35">
      <c r="B84" s="118" t="s">
        <v>522</v>
      </c>
    </row>
    <row r="85" spans="2:2" ht="15" x14ac:dyDescent="0.35">
      <c r="B85" s="118" t="s">
        <v>523</v>
      </c>
    </row>
    <row r="86" spans="2:2" ht="15" x14ac:dyDescent="0.35">
      <c r="B86" s="118" t="s">
        <v>524</v>
      </c>
    </row>
    <row r="87" spans="2:2" ht="15" x14ac:dyDescent="0.35">
      <c r="B87" s="118" t="s">
        <v>525</v>
      </c>
    </row>
    <row r="88" spans="2:2" ht="15" x14ac:dyDescent="0.35">
      <c r="B88" s="118" t="s">
        <v>526</v>
      </c>
    </row>
    <row r="89" spans="2:2" ht="15" x14ac:dyDescent="0.35">
      <c r="B89" s="117"/>
    </row>
    <row r="90" spans="2:2" ht="15" x14ac:dyDescent="0.35">
      <c r="B90" s="24"/>
    </row>
    <row r="91" spans="2:2" ht="15" x14ac:dyDescent="0.35">
      <c r="B91" s="25" t="s">
        <v>495</v>
      </c>
    </row>
    <row r="92" spans="2:2" ht="15" x14ac:dyDescent="0.35">
      <c r="B92" s="21" t="s">
        <v>574</v>
      </c>
    </row>
    <row r="93" spans="2:2" ht="15" x14ac:dyDescent="0.35">
      <c r="B93" s="21" t="s">
        <v>575</v>
      </c>
    </row>
    <row r="94" spans="2:2" ht="15" x14ac:dyDescent="0.35">
      <c r="B94" s="21" t="s">
        <v>576</v>
      </c>
    </row>
    <row r="95" spans="2:2" ht="15" x14ac:dyDescent="0.35">
      <c r="B95" s="21" t="s">
        <v>577</v>
      </c>
    </row>
    <row r="96" spans="2:2" ht="15" x14ac:dyDescent="0.35">
      <c r="B96" s="21" t="s">
        <v>578</v>
      </c>
    </row>
    <row r="97" spans="2:2" ht="15" x14ac:dyDescent="0.35">
      <c r="B97" s="21" t="s">
        <v>579</v>
      </c>
    </row>
    <row r="98" spans="2:2" ht="15" x14ac:dyDescent="0.35">
      <c r="B98" s="21" t="s">
        <v>580</v>
      </c>
    </row>
    <row r="99" spans="2:2" ht="15" x14ac:dyDescent="0.35">
      <c r="B99" s="21" t="s">
        <v>581</v>
      </c>
    </row>
    <row r="100" spans="2:2" ht="15" x14ac:dyDescent="0.35">
      <c r="B100" s="21" t="s">
        <v>582</v>
      </c>
    </row>
    <row r="101" spans="2:2" ht="15" x14ac:dyDescent="0.35">
      <c r="B101" s="21" t="s">
        <v>583</v>
      </c>
    </row>
    <row r="102" spans="2:2" ht="15" x14ac:dyDescent="0.35">
      <c r="B102" s="21" t="s">
        <v>584</v>
      </c>
    </row>
    <row r="103" spans="2:2" ht="15" x14ac:dyDescent="0.35">
      <c r="B103" s="21" t="s">
        <v>585</v>
      </c>
    </row>
    <row r="104" spans="2:2" ht="15" x14ac:dyDescent="0.35">
      <c r="B104" s="21" t="s">
        <v>586</v>
      </c>
    </row>
    <row r="105" spans="2:2" ht="15" x14ac:dyDescent="0.35">
      <c r="B105" s="21" t="s">
        <v>587</v>
      </c>
    </row>
    <row r="106" spans="2:2" ht="15" x14ac:dyDescent="0.35">
      <c r="B106" s="21" t="s">
        <v>588</v>
      </c>
    </row>
    <row r="107" spans="2:2" ht="15" x14ac:dyDescent="0.35">
      <c r="B107" s="21" t="s">
        <v>589</v>
      </c>
    </row>
    <row r="108" spans="2:2" ht="15" x14ac:dyDescent="0.35">
      <c r="B108" s="21" t="s">
        <v>590</v>
      </c>
    </row>
    <row r="109" spans="2:2" ht="15" x14ac:dyDescent="0.35">
      <c r="B109" s="21" t="s">
        <v>591</v>
      </c>
    </row>
    <row r="110" spans="2:2" ht="15" x14ac:dyDescent="0.35">
      <c r="B110" s="21" t="s">
        <v>592</v>
      </c>
    </row>
    <row r="111" spans="2:2" ht="15" x14ac:dyDescent="0.35">
      <c r="B111" s="21" t="s">
        <v>593</v>
      </c>
    </row>
    <row r="112" spans="2:2" ht="15" x14ac:dyDescent="0.35">
      <c r="B112" s="21" t="s">
        <v>594</v>
      </c>
    </row>
    <row r="113" spans="2:2" ht="15" x14ac:dyDescent="0.35">
      <c r="B113" s="21" t="s">
        <v>595</v>
      </c>
    </row>
    <row r="114" spans="2:2" ht="15" x14ac:dyDescent="0.35">
      <c r="B114" s="21" t="s">
        <v>596</v>
      </c>
    </row>
    <row r="115" spans="2:2" ht="15" x14ac:dyDescent="0.35">
      <c r="B115" s="21" t="s">
        <v>597</v>
      </c>
    </row>
    <row r="116" spans="2:2" ht="15" x14ac:dyDescent="0.35">
      <c r="B116" s="21" t="s">
        <v>598</v>
      </c>
    </row>
    <row r="117" spans="2:2" ht="15" x14ac:dyDescent="0.35">
      <c r="B117" s="21" t="s">
        <v>599</v>
      </c>
    </row>
    <row r="118" spans="2:2" ht="15" x14ac:dyDescent="0.35">
      <c r="B118" s="21" t="s">
        <v>600</v>
      </c>
    </row>
    <row r="119" spans="2:2" ht="15" x14ac:dyDescent="0.35">
      <c r="B119" s="21" t="s">
        <v>601</v>
      </c>
    </row>
    <row r="120" spans="2:2" ht="15" x14ac:dyDescent="0.35">
      <c r="B120" s="21" t="s">
        <v>602</v>
      </c>
    </row>
    <row r="121" spans="2:2" ht="15" x14ac:dyDescent="0.35">
      <c r="B121" s="21" t="s">
        <v>603</v>
      </c>
    </row>
    <row r="122" spans="2:2" ht="15" x14ac:dyDescent="0.35">
      <c r="B122" s="21" t="s">
        <v>604</v>
      </c>
    </row>
    <row r="123" spans="2:2" ht="15" x14ac:dyDescent="0.35">
      <c r="B123" s="21" t="s">
        <v>605</v>
      </c>
    </row>
    <row r="124" spans="2:2" ht="15" x14ac:dyDescent="0.35">
      <c r="B124" s="21" t="s">
        <v>606</v>
      </c>
    </row>
    <row r="125" spans="2:2" ht="15" x14ac:dyDescent="0.35">
      <c r="B125" s="21" t="s">
        <v>607</v>
      </c>
    </row>
    <row r="126" spans="2:2" ht="15" x14ac:dyDescent="0.35">
      <c r="B126" s="21" t="s">
        <v>608</v>
      </c>
    </row>
    <row r="127" spans="2:2" ht="15" x14ac:dyDescent="0.35">
      <c r="B127" s="21" t="s">
        <v>609</v>
      </c>
    </row>
    <row r="128" spans="2:2" ht="15" x14ac:dyDescent="0.35">
      <c r="B128" s="21" t="s">
        <v>610</v>
      </c>
    </row>
    <row r="129" spans="2:2" ht="15" x14ac:dyDescent="0.35">
      <c r="B129" s="21" t="s">
        <v>611</v>
      </c>
    </row>
    <row r="130" spans="2:2" ht="15" x14ac:dyDescent="0.35">
      <c r="B130" s="21" t="s">
        <v>612</v>
      </c>
    </row>
    <row r="131" spans="2:2" ht="15" x14ac:dyDescent="0.35">
      <c r="B131" s="21" t="s">
        <v>613</v>
      </c>
    </row>
    <row r="132" spans="2:2" ht="15" x14ac:dyDescent="0.35">
      <c r="B132" s="21" t="s">
        <v>614</v>
      </c>
    </row>
    <row r="133" spans="2:2" ht="15" x14ac:dyDescent="0.35">
      <c r="B133" s="21" t="s">
        <v>615</v>
      </c>
    </row>
    <row r="134" spans="2:2" ht="15" x14ac:dyDescent="0.35">
      <c r="B134" s="21" t="s">
        <v>616</v>
      </c>
    </row>
    <row r="135" spans="2:2" ht="15" x14ac:dyDescent="0.35">
      <c r="B135" s="21" t="s">
        <v>617</v>
      </c>
    </row>
    <row r="136" spans="2:2" ht="15" x14ac:dyDescent="0.35">
      <c r="B136" s="21" t="s">
        <v>618</v>
      </c>
    </row>
    <row r="137" spans="2:2" ht="15" x14ac:dyDescent="0.35">
      <c r="B137" s="21" t="s">
        <v>619</v>
      </c>
    </row>
    <row r="138" spans="2:2" ht="15" x14ac:dyDescent="0.35">
      <c r="B138" s="21" t="s">
        <v>620</v>
      </c>
    </row>
    <row r="139" spans="2:2" ht="15" x14ac:dyDescent="0.35">
      <c r="B139" s="21" t="s">
        <v>621</v>
      </c>
    </row>
    <row r="140" spans="2:2" ht="15" x14ac:dyDescent="0.35">
      <c r="B140" s="21" t="s">
        <v>622</v>
      </c>
    </row>
    <row r="141" spans="2:2" ht="15" x14ac:dyDescent="0.35">
      <c r="B141" s="21" t="s">
        <v>623</v>
      </c>
    </row>
    <row r="142" spans="2:2" ht="15" x14ac:dyDescent="0.35">
      <c r="B142" s="21" t="s">
        <v>624</v>
      </c>
    </row>
    <row r="143" spans="2:2" ht="15" x14ac:dyDescent="0.35">
      <c r="B143" s="21" t="s">
        <v>625</v>
      </c>
    </row>
    <row r="144" spans="2:2" ht="15" x14ac:dyDescent="0.35">
      <c r="B144" s="21" t="s">
        <v>626</v>
      </c>
    </row>
    <row r="145" spans="2:2" ht="15" x14ac:dyDescent="0.35">
      <c r="B145" s="21" t="s">
        <v>627</v>
      </c>
    </row>
    <row r="146" spans="2:2" ht="15" x14ac:dyDescent="0.35">
      <c r="B146" s="21" t="s">
        <v>628</v>
      </c>
    </row>
    <row r="147" spans="2:2" ht="15" x14ac:dyDescent="0.35">
      <c r="B147" s="21" t="s">
        <v>629</v>
      </c>
    </row>
    <row r="148" spans="2:2" ht="15" x14ac:dyDescent="0.35">
      <c r="B148" s="118" t="s">
        <v>630</v>
      </c>
    </row>
    <row r="149" spans="2:2" ht="15" x14ac:dyDescent="0.35">
      <c r="B149" s="118" t="s">
        <v>631</v>
      </c>
    </row>
    <row r="150" spans="2:2" ht="15" x14ac:dyDescent="0.35">
      <c r="B150" s="118" t="s">
        <v>632</v>
      </c>
    </row>
    <row r="151" spans="2:2" ht="15" x14ac:dyDescent="0.35">
      <c r="B151" s="118" t="s">
        <v>633</v>
      </c>
    </row>
    <row r="152" spans="2:2" ht="15" x14ac:dyDescent="0.35">
      <c r="B152" s="118" t="s">
        <v>634</v>
      </c>
    </row>
    <row r="153" spans="2:2" ht="15" x14ac:dyDescent="0.35">
      <c r="B153" s="118" t="s">
        <v>635</v>
      </c>
    </row>
    <row r="154" spans="2:2" ht="15" x14ac:dyDescent="0.35">
      <c r="B154" s="118" t="s">
        <v>636</v>
      </c>
    </row>
    <row r="155" spans="2:2" ht="15" x14ac:dyDescent="0.35">
      <c r="B155" s="118" t="s">
        <v>637</v>
      </c>
    </row>
    <row r="156" spans="2:2" ht="15" x14ac:dyDescent="0.35">
      <c r="B156" s="118" t="s">
        <v>638</v>
      </c>
    </row>
  </sheetData>
  <pageMargins left="0.7" right="0.7" top="0.75" bottom="0.75" header="0.511811023622047" footer="0.511811023622047"/>
  <pageSetup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0:AMJ1039"/>
  <sheetViews>
    <sheetView showGridLines="0" topLeftCell="A32" zoomScale="50" zoomScaleNormal="55" zoomScalePageLayoutView="50" workbookViewId="0">
      <selection activeCell="G38" sqref="G38"/>
    </sheetView>
  </sheetViews>
  <sheetFormatPr baseColWidth="10" defaultColWidth="10.26953125" defaultRowHeight="14.5" x14ac:dyDescent="0.35"/>
  <cols>
    <col min="1" max="1" width="29.26953125" style="26" customWidth="1"/>
    <col min="2" max="2" width="10.08984375" style="26" customWidth="1"/>
    <col min="3" max="3" width="49.81640625" style="26" customWidth="1"/>
    <col min="4" max="4" width="13.1796875" style="26" customWidth="1"/>
    <col min="5" max="5" width="44.26953125" style="26" customWidth="1"/>
    <col min="6" max="6" width="31.1796875" style="26" customWidth="1"/>
    <col min="7" max="7" width="28.453125" style="26" customWidth="1"/>
    <col min="8" max="8" width="26.26953125" style="26" customWidth="1"/>
    <col min="9" max="9" width="29.54296875" style="26" customWidth="1"/>
    <col min="10" max="10" width="14.6328125" style="26" customWidth="1"/>
    <col min="11" max="1024" width="10.26953125" style="26"/>
  </cols>
  <sheetData>
    <row r="10" spans="1:8" s="27" customFormat="1" ht="25.5" customHeight="1" x14ac:dyDescent="0.4">
      <c r="D10" s="90" t="s">
        <v>5</v>
      </c>
      <c r="E10" s="90"/>
    </row>
    <row r="11" spans="1:8" s="27" customFormat="1" ht="25.5" customHeight="1" x14ac:dyDescent="0.4"/>
    <row r="12" spans="1:8" s="27" customFormat="1" ht="24" customHeight="1" x14ac:dyDescent="0.4">
      <c r="A12" s="87" t="s">
        <v>45</v>
      </c>
      <c r="B12" s="87"/>
      <c r="C12" s="91"/>
      <c r="D12" s="91"/>
      <c r="E12" s="28"/>
      <c r="F12" s="28"/>
      <c r="G12" s="28"/>
    </row>
    <row r="13" spans="1:8" s="27" customFormat="1" ht="23.25" customHeight="1" x14ac:dyDescent="0.4">
      <c r="A13" s="87" t="s">
        <v>46</v>
      </c>
      <c r="B13" s="87"/>
      <c r="C13" s="92">
        <v>8211</v>
      </c>
      <c r="D13" s="92"/>
      <c r="E13" s="28"/>
      <c r="F13" s="28"/>
      <c r="G13" s="28"/>
    </row>
    <row r="14" spans="1:8" s="27" customFormat="1" ht="28.5" customHeight="1" x14ac:dyDescent="0.4">
      <c r="A14" s="87" t="s">
        <v>47</v>
      </c>
      <c r="B14" s="87"/>
      <c r="C14" s="88" t="s">
        <v>48</v>
      </c>
      <c r="D14" s="88"/>
      <c r="E14" s="28"/>
      <c r="F14" s="28"/>
      <c r="G14" s="28"/>
      <c r="H14" s="29"/>
    </row>
    <row r="15" spans="1:8" s="27" customFormat="1" ht="30" customHeight="1" x14ac:dyDescent="0.4">
      <c r="A15" s="89" t="s">
        <v>49</v>
      </c>
      <c r="B15" s="89"/>
      <c r="C15" s="89"/>
      <c r="D15" s="30"/>
      <c r="E15" s="30"/>
      <c r="F15" s="30"/>
      <c r="G15" s="30"/>
    </row>
    <row r="16" spans="1:8" s="31" customFormat="1" ht="13.5" customHeight="1" x14ac:dyDescent="0.4"/>
    <row r="17" spans="1:14" s="36" customFormat="1" ht="59.25" customHeight="1" x14ac:dyDescent="0.4">
      <c r="A17" s="32" t="s">
        <v>50</v>
      </c>
      <c r="B17" s="32" t="s">
        <v>51</v>
      </c>
      <c r="C17" s="33" t="s">
        <v>52</v>
      </c>
      <c r="D17" s="33" t="s">
        <v>53</v>
      </c>
      <c r="E17" s="33" t="s">
        <v>54</v>
      </c>
      <c r="F17" s="33" t="s">
        <v>55</v>
      </c>
      <c r="G17" s="33" t="s">
        <v>56</v>
      </c>
      <c r="H17" s="34" t="s">
        <v>57</v>
      </c>
      <c r="I17" s="34" t="s">
        <v>58</v>
      </c>
      <c r="J17" s="35" t="s">
        <v>59</v>
      </c>
      <c r="K17" s="73"/>
      <c r="L17" s="73"/>
      <c r="M17" s="73"/>
      <c r="N17" s="73"/>
    </row>
    <row r="18" spans="1:14" s="36" customFormat="1" ht="15" customHeight="1" x14ac:dyDescent="0.4">
      <c r="A18" s="37"/>
      <c r="B18" s="38" t="s">
        <v>60</v>
      </c>
      <c r="C18" s="38" t="s">
        <v>61</v>
      </c>
      <c r="D18" s="38"/>
      <c r="E18" s="38"/>
      <c r="F18" s="38"/>
      <c r="G18" s="37"/>
      <c r="H18" s="37"/>
      <c r="I18" s="39"/>
      <c r="J18" s="39"/>
      <c r="K18" s="73"/>
      <c r="L18" s="73"/>
      <c r="M18" s="73"/>
      <c r="N18" s="73"/>
    </row>
    <row r="19" spans="1:14" s="22" customFormat="1" ht="29" x14ac:dyDescent="0.35">
      <c r="A19" s="40" t="s">
        <v>62</v>
      </c>
      <c r="B19" s="40"/>
      <c r="C19" s="41" t="s">
        <v>61</v>
      </c>
      <c r="D19" s="42">
        <v>1</v>
      </c>
      <c r="E19" s="43" t="s">
        <v>63</v>
      </c>
      <c r="F19" s="43"/>
      <c r="G19" s="43"/>
      <c r="H19" s="42" t="s">
        <v>64</v>
      </c>
      <c r="I19" s="41" t="s">
        <v>65</v>
      </c>
      <c r="J19" s="43"/>
      <c r="K19" s="44"/>
      <c r="L19" s="44"/>
      <c r="M19" s="44"/>
      <c r="N19" s="44"/>
    </row>
    <row r="20" spans="1:14" s="22" customFormat="1" ht="333.5" x14ac:dyDescent="0.35">
      <c r="A20" s="40" t="s">
        <v>62</v>
      </c>
      <c r="B20" s="40"/>
      <c r="C20" s="41" t="s">
        <v>61</v>
      </c>
      <c r="D20" s="42">
        <v>2</v>
      </c>
      <c r="E20" s="43" t="s">
        <v>66</v>
      </c>
      <c r="F20" s="43" t="s">
        <v>67</v>
      </c>
      <c r="G20" s="43" t="s">
        <v>68</v>
      </c>
      <c r="H20" s="42"/>
      <c r="I20" s="45" t="s">
        <v>69</v>
      </c>
      <c r="J20" s="43"/>
      <c r="K20" s="44"/>
      <c r="L20" s="44"/>
      <c r="M20" s="44"/>
      <c r="N20" s="44"/>
    </row>
    <row r="21" spans="1:14" s="22" customFormat="1" ht="43.5" x14ac:dyDescent="0.35">
      <c r="A21" s="40" t="s">
        <v>62</v>
      </c>
      <c r="B21" s="40"/>
      <c r="C21" s="41" t="s">
        <v>61</v>
      </c>
      <c r="D21" s="42">
        <v>3</v>
      </c>
      <c r="E21" s="43" t="s">
        <v>70</v>
      </c>
      <c r="F21" s="43" t="s">
        <v>71</v>
      </c>
      <c r="G21" s="43"/>
      <c r="H21" s="42"/>
      <c r="I21" s="41"/>
      <c r="J21" s="43"/>
      <c r="K21" s="44"/>
      <c r="L21" s="44"/>
      <c r="M21" s="44"/>
      <c r="N21" s="44"/>
    </row>
    <row r="22" spans="1:14" s="22" customFormat="1" ht="29" x14ac:dyDescent="0.35">
      <c r="A22" s="40" t="s">
        <v>62</v>
      </c>
      <c r="B22" s="40"/>
      <c r="C22" s="41" t="s">
        <v>61</v>
      </c>
      <c r="D22" s="42">
        <v>4</v>
      </c>
      <c r="E22" s="43" t="s">
        <v>72</v>
      </c>
      <c r="F22" s="43" t="s">
        <v>73</v>
      </c>
      <c r="G22" s="43"/>
      <c r="H22" s="42"/>
      <c r="I22" s="41"/>
      <c r="J22" s="43"/>
      <c r="K22" s="44"/>
      <c r="L22" s="44"/>
      <c r="M22" s="44"/>
      <c r="N22" s="44"/>
    </row>
    <row r="23" spans="1:14" s="22" customFormat="1" ht="29" x14ac:dyDescent="0.35">
      <c r="A23" s="40" t="s">
        <v>62</v>
      </c>
      <c r="B23" s="40"/>
      <c r="C23" s="41" t="s">
        <v>61</v>
      </c>
      <c r="D23" s="42">
        <v>5</v>
      </c>
      <c r="E23" s="43" t="s">
        <v>74</v>
      </c>
      <c r="F23" s="43" t="s">
        <v>75</v>
      </c>
      <c r="G23" s="43"/>
      <c r="H23" s="42"/>
      <c r="I23" s="41"/>
      <c r="J23" s="43"/>
      <c r="K23" s="44"/>
      <c r="L23" s="44"/>
      <c r="M23" s="44"/>
      <c r="N23" s="44"/>
    </row>
    <row r="24" spans="1:14" s="22" customFormat="1" ht="203" x14ac:dyDescent="0.35">
      <c r="A24" s="40" t="s">
        <v>62</v>
      </c>
      <c r="B24" s="40"/>
      <c r="C24" s="41" t="s">
        <v>61</v>
      </c>
      <c r="D24" s="42">
        <v>6</v>
      </c>
      <c r="E24" s="43" t="s">
        <v>76</v>
      </c>
      <c r="F24" s="43" t="s">
        <v>398</v>
      </c>
      <c r="G24" s="43" t="s">
        <v>77</v>
      </c>
      <c r="H24" s="42"/>
      <c r="I24" s="41"/>
      <c r="J24" s="43"/>
      <c r="K24" s="44"/>
      <c r="L24" s="44"/>
      <c r="M24" s="44"/>
      <c r="N24" s="44"/>
    </row>
    <row r="25" spans="1:14" s="22" customFormat="1" ht="15" customHeight="1" x14ac:dyDescent="0.35">
      <c r="A25" s="37"/>
      <c r="B25" s="38" t="s">
        <v>78</v>
      </c>
      <c r="C25" s="38" t="s">
        <v>79</v>
      </c>
      <c r="D25" s="38"/>
      <c r="E25" s="38"/>
      <c r="F25" s="38"/>
      <c r="G25" s="37"/>
      <c r="H25" s="37"/>
      <c r="I25" s="39"/>
      <c r="J25" s="37"/>
      <c r="K25" s="44"/>
      <c r="L25" s="44"/>
      <c r="M25" s="44"/>
      <c r="N25" s="44"/>
    </row>
    <row r="26" spans="1:14" s="22" customFormat="1" ht="43.5" x14ac:dyDescent="0.35">
      <c r="A26" s="40" t="s">
        <v>62</v>
      </c>
      <c r="B26" s="40"/>
      <c r="C26" s="41" t="s">
        <v>79</v>
      </c>
      <c r="D26" s="42">
        <v>1</v>
      </c>
      <c r="E26" s="43" t="s">
        <v>80</v>
      </c>
      <c r="F26" s="43"/>
      <c r="G26" s="43"/>
      <c r="H26" s="42" t="s">
        <v>64</v>
      </c>
      <c r="I26" s="41" t="s">
        <v>65</v>
      </c>
      <c r="J26" s="43"/>
      <c r="K26" s="44"/>
      <c r="L26" s="44"/>
      <c r="M26" s="44"/>
      <c r="N26" s="44"/>
    </row>
    <row r="27" spans="1:14" s="22" customFormat="1" ht="87" x14ac:dyDescent="0.35">
      <c r="A27" s="40" t="s">
        <v>62</v>
      </c>
      <c r="B27" s="40"/>
      <c r="C27" s="41" t="s">
        <v>79</v>
      </c>
      <c r="D27" s="42">
        <v>2</v>
      </c>
      <c r="E27" s="43" t="s">
        <v>66</v>
      </c>
      <c r="F27" s="43" t="s">
        <v>67</v>
      </c>
      <c r="G27" s="43" t="s">
        <v>81</v>
      </c>
      <c r="H27" s="42"/>
      <c r="I27" s="41" t="s">
        <v>82</v>
      </c>
      <c r="J27" s="43"/>
      <c r="K27" s="44"/>
      <c r="L27" s="44"/>
      <c r="M27" s="44"/>
      <c r="N27" s="44"/>
    </row>
    <row r="28" spans="1:14" s="22" customFormat="1" ht="43.5" x14ac:dyDescent="0.35">
      <c r="A28" s="40" t="s">
        <v>62</v>
      </c>
      <c r="B28" s="40"/>
      <c r="C28" s="41" t="s">
        <v>79</v>
      </c>
      <c r="D28" s="42">
        <v>3</v>
      </c>
      <c r="E28" s="43" t="s">
        <v>70</v>
      </c>
      <c r="F28" s="43" t="s">
        <v>71</v>
      </c>
      <c r="G28" s="43"/>
      <c r="H28" s="42"/>
      <c r="I28" s="41"/>
      <c r="J28" s="43"/>
      <c r="K28" s="44"/>
      <c r="L28" s="44"/>
      <c r="M28" s="44"/>
      <c r="N28" s="44"/>
    </row>
    <row r="29" spans="1:14" s="22" customFormat="1" ht="29" x14ac:dyDescent="0.35">
      <c r="A29" s="40" t="s">
        <v>62</v>
      </c>
      <c r="B29" s="40"/>
      <c r="C29" s="41" t="s">
        <v>79</v>
      </c>
      <c r="D29" s="42">
        <v>4</v>
      </c>
      <c r="E29" s="43" t="s">
        <v>72</v>
      </c>
      <c r="F29" s="43" t="s">
        <v>73</v>
      </c>
      <c r="G29" s="43"/>
      <c r="H29" s="42"/>
      <c r="I29" s="41"/>
      <c r="J29" s="43"/>
      <c r="K29" s="44"/>
      <c r="L29" s="44"/>
      <c r="M29" s="44"/>
      <c r="N29" s="44"/>
    </row>
    <row r="30" spans="1:14" s="22" customFormat="1" ht="29" x14ac:dyDescent="0.35">
      <c r="A30" s="40" t="s">
        <v>62</v>
      </c>
      <c r="B30" s="40"/>
      <c r="C30" s="41" t="s">
        <v>79</v>
      </c>
      <c r="D30" s="42">
        <v>5</v>
      </c>
      <c r="E30" s="43" t="s">
        <v>74</v>
      </c>
      <c r="F30" s="43" t="s">
        <v>75</v>
      </c>
      <c r="G30" s="44"/>
      <c r="H30" s="42"/>
      <c r="I30" s="41"/>
      <c r="J30" s="43"/>
      <c r="K30" s="44"/>
      <c r="L30" s="44"/>
      <c r="M30" s="44"/>
      <c r="N30" s="44"/>
    </row>
    <row r="31" spans="1:14" s="22" customFormat="1" ht="58" x14ac:dyDescent="0.35">
      <c r="A31" s="40" t="s">
        <v>62</v>
      </c>
      <c r="B31" s="40"/>
      <c r="C31" s="41" t="s">
        <v>79</v>
      </c>
      <c r="D31" s="42">
        <v>6</v>
      </c>
      <c r="E31" s="43" t="s">
        <v>76</v>
      </c>
      <c r="F31" s="43" t="s">
        <v>83</v>
      </c>
      <c r="G31" s="43"/>
      <c r="H31" s="42"/>
      <c r="I31" s="41"/>
      <c r="J31" s="43"/>
      <c r="K31" s="44"/>
      <c r="L31" s="44"/>
      <c r="M31" s="44"/>
      <c r="N31" s="44"/>
    </row>
    <row r="32" spans="1:14" s="22" customFormat="1" ht="15" customHeight="1" x14ac:dyDescent="0.35">
      <c r="A32" s="37"/>
      <c r="B32" s="38" t="s">
        <v>84</v>
      </c>
      <c r="C32" s="38" t="s">
        <v>85</v>
      </c>
      <c r="D32" s="38"/>
      <c r="E32" s="38"/>
      <c r="F32" s="38"/>
      <c r="G32" s="37"/>
      <c r="H32" s="37"/>
      <c r="I32" s="39"/>
      <c r="J32" s="37"/>
      <c r="K32" s="44"/>
      <c r="L32" s="44"/>
      <c r="M32" s="44"/>
      <c r="N32" s="44"/>
    </row>
    <row r="33" spans="1:14" s="22" customFormat="1" ht="29" x14ac:dyDescent="0.35">
      <c r="A33" s="40" t="s">
        <v>62</v>
      </c>
      <c r="B33" s="40"/>
      <c r="C33" s="41" t="s">
        <v>85</v>
      </c>
      <c r="D33" s="42">
        <v>1</v>
      </c>
      <c r="E33" s="43" t="s">
        <v>63</v>
      </c>
      <c r="F33" s="43"/>
      <c r="G33" s="43"/>
      <c r="H33" s="42" t="s">
        <v>64</v>
      </c>
      <c r="I33" s="41" t="s">
        <v>65</v>
      </c>
      <c r="J33" s="43"/>
      <c r="K33" s="44"/>
      <c r="L33" s="44"/>
      <c r="M33" s="44"/>
      <c r="N33" s="44"/>
    </row>
    <row r="34" spans="1:14" s="22" customFormat="1" ht="87" x14ac:dyDescent="0.35">
      <c r="A34" s="40" t="s">
        <v>62</v>
      </c>
      <c r="B34" s="40"/>
      <c r="C34" s="41" t="s">
        <v>85</v>
      </c>
      <c r="D34" s="42">
        <v>2</v>
      </c>
      <c r="E34" s="43" t="s">
        <v>66</v>
      </c>
      <c r="F34" s="43" t="s">
        <v>67</v>
      </c>
      <c r="G34" s="43" t="s">
        <v>86</v>
      </c>
      <c r="H34" s="42"/>
      <c r="I34" s="41" t="s">
        <v>87</v>
      </c>
      <c r="J34" s="43"/>
      <c r="K34" s="44"/>
      <c r="L34" s="44"/>
      <c r="M34" s="44"/>
      <c r="N34" s="44"/>
    </row>
    <row r="35" spans="1:14" s="22" customFormat="1" ht="43.5" x14ac:dyDescent="0.35">
      <c r="A35" s="40" t="s">
        <v>62</v>
      </c>
      <c r="B35" s="40"/>
      <c r="C35" s="41" t="s">
        <v>85</v>
      </c>
      <c r="D35" s="42">
        <v>3</v>
      </c>
      <c r="E35" s="43" t="s">
        <v>70</v>
      </c>
      <c r="F35" s="43" t="s">
        <v>71</v>
      </c>
      <c r="G35" s="43"/>
      <c r="H35" s="42"/>
      <c r="I35" s="41"/>
      <c r="J35" s="43"/>
      <c r="K35" s="44"/>
      <c r="L35" s="44"/>
      <c r="M35" s="44"/>
      <c r="N35" s="44"/>
    </row>
    <row r="36" spans="1:14" s="22" customFormat="1" ht="29" x14ac:dyDescent="0.35">
      <c r="A36" s="40" t="s">
        <v>62</v>
      </c>
      <c r="B36" s="40"/>
      <c r="C36" s="41" t="s">
        <v>85</v>
      </c>
      <c r="D36" s="42">
        <v>4</v>
      </c>
      <c r="E36" s="43" t="s">
        <v>72</v>
      </c>
      <c r="F36" s="43" t="s">
        <v>73</v>
      </c>
      <c r="G36" s="43"/>
      <c r="H36" s="42"/>
      <c r="I36" s="41"/>
      <c r="J36" s="43"/>
      <c r="K36" s="44"/>
      <c r="L36" s="44"/>
      <c r="M36" s="44"/>
      <c r="N36" s="44"/>
    </row>
    <row r="37" spans="1:14" s="22" customFormat="1" ht="29" x14ac:dyDescent="0.35">
      <c r="A37" s="40" t="s">
        <v>62</v>
      </c>
      <c r="B37" s="40"/>
      <c r="C37" s="41" t="s">
        <v>85</v>
      </c>
      <c r="D37" s="42">
        <v>5</v>
      </c>
      <c r="E37" s="43" t="s">
        <v>88</v>
      </c>
      <c r="F37" s="43" t="s">
        <v>75</v>
      </c>
      <c r="G37" s="43"/>
      <c r="H37" s="42"/>
      <c r="I37" s="41"/>
      <c r="J37" s="43"/>
      <c r="K37" s="44"/>
      <c r="L37" s="44"/>
      <c r="M37" s="44"/>
      <c r="N37" s="44"/>
    </row>
    <row r="38" spans="1:14" s="22" customFormat="1" ht="58" x14ac:dyDescent="0.35">
      <c r="A38" s="40" t="s">
        <v>62</v>
      </c>
      <c r="B38" s="40"/>
      <c r="C38" s="41" t="s">
        <v>85</v>
      </c>
      <c r="D38" s="42">
        <v>6</v>
      </c>
      <c r="E38" s="43" t="s">
        <v>76</v>
      </c>
      <c r="F38" s="43" t="s">
        <v>89</v>
      </c>
      <c r="G38" s="43"/>
      <c r="H38" s="42"/>
      <c r="I38" s="41"/>
      <c r="J38" s="43"/>
      <c r="K38" s="44"/>
      <c r="L38" s="44"/>
      <c r="M38" s="44"/>
      <c r="N38" s="44"/>
    </row>
    <row r="39" spans="1:14" s="46" customFormat="1" ht="15" customHeight="1" x14ac:dyDescent="0.25">
      <c r="A39" s="37"/>
      <c r="B39" s="38" t="s">
        <v>90</v>
      </c>
      <c r="C39" s="38" t="s">
        <v>91</v>
      </c>
      <c r="D39" s="38"/>
      <c r="E39" s="38"/>
      <c r="F39" s="38"/>
      <c r="G39" s="37"/>
      <c r="H39" s="37"/>
      <c r="I39" s="39"/>
      <c r="J39" s="37"/>
      <c r="K39" s="44"/>
      <c r="L39" s="44"/>
      <c r="M39" s="44"/>
      <c r="N39" s="44"/>
    </row>
    <row r="40" spans="1:14" s="46" customFormat="1" ht="174" x14ac:dyDescent="0.4">
      <c r="A40" s="40" t="s">
        <v>62</v>
      </c>
      <c r="B40" s="40"/>
      <c r="C40" s="41" t="s">
        <v>91</v>
      </c>
      <c r="D40" s="42">
        <v>1</v>
      </c>
      <c r="E40" s="43" t="s">
        <v>395</v>
      </c>
      <c r="F40" s="43" t="s">
        <v>349</v>
      </c>
      <c r="G40" s="43" t="s">
        <v>396</v>
      </c>
      <c r="H40" s="42" t="s">
        <v>64</v>
      </c>
      <c r="I40" s="41" t="s">
        <v>94</v>
      </c>
      <c r="J40" s="47"/>
      <c r="K40" s="44"/>
      <c r="L40" s="44"/>
      <c r="M40" s="44"/>
      <c r="N40" s="44"/>
    </row>
    <row r="41" spans="1:14" s="46" customFormat="1" ht="255" x14ac:dyDescent="0.4">
      <c r="A41" s="40" t="s">
        <v>62</v>
      </c>
      <c r="B41" s="40"/>
      <c r="C41" s="41" t="s">
        <v>91</v>
      </c>
      <c r="D41" s="42">
        <v>2</v>
      </c>
      <c r="E41" s="43" t="s">
        <v>95</v>
      </c>
      <c r="F41" s="85" t="s">
        <v>406</v>
      </c>
      <c r="G41" s="43"/>
      <c r="H41" s="41"/>
      <c r="I41" s="41"/>
      <c r="J41" s="47"/>
      <c r="K41" s="44"/>
      <c r="L41" s="44"/>
      <c r="M41" s="44"/>
      <c r="N41" s="44"/>
    </row>
    <row r="42" spans="1:14" s="46" customFormat="1" ht="72.5" x14ac:dyDescent="0.4">
      <c r="A42" s="40" t="s">
        <v>62</v>
      </c>
      <c r="B42" s="40"/>
      <c r="C42" s="41" t="s">
        <v>91</v>
      </c>
      <c r="D42" s="42">
        <v>3</v>
      </c>
      <c r="E42" s="40" t="s">
        <v>96</v>
      </c>
      <c r="F42" s="40" t="s">
        <v>350</v>
      </c>
      <c r="G42" s="40"/>
      <c r="H42" s="40"/>
      <c r="I42" s="40"/>
      <c r="J42" s="47"/>
      <c r="K42" s="44"/>
      <c r="L42" s="44"/>
      <c r="M42" s="44"/>
      <c r="N42" s="44"/>
    </row>
    <row r="43" spans="1:14" s="46" customFormat="1" ht="15" customHeight="1" x14ac:dyDescent="0.25">
      <c r="A43" s="37"/>
      <c r="B43" s="38" t="s">
        <v>97</v>
      </c>
      <c r="C43" s="38" t="s">
        <v>98</v>
      </c>
      <c r="D43" s="38"/>
      <c r="E43" s="38"/>
      <c r="F43" s="38"/>
      <c r="G43" s="37"/>
      <c r="H43" s="37"/>
      <c r="I43" s="39"/>
      <c r="J43" s="37"/>
      <c r="K43" s="44"/>
      <c r="L43" s="44"/>
      <c r="M43" s="44"/>
      <c r="N43" s="44"/>
    </row>
    <row r="44" spans="1:14" s="46" customFormat="1" ht="174" x14ac:dyDescent="0.4">
      <c r="A44" s="40" t="s">
        <v>62</v>
      </c>
      <c r="B44" s="40"/>
      <c r="C44" s="41" t="s">
        <v>98</v>
      </c>
      <c r="D44" s="42">
        <v>1</v>
      </c>
      <c r="E44" s="43" t="s">
        <v>395</v>
      </c>
      <c r="F44" s="43" t="s">
        <v>349</v>
      </c>
      <c r="G44" s="43" t="s">
        <v>99</v>
      </c>
      <c r="H44" s="42" t="s">
        <v>64</v>
      </c>
      <c r="I44" s="41" t="s">
        <v>100</v>
      </c>
      <c r="J44" s="47"/>
      <c r="K44" s="44"/>
      <c r="L44" s="44"/>
      <c r="M44" s="44"/>
      <c r="N44" s="44"/>
    </row>
    <row r="45" spans="1:14" s="46" customFormat="1" ht="255" x14ac:dyDescent="0.4">
      <c r="A45" s="40" t="s">
        <v>62</v>
      </c>
      <c r="B45" s="40"/>
      <c r="C45" s="41" t="s">
        <v>98</v>
      </c>
      <c r="D45" s="48">
        <v>2</v>
      </c>
      <c r="E45" s="49" t="s">
        <v>335</v>
      </c>
      <c r="F45" s="85" t="s">
        <v>406</v>
      </c>
      <c r="G45" s="49"/>
      <c r="H45" s="50"/>
      <c r="I45" s="50"/>
      <c r="J45" s="47"/>
      <c r="K45" s="44"/>
      <c r="L45" s="44"/>
      <c r="M45" s="44"/>
      <c r="N45" s="44"/>
    </row>
    <row r="46" spans="1:14" s="46" customFormat="1" ht="29" x14ac:dyDescent="0.4">
      <c r="A46" s="40" t="s">
        <v>62</v>
      </c>
      <c r="B46" s="40"/>
      <c r="C46" s="41" t="s">
        <v>98</v>
      </c>
      <c r="D46" s="42">
        <v>3</v>
      </c>
      <c r="E46" s="43" t="s">
        <v>102</v>
      </c>
      <c r="F46" s="43" t="s">
        <v>103</v>
      </c>
      <c r="G46" s="40"/>
      <c r="H46" s="40"/>
      <c r="I46" s="40"/>
      <c r="J46" s="47"/>
      <c r="K46" s="44"/>
      <c r="L46" s="44"/>
      <c r="M46" s="44"/>
      <c r="N46" s="44"/>
    </row>
    <row r="47" spans="1:14" s="22" customFormat="1" ht="15" customHeight="1" x14ac:dyDescent="0.35">
      <c r="A47" s="37"/>
      <c r="B47" s="38" t="s">
        <v>104</v>
      </c>
      <c r="C47" s="38" t="s">
        <v>105</v>
      </c>
      <c r="D47" s="38"/>
      <c r="E47" s="38"/>
      <c r="F47" s="38"/>
      <c r="G47" s="37"/>
      <c r="H47" s="37"/>
      <c r="I47" s="39"/>
      <c r="J47" s="37"/>
      <c r="K47" s="44"/>
      <c r="L47" s="44"/>
      <c r="M47" s="44"/>
      <c r="N47" s="44"/>
    </row>
    <row r="48" spans="1:14" s="22" customFormat="1" ht="174" x14ac:dyDescent="0.35">
      <c r="A48" s="40" t="s">
        <v>62</v>
      </c>
      <c r="B48" s="40"/>
      <c r="C48" s="41" t="s">
        <v>105</v>
      </c>
      <c r="D48" s="42">
        <v>1</v>
      </c>
      <c r="E48" s="43" t="s">
        <v>395</v>
      </c>
      <c r="F48" s="43" t="s">
        <v>349</v>
      </c>
      <c r="G48" s="43" t="s">
        <v>400</v>
      </c>
      <c r="H48" s="42" t="s">
        <v>64</v>
      </c>
      <c r="I48" s="41" t="s">
        <v>106</v>
      </c>
      <c r="J48" s="51"/>
      <c r="K48" s="44"/>
      <c r="L48" s="44"/>
      <c r="M48" s="44"/>
      <c r="N48" s="44"/>
    </row>
    <row r="49" spans="1:14" s="22" customFormat="1" ht="255" x14ac:dyDescent="0.35">
      <c r="A49" s="40" t="s">
        <v>62</v>
      </c>
      <c r="B49" s="40"/>
      <c r="C49" s="41" t="s">
        <v>105</v>
      </c>
      <c r="D49" s="42">
        <v>2</v>
      </c>
      <c r="E49" s="43" t="s">
        <v>95</v>
      </c>
      <c r="F49" s="85" t="s">
        <v>406</v>
      </c>
      <c r="G49" s="43" t="s">
        <v>399</v>
      </c>
      <c r="H49" s="41"/>
      <c r="I49" s="41"/>
      <c r="J49" s="43"/>
      <c r="K49" s="44"/>
      <c r="L49" s="44"/>
      <c r="M49" s="44"/>
      <c r="N49" s="44"/>
    </row>
    <row r="50" spans="1:14" s="22" customFormat="1" ht="304.5" x14ac:dyDescent="0.35">
      <c r="A50" s="40" t="s">
        <v>62</v>
      </c>
      <c r="B50" s="40"/>
      <c r="C50" s="41" t="s">
        <v>105</v>
      </c>
      <c r="D50" s="42">
        <v>3</v>
      </c>
      <c r="E50" s="43" t="s">
        <v>107</v>
      </c>
      <c r="F50" s="43" t="s">
        <v>402</v>
      </c>
      <c r="G50" s="72" t="s">
        <v>347</v>
      </c>
      <c r="H50" s="42"/>
      <c r="I50" s="41"/>
      <c r="J50" s="43"/>
      <c r="K50" s="44"/>
      <c r="L50" s="44"/>
      <c r="M50" s="44"/>
      <c r="N50" s="44"/>
    </row>
    <row r="51" spans="1:14" s="22" customFormat="1" ht="43.5" x14ac:dyDescent="0.35">
      <c r="A51" s="40" t="s">
        <v>62</v>
      </c>
      <c r="B51" s="40"/>
      <c r="C51" s="41" t="s">
        <v>105</v>
      </c>
      <c r="D51" s="42">
        <v>4</v>
      </c>
      <c r="E51" s="43" t="s">
        <v>108</v>
      </c>
      <c r="F51" s="43" t="s">
        <v>109</v>
      </c>
      <c r="G51" s="43"/>
      <c r="H51" s="42"/>
      <c r="I51" s="42"/>
      <c r="J51" s="43"/>
      <c r="K51" s="44"/>
      <c r="L51" s="44"/>
      <c r="M51" s="44"/>
      <c r="N51" s="44"/>
    </row>
    <row r="52" spans="1:14" s="22" customFormat="1" ht="145" x14ac:dyDescent="0.35">
      <c r="A52" s="40" t="s">
        <v>62</v>
      </c>
      <c r="B52" s="40"/>
      <c r="C52" s="41" t="s">
        <v>105</v>
      </c>
      <c r="D52" s="42">
        <v>5</v>
      </c>
      <c r="E52" s="43" t="s">
        <v>110</v>
      </c>
      <c r="F52" s="43" t="s">
        <v>348</v>
      </c>
      <c r="G52" s="43"/>
      <c r="H52" s="42"/>
      <c r="I52" s="42"/>
      <c r="J52" s="43"/>
      <c r="K52" s="44"/>
      <c r="L52" s="44"/>
      <c r="M52" s="44"/>
      <c r="N52" s="44"/>
    </row>
    <row r="53" spans="1:14" s="22" customFormat="1" ht="29" x14ac:dyDescent="0.35">
      <c r="A53" s="40" t="s">
        <v>62</v>
      </c>
      <c r="B53" s="40"/>
      <c r="C53" s="41" t="s">
        <v>105</v>
      </c>
      <c r="D53" s="42">
        <v>6</v>
      </c>
      <c r="E53" s="43" t="s">
        <v>102</v>
      </c>
      <c r="F53" s="43" t="s">
        <v>103</v>
      </c>
      <c r="G53" s="42" t="s">
        <v>111</v>
      </c>
      <c r="H53" s="42"/>
      <c r="I53" s="42"/>
      <c r="J53" s="49"/>
      <c r="K53" s="44"/>
      <c r="L53" s="44"/>
      <c r="M53" s="44"/>
      <c r="N53" s="44"/>
    </row>
    <row r="54" spans="1:14" s="22" customFormat="1" ht="15" customHeight="1" x14ac:dyDescent="0.35">
      <c r="A54" s="37"/>
      <c r="B54" s="38" t="s">
        <v>112</v>
      </c>
      <c r="C54" s="38" t="s">
        <v>113</v>
      </c>
      <c r="D54" s="38"/>
      <c r="E54" s="38"/>
      <c r="F54" s="38"/>
      <c r="G54" s="37"/>
      <c r="H54" s="37"/>
      <c r="I54" s="39"/>
      <c r="J54" s="37"/>
      <c r="K54" s="44"/>
      <c r="L54" s="44"/>
      <c r="M54" s="44"/>
      <c r="N54" s="44"/>
    </row>
    <row r="55" spans="1:14" s="22" customFormat="1" ht="174" x14ac:dyDescent="0.35">
      <c r="A55" s="40" t="s">
        <v>62</v>
      </c>
      <c r="B55" s="40"/>
      <c r="C55" s="41" t="s">
        <v>113</v>
      </c>
      <c r="D55" s="42">
        <v>1</v>
      </c>
      <c r="E55" s="43" t="s">
        <v>395</v>
      </c>
      <c r="F55" s="43" t="s">
        <v>349</v>
      </c>
      <c r="G55" s="43" t="s">
        <v>93</v>
      </c>
      <c r="H55" s="42" t="s">
        <v>64</v>
      </c>
      <c r="I55" s="52" t="s">
        <v>114</v>
      </c>
      <c r="J55" s="43"/>
      <c r="K55" s="44"/>
      <c r="L55" s="44"/>
      <c r="M55" s="44"/>
      <c r="N55" s="44"/>
    </row>
    <row r="56" spans="1:14" s="22" customFormat="1" ht="255" x14ac:dyDescent="0.35">
      <c r="A56" s="40" t="s">
        <v>62</v>
      </c>
      <c r="B56" s="40"/>
      <c r="C56" s="41" t="s">
        <v>113</v>
      </c>
      <c r="D56" s="42">
        <v>2</v>
      </c>
      <c r="E56" s="43" t="s">
        <v>95</v>
      </c>
      <c r="F56" s="85" t="s">
        <v>406</v>
      </c>
      <c r="G56" s="43" t="s">
        <v>405</v>
      </c>
      <c r="H56" s="41"/>
      <c r="I56" s="52"/>
      <c r="J56" s="43"/>
      <c r="K56" s="44"/>
      <c r="L56" s="44"/>
      <c r="M56" s="44"/>
      <c r="N56" s="44"/>
    </row>
    <row r="57" spans="1:14" s="22" customFormat="1" ht="304.5" x14ac:dyDescent="0.35">
      <c r="A57" s="40" t="s">
        <v>62</v>
      </c>
      <c r="B57" s="40"/>
      <c r="C57" s="41" t="s">
        <v>113</v>
      </c>
      <c r="D57" s="42">
        <v>3</v>
      </c>
      <c r="E57" s="43" t="s">
        <v>107</v>
      </c>
      <c r="F57" s="43" t="s">
        <v>402</v>
      </c>
      <c r="G57" s="72" t="s">
        <v>404</v>
      </c>
      <c r="H57" s="42"/>
      <c r="I57" s="41"/>
      <c r="J57" s="53"/>
      <c r="K57" s="44"/>
      <c r="L57" s="44"/>
      <c r="M57" s="44"/>
      <c r="N57" s="44"/>
    </row>
    <row r="58" spans="1:14" s="22" customFormat="1" ht="58" x14ac:dyDescent="0.35">
      <c r="A58" s="40" t="s">
        <v>62</v>
      </c>
      <c r="B58" s="40"/>
      <c r="C58" s="41" t="s">
        <v>113</v>
      </c>
      <c r="D58" s="42">
        <v>4</v>
      </c>
      <c r="E58" s="43" t="s">
        <v>115</v>
      </c>
      <c r="F58" s="43" t="s">
        <v>116</v>
      </c>
      <c r="G58" s="43"/>
      <c r="H58" s="42"/>
      <c r="I58" s="42"/>
      <c r="J58" s="43"/>
      <c r="K58" s="44"/>
      <c r="L58" s="44"/>
      <c r="M58" s="44"/>
      <c r="N58" s="44"/>
    </row>
    <row r="59" spans="1:14" s="22" customFormat="1" ht="29" x14ac:dyDescent="0.35">
      <c r="A59" s="40" t="s">
        <v>62</v>
      </c>
      <c r="B59" s="40"/>
      <c r="C59" s="41" t="s">
        <v>113</v>
      </c>
      <c r="D59" s="42">
        <v>5</v>
      </c>
      <c r="E59" s="43" t="s">
        <v>102</v>
      </c>
      <c r="F59" s="43" t="s">
        <v>103</v>
      </c>
      <c r="G59" s="42" t="s">
        <v>111</v>
      </c>
      <c r="H59" s="42"/>
      <c r="I59" s="42"/>
      <c r="J59" s="43"/>
      <c r="K59" s="44"/>
      <c r="L59" s="44"/>
      <c r="M59" s="44"/>
      <c r="N59" s="44"/>
    </row>
    <row r="60" spans="1:14" s="22" customFormat="1" ht="15" customHeight="1" x14ac:dyDescent="0.35">
      <c r="A60" s="37"/>
      <c r="B60" s="38" t="s">
        <v>117</v>
      </c>
      <c r="C60" s="38" t="s">
        <v>118</v>
      </c>
      <c r="D60" s="38"/>
      <c r="E60" s="38"/>
      <c r="F60" s="38"/>
      <c r="G60" s="37"/>
      <c r="H60" s="37"/>
      <c r="I60" s="39"/>
      <c r="J60" s="37"/>
      <c r="K60" s="44"/>
      <c r="L60" s="44"/>
      <c r="M60" s="44"/>
      <c r="N60" s="44"/>
    </row>
    <row r="61" spans="1:14" s="22" customFormat="1" ht="174" x14ac:dyDescent="0.35">
      <c r="A61" s="40" t="s">
        <v>62</v>
      </c>
      <c r="B61" s="40"/>
      <c r="C61" s="41" t="s">
        <v>118</v>
      </c>
      <c r="D61" s="42">
        <v>1</v>
      </c>
      <c r="E61" s="43" t="s">
        <v>395</v>
      </c>
      <c r="F61" s="43" t="s">
        <v>349</v>
      </c>
      <c r="G61" s="43" t="s">
        <v>119</v>
      </c>
      <c r="H61" s="42" t="s">
        <v>64</v>
      </c>
      <c r="I61" s="41" t="s">
        <v>120</v>
      </c>
      <c r="J61" s="43"/>
      <c r="K61" s="44"/>
      <c r="L61" s="44"/>
      <c r="M61" s="44"/>
      <c r="N61" s="44"/>
    </row>
    <row r="62" spans="1:14" s="22" customFormat="1" ht="255" x14ac:dyDescent="0.35">
      <c r="A62" s="40" t="s">
        <v>62</v>
      </c>
      <c r="B62" s="40"/>
      <c r="C62" s="41" t="s">
        <v>118</v>
      </c>
      <c r="D62" s="42">
        <v>2</v>
      </c>
      <c r="E62" s="43" t="s">
        <v>95</v>
      </c>
      <c r="F62" s="85" t="s">
        <v>406</v>
      </c>
      <c r="G62" s="43" t="s">
        <v>403</v>
      </c>
      <c r="H62" s="41"/>
      <c r="I62" s="41"/>
      <c r="J62" s="43"/>
      <c r="K62" s="44"/>
      <c r="L62" s="44"/>
      <c r="M62" s="44"/>
      <c r="N62" s="44"/>
    </row>
    <row r="63" spans="1:14" s="22" customFormat="1" ht="304.5" x14ac:dyDescent="0.35">
      <c r="A63" s="40" t="s">
        <v>62</v>
      </c>
      <c r="B63" s="40"/>
      <c r="C63" s="41" t="s">
        <v>118</v>
      </c>
      <c r="D63" s="42">
        <v>3</v>
      </c>
      <c r="E63" s="43" t="s">
        <v>107</v>
      </c>
      <c r="F63" s="43" t="s">
        <v>402</v>
      </c>
      <c r="G63" s="72" t="s">
        <v>404</v>
      </c>
      <c r="H63" s="42"/>
      <c r="I63" s="41"/>
      <c r="J63" s="43"/>
      <c r="K63" s="44"/>
      <c r="L63" s="44"/>
      <c r="M63" s="44"/>
      <c r="N63" s="44"/>
    </row>
    <row r="64" spans="1:14" s="22" customFormat="1" ht="87" x14ac:dyDescent="0.35">
      <c r="A64" s="40" t="s">
        <v>62</v>
      </c>
      <c r="B64" s="40"/>
      <c r="C64" s="41" t="s">
        <v>118</v>
      </c>
      <c r="D64" s="42">
        <v>4</v>
      </c>
      <c r="E64" s="43" t="s">
        <v>121</v>
      </c>
      <c r="F64" s="43" t="s">
        <v>122</v>
      </c>
      <c r="G64" s="44"/>
      <c r="H64" s="42"/>
      <c r="I64" s="42"/>
      <c r="J64" s="43"/>
      <c r="K64" s="44"/>
      <c r="L64" s="44"/>
      <c r="M64" s="44"/>
      <c r="N64" s="44"/>
    </row>
    <row r="65" spans="1:14" s="22" customFormat="1" ht="29" x14ac:dyDescent="0.35">
      <c r="A65" s="40" t="s">
        <v>62</v>
      </c>
      <c r="B65" s="40"/>
      <c r="C65" s="41" t="s">
        <v>118</v>
      </c>
      <c r="D65" s="42">
        <v>5</v>
      </c>
      <c r="E65" s="43" t="s">
        <v>102</v>
      </c>
      <c r="F65" s="43" t="s">
        <v>103</v>
      </c>
      <c r="G65" s="42" t="s">
        <v>111</v>
      </c>
      <c r="H65" s="42"/>
      <c r="I65" s="42"/>
      <c r="J65" s="43"/>
      <c r="K65" s="44"/>
      <c r="L65" s="44"/>
      <c r="M65" s="44"/>
      <c r="N65" s="44"/>
    </row>
    <row r="66" spans="1:14" s="22" customFormat="1" ht="15" customHeight="1" x14ac:dyDescent="0.35">
      <c r="A66" s="37"/>
      <c r="B66" s="38" t="s">
        <v>123</v>
      </c>
      <c r="C66" s="38" t="s">
        <v>124</v>
      </c>
      <c r="D66" s="38"/>
      <c r="E66" s="38"/>
      <c r="F66" s="38"/>
      <c r="G66" s="37"/>
      <c r="H66" s="37"/>
      <c r="I66" s="39"/>
      <c r="J66" s="37"/>
      <c r="K66" s="44"/>
      <c r="L66" s="44"/>
      <c r="M66" s="44"/>
      <c r="N66" s="44"/>
    </row>
    <row r="67" spans="1:14" s="22" customFormat="1" ht="174" x14ac:dyDescent="0.35">
      <c r="A67" s="40" t="s">
        <v>62</v>
      </c>
      <c r="B67" s="40"/>
      <c r="C67" s="41" t="s">
        <v>124</v>
      </c>
      <c r="D67" s="42">
        <v>1</v>
      </c>
      <c r="E67" s="43" t="s">
        <v>395</v>
      </c>
      <c r="F67" s="43" t="s">
        <v>349</v>
      </c>
      <c r="G67" s="43" t="s">
        <v>125</v>
      </c>
      <c r="H67" s="42" t="s">
        <v>64</v>
      </c>
      <c r="I67" s="41" t="s">
        <v>126</v>
      </c>
      <c r="J67" s="43"/>
      <c r="K67" s="44"/>
      <c r="L67" s="44"/>
      <c r="M67" s="44"/>
      <c r="N67" s="44"/>
    </row>
    <row r="68" spans="1:14" s="22" customFormat="1" ht="255" x14ac:dyDescent="0.35">
      <c r="A68" s="40" t="s">
        <v>62</v>
      </c>
      <c r="B68" s="40"/>
      <c r="C68" s="41" t="s">
        <v>124</v>
      </c>
      <c r="D68" s="42">
        <v>2</v>
      </c>
      <c r="E68" s="43" t="s">
        <v>95</v>
      </c>
      <c r="F68" s="85" t="s">
        <v>406</v>
      </c>
      <c r="G68" s="74"/>
      <c r="H68" s="41"/>
      <c r="I68" s="41"/>
      <c r="J68" s="43"/>
      <c r="K68" s="44"/>
      <c r="L68" s="44"/>
      <c r="M68" s="44"/>
      <c r="N68" s="44"/>
    </row>
    <row r="69" spans="1:14" s="22" customFormat="1" ht="304.5" x14ac:dyDescent="0.35">
      <c r="A69" s="40" t="s">
        <v>62</v>
      </c>
      <c r="B69" s="40"/>
      <c r="C69" s="41" t="s">
        <v>124</v>
      </c>
      <c r="D69" s="42">
        <v>3</v>
      </c>
      <c r="E69" s="43" t="s">
        <v>107</v>
      </c>
      <c r="F69" s="43" t="s">
        <v>402</v>
      </c>
      <c r="G69" s="72" t="s">
        <v>404</v>
      </c>
      <c r="H69" s="42"/>
      <c r="I69" s="41"/>
      <c r="J69" s="43"/>
      <c r="K69" s="44"/>
      <c r="L69" s="44"/>
      <c r="M69" s="44"/>
      <c r="N69" s="44"/>
    </row>
    <row r="70" spans="1:14" s="22" customFormat="1" ht="145" x14ac:dyDescent="0.35">
      <c r="A70" s="40" t="s">
        <v>62</v>
      </c>
      <c r="B70" s="40"/>
      <c r="C70" s="41" t="s">
        <v>124</v>
      </c>
      <c r="D70" s="42">
        <v>4</v>
      </c>
      <c r="E70" s="43" t="s">
        <v>127</v>
      </c>
      <c r="F70" s="43" t="s">
        <v>346</v>
      </c>
      <c r="G70" s="44"/>
      <c r="H70" s="42"/>
      <c r="I70" s="42"/>
      <c r="J70" s="43"/>
      <c r="K70" s="44"/>
      <c r="L70" s="44"/>
      <c r="M70" s="44"/>
      <c r="N70" s="44"/>
    </row>
    <row r="71" spans="1:14" s="22" customFormat="1" ht="29" x14ac:dyDescent="0.35">
      <c r="A71" s="40" t="s">
        <v>62</v>
      </c>
      <c r="B71" s="40"/>
      <c r="C71" s="41" t="s">
        <v>124</v>
      </c>
      <c r="D71" s="42">
        <v>5</v>
      </c>
      <c r="E71" s="43" t="s">
        <v>102</v>
      </c>
      <c r="F71" s="43" t="s">
        <v>103</v>
      </c>
      <c r="G71" s="42" t="s">
        <v>111</v>
      </c>
      <c r="H71" s="42"/>
      <c r="I71" s="42"/>
      <c r="J71" s="43"/>
      <c r="K71" s="44"/>
      <c r="L71" s="44"/>
      <c r="M71" s="44"/>
      <c r="N71" s="44"/>
    </row>
    <row r="72" spans="1:14" s="22" customFormat="1" ht="15" customHeight="1" x14ac:dyDescent="0.35">
      <c r="A72" s="37"/>
      <c r="B72" s="38" t="s">
        <v>128</v>
      </c>
      <c r="C72" s="38" t="s">
        <v>129</v>
      </c>
      <c r="D72" s="38"/>
      <c r="E72" s="38"/>
      <c r="F72" s="38"/>
      <c r="G72" s="37"/>
      <c r="H72" s="37"/>
      <c r="I72" s="39"/>
      <c r="J72" s="37"/>
      <c r="K72" s="44"/>
      <c r="L72" s="44"/>
      <c r="M72" s="44"/>
      <c r="N72" s="44"/>
    </row>
    <row r="73" spans="1:14" s="22" customFormat="1" ht="174" x14ac:dyDescent="0.35">
      <c r="A73" s="40" t="s">
        <v>62</v>
      </c>
      <c r="B73" s="40"/>
      <c r="C73" s="41" t="s">
        <v>129</v>
      </c>
      <c r="D73" s="42">
        <v>1</v>
      </c>
      <c r="E73" s="43" t="s">
        <v>395</v>
      </c>
      <c r="F73" s="43" t="s">
        <v>349</v>
      </c>
      <c r="G73" s="43" t="s">
        <v>130</v>
      </c>
      <c r="H73" s="42" t="s">
        <v>64</v>
      </c>
      <c r="I73" s="41" t="s">
        <v>106</v>
      </c>
      <c r="J73" s="43"/>
      <c r="K73" s="44"/>
      <c r="L73" s="44"/>
      <c r="M73" s="44"/>
      <c r="N73" s="44"/>
    </row>
    <row r="74" spans="1:14" s="22" customFormat="1" ht="255" x14ac:dyDescent="0.35">
      <c r="A74" s="40" t="s">
        <v>62</v>
      </c>
      <c r="B74" s="40"/>
      <c r="C74" s="41" t="s">
        <v>129</v>
      </c>
      <c r="D74" s="42">
        <v>2</v>
      </c>
      <c r="E74" s="43" t="s">
        <v>95</v>
      </c>
      <c r="F74" s="85" t="s">
        <v>406</v>
      </c>
      <c r="G74" s="74"/>
      <c r="H74" s="41"/>
      <c r="I74" s="41"/>
      <c r="J74" s="43"/>
      <c r="K74" s="44"/>
      <c r="L74" s="44"/>
      <c r="M74" s="44"/>
      <c r="N74" s="44"/>
    </row>
    <row r="75" spans="1:14" s="22" customFormat="1" ht="304.5" x14ac:dyDescent="0.35">
      <c r="A75" s="40" t="s">
        <v>62</v>
      </c>
      <c r="B75" s="40"/>
      <c r="C75" s="41" t="s">
        <v>129</v>
      </c>
      <c r="D75" s="42">
        <v>3</v>
      </c>
      <c r="E75" s="43" t="s">
        <v>107</v>
      </c>
      <c r="F75" s="43" t="s">
        <v>402</v>
      </c>
      <c r="G75" s="72" t="s">
        <v>404</v>
      </c>
      <c r="H75" s="42"/>
      <c r="I75" s="41"/>
      <c r="J75" s="43"/>
      <c r="K75" s="44"/>
      <c r="L75" s="44"/>
      <c r="M75" s="44"/>
      <c r="N75" s="44"/>
    </row>
    <row r="76" spans="1:14" s="22" customFormat="1" ht="142.5" customHeight="1" x14ac:dyDescent="0.35">
      <c r="A76" s="40" t="s">
        <v>62</v>
      </c>
      <c r="B76" s="40"/>
      <c r="C76" s="41" t="s">
        <v>129</v>
      </c>
      <c r="D76" s="42">
        <v>4</v>
      </c>
      <c r="E76" s="43" t="s">
        <v>108</v>
      </c>
      <c r="F76" s="43" t="s">
        <v>109</v>
      </c>
      <c r="G76" s="43"/>
      <c r="H76" s="42"/>
      <c r="I76" s="42"/>
      <c r="J76" s="43"/>
      <c r="K76" s="44"/>
      <c r="L76" s="44"/>
      <c r="M76" s="44"/>
      <c r="N76" s="44"/>
    </row>
    <row r="77" spans="1:14" s="22" customFormat="1" ht="225.75" customHeight="1" x14ac:dyDescent="0.35">
      <c r="A77" s="40" t="s">
        <v>62</v>
      </c>
      <c r="B77" s="40"/>
      <c r="C77" s="41" t="s">
        <v>129</v>
      </c>
      <c r="D77" s="42">
        <v>5</v>
      </c>
      <c r="E77" s="43" t="s">
        <v>110</v>
      </c>
      <c r="F77" s="43" t="s">
        <v>351</v>
      </c>
      <c r="G77" s="43"/>
      <c r="H77" s="42"/>
      <c r="I77" s="42"/>
      <c r="J77" s="43"/>
      <c r="K77" s="44"/>
      <c r="L77" s="44"/>
      <c r="M77" s="44"/>
      <c r="N77" s="44"/>
    </row>
    <row r="78" spans="1:14" s="22" customFormat="1" ht="337.5" customHeight="1" x14ac:dyDescent="0.35">
      <c r="A78" s="40" t="s">
        <v>62</v>
      </c>
      <c r="B78" s="40"/>
      <c r="C78" s="41" t="s">
        <v>129</v>
      </c>
      <c r="D78" s="42">
        <v>6</v>
      </c>
      <c r="E78" s="43" t="s">
        <v>353</v>
      </c>
      <c r="F78" s="44" t="s">
        <v>339</v>
      </c>
      <c r="G78" s="43"/>
      <c r="H78" s="42"/>
      <c r="I78" s="42"/>
      <c r="J78" s="43"/>
      <c r="K78" s="44"/>
      <c r="L78" s="44"/>
      <c r="M78" s="44"/>
      <c r="N78" s="44"/>
    </row>
    <row r="79" spans="1:14" s="22" customFormat="1" ht="409.5" customHeight="1" x14ac:dyDescent="0.35">
      <c r="A79" s="40" t="s">
        <v>62</v>
      </c>
      <c r="B79" s="40"/>
      <c r="C79" s="41" t="s">
        <v>129</v>
      </c>
      <c r="D79" s="42">
        <v>7</v>
      </c>
      <c r="E79" s="43" t="s">
        <v>132</v>
      </c>
      <c r="F79" s="75" t="s">
        <v>356</v>
      </c>
      <c r="G79" s="43"/>
      <c r="H79" s="42"/>
      <c r="I79" s="42"/>
      <c r="J79" s="43"/>
      <c r="K79" s="44"/>
      <c r="L79" s="44"/>
      <c r="M79" s="44"/>
      <c r="N79" s="44"/>
    </row>
    <row r="80" spans="1:14" s="22" customFormat="1" ht="93.75" customHeight="1" x14ac:dyDescent="0.35">
      <c r="A80" s="40" t="s">
        <v>62</v>
      </c>
      <c r="B80" s="40"/>
      <c r="C80" s="41" t="s">
        <v>129</v>
      </c>
      <c r="D80" s="42">
        <v>8</v>
      </c>
      <c r="E80" s="43" t="s">
        <v>102</v>
      </c>
      <c r="F80" s="43" t="s">
        <v>103</v>
      </c>
      <c r="G80" s="42" t="s">
        <v>111</v>
      </c>
      <c r="H80" s="42"/>
      <c r="I80" s="42"/>
      <c r="J80" s="43"/>
      <c r="K80" s="44"/>
      <c r="L80" s="44"/>
      <c r="M80" s="44"/>
      <c r="N80" s="44"/>
    </row>
    <row r="81" spans="1:14" s="22" customFormat="1" ht="15" customHeight="1" x14ac:dyDescent="0.35">
      <c r="A81" s="37"/>
      <c r="B81" s="38" t="s">
        <v>133</v>
      </c>
      <c r="C81" s="38" t="s">
        <v>134</v>
      </c>
      <c r="D81" s="38"/>
      <c r="E81" s="38"/>
      <c r="F81" s="38"/>
      <c r="G81" s="37"/>
      <c r="H81" s="37"/>
      <c r="I81" s="39"/>
      <c r="J81" s="37"/>
      <c r="K81" s="44"/>
      <c r="L81" s="44"/>
      <c r="M81" s="44"/>
      <c r="N81" s="44"/>
    </row>
    <row r="82" spans="1:14" s="22" customFormat="1" ht="174" x14ac:dyDescent="0.35">
      <c r="A82" s="40" t="s">
        <v>62</v>
      </c>
      <c r="B82" s="40"/>
      <c r="C82" s="41" t="s">
        <v>134</v>
      </c>
      <c r="D82" s="42">
        <v>1</v>
      </c>
      <c r="E82" s="43" t="s">
        <v>395</v>
      </c>
      <c r="F82" s="43" t="s">
        <v>349</v>
      </c>
      <c r="G82" s="43" t="s">
        <v>93</v>
      </c>
      <c r="H82" s="42" t="s">
        <v>64</v>
      </c>
      <c r="I82" s="41" t="s">
        <v>106</v>
      </c>
      <c r="J82" s="43"/>
      <c r="K82" s="44"/>
      <c r="L82" s="44"/>
      <c r="M82" s="44"/>
      <c r="N82" s="44"/>
    </row>
    <row r="83" spans="1:14" s="22" customFormat="1" ht="255" x14ac:dyDescent="0.35">
      <c r="A83" s="40" t="s">
        <v>62</v>
      </c>
      <c r="B83" s="40"/>
      <c r="C83" s="41" t="s">
        <v>134</v>
      </c>
      <c r="D83" s="42">
        <v>2</v>
      </c>
      <c r="E83" s="43" t="s">
        <v>95</v>
      </c>
      <c r="F83" s="85" t="s">
        <v>406</v>
      </c>
      <c r="G83" s="74"/>
      <c r="H83" s="41"/>
      <c r="I83" s="41"/>
      <c r="J83" s="43"/>
      <c r="K83" s="44"/>
      <c r="L83" s="44"/>
      <c r="M83" s="44"/>
      <c r="N83" s="44"/>
    </row>
    <row r="84" spans="1:14" s="22" customFormat="1" ht="93.75" customHeight="1" x14ac:dyDescent="0.35">
      <c r="A84" s="40" t="s">
        <v>62</v>
      </c>
      <c r="B84" s="40"/>
      <c r="C84" s="41" t="s">
        <v>134</v>
      </c>
      <c r="D84" s="42">
        <v>3</v>
      </c>
      <c r="E84" s="43" t="s">
        <v>107</v>
      </c>
      <c r="F84" s="43" t="s">
        <v>402</v>
      </c>
      <c r="G84" s="72" t="s">
        <v>404</v>
      </c>
      <c r="H84" s="42"/>
      <c r="I84" s="41"/>
      <c r="J84" s="43"/>
      <c r="K84" s="44"/>
      <c r="L84" s="44"/>
      <c r="M84" s="44"/>
      <c r="N84" s="44"/>
    </row>
    <row r="85" spans="1:14" s="22" customFormat="1" ht="93.75" customHeight="1" x14ac:dyDescent="0.35">
      <c r="A85" s="40" t="s">
        <v>62</v>
      </c>
      <c r="B85" s="40"/>
      <c r="C85" s="41" t="s">
        <v>134</v>
      </c>
      <c r="D85" s="42">
        <v>4</v>
      </c>
      <c r="E85" s="43" t="s">
        <v>135</v>
      </c>
      <c r="F85" s="43" t="s">
        <v>109</v>
      </c>
      <c r="G85" s="43"/>
      <c r="H85" s="42"/>
      <c r="I85" s="42"/>
      <c r="J85" s="43"/>
      <c r="K85" s="44"/>
      <c r="L85" s="44"/>
      <c r="M85" s="44"/>
      <c r="N85" s="44"/>
    </row>
    <row r="86" spans="1:14" s="22" customFormat="1" ht="159.5" x14ac:dyDescent="0.35">
      <c r="A86" s="40" t="s">
        <v>62</v>
      </c>
      <c r="B86" s="40"/>
      <c r="C86" s="41" t="s">
        <v>134</v>
      </c>
      <c r="D86" s="42">
        <v>5</v>
      </c>
      <c r="E86" s="43" t="s">
        <v>110</v>
      </c>
      <c r="F86" s="43" t="s">
        <v>341</v>
      </c>
      <c r="G86" s="43"/>
      <c r="H86" s="42"/>
      <c r="I86" s="42"/>
      <c r="J86" s="43"/>
      <c r="K86" s="44"/>
      <c r="L86" s="44"/>
      <c r="M86" s="44"/>
      <c r="N86" s="44"/>
    </row>
    <row r="87" spans="1:14" s="22" customFormat="1" ht="333.5" x14ac:dyDescent="0.35">
      <c r="A87" s="40" t="s">
        <v>62</v>
      </c>
      <c r="B87" s="40"/>
      <c r="C87" s="41" t="s">
        <v>134</v>
      </c>
      <c r="D87" s="42">
        <v>6</v>
      </c>
      <c r="E87" s="43" t="s">
        <v>353</v>
      </c>
      <c r="F87" s="41" t="s">
        <v>338</v>
      </c>
      <c r="G87" s="43"/>
      <c r="H87" s="42"/>
      <c r="I87" s="42"/>
      <c r="J87" s="43"/>
      <c r="K87" s="44"/>
      <c r="L87" s="44"/>
      <c r="M87" s="44"/>
      <c r="N87" s="44"/>
    </row>
    <row r="88" spans="1:14" s="22" customFormat="1" ht="409.5" customHeight="1" x14ac:dyDescent="0.35">
      <c r="A88" s="40" t="s">
        <v>62</v>
      </c>
      <c r="B88" s="40"/>
      <c r="C88" s="41" t="s">
        <v>134</v>
      </c>
      <c r="D88" s="42">
        <v>7</v>
      </c>
      <c r="E88" s="43" t="s">
        <v>136</v>
      </c>
      <c r="F88" s="75" t="s">
        <v>357</v>
      </c>
      <c r="G88" s="43"/>
      <c r="H88" s="42"/>
      <c r="I88" s="42"/>
      <c r="J88" s="43"/>
      <c r="K88" s="44"/>
      <c r="L88" s="44"/>
      <c r="M88" s="44"/>
      <c r="N88" s="44"/>
    </row>
    <row r="89" spans="1:14" s="22" customFormat="1" ht="93.75" customHeight="1" x14ac:dyDescent="0.35">
      <c r="A89" s="40" t="s">
        <v>62</v>
      </c>
      <c r="B89" s="40"/>
      <c r="C89" s="41" t="s">
        <v>134</v>
      </c>
      <c r="D89" s="42">
        <v>8</v>
      </c>
      <c r="E89" s="43" t="s">
        <v>102</v>
      </c>
      <c r="F89" s="43" t="s">
        <v>103</v>
      </c>
      <c r="G89" s="42" t="s">
        <v>111</v>
      </c>
      <c r="H89" s="42"/>
      <c r="I89" s="42"/>
      <c r="J89" s="43"/>
      <c r="K89" s="44"/>
      <c r="L89" s="44"/>
      <c r="M89" s="44"/>
      <c r="N89" s="44"/>
    </row>
    <row r="90" spans="1:14" s="22" customFormat="1" ht="15" x14ac:dyDescent="0.35">
      <c r="A90" s="37"/>
      <c r="B90" s="38" t="s">
        <v>137</v>
      </c>
      <c r="C90" s="38" t="s">
        <v>138</v>
      </c>
      <c r="D90" s="38"/>
      <c r="E90" s="38"/>
      <c r="F90" s="38"/>
      <c r="G90" s="37"/>
      <c r="H90" s="37"/>
      <c r="I90" s="39"/>
      <c r="J90" s="37"/>
      <c r="K90" s="44"/>
      <c r="L90" s="44"/>
      <c r="M90" s="44"/>
      <c r="N90" s="44"/>
    </row>
    <row r="91" spans="1:14" s="22" customFormat="1" ht="174" x14ac:dyDescent="0.35">
      <c r="A91" s="40" t="s">
        <v>62</v>
      </c>
      <c r="B91" s="40"/>
      <c r="C91" s="41" t="s">
        <v>138</v>
      </c>
      <c r="D91" s="42">
        <v>1</v>
      </c>
      <c r="E91" s="43" t="s">
        <v>395</v>
      </c>
      <c r="F91" s="43" t="s">
        <v>349</v>
      </c>
      <c r="G91" s="43" t="s">
        <v>139</v>
      </c>
      <c r="H91" s="42" t="s">
        <v>64</v>
      </c>
      <c r="I91" s="41" t="s">
        <v>140</v>
      </c>
      <c r="J91" s="43"/>
      <c r="K91" s="44"/>
      <c r="L91" s="44"/>
      <c r="M91" s="44"/>
      <c r="N91" s="44"/>
    </row>
    <row r="92" spans="1:14" s="22" customFormat="1" ht="255" x14ac:dyDescent="0.35">
      <c r="A92" s="40" t="s">
        <v>62</v>
      </c>
      <c r="B92" s="40"/>
      <c r="C92" s="41" t="s">
        <v>138</v>
      </c>
      <c r="D92" s="42">
        <v>2</v>
      </c>
      <c r="E92" s="43" t="s">
        <v>95</v>
      </c>
      <c r="F92" s="85" t="s">
        <v>406</v>
      </c>
      <c r="G92" s="74"/>
      <c r="H92" s="41"/>
      <c r="I92" s="41"/>
      <c r="J92" s="43"/>
      <c r="K92" s="44"/>
      <c r="L92" s="44"/>
      <c r="M92" s="44"/>
      <c r="N92" s="44"/>
    </row>
    <row r="93" spans="1:14" s="22" customFormat="1" ht="285" x14ac:dyDescent="0.35">
      <c r="A93" s="40" t="s">
        <v>62</v>
      </c>
      <c r="B93" s="40"/>
      <c r="C93" s="41" t="s">
        <v>138</v>
      </c>
      <c r="D93" s="42">
        <v>3</v>
      </c>
      <c r="E93" s="43" t="s">
        <v>107</v>
      </c>
      <c r="F93" s="86" t="s">
        <v>407</v>
      </c>
      <c r="G93" s="72" t="s">
        <v>408</v>
      </c>
      <c r="H93" s="42"/>
      <c r="I93" s="41"/>
      <c r="J93" s="43"/>
      <c r="K93" s="44"/>
      <c r="L93" s="44"/>
      <c r="M93" s="44"/>
      <c r="N93" s="44"/>
    </row>
    <row r="94" spans="1:14" s="22" customFormat="1" ht="188.5" x14ac:dyDescent="0.35">
      <c r="A94" s="40" t="s">
        <v>62</v>
      </c>
      <c r="B94" s="40"/>
      <c r="C94" s="41" t="s">
        <v>138</v>
      </c>
      <c r="D94" s="42">
        <v>4</v>
      </c>
      <c r="E94" s="80" t="s">
        <v>416</v>
      </c>
      <c r="F94" s="43" t="s">
        <v>342</v>
      </c>
      <c r="G94" s="43" t="s">
        <v>142</v>
      </c>
      <c r="H94" s="42"/>
      <c r="I94" s="41"/>
      <c r="J94" s="43"/>
      <c r="K94" s="44"/>
      <c r="L94" s="44"/>
      <c r="M94" s="44"/>
      <c r="N94" s="44"/>
    </row>
    <row r="95" spans="1:14" s="22" customFormat="1" ht="29" x14ac:dyDescent="0.35">
      <c r="A95" s="40" t="s">
        <v>62</v>
      </c>
      <c r="B95" s="40"/>
      <c r="C95" s="41" t="s">
        <v>138</v>
      </c>
      <c r="D95" s="42">
        <v>5</v>
      </c>
      <c r="E95" s="43" t="s">
        <v>102</v>
      </c>
      <c r="F95" s="43" t="s">
        <v>103</v>
      </c>
      <c r="G95" s="42" t="s">
        <v>111</v>
      </c>
      <c r="H95" s="42"/>
      <c r="I95" s="41"/>
      <c r="J95" s="43"/>
      <c r="K95" s="44"/>
      <c r="L95" s="44"/>
      <c r="M95" s="44"/>
      <c r="N95" s="44"/>
    </row>
    <row r="96" spans="1:14" s="22" customFormat="1" ht="15" customHeight="1" x14ac:dyDescent="0.35">
      <c r="A96" s="37"/>
      <c r="B96" s="38" t="s">
        <v>143</v>
      </c>
      <c r="C96" s="38" t="s">
        <v>144</v>
      </c>
      <c r="D96" s="38"/>
      <c r="E96" s="38"/>
      <c r="F96" s="38"/>
      <c r="G96" s="37"/>
      <c r="H96" s="37"/>
      <c r="I96" s="39"/>
      <c r="J96" s="37"/>
      <c r="K96" s="44"/>
      <c r="L96" s="44"/>
      <c r="M96" s="44"/>
      <c r="N96" s="44"/>
    </row>
    <row r="97" spans="1:14" s="22" customFormat="1" ht="174" x14ac:dyDescent="0.35">
      <c r="A97" s="40" t="s">
        <v>62</v>
      </c>
      <c r="B97" s="40"/>
      <c r="C97" s="41" t="s">
        <v>144</v>
      </c>
      <c r="D97" s="42">
        <v>1</v>
      </c>
      <c r="E97" s="43" t="s">
        <v>395</v>
      </c>
      <c r="F97" s="43" t="s">
        <v>349</v>
      </c>
      <c r="G97" s="43" t="s">
        <v>145</v>
      </c>
      <c r="H97" s="42" t="s">
        <v>64</v>
      </c>
      <c r="I97" s="41" t="s">
        <v>146</v>
      </c>
      <c r="J97" s="43"/>
      <c r="K97" s="44"/>
      <c r="L97" s="44"/>
      <c r="M97" s="44"/>
      <c r="N97" s="44"/>
    </row>
    <row r="98" spans="1:14" s="22" customFormat="1" ht="255" x14ac:dyDescent="0.35">
      <c r="A98" s="40" t="s">
        <v>62</v>
      </c>
      <c r="B98" s="40"/>
      <c r="C98" s="41" t="s">
        <v>144</v>
      </c>
      <c r="D98" s="42">
        <v>2</v>
      </c>
      <c r="E98" s="43" t="s">
        <v>95</v>
      </c>
      <c r="F98" s="85" t="s">
        <v>406</v>
      </c>
      <c r="G98" s="74"/>
      <c r="H98" s="41"/>
      <c r="I98" s="41"/>
      <c r="J98" s="43"/>
      <c r="K98" s="44"/>
      <c r="L98" s="44"/>
      <c r="M98" s="44"/>
      <c r="N98" s="44"/>
    </row>
    <row r="99" spans="1:14" s="22" customFormat="1" ht="285" x14ac:dyDescent="0.35">
      <c r="A99" s="40" t="s">
        <v>62</v>
      </c>
      <c r="B99" s="40"/>
      <c r="C99" s="41" t="s">
        <v>144</v>
      </c>
      <c r="D99" s="42">
        <v>3</v>
      </c>
      <c r="E99" s="43" t="s">
        <v>107</v>
      </c>
      <c r="F99" s="86" t="s">
        <v>407</v>
      </c>
      <c r="G99" s="72" t="s">
        <v>408</v>
      </c>
      <c r="H99" s="42"/>
      <c r="I99" s="41"/>
      <c r="J99" s="43"/>
      <c r="K99" s="44"/>
      <c r="L99" s="44"/>
      <c r="M99" s="44"/>
      <c r="N99" s="44"/>
    </row>
    <row r="100" spans="1:14" s="22" customFormat="1" ht="130.5" x14ac:dyDescent="0.35">
      <c r="A100" s="40" t="s">
        <v>62</v>
      </c>
      <c r="B100" s="40"/>
      <c r="C100" s="41" t="s">
        <v>144</v>
      </c>
      <c r="D100" s="42">
        <v>4</v>
      </c>
      <c r="E100" s="43" t="s">
        <v>417</v>
      </c>
      <c r="F100" s="43" t="s">
        <v>147</v>
      </c>
      <c r="G100" s="43" t="s">
        <v>148</v>
      </c>
      <c r="H100" s="42"/>
      <c r="I100" s="41"/>
      <c r="J100" s="43"/>
      <c r="K100" s="44"/>
      <c r="L100" s="44"/>
      <c r="M100" s="44"/>
      <c r="N100" s="44"/>
    </row>
    <row r="101" spans="1:14" s="22" customFormat="1" ht="29" x14ac:dyDescent="0.35">
      <c r="A101" s="40" t="s">
        <v>62</v>
      </c>
      <c r="B101" s="40"/>
      <c r="C101" s="41" t="s">
        <v>144</v>
      </c>
      <c r="D101" s="42">
        <v>5</v>
      </c>
      <c r="E101" s="43" t="s">
        <v>102</v>
      </c>
      <c r="F101" s="43" t="s">
        <v>103</v>
      </c>
      <c r="G101" s="42" t="s">
        <v>111</v>
      </c>
      <c r="H101" s="42"/>
      <c r="I101" s="41"/>
      <c r="J101" s="43"/>
      <c r="K101" s="44"/>
      <c r="L101" s="44"/>
      <c r="M101" s="44"/>
      <c r="N101" s="44"/>
    </row>
    <row r="102" spans="1:14" s="22" customFormat="1" ht="15" customHeight="1" x14ac:dyDescent="0.35">
      <c r="A102" s="37"/>
      <c r="B102" s="38" t="s">
        <v>149</v>
      </c>
      <c r="C102" s="38" t="s">
        <v>151</v>
      </c>
      <c r="D102" s="38"/>
      <c r="E102" s="38"/>
      <c r="F102" s="38"/>
      <c r="G102" s="37"/>
      <c r="H102" s="37"/>
      <c r="I102" s="39"/>
      <c r="J102" s="37"/>
      <c r="K102" s="44"/>
      <c r="L102" s="44"/>
      <c r="M102" s="44"/>
      <c r="N102" s="44"/>
    </row>
    <row r="103" spans="1:14" s="22" customFormat="1" ht="174" x14ac:dyDescent="0.35">
      <c r="A103" s="40" t="s">
        <v>62</v>
      </c>
      <c r="B103" s="40"/>
      <c r="C103" s="41" t="s">
        <v>151</v>
      </c>
      <c r="D103" s="42">
        <v>1</v>
      </c>
      <c r="E103" s="43" t="s">
        <v>395</v>
      </c>
      <c r="F103" s="43" t="s">
        <v>349</v>
      </c>
      <c r="G103" s="43" t="s">
        <v>93</v>
      </c>
      <c r="H103" s="42" t="s">
        <v>64</v>
      </c>
      <c r="I103" s="41" t="s">
        <v>152</v>
      </c>
      <c r="J103" s="43"/>
      <c r="K103" s="44"/>
      <c r="L103" s="44"/>
      <c r="M103" s="44"/>
      <c r="N103" s="44"/>
    </row>
    <row r="104" spans="1:14" s="22" customFormat="1" ht="255" x14ac:dyDescent="0.35">
      <c r="A104" s="40" t="s">
        <v>62</v>
      </c>
      <c r="B104" s="40"/>
      <c r="C104" s="41" t="s">
        <v>151</v>
      </c>
      <c r="D104" s="42">
        <v>2</v>
      </c>
      <c r="E104" s="43" t="s">
        <v>95</v>
      </c>
      <c r="F104" s="85" t="s">
        <v>406</v>
      </c>
      <c r="G104" s="74"/>
      <c r="H104" s="41"/>
      <c r="I104" s="41"/>
      <c r="J104" s="43"/>
      <c r="K104" s="44"/>
      <c r="L104" s="44"/>
      <c r="M104" s="44"/>
      <c r="N104" s="44"/>
    </row>
    <row r="105" spans="1:14" s="22" customFormat="1" ht="285" x14ac:dyDescent="0.35">
      <c r="A105" s="40" t="s">
        <v>62</v>
      </c>
      <c r="B105" s="40"/>
      <c r="C105" s="41" t="s">
        <v>151</v>
      </c>
      <c r="D105" s="42">
        <v>3</v>
      </c>
      <c r="E105" s="43" t="s">
        <v>107</v>
      </c>
      <c r="F105" s="86" t="s">
        <v>407</v>
      </c>
      <c r="G105" s="72" t="s">
        <v>408</v>
      </c>
      <c r="H105" s="42"/>
      <c r="I105" s="41"/>
      <c r="J105" s="43"/>
      <c r="K105" s="44"/>
      <c r="L105" s="44"/>
      <c r="M105" s="44"/>
      <c r="N105" s="44"/>
    </row>
    <row r="106" spans="1:14" s="22" customFormat="1" ht="188.5" x14ac:dyDescent="0.35">
      <c r="A106" s="40" t="s">
        <v>62</v>
      </c>
      <c r="B106" s="40"/>
      <c r="C106" s="41" t="s">
        <v>151</v>
      </c>
      <c r="D106" s="42">
        <v>4</v>
      </c>
      <c r="E106" s="80" t="s">
        <v>416</v>
      </c>
      <c r="F106" s="43" t="s">
        <v>342</v>
      </c>
      <c r="G106" s="43" t="s">
        <v>154</v>
      </c>
      <c r="H106" s="42"/>
      <c r="I106" s="41"/>
      <c r="J106" s="43"/>
      <c r="K106" s="44"/>
      <c r="L106" s="44"/>
      <c r="M106" s="44"/>
      <c r="N106" s="44"/>
    </row>
    <row r="107" spans="1:14" s="22" customFormat="1" ht="409.5" customHeight="1" x14ac:dyDescent="0.35">
      <c r="A107" s="40" t="s">
        <v>62</v>
      </c>
      <c r="B107" s="40"/>
      <c r="C107" s="41" t="s">
        <v>151</v>
      </c>
      <c r="D107" s="42">
        <v>5</v>
      </c>
      <c r="E107" s="43" t="s">
        <v>354</v>
      </c>
      <c r="F107" s="44" t="s">
        <v>336</v>
      </c>
      <c r="G107" s="43" t="s">
        <v>156</v>
      </c>
      <c r="H107" s="42"/>
      <c r="I107" s="41"/>
      <c r="J107" s="43"/>
      <c r="K107" s="44"/>
      <c r="L107" s="44"/>
      <c r="M107" s="44"/>
      <c r="N107" s="44"/>
    </row>
    <row r="108" spans="1:14" s="22" customFormat="1" ht="188.5" x14ac:dyDescent="0.35">
      <c r="A108" s="40" t="s">
        <v>62</v>
      </c>
      <c r="B108" s="40"/>
      <c r="C108" s="41" t="s">
        <v>151</v>
      </c>
      <c r="D108" s="42">
        <v>6</v>
      </c>
      <c r="E108" s="43" t="s">
        <v>132</v>
      </c>
      <c r="F108" s="76" t="s">
        <v>365</v>
      </c>
      <c r="G108" s="43"/>
      <c r="H108" s="42"/>
      <c r="I108" s="41"/>
      <c r="J108" s="43"/>
      <c r="K108" s="44"/>
      <c r="L108" s="44"/>
      <c r="M108" s="44"/>
      <c r="N108" s="44"/>
    </row>
    <row r="109" spans="1:14" s="22" customFormat="1" ht="29" x14ac:dyDescent="0.35">
      <c r="A109" s="40" t="s">
        <v>62</v>
      </c>
      <c r="B109" s="40"/>
      <c r="C109" s="41" t="s">
        <v>151</v>
      </c>
      <c r="D109" s="42">
        <v>7</v>
      </c>
      <c r="E109" s="43" t="s">
        <v>102</v>
      </c>
      <c r="F109" s="43" t="s">
        <v>103</v>
      </c>
      <c r="G109" s="42" t="s">
        <v>111</v>
      </c>
      <c r="H109" s="42"/>
      <c r="I109" s="41"/>
      <c r="J109" s="43"/>
      <c r="K109" s="44"/>
      <c r="L109" s="44"/>
      <c r="M109" s="44"/>
      <c r="N109" s="44"/>
    </row>
    <row r="110" spans="1:14" s="22" customFormat="1" ht="15" customHeight="1" x14ac:dyDescent="0.35">
      <c r="A110" s="37"/>
      <c r="B110" s="38" t="s">
        <v>150</v>
      </c>
      <c r="C110" s="38" t="s">
        <v>158</v>
      </c>
      <c r="D110" s="38"/>
      <c r="E110" s="38"/>
      <c r="F110" s="38"/>
      <c r="G110" s="37"/>
      <c r="H110" s="37"/>
      <c r="I110" s="39"/>
      <c r="J110" s="37"/>
      <c r="K110" s="44"/>
      <c r="L110" s="44"/>
      <c r="M110" s="44"/>
      <c r="N110" s="44"/>
    </row>
    <row r="111" spans="1:14" s="22" customFormat="1" ht="174" x14ac:dyDescent="0.35">
      <c r="A111" s="40" t="s">
        <v>62</v>
      </c>
      <c r="B111" s="40"/>
      <c r="C111" s="41" t="s">
        <v>158</v>
      </c>
      <c r="D111" s="42">
        <v>1</v>
      </c>
      <c r="E111" s="43" t="s">
        <v>395</v>
      </c>
      <c r="F111" s="43" t="s">
        <v>349</v>
      </c>
      <c r="G111" s="43" t="s">
        <v>93</v>
      </c>
      <c r="H111" s="42" t="s">
        <v>64</v>
      </c>
      <c r="I111" s="41" t="s">
        <v>152</v>
      </c>
      <c r="J111" s="43"/>
      <c r="K111" s="44"/>
      <c r="L111" s="44"/>
      <c r="M111" s="44"/>
      <c r="N111" s="44"/>
    </row>
    <row r="112" spans="1:14" s="22" customFormat="1" ht="255" x14ac:dyDescent="0.35">
      <c r="A112" s="40" t="s">
        <v>62</v>
      </c>
      <c r="B112" s="40"/>
      <c r="C112" s="41" t="s">
        <v>158</v>
      </c>
      <c r="D112" s="42">
        <v>2</v>
      </c>
      <c r="E112" s="43" t="s">
        <v>95</v>
      </c>
      <c r="F112" s="85" t="s">
        <v>406</v>
      </c>
      <c r="G112" s="74"/>
      <c r="H112" s="41"/>
      <c r="I112" s="41"/>
      <c r="J112" s="43"/>
      <c r="K112" s="44"/>
      <c r="L112" s="44"/>
      <c r="M112" s="44"/>
      <c r="N112" s="44"/>
    </row>
    <row r="113" spans="1:14" s="22" customFormat="1" ht="285" x14ac:dyDescent="0.35">
      <c r="A113" s="40" t="s">
        <v>62</v>
      </c>
      <c r="B113" s="40"/>
      <c r="C113" s="41" t="s">
        <v>158</v>
      </c>
      <c r="D113" s="42">
        <v>3</v>
      </c>
      <c r="E113" s="43" t="s">
        <v>107</v>
      </c>
      <c r="F113" s="86" t="s">
        <v>407</v>
      </c>
      <c r="G113" s="72" t="s">
        <v>408</v>
      </c>
      <c r="H113" s="42"/>
      <c r="I113" s="41"/>
      <c r="J113" s="43"/>
      <c r="K113" s="44"/>
      <c r="L113" s="44"/>
      <c r="M113" s="44"/>
      <c r="N113" s="44"/>
    </row>
    <row r="114" spans="1:14" s="22" customFormat="1" ht="188.5" x14ac:dyDescent="0.35">
      <c r="A114" s="40" t="s">
        <v>62</v>
      </c>
      <c r="B114" s="40"/>
      <c r="C114" s="41" t="s">
        <v>158</v>
      </c>
      <c r="D114" s="42">
        <v>4</v>
      </c>
      <c r="E114" s="80" t="s">
        <v>416</v>
      </c>
      <c r="F114" s="43" t="s">
        <v>342</v>
      </c>
      <c r="G114" s="43" t="s">
        <v>142</v>
      </c>
      <c r="H114" s="42"/>
      <c r="I114" s="41"/>
      <c r="J114" s="43"/>
      <c r="K114" s="44"/>
      <c r="L114" s="44"/>
      <c r="M114" s="44"/>
      <c r="N114" s="44"/>
    </row>
    <row r="115" spans="1:14" s="22" customFormat="1" ht="362.5" x14ac:dyDescent="0.35">
      <c r="A115" s="40" t="s">
        <v>62</v>
      </c>
      <c r="B115" s="40"/>
      <c r="C115" s="41" t="s">
        <v>158</v>
      </c>
      <c r="D115" s="42">
        <v>5</v>
      </c>
      <c r="E115" s="43" t="s">
        <v>354</v>
      </c>
      <c r="F115" s="41" t="s">
        <v>337</v>
      </c>
      <c r="G115" s="43" t="s">
        <v>156</v>
      </c>
      <c r="H115" s="42"/>
      <c r="I115" s="41"/>
      <c r="J115" s="43"/>
      <c r="K115" s="44"/>
      <c r="L115" s="44"/>
      <c r="M115" s="44"/>
      <c r="N115" s="44"/>
    </row>
    <row r="116" spans="1:14" s="22" customFormat="1" ht="188.5" x14ac:dyDescent="0.35">
      <c r="A116" s="40" t="s">
        <v>62</v>
      </c>
      <c r="B116" s="40"/>
      <c r="C116" s="41" t="s">
        <v>158</v>
      </c>
      <c r="D116" s="42">
        <v>6</v>
      </c>
      <c r="E116" s="43" t="s">
        <v>159</v>
      </c>
      <c r="F116" s="76" t="s">
        <v>364</v>
      </c>
      <c r="G116" s="43"/>
      <c r="H116" s="42"/>
      <c r="I116" s="41"/>
      <c r="J116" s="43"/>
      <c r="K116" s="44"/>
      <c r="L116" s="44"/>
      <c r="M116" s="44"/>
      <c r="N116" s="44"/>
    </row>
    <row r="117" spans="1:14" s="22" customFormat="1" ht="29" x14ac:dyDescent="0.35">
      <c r="A117" s="40" t="s">
        <v>62</v>
      </c>
      <c r="B117" s="40"/>
      <c r="C117" s="41" t="s">
        <v>158</v>
      </c>
      <c r="D117" s="42">
        <v>7</v>
      </c>
      <c r="E117" s="43" t="s">
        <v>102</v>
      </c>
      <c r="F117" s="43" t="s">
        <v>103</v>
      </c>
      <c r="G117" s="42" t="s">
        <v>111</v>
      </c>
      <c r="H117" s="42"/>
      <c r="I117" s="41"/>
      <c r="J117" s="43"/>
      <c r="K117" s="44"/>
      <c r="L117" s="44"/>
      <c r="M117" s="44"/>
      <c r="N117" s="44"/>
    </row>
    <row r="118" spans="1:14" s="22" customFormat="1" ht="15" customHeight="1" x14ac:dyDescent="0.35">
      <c r="A118" s="37"/>
      <c r="B118" s="38" t="s">
        <v>157</v>
      </c>
      <c r="C118" s="38" t="s">
        <v>161</v>
      </c>
      <c r="D118" s="38"/>
      <c r="E118" s="38"/>
      <c r="F118" s="38"/>
      <c r="G118" s="37"/>
      <c r="H118" s="37"/>
      <c r="I118" s="39"/>
      <c r="J118" s="37"/>
      <c r="K118" s="44"/>
      <c r="L118" s="44"/>
      <c r="M118" s="44"/>
      <c r="N118" s="44"/>
    </row>
    <row r="119" spans="1:14" s="22" customFormat="1" ht="174" x14ac:dyDescent="0.35">
      <c r="A119" s="40" t="s">
        <v>162</v>
      </c>
      <c r="B119" s="40"/>
      <c r="C119" s="41" t="s">
        <v>161</v>
      </c>
      <c r="D119" s="42">
        <v>1</v>
      </c>
      <c r="E119" s="43" t="s">
        <v>395</v>
      </c>
      <c r="F119" s="43" t="s">
        <v>349</v>
      </c>
      <c r="G119" s="43" t="s">
        <v>163</v>
      </c>
      <c r="H119" s="42" t="s">
        <v>64</v>
      </c>
      <c r="I119" s="41" t="s">
        <v>164</v>
      </c>
      <c r="J119" s="43"/>
      <c r="K119" s="44"/>
      <c r="L119" s="44"/>
      <c r="M119" s="44"/>
      <c r="N119" s="44"/>
    </row>
    <row r="120" spans="1:14" s="22" customFormat="1" ht="225" x14ac:dyDescent="0.35">
      <c r="A120" s="40" t="s">
        <v>162</v>
      </c>
      <c r="B120" s="40"/>
      <c r="C120" s="41" t="s">
        <v>161</v>
      </c>
      <c r="D120" s="42">
        <v>2</v>
      </c>
      <c r="E120" s="43" t="s">
        <v>165</v>
      </c>
      <c r="F120" s="85" t="s">
        <v>409</v>
      </c>
      <c r="G120" s="43" t="s">
        <v>411</v>
      </c>
      <c r="H120" s="41"/>
      <c r="I120" s="41"/>
      <c r="J120" s="43"/>
      <c r="K120" s="44"/>
      <c r="L120" s="44"/>
      <c r="M120" s="44"/>
      <c r="N120" s="44"/>
    </row>
    <row r="121" spans="1:14" s="22" customFormat="1" ht="315" x14ac:dyDescent="0.35">
      <c r="A121" s="40" t="s">
        <v>162</v>
      </c>
      <c r="B121" s="40"/>
      <c r="C121" s="41" t="s">
        <v>161</v>
      </c>
      <c r="D121" s="42">
        <v>3</v>
      </c>
      <c r="E121" s="43" t="s">
        <v>107</v>
      </c>
      <c r="F121" s="86" t="s">
        <v>410</v>
      </c>
      <c r="G121" s="72" t="s">
        <v>412</v>
      </c>
      <c r="H121" s="42"/>
      <c r="I121" s="41"/>
      <c r="J121" s="43"/>
      <c r="K121" s="44"/>
      <c r="L121" s="44"/>
      <c r="M121" s="44"/>
      <c r="N121" s="44"/>
    </row>
    <row r="122" spans="1:14" s="22" customFormat="1" ht="43.5" x14ac:dyDescent="0.35">
      <c r="A122" s="40" t="s">
        <v>162</v>
      </c>
      <c r="B122" s="40"/>
      <c r="C122" s="41" t="s">
        <v>161</v>
      </c>
      <c r="D122" s="42">
        <v>4</v>
      </c>
      <c r="E122" s="43" t="s">
        <v>108</v>
      </c>
      <c r="F122" s="43" t="s">
        <v>109</v>
      </c>
      <c r="G122" s="43"/>
      <c r="H122" s="42"/>
      <c r="I122" s="42"/>
      <c r="J122" s="43"/>
      <c r="K122" s="44"/>
      <c r="L122" s="44"/>
      <c r="M122" s="44"/>
      <c r="N122" s="44"/>
    </row>
    <row r="123" spans="1:14" s="22" customFormat="1" ht="159.5" x14ac:dyDescent="0.35">
      <c r="A123" s="40" t="s">
        <v>162</v>
      </c>
      <c r="B123" s="40"/>
      <c r="C123" s="41" t="s">
        <v>161</v>
      </c>
      <c r="D123" s="42">
        <v>5</v>
      </c>
      <c r="E123" s="43" t="s">
        <v>110</v>
      </c>
      <c r="F123" s="43" t="s">
        <v>341</v>
      </c>
      <c r="G123" s="43"/>
      <c r="H123" s="42"/>
      <c r="I123" s="42"/>
      <c r="J123" s="43"/>
      <c r="K123" s="44"/>
      <c r="L123" s="44"/>
      <c r="M123" s="44"/>
      <c r="N123" s="44"/>
    </row>
    <row r="124" spans="1:14" s="22" customFormat="1" ht="29" x14ac:dyDescent="0.35">
      <c r="A124" s="40" t="s">
        <v>162</v>
      </c>
      <c r="B124" s="40"/>
      <c r="C124" s="41" t="s">
        <v>161</v>
      </c>
      <c r="D124" s="42">
        <v>6</v>
      </c>
      <c r="E124" s="43" t="s">
        <v>102</v>
      </c>
      <c r="F124" s="43" t="s">
        <v>103</v>
      </c>
      <c r="G124" s="42" t="s">
        <v>111</v>
      </c>
      <c r="H124" s="42"/>
      <c r="I124" s="42"/>
      <c r="J124" s="43"/>
      <c r="K124" s="44"/>
      <c r="L124" s="44"/>
      <c r="M124" s="44"/>
      <c r="N124" s="44"/>
    </row>
    <row r="125" spans="1:14" s="22" customFormat="1" ht="15" customHeight="1" x14ac:dyDescent="0.35">
      <c r="A125" s="37"/>
      <c r="B125" s="38" t="s">
        <v>160</v>
      </c>
      <c r="C125" s="38" t="s">
        <v>167</v>
      </c>
      <c r="D125" s="38"/>
      <c r="E125" s="38"/>
      <c r="F125" s="38"/>
      <c r="G125" s="37"/>
      <c r="H125" s="37"/>
      <c r="I125" s="39"/>
      <c r="J125" s="37"/>
      <c r="K125" s="44"/>
      <c r="L125" s="44"/>
      <c r="M125" s="44"/>
      <c r="N125" s="44"/>
    </row>
    <row r="126" spans="1:14" s="22" customFormat="1" ht="174" x14ac:dyDescent="0.35">
      <c r="A126" s="54" t="s">
        <v>162</v>
      </c>
      <c r="B126" s="40"/>
      <c r="C126" s="55" t="s">
        <v>167</v>
      </c>
      <c r="D126" s="56">
        <v>1</v>
      </c>
      <c r="E126" s="43" t="s">
        <v>395</v>
      </c>
      <c r="F126" s="43" t="s">
        <v>349</v>
      </c>
      <c r="G126" s="53" t="s">
        <v>168</v>
      </c>
      <c r="H126" s="42" t="s">
        <v>64</v>
      </c>
      <c r="I126" s="55" t="s">
        <v>169</v>
      </c>
      <c r="J126" s="43"/>
      <c r="K126" s="44"/>
      <c r="L126" s="44"/>
      <c r="M126" s="44"/>
      <c r="N126" s="44"/>
    </row>
    <row r="127" spans="1:14" s="22" customFormat="1" ht="225" x14ac:dyDescent="0.35">
      <c r="A127" s="40" t="s">
        <v>162</v>
      </c>
      <c r="B127" s="40"/>
      <c r="C127" s="55" t="s">
        <v>167</v>
      </c>
      <c r="D127" s="42">
        <v>2</v>
      </c>
      <c r="E127" s="43" t="s">
        <v>165</v>
      </c>
      <c r="F127" s="85" t="s">
        <v>409</v>
      </c>
      <c r="G127" s="74"/>
      <c r="H127" s="41"/>
      <c r="I127" s="41"/>
      <c r="J127" s="43"/>
      <c r="K127" s="44"/>
      <c r="L127" s="44"/>
      <c r="M127" s="44"/>
      <c r="N127" s="44"/>
    </row>
    <row r="128" spans="1:14" s="22" customFormat="1" ht="315" x14ac:dyDescent="0.35">
      <c r="A128" s="40" t="s">
        <v>162</v>
      </c>
      <c r="B128" s="40"/>
      <c r="C128" s="55" t="s">
        <v>167</v>
      </c>
      <c r="D128" s="42">
        <v>3</v>
      </c>
      <c r="E128" s="43" t="s">
        <v>107</v>
      </c>
      <c r="F128" s="86" t="s">
        <v>410</v>
      </c>
      <c r="G128" s="72" t="s">
        <v>412</v>
      </c>
      <c r="H128" s="42"/>
      <c r="I128" s="41"/>
      <c r="J128" s="43"/>
      <c r="K128" s="44"/>
      <c r="L128" s="44"/>
      <c r="M128" s="44"/>
      <c r="N128" s="44"/>
    </row>
    <row r="129" spans="1:14" s="22" customFormat="1" ht="58" x14ac:dyDescent="0.35">
      <c r="A129" s="40" t="s">
        <v>162</v>
      </c>
      <c r="B129" s="40"/>
      <c r="C129" s="55" t="s">
        <v>167</v>
      </c>
      <c r="D129" s="42">
        <v>4</v>
      </c>
      <c r="E129" s="43" t="s">
        <v>170</v>
      </c>
      <c r="F129" s="43" t="s">
        <v>116</v>
      </c>
      <c r="G129" s="43"/>
      <c r="H129" s="42"/>
      <c r="I129" s="42"/>
      <c r="J129" s="43"/>
      <c r="K129" s="44"/>
      <c r="L129" s="44"/>
      <c r="M129" s="44"/>
      <c r="N129" s="44"/>
    </row>
    <row r="130" spans="1:14" s="22" customFormat="1" ht="29" x14ac:dyDescent="0.35">
      <c r="A130" s="40" t="s">
        <v>162</v>
      </c>
      <c r="B130" s="40"/>
      <c r="C130" s="55" t="s">
        <v>167</v>
      </c>
      <c r="D130" s="42">
        <v>5</v>
      </c>
      <c r="E130" s="43" t="s">
        <v>102</v>
      </c>
      <c r="F130" s="43" t="s">
        <v>103</v>
      </c>
      <c r="G130" s="42" t="s">
        <v>111</v>
      </c>
      <c r="H130" s="42"/>
      <c r="I130" s="42"/>
      <c r="J130" s="43"/>
      <c r="K130" s="44"/>
      <c r="L130" s="44"/>
      <c r="M130" s="44"/>
      <c r="N130" s="44"/>
    </row>
    <row r="131" spans="1:14" s="22" customFormat="1" ht="15" customHeight="1" x14ac:dyDescent="0.35">
      <c r="A131" s="37"/>
      <c r="B131" s="38" t="s">
        <v>166</v>
      </c>
      <c r="C131" s="38" t="s">
        <v>172</v>
      </c>
      <c r="D131" s="38"/>
      <c r="E131" s="38"/>
      <c r="F131" s="38"/>
      <c r="G131" s="37"/>
      <c r="H131" s="37"/>
      <c r="I131" s="39"/>
      <c r="J131" s="37"/>
      <c r="K131" s="44"/>
      <c r="L131" s="44"/>
      <c r="M131" s="44"/>
      <c r="N131" s="44"/>
    </row>
    <row r="132" spans="1:14" s="22" customFormat="1" ht="174" x14ac:dyDescent="0.35">
      <c r="A132" s="40" t="s">
        <v>162</v>
      </c>
      <c r="B132" s="40"/>
      <c r="C132" s="41" t="s">
        <v>172</v>
      </c>
      <c r="D132" s="42">
        <v>1</v>
      </c>
      <c r="E132" s="43" t="s">
        <v>395</v>
      </c>
      <c r="F132" s="43" t="s">
        <v>349</v>
      </c>
      <c r="G132" s="43" t="s">
        <v>163</v>
      </c>
      <c r="H132" s="42" t="s">
        <v>64</v>
      </c>
      <c r="I132" s="41" t="s">
        <v>164</v>
      </c>
      <c r="J132" s="43"/>
      <c r="K132" s="44"/>
      <c r="L132" s="44"/>
      <c r="M132" s="44"/>
      <c r="N132" s="44"/>
    </row>
    <row r="133" spans="1:14" s="22" customFormat="1" ht="225" x14ac:dyDescent="0.35">
      <c r="A133" s="40" t="s">
        <v>162</v>
      </c>
      <c r="B133" s="40"/>
      <c r="C133" s="41" t="s">
        <v>172</v>
      </c>
      <c r="D133" s="42">
        <v>2</v>
      </c>
      <c r="E133" s="43" t="s">
        <v>165</v>
      </c>
      <c r="F133" s="85" t="s">
        <v>409</v>
      </c>
      <c r="G133" s="74"/>
      <c r="H133" s="41"/>
      <c r="I133" s="41"/>
      <c r="J133" s="43"/>
      <c r="K133" s="44"/>
      <c r="L133" s="44"/>
      <c r="M133" s="44"/>
      <c r="N133" s="44"/>
    </row>
    <row r="134" spans="1:14" s="22" customFormat="1" ht="315" x14ac:dyDescent="0.35">
      <c r="A134" s="40" t="s">
        <v>162</v>
      </c>
      <c r="B134" s="40"/>
      <c r="C134" s="41" t="s">
        <v>172</v>
      </c>
      <c r="D134" s="42">
        <v>3</v>
      </c>
      <c r="E134" s="43" t="s">
        <v>107</v>
      </c>
      <c r="F134" s="86" t="s">
        <v>410</v>
      </c>
      <c r="G134" s="72" t="s">
        <v>412</v>
      </c>
      <c r="H134" s="42"/>
      <c r="I134" s="41"/>
      <c r="J134" s="43"/>
      <c r="K134" s="44"/>
      <c r="L134" s="44"/>
      <c r="M134" s="44"/>
      <c r="N134" s="44"/>
    </row>
    <row r="135" spans="1:14" s="22" customFormat="1" ht="72.5" x14ac:dyDescent="0.35">
      <c r="A135" s="40" t="s">
        <v>162</v>
      </c>
      <c r="B135" s="40"/>
      <c r="C135" s="41" t="s">
        <v>172</v>
      </c>
      <c r="D135" s="42">
        <v>4</v>
      </c>
      <c r="E135" s="43" t="s">
        <v>121</v>
      </c>
      <c r="F135" s="43" t="s">
        <v>173</v>
      </c>
      <c r="G135" s="44"/>
      <c r="H135" s="42"/>
      <c r="I135" s="42"/>
      <c r="J135" s="43"/>
      <c r="K135" s="44"/>
      <c r="L135" s="44"/>
      <c r="M135" s="44"/>
      <c r="N135" s="44"/>
    </row>
    <row r="136" spans="1:14" s="22" customFormat="1" ht="29" x14ac:dyDescent="0.35">
      <c r="A136" s="40" t="s">
        <v>162</v>
      </c>
      <c r="B136" s="40"/>
      <c r="C136" s="41" t="s">
        <v>172</v>
      </c>
      <c r="D136" s="42">
        <v>5</v>
      </c>
      <c r="E136" s="43" t="s">
        <v>102</v>
      </c>
      <c r="F136" s="43" t="s">
        <v>103</v>
      </c>
      <c r="G136" s="42" t="s">
        <v>111</v>
      </c>
      <c r="H136" s="42"/>
      <c r="I136" s="42"/>
      <c r="J136" s="43"/>
      <c r="K136" s="44"/>
      <c r="L136" s="44"/>
      <c r="M136" s="44"/>
      <c r="N136" s="44"/>
    </row>
    <row r="137" spans="1:14" s="22" customFormat="1" ht="15" customHeight="1" x14ac:dyDescent="0.35">
      <c r="A137" s="37"/>
      <c r="B137" s="38" t="s">
        <v>171</v>
      </c>
      <c r="C137" s="38" t="s">
        <v>175</v>
      </c>
      <c r="D137" s="38"/>
      <c r="E137" s="38"/>
      <c r="F137" s="38"/>
      <c r="G137" s="37"/>
      <c r="H137" s="37"/>
      <c r="I137" s="39"/>
      <c r="J137" s="37"/>
      <c r="K137" s="44"/>
      <c r="L137" s="44"/>
      <c r="M137" s="44"/>
      <c r="N137" s="44"/>
    </row>
    <row r="138" spans="1:14" s="22" customFormat="1" ht="174" x14ac:dyDescent="0.35">
      <c r="A138" s="40" t="s">
        <v>62</v>
      </c>
      <c r="B138" s="40"/>
      <c r="C138" s="41" t="s">
        <v>175</v>
      </c>
      <c r="D138" s="42">
        <v>1</v>
      </c>
      <c r="E138" s="43" t="s">
        <v>395</v>
      </c>
      <c r="F138" s="43" t="s">
        <v>349</v>
      </c>
      <c r="G138" s="43" t="s">
        <v>130</v>
      </c>
      <c r="H138" s="42" t="s">
        <v>64</v>
      </c>
      <c r="I138" s="41" t="s">
        <v>344</v>
      </c>
      <c r="J138" s="43"/>
      <c r="K138" s="44"/>
      <c r="L138" s="44"/>
      <c r="M138" s="44"/>
      <c r="N138" s="44"/>
    </row>
    <row r="139" spans="1:14" s="22" customFormat="1" ht="225" x14ac:dyDescent="0.35">
      <c r="A139" s="40" t="s">
        <v>62</v>
      </c>
      <c r="B139" s="40"/>
      <c r="C139" s="41" t="s">
        <v>175</v>
      </c>
      <c r="D139" s="42">
        <v>2</v>
      </c>
      <c r="E139" s="43" t="s">
        <v>165</v>
      </c>
      <c r="F139" s="85" t="s">
        <v>409</v>
      </c>
      <c r="H139" s="41"/>
      <c r="I139" s="41"/>
      <c r="J139" s="43"/>
      <c r="K139" s="44"/>
      <c r="L139" s="44"/>
      <c r="M139" s="44"/>
      <c r="N139" s="44"/>
    </row>
    <row r="140" spans="1:14" s="22" customFormat="1" ht="315" x14ac:dyDescent="0.35">
      <c r="A140" s="40" t="s">
        <v>62</v>
      </c>
      <c r="B140" s="40"/>
      <c r="C140" s="41" t="s">
        <v>175</v>
      </c>
      <c r="D140" s="42">
        <v>3</v>
      </c>
      <c r="E140" s="43" t="s">
        <v>107</v>
      </c>
      <c r="F140" s="86" t="s">
        <v>410</v>
      </c>
      <c r="G140" s="74" t="s">
        <v>347</v>
      </c>
      <c r="H140" s="42"/>
      <c r="I140" s="41"/>
      <c r="J140" s="43"/>
      <c r="K140" s="44"/>
      <c r="L140" s="44"/>
      <c r="M140" s="44"/>
      <c r="N140" s="44"/>
    </row>
    <row r="141" spans="1:14" s="22" customFormat="1" ht="145" x14ac:dyDescent="0.35">
      <c r="A141" s="40" t="s">
        <v>62</v>
      </c>
      <c r="B141" s="40"/>
      <c r="C141" s="41" t="s">
        <v>175</v>
      </c>
      <c r="D141" s="42">
        <v>4</v>
      </c>
      <c r="E141" s="43" t="s">
        <v>176</v>
      </c>
      <c r="F141" s="43" t="s">
        <v>345</v>
      </c>
      <c r="G141" s="44"/>
      <c r="H141" s="42"/>
      <c r="I141" s="42"/>
      <c r="J141" s="43"/>
      <c r="K141" s="44"/>
      <c r="L141" s="44"/>
      <c r="M141" s="44"/>
      <c r="N141" s="44"/>
    </row>
    <row r="142" spans="1:14" s="22" customFormat="1" ht="29" x14ac:dyDescent="0.35">
      <c r="A142" s="40" t="s">
        <v>62</v>
      </c>
      <c r="B142" s="40"/>
      <c r="C142" s="41" t="s">
        <v>175</v>
      </c>
      <c r="D142" s="42">
        <v>5</v>
      </c>
      <c r="E142" s="43" t="s">
        <v>102</v>
      </c>
      <c r="F142" s="43" t="s">
        <v>103</v>
      </c>
      <c r="G142" s="42" t="s">
        <v>111</v>
      </c>
      <c r="H142" s="42"/>
      <c r="I142" s="42"/>
      <c r="J142" s="43"/>
      <c r="K142" s="44"/>
      <c r="L142" s="44"/>
      <c r="M142" s="44"/>
      <c r="N142" s="44"/>
    </row>
    <row r="143" spans="1:14" s="22" customFormat="1" ht="15" customHeight="1" x14ac:dyDescent="0.35">
      <c r="A143" s="37"/>
      <c r="B143" s="38" t="s">
        <v>174</v>
      </c>
      <c r="C143" s="38" t="s">
        <v>178</v>
      </c>
      <c r="D143" s="38"/>
      <c r="E143" s="38"/>
      <c r="F143" s="38"/>
      <c r="G143" s="37"/>
      <c r="H143" s="37"/>
      <c r="I143" s="39"/>
      <c r="J143" s="37"/>
      <c r="K143" s="44"/>
      <c r="L143" s="44"/>
      <c r="M143" s="44"/>
      <c r="N143" s="44"/>
    </row>
    <row r="144" spans="1:14" s="22" customFormat="1" ht="174" x14ac:dyDescent="0.35">
      <c r="A144" s="40" t="s">
        <v>162</v>
      </c>
      <c r="B144" s="40"/>
      <c r="C144" s="41" t="s">
        <v>178</v>
      </c>
      <c r="D144" s="42">
        <v>1</v>
      </c>
      <c r="E144" s="43" t="s">
        <v>395</v>
      </c>
      <c r="F144" s="43" t="s">
        <v>349</v>
      </c>
      <c r="G144" s="43" t="s">
        <v>163</v>
      </c>
      <c r="H144" s="42" t="s">
        <v>64</v>
      </c>
      <c r="I144" s="41" t="s">
        <v>164</v>
      </c>
      <c r="J144" s="43"/>
      <c r="K144" s="44"/>
      <c r="L144" s="44"/>
      <c r="M144" s="44"/>
      <c r="N144" s="44"/>
    </row>
    <row r="145" spans="1:14" s="22" customFormat="1" ht="225" x14ac:dyDescent="0.35">
      <c r="A145" s="40" t="s">
        <v>162</v>
      </c>
      <c r="B145" s="40"/>
      <c r="C145" s="41" t="s">
        <v>178</v>
      </c>
      <c r="D145" s="42">
        <v>2</v>
      </c>
      <c r="E145" s="43" t="s">
        <v>165</v>
      </c>
      <c r="F145" s="85" t="s">
        <v>409</v>
      </c>
      <c r="G145" s="74"/>
      <c r="H145" s="41"/>
      <c r="I145" s="41"/>
      <c r="J145" s="43"/>
      <c r="K145" s="44"/>
      <c r="L145" s="44"/>
      <c r="M145" s="44"/>
      <c r="N145" s="44"/>
    </row>
    <row r="146" spans="1:14" s="22" customFormat="1" ht="315" x14ac:dyDescent="0.35">
      <c r="A146" s="40" t="s">
        <v>162</v>
      </c>
      <c r="B146" s="40"/>
      <c r="C146" s="41" t="s">
        <v>178</v>
      </c>
      <c r="D146" s="42">
        <v>3</v>
      </c>
      <c r="E146" s="43" t="s">
        <v>107</v>
      </c>
      <c r="F146" s="86" t="s">
        <v>410</v>
      </c>
      <c r="G146" s="72" t="s">
        <v>412</v>
      </c>
      <c r="H146" s="42"/>
      <c r="I146" s="41"/>
      <c r="J146" s="43"/>
      <c r="K146" s="44"/>
      <c r="L146" s="44"/>
      <c r="M146" s="44"/>
      <c r="N146" s="44"/>
    </row>
    <row r="147" spans="1:14" s="22" customFormat="1" ht="43.5" x14ac:dyDescent="0.35">
      <c r="A147" s="40" t="s">
        <v>162</v>
      </c>
      <c r="B147" s="40"/>
      <c r="C147" s="41" t="s">
        <v>178</v>
      </c>
      <c r="D147" s="42">
        <v>4</v>
      </c>
      <c r="E147" s="43" t="s">
        <v>108</v>
      </c>
      <c r="F147" s="43" t="s">
        <v>109</v>
      </c>
      <c r="G147" s="43"/>
      <c r="H147" s="42"/>
      <c r="I147" s="42"/>
      <c r="J147" s="43"/>
      <c r="K147" s="44"/>
      <c r="L147" s="44"/>
      <c r="M147" s="44"/>
      <c r="N147" s="44"/>
    </row>
    <row r="148" spans="1:14" s="22" customFormat="1" ht="159.5" x14ac:dyDescent="0.35">
      <c r="A148" s="40" t="s">
        <v>162</v>
      </c>
      <c r="B148" s="40"/>
      <c r="C148" s="41" t="s">
        <v>178</v>
      </c>
      <c r="D148" s="42">
        <v>5</v>
      </c>
      <c r="E148" s="43" t="s">
        <v>110</v>
      </c>
      <c r="F148" s="43" t="s">
        <v>341</v>
      </c>
      <c r="G148" s="43"/>
      <c r="H148" s="42"/>
      <c r="I148" s="42"/>
      <c r="J148" s="43"/>
      <c r="K148" s="44"/>
      <c r="L148" s="44"/>
      <c r="M148" s="44"/>
      <c r="N148" s="44"/>
    </row>
    <row r="149" spans="1:14" s="22" customFormat="1" ht="333.5" x14ac:dyDescent="0.35">
      <c r="A149" s="40" t="s">
        <v>162</v>
      </c>
      <c r="B149" s="40"/>
      <c r="C149" s="41" t="s">
        <v>178</v>
      </c>
      <c r="D149" s="42">
        <v>6</v>
      </c>
      <c r="E149" s="43" t="s">
        <v>353</v>
      </c>
      <c r="F149" s="44" t="s">
        <v>338</v>
      </c>
      <c r="G149" s="43"/>
      <c r="H149" s="42"/>
      <c r="I149" s="42"/>
      <c r="J149" s="43"/>
      <c r="K149" s="44"/>
      <c r="L149" s="44"/>
      <c r="M149" s="44"/>
      <c r="N149" s="44"/>
    </row>
    <row r="150" spans="1:14" s="22" customFormat="1" ht="174" x14ac:dyDescent="0.35">
      <c r="A150" s="40" t="s">
        <v>162</v>
      </c>
      <c r="B150" s="40"/>
      <c r="C150" s="41" t="s">
        <v>178</v>
      </c>
      <c r="D150" s="42">
        <v>7</v>
      </c>
      <c r="E150" s="43" t="s">
        <v>132</v>
      </c>
      <c r="F150" s="84" t="s">
        <v>392</v>
      </c>
      <c r="G150" s="43"/>
      <c r="H150" s="42"/>
      <c r="I150" s="42"/>
      <c r="J150" s="43"/>
      <c r="K150" s="44"/>
      <c r="L150" s="44"/>
      <c r="M150" s="44"/>
      <c r="N150" s="44"/>
    </row>
    <row r="151" spans="1:14" s="22" customFormat="1" ht="29" x14ac:dyDescent="0.35">
      <c r="A151" s="40" t="s">
        <v>162</v>
      </c>
      <c r="B151" s="40"/>
      <c r="C151" s="41" t="s">
        <v>178</v>
      </c>
      <c r="D151" s="42">
        <v>8</v>
      </c>
      <c r="E151" s="43" t="s">
        <v>102</v>
      </c>
      <c r="F151" s="43" t="s">
        <v>103</v>
      </c>
      <c r="G151" s="42" t="s">
        <v>111</v>
      </c>
      <c r="H151" s="42"/>
      <c r="I151" s="42"/>
      <c r="J151" s="43"/>
      <c r="K151" s="44"/>
      <c r="L151" s="44"/>
      <c r="M151" s="44"/>
      <c r="N151" s="44"/>
    </row>
    <row r="152" spans="1:14" s="22" customFormat="1" ht="15" customHeight="1" x14ac:dyDescent="0.35">
      <c r="A152" s="37"/>
      <c r="B152" s="38" t="s">
        <v>177</v>
      </c>
      <c r="C152" s="38" t="s">
        <v>180</v>
      </c>
      <c r="D152" s="38"/>
      <c r="E152" s="38"/>
      <c r="F152" s="38"/>
      <c r="G152" s="37"/>
      <c r="H152" s="37"/>
      <c r="I152" s="39"/>
      <c r="J152" s="37"/>
      <c r="K152" s="44"/>
      <c r="L152" s="44"/>
      <c r="M152" s="44"/>
      <c r="N152" s="44"/>
    </row>
    <row r="153" spans="1:14" s="22" customFormat="1" ht="174" x14ac:dyDescent="0.35">
      <c r="A153" s="40" t="s">
        <v>162</v>
      </c>
      <c r="B153" s="40"/>
      <c r="C153" s="41" t="s">
        <v>180</v>
      </c>
      <c r="D153" s="42">
        <v>1</v>
      </c>
      <c r="E153" s="43" t="s">
        <v>395</v>
      </c>
      <c r="F153" s="43" t="s">
        <v>349</v>
      </c>
      <c r="G153" s="43" t="s">
        <v>163</v>
      </c>
      <c r="H153" s="42" t="s">
        <v>64</v>
      </c>
      <c r="I153" s="41" t="s">
        <v>164</v>
      </c>
      <c r="J153" s="43"/>
      <c r="K153" s="44"/>
      <c r="L153" s="44"/>
      <c r="M153" s="44"/>
      <c r="N153" s="44"/>
    </row>
    <row r="154" spans="1:14" s="22" customFormat="1" ht="225" x14ac:dyDescent="0.35">
      <c r="A154" s="40" t="s">
        <v>162</v>
      </c>
      <c r="B154" s="40"/>
      <c r="C154" s="41" t="s">
        <v>180</v>
      </c>
      <c r="D154" s="42">
        <v>2</v>
      </c>
      <c r="E154" s="43" t="s">
        <v>165</v>
      </c>
      <c r="F154" s="85" t="s">
        <v>409</v>
      </c>
      <c r="G154" s="74"/>
      <c r="H154" s="41"/>
      <c r="I154" s="41"/>
      <c r="J154" s="43"/>
      <c r="K154" s="44"/>
      <c r="L154" s="44"/>
      <c r="M154" s="44"/>
      <c r="N154" s="44"/>
    </row>
    <row r="155" spans="1:14" s="22" customFormat="1" ht="315" x14ac:dyDescent="0.35">
      <c r="A155" s="40" t="s">
        <v>162</v>
      </c>
      <c r="B155" s="40"/>
      <c r="C155" s="41" t="s">
        <v>180</v>
      </c>
      <c r="D155" s="42">
        <v>3</v>
      </c>
      <c r="E155" s="43" t="s">
        <v>107</v>
      </c>
      <c r="F155" s="86" t="s">
        <v>410</v>
      </c>
      <c r="G155" s="43" t="s">
        <v>347</v>
      </c>
      <c r="H155" s="42"/>
      <c r="I155" s="41"/>
      <c r="J155" s="43"/>
      <c r="K155" s="44"/>
      <c r="L155" s="44"/>
      <c r="M155" s="44"/>
      <c r="N155" s="44"/>
    </row>
    <row r="156" spans="1:14" s="22" customFormat="1" ht="43.5" x14ac:dyDescent="0.35">
      <c r="A156" s="40" t="s">
        <v>162</v>
      </c>
      <c r="B156" s="40"/>
      <c r="C156" s="41" t="s">
        <v>180</v>
      </c>
      <c r="D156" s="42">
        <v>4</v>
      </c>
      <c r="E156" s="43" t="s">
        <v>108</v>
      </c>
      <c r="F156" s="43" t="s">
        <v>109</v>
      </c>
      <c r="G156" s="43"/>
      <c r="H156" s="42"/>
      <c r="I156" s="42"/>
      <c r="J156" s="43"/>
      <c r="K156" s="44"/>
      <c r="L156" s="44"/>
      <c r="M156" s="44"/>
      <c r="N156" s="44"/>
    </row>
    <row r="157" spans="1:14" s="22" customFormat="1" ht="159.5" x14ac:dyDescent="0.35">
      <c r="A157" s="40" t="s">
        <v>162</v>
      </c>
      <c r="B157" s="40"/>
      <c r="C157" s="41" t="s">
        <v>180</v>
      </c>
      <c r="D157" s="42">
        <v>5</v>
      </c>
      <c r="E157" s="43" t="s">
        <v>110</v>
      </c>
      <c r="F157" s="43" t="s">
        <v>341</v>
      </c>
      <c r="G157" s="43"/>
      <c r="H157" s="42"/>
      <c r="I157" s="42"/>
      <c r="J157" s="43"/>
      <c r="K157" s="44"/>
      <c r="L157" s="44"/>
      <c r="M157" s="44"/>
      <c r="N157" s="44"/>
    </row>
    <row r="158" spans="1:14" s="22" customFormat="1" ht="333.5" x14ac:dyDescent="0.35">
      <c r="A158" s="40" t="s">
        <v>162</v>
      </c>
      <c r="B158" s="40"/>
      <c r="C158" s="41" t="s">
        <v>180</v>
      </c>
      <c r="D158" s="42">
        <v>6</v>
      </c>
      <c r="E158" s="43" t="s">
        <v>353</v>
      </c>
      <c r="F158" s="41" t="s">
        <v>338</v>
      </c>
      <c r="G158" s="43"/>
      <c r="H158" s="42"/>
      <c r="I158" s="42"/>
      <c r="J158" s="43"/>
      <c r="K158" s="44"/>
      <c r="L158" s="44"/>
      <c r="M158" s="44"/>
      <c r="N158" s="44"/>
    </row>
    <row r="159" spans="1:14" s="22" customFormat="1" ht="188.5" x14ac:dyDescent="0.35">
      <c r="A159" s="40" t="s">
        <v>162</v>
      </c>
      <c r="B159" s="40"/>
      <c r="C159" s="41" t="s">
        <v>180</v>
      </c>
      <c r="D159" s="42">
        <v>7</v>
      </c>
      <c r="E159" s="43" t="s">
        <v>159</v>
      </c>
      <c r="F159" s="84" t="s">
        <v>393</v>
      </c>
      <c r="G159" s="43"/>
      <c r="H159" s="42"/>
      <c r="I159" s="42"/>
      <c r="J159" s="43"/>
      <c r="K159" s="44"/>
      <c r="L159" s="44"/>
      <c r="M159" s="44"/>
      <c r="N159" s="44"/>
    </row>
    <row r="160" spans="1:14" s="22" customFormat="1" ht="29" x14ac:dyDescent="0.35">
      <c r="A160" s="40" t="s">
        <v>162</v>
      </c>
      <c r="B160" s="40"/>
      <c r="C160" s="41" t="s">
        <v>180</v>
      </c>
      <c r="D160" s="42">
        <v>8</v>
      </c>
      <c r="E160" s="43" t="s">
        <v>102</v>
      </c>
      <c r="F160" s="43" t="s">
        <v>103</v>
      </c>
      <c r="G160" s="42" t="s">
        <v>111</v>
      </c>
      <c r="H160" s="42"/>
      <c r="I160" s="42"/>
      <c r="J160" s="43"/>
      <c r="K160" s="44"/>
      <c r="L160" s="44"/>
      <c r="M160" s="44"/>
      <c r="N160" s="44"/>
    </row>
    <row r="161" spans="1:14" s="22" customFormat="1" ht="15" customHeight="1" x14ac:dyDescent="0.35">
      <c r="A161" s="37"/>
      <c r="B161" s="38" t="s">
        <v>179</v>
      </c>
      <c r="C161" s="38" t="s">
        <v>182</v>
      </c>
      <c r="D161" s="38"/>
      <c r="E161" s="38"/>
      <c r="F161" s="38"/>
      <c r="G161" s="37"/>
      <c r="H161" s="37"/>
      <c r="I161" s="39"/>
      <c r="J161" s="37"/>
      <c r="K161" s="44"/>
      <c r="L161" s="44"/>
      <c r="M161" s="44"/>
      <c r="N161" s="44"/>
    </row>
    <row r="162" spans="1:14" s="22" customFormat="1" ht="174" x14ac:dyDescent="0.35">
      <c r="A162" s="40" t="s">
        <v>162</v>
      </c>
      <c r="B162" s="40"/>
      <c r="C162" s="41" t="s">
        <v>182</v>
      </c>
      <c r="D162" s="42">
        <v>1</v>
      </c>
      <c r="E162" s="43" t="s">
        <v>395</v>
      </c>
      <c r="F162" s="43" t="s">
        <v>349</v>
      </c>
      <c r="G162" s="43" t="s">
        <v>183</v>
      </c>
      <c r="H162" s="42" t="s">
        <v>64</v>
      </c>
      <c r="I162" s="41" t="s">
        <v>184</v>
      </c>
      <c r="J162" s="43"/>
      <c r="K162" s="44"/>
      <c r="L162" s="44"/>
      <c r="M162" s="44"/>
      <c r="N162" s="44"/>
    </row>
    <row r="163" spans="1:14" s="22" customFormat="1" ht="255" x14ac:dyDescent="0.35">
      <c r="A163" s="40" t="s">
        <v>162</v>
      </c>
      <c r="B163" s="40"/>
      <c r="C163" s="41" t="s">
        <v>182</v>
      </c>
      <c r="D163" s="42">
        <v>2</v>
      </c>
      <c r="E163" s="43" t="s">
        <v>165</v>
      </c>
      <c r="F163" s="85" t="s">
        <v>413</v>
      </c>
      <c r="H163" s="41"/>
      <c r="I163" s="41"/>
      <c r="J163" s="43"/>
      <c r="K163" s="44"/>
      <c r="L163" s="44"/>
      <c r="M163" s="44"/>
      <c r="N163" s="44"/>
    </row>
    <row r="164" spans="1:14" s="22" customFormat="1" ht="285" x14ac:dyDescent="0.35">
      <c r="A164" s="40" t="s">
        <v>162</v>
      </c>
      <c r="B164" s="40"/>
      <c r="C164" s="41" t="s">
        <v>182</v>
      </c>
      <c r="D164" s="42">
        <v>3</v>
      </c>
      <c r="E164" s="43" t="s">
        <v>107</v>
      </c>
      <c r="F164" s="86" t="s">
        <v>414</v>
      </c>
      <c r="G164" s="74" t="s">
        <v>401</v>
      </c>
      <c r="H164" s="42"/>
      <c r="I164" s="41"/>
      <c r="J164" s="43"/>
      <c r="K164" s="44"/>
      <c r="L164" s="44"/>
      <c r="M164" s="44"/>
      <c r="N164" s="44"/>
    </row>
    <row r="165" spans="1:14" s="22" customFormat="1" ht="217.5" x14ac:dyDescent="0.35">
      <c r="A165" s="40" t="s">
        <v>162</v>
      </c>
      <c r="B165" s="40"/>
      <c r="C165" s="41" t="s">
        <v>182</v>
      </c>
      <c r="D165" s="42">
        <v>4</v>
      </c>
      <c r="E165" s="80" t="s">
        <v>416</v>
      </c>
      <c r="F165" s="43" t="s">
        <v>343</v>
      </c>
      <c r="G165" s="43" t="s">
        <v>340</v>
      </c>
      <c r="H165" s="42"/>
      <c r="I165" s="41"/>
      <c r="J165" s="43"/>
      <c r="K165" s="44"/>
      <c r="L165" s="44"/>
      <c r="M165" s="44"/>
      <c r="N165" s="44"/>
    </row>
    <row r="166" spans="1:14" s="22" customFormat="1" ht="29" x14ac:dyDescent="0.35">
      <c r="A166" s="40" t="s">
        <v>162</v>
      </c>
      <c r="B166" s="40"/>
      <c r="C166" s="41" t="s">
        <v>182</v>
      </c>
      <c r="D166" s="42">
        <v>5</v>
      </c>
      <c r="E166" s="43" t="s">
        <v>102</v>
      </c>
      <c r="F166" s="43" t="s">
        <v>103</v>
      </c>
      <c r="G166" s="42" t="s">
        <v>111</v>
      </c>
      <c r="H166" s="42"/>
      <c r="I166" s="41"/>
      <c r="J166" s="43"/>
      <c r="K166" s="44"/>
      <c r="L166" s="44"/>
      <c r="M166" s="44"/>
      <c r="N166" s="44"/>
    </row>
    <row r="167" spans="1:14" s="22" customFormat="1" ht="15" customHeight="1" x14ac:dyDescent="0.35">
      <c r="A167" s="37"/>
      <c r="B167" s="38" t="s">
        <v>181</v>
      </c>
      <c r="C167" s="38" t="s">
        <v>186</v>
      </c>
      <c r="D167" s="38"/>
      <c r="E167" s="38"/>
      <c r="F167" s="38"/>
      <c r="G167" s="37"/>
      <c r="H167" s="37"/>
      <c r="I167" s="39"/>
      <c r="J167" s="37"/>
      <c r="K167" s="44"/>
      <c r="L167" s="44"/>
      <c r="M167" s="44"/>
      <c r="N167" s="44"/>
    </row>
    <row r="168" spans="1:14" s="22" customFormat="1" ht="174" x14ac:dyDescent="0.35">
      <c r="A168" s="40" t="s">
        <v>162</v>
      </c>
      <c r="B168" s="40"/>
      <c r="C168" s="41" t="s">
        <v>186</v>
      </c>
      <c r="D168" s="42">
        <v>1</v>
      </c>
      <c r="E168" s="43" t="s">
        <v>395</v>
      </c>
      <c r="F168" s="43" t="s">
        <v>349</v>
      </c>
      <c r="G168" s="43" t="s">
        <v>168</v>
      </c>
      <c r="H168" s="42" t="s">
        <v>64</v>
      </c>
      <c r="I168" s="41" t="s">
        <v>169</v>
      </c>
      <c r="J168" s="43"/>
      <c r="K168" s="44"/>
      <c r="L168" s="44"/>
      <c r="M168" s="44"/>
      <c r="N168" s="44"/>
    </row>
    <row r="169" spans="1:14" s="22" customFormat="1" ht="255" x14ac:dyDescent="0.35">
      <c r="A169" s="40" t="s">
        <v>162</v>
      </c>
      <c r="B169" s="40"/>
      <c r="C169" s="41" t="s">
        <v>186</v>
      </c>
      <c r="D169" s="42">
        <v>2</v>
      </c>
      <c r="E169" s="43" t="s">
        <v>352</v>
      </c>
      <c r="F169" s="85" t="s">
        <v>413</v>
      </c>
      <c r="G169" s="74"/>
      <c r="H169" s="41"/>
      <c r="I169" s="41"/>
      <c r="J169" s="43"/>
      <c r="K169" s="44"/>
      <c r="L169" s="44"/>
      <c r="M169" s="44"/>
      <c r="N169" s="44"/>
    </row>
    <row r="170" spans="1:14" s="22" customFormat="1" ht="285" x14ac:dyDescent="0.35">
      <c r="A170" s="40" t="s">
        <v>162</v>
      </c>
      <c r="B170" s="40"/>
      <c r="C170" s="41" t="s">
        <v>186</v>
      </c>
      <c r="D170" s="42">
        <v>3</v>
      </c>
      <c r="E170" s="43" t="s">
        <v>107</v>
      </c>
      <c r="F170" s="86" t="s">
        <v>414</v>
      </c>
      <c r="G170" s="43" t="s">
        <v>401</v>
      </c>
      <c r="H170" s="42"/>
      <c r="I170" s="41"/>
      <c r="J170" s="43"/>
      <c r="K170" s="44"/>
      <c r="L170" s="44"/>
      <c r="M170" s="44"/>
      <c r="N170" s="44"/>
    </row>
    <row r="171" spans="1:14" s="22" customFormat="1" ht="165" x14ac:dyDescent="0.35">
      <c r="A171" s="40" t="s">
        <v>162</v>
      </c>
      <c r="B171" s="40"/>
      <c r="C171" s="41" t="s">
        <v>186</v>
      </c>
      <c r="D171" s="42">
        <v>4</v>
      </c>
      <c r="E171" s="80" t="s">
        <v>416</v>
      </c>
      <c r="F171" s="43" t="s">
        <v>147</v>
      </c>
      <c r="G171" s="43" t="s">
        <v>187</v>
      </c>
      <c r="H171" s="42"/>
      <c r="I171" s="41"/>
      <c r="J171" s="43"/>
      <c r="K171" s="44"/>
      <c r="L171" s="44"/>
      <c r="M171" s="44"/>
      <c r="N171" s="44"/>
    </row>
    <row r="172" spans="1:14" s="22" customFormat="1" ht="29" x14ac:dyDescent="0.35">
      <c r="A172" s="40" t="s">
        <v>162</v>
      </c>
      <c r="B172" s="40"/>
      <c r="C172" s="41" t="s">
        <v>186</v>
      </c>
      <c r="D172" s="42">
        <v>5</v>
      </c>
      <c r="E172" s="43" t="s">
        <v>102</v>
      </c>
      <c r="F172" s="43" t="s">
        <v>103</v>
      </c>
      <c r="G172" s="42" t="s">
        <v>111</v>
      </c>
      <c r="H172" s="42"/>
      <c r="I172" s="41"/>
      <c r="J172" s="43"/>
      <c r="K172" s="44"/>
      <c r="L172" s="44"/>
      <c r="M172" s="44"/>
      <c r="N172" s="44"/>
    </row>
    <row r="173" spans="1:14" s="22" customFormat="1" ht="15" customHeight="1" x14ac:dyDescent="0.35">
      <c r="A173" s="37"/>
      <c r="B173" s="38" t="s">
        <v>185</v>
      </c>
      <c r="C173" s="38" t="s">
        <v>191</v>
      </c>
      <c r="D173" s="38"/>
      <c r="E173" s="38"/>
      <c r="F173" s="38"/>
      <c r="G173" s="37"/>
      <c r="H173" s="37"/>
      <c r="I173" s="39"/>
      <c r="J173" s="37"/>
      <c r="K173" s="44"/>
      <c r="L173" s="44"/>
      <c r="M173" s="44"/>
      <c r="N173" s="44"/>
    </row>
    <row r="174" spans="1:14" s="22" customFormat="1" ht="174" x14ac:dyDescent="0.35">
      <c r="A174" s="40" t="s">
        <v>162</v>
      </c>
      <c r="B174" s="40"/>
      <c r="C174" s="41" t="s">
        <v>191</v>
      </c>
      <c r="D174" s="42">
        <v>1</v>
      </c>
      <c r="E174" s="43" t="s">
        <v>395</v>
      </c>
      <c r="F174" s="43" t="s">
        <v>349</v>
      </c>
      <c r="G174" s="43" t="s">
        <v>183</v>
      </c>
      <c r="H174" s="42" t="s">
        <v>64</v>
      </c>
      <c r="I174" s="41" t="s">
        <v>184</v>
      </c>
      <c r="J174" s="43"/>
      <c r="K174" s="44"/>
      <c r="L174" s="44"/>
      <c r="M174" s="44"/>
      <c r="N174" s="44"/>
    </row>
    <row r="175" spans="1:14" s="22" customFormat="1" ht="255" x14ac:dyDescent="0.35">
      <c r="A175" s="40" t="s">
        <v>162</v>
      </c>
      <c r="B175" s="40"/>
      <c r="C175" s="41" t="s">
        <v>191</v>
      </c>
      <c r="D175" s="42">
        <v>2</v>
      </c>
      <c r="E175" s="43" t="s">
        <v>165</v>
      </c>
      <c r="F175" s="85" t="s">
        <v>413</v>
      </c>
      <c r="G175" s="74"/>
      <c r="H175" s="41"/>
      <c r="I175" s="41"/>
      <c r="J175" s="43"/>
      <c r="K175" s="44"/>
      <c r="L175" s="44"/>
      <c r="M175" s="44"/>
      <c r="N175" s="44"/>
    </row>
    <row r="176" spans="1:14" s="22" customFormat="1" ht="285" x14ac:dyDescent="0.35">
      <c r="A176" s="40" t="s">
        <v>162</v>
      </c>
      <c r="B176" s="40"/>
      <c r="C176" s="41" t="s">
        <v>191</v>
      </c>
      <c r="D176" s="42">
        <v>3</v>
      </c>
      <c r="E176" s="43" t="s">
        <v>107</v>
      </c>
      <c r="F176" s="86" t="s">
        <v>414</v>
      </c>
      <c r="G176" s="72" t="s">
        <v>415</v>
      </c>
      <c r="H176" s="42"/>
      <c r="I176" s="41"/>
      <c r="J176" s="43"/>
      <c r="K176" s="44"/>
      <c r="L176" s="44"/>
      <c r="M176" s="44"/>
      <c r="N176" s="44"/>
    </row>
    <row r="177" spans="1:14" s="22" customFormat="1" ht="217.5" x14ac:dyDescent="0.35">
      <c r="A177" s="40" t="s">
        <v>162</v>
      </c>
      <c r="B177" s="40"/>
      <c r="C177" s="41" t="s">
        <v>191</v>
      </c>
      <c r="D177" s="42">
        <v>4</v>
      </c>
      <c r="E177" s="80" t="s">
        <v>416</v>
      </c>
      <c r="F177" s="43" t="s">
        <v>343</v>
      </c>
      <c r="G177" s="43" t="s">
        <v>187</v>
      </c>
      <c r="H177" s="42"/>
      <c r="I177" s="41"/>
      <c r="J177" s="43"/>
      <c r="K177" s="44"/>
      <c r="L177" s="44"/>
      <c r="M177" s="44"/>
      <c r="N177" s="44"/>
    </row>
    <row r="178" spans="1:14" s="22" customFormat="1" ht="362.5" x14ac:dyDescent="0.35">
      <c r="A178" s="40" t="s">
        <v>162</v>
      </c>
      <c r="B178" s="40"/>
      <c r="C178" s="41" t="s">
        <v>191</v>
      </c>
      <c r="D178" s="42">
        <v>5</v>
      </c>
      <c r="E178" s="43" t="s">
        <v>354</v>
      </c>
      <c r="F178" s="41" t="s">
        <v>337</v>
      </c>
      <c r="G178" s="43" t="s">
        <v>156</v>
      </c>
      <c r="H178" s="42"/>
      <c r="I178" s="41"/>
      <c r="J178" s="43"/>
      <c r="K178" s="44"/>
      <c r="L178" s="44"/>
      <c r="M178" s="44"/>
      <c r="N178" s="44"/>
    </row>
    <row r="179" spans="1:14" s="22" customFormat="1" ht="188.5" x14ac:dyDescent="0.35">
      <c r="A179" s="40" t="s">
        <v>162</v>
      </c>
      <c r="B179" s="40"/>
      <c r="C179" s="41" t="s">
        <v>191</v>
      </c>
      <c r="D179" s="42">
        <v>6</v>
      </c>
      <c r="E179" s="43" t="s">
        <v>132</v>
      </c>
      <c r="F179" s="76" t="s">
        <v>365</v>
      </c>
      <c r="G179" s="43"/>
      <c r="H179" s="42"/>
      <c r="I179" s="41"/>
      <c r="J179" s="43"/>
      <c r="K179" s="44"/>
      <c r="L179" s="44"/>
      <c r="M179" s="44"/>
      <c r="N179" s="44"/>
    </row>
    <row r="180" spans="1:14" s="22" customFormat="1" ht="29" x14ac:dyDescent="0.35">
      <c r="A180" s="40" t="s">
        <v>162</v>
      </c>
      <c r="B180" s="40"/>
      <c r="C180" s="41" t="s">
        <v>191</v>
      </c>
      <c r="D180" s="42">
        <v>7</v>
      </c>
      <c r="E180" s="43" t="s">
        <v>102</v>
      </c>
      <c r="F180" s="43" t="s">
        <v>103</v>
      </c>
      <c r="G180" s="42" t="s">
        <v>111</v>
      </c>
      <c r="H180" s="42"/>
      <c r="I180" s="41"/>
      <c r="J180" s="43"/>
      <c r="K180" s="44"/>
      <c r="L180" s="44"/>
      <c r="M180" s="44"/>
      <c r="N180" s="44"/>
    </row>
    <row r="181" spans="1:14" s="22" customFormat="1" ht="15" customHeight="1" x14ac:dyDescent="0.35">
      <c r="A181" s="37"/>
      <c r="B181" s="38" t="s">
        <v>188</v>
      </c>
      <c r="C181" s="38" t="s">
        <v>193</v>
      </c>
      <c r="D181" s="38"/>
      <c r="E181" s="38"/>
      <c r="F181" s="38"/>
      <c r="G181" s="37"/>
      <c r="H181" s="37"/>
      <c r="I181" s="39"/>
      <c r="J181" s="37"/>
      <c r="K181" s="44"/>
      <c r="L181" s="44"/>
      <c r="M181" s="44"/>
      <c r="N181" s="44"/>
    </row>
    <row r="182" spans="1:14" s="22" customFormat="1" ht="174" x14ac:dyDescent="0.35">
      <c r="A182" s="40" t="s">
        <v>162</v>
      </c>
      <c r="B182" s="40"/>
      <c r="C182" s="41" t="s">
        <v>193</v>
      </c>
      <c r="D182" s="42">
        <v>1</v>
      </c>
      <c r="E182" s="43" t="s">
        <v>395</v>
      </c>
      <c r="F182" s="43" t="s">
        <v>349</v>
      </c>
      <c r="G182" s="43" t="s">
        <v>183</v>
      </c>
      <c r="H182" s="42" t="s">
        <v>64</v>
      </c>
      <c r="I182" s="41" t="s">
        <v>184</v>
      </c>
      <c r="J182" s="43"/>
      <c r="K182" s="44"/>
      <c r="L182" s="44"/>
      <c r="M182" s="44"/>
      <c r="N182" s="44"/>
    </row>
    <row r="183" spans="1:14" s="22" customFormat="1" ht="255" x14ac:dyDescent="0.35">
      <c r="A183" s="40" t="s">
        <v>162</v>
      </c>
      <c r="B183" s="40"/>
      <c r="C183" s="41" t="s">
        <v>193</v>
      </c>
      <c r="D183" s="42">
        <v>2</v>
      </c>
      <c r="E183" s="43" t="s">
        <v>165</v>
      </c>
      <c r="F183" s="85" t="s">
        <v>413</v>
      </c>
      <c r="G183" s="74"/>
      <c r="H183" s="41"/>
      <c r="I183" s="41"/>
      <c r="J183" s="43"/>
      <c r="K183" s="44"/>
      <c r="L183" s="44"/>
      <c r="M183" s="44"/>
      <c r="N183" s="44"/>
    </row>
    <row r="184" spans="1:14" s="22" customFormat="1" ht="285" x14ac:dyDescent="0.35">
      <c r="A184" s="40" t="s">
        <v>162</v>
      </c>
      <c r="B184" s="40"/>
      <c r="C184" s="41" t="s">
        <v>193</v>
      </c>
      <c r="D184" s="42">
        <v>3</v>
      </c>
      <c r="E184" s="43" t="s">
        <v>107</v>
      </c>
      <c r="F184" s="86" t="s">
        <v>414</v>
      </c>
      <c r="G184" s="72" t="s">
        <v>415</v>
      </c>
      <c r="H184" s="42"/>
      <c r="I184" s="41"/>
      <c r="J184" s="43"/>
      <c r="K184" s="44"/>
      <c r="L184" s="44"/>
      <c r="M184" s="44"/>
      <c r="N184" s="44"/>
    </row>
    <row r="185" spans="1:14" s="22" customFormat="1" ht="217.5" x14ac:dyDescent="0.35">
      <c r="A185" s="40" t="s">
        <v>162</v>
      </c>
      <c r="B185" s="40"/>
      <c r="C185" s="41" t="s">
        <v>193</v>
      </c>
      <c r="D185" s="42">
        <v>4</v>
      </c>
      <c r="E185" s="80" t="s">
        <v>416</v>
      </c>
      <c r="F185" s="43" t="s">
        <v>343</v>
      </c>
      <c r="G185" s="43" t="s">
        <v>187</v>
      </c>
      <c r="H185" s="42"/>
      <c r="I185" s="41"/>
      <c r="J185" s="43"/>
      <c r="K185" s="44"/>
      <c r="L185" s="44"/>
      <c r="M185" s="44"/>
      <c r="N185" s="44"/>
    </row>
    <row r="186" spans="1:14" s="22" customFormat="1" ht="362.5" x14ac:dyDescent="0.35">
      <c r="A186" s="40" t="s">
        <v>162</v>
      </c>
      <c r="B186" s="40"/>
      <c r="C186" s="41" t="s">
        <v>193</v>
      </c>
      <c r="D186" s="42">
        <v>5</v>
      </c>
      <c r="E186" s="43" t="s">
        <v>355</v>
      </c>
      <c r="F186" s="41" t="s">
        <v>337</v>
      </c>
      <c r="G186" s="43" t="s">
        <v>334</v>
      </c>
      <c r="H186" s="42"/>
      <c r="I186" s="41"/>
      <c r="J186" s="43"/>
      <c r="K186" s="44"/>
      <c r="L186" s="44"/>
      <c r="M186" s="44"/>
      <c r="N186" s="44"/>
    </row>
    <row r="187" spans="1:14" s="22" customFormat="1" ht="188.5" x14ac:dyDescent="0.35">
      <c r="A187" s="40" t="s">
        <v>162</v>
      </c>
      <c r="B187" s="40"/>
      <c r="C187" s="41" t="s">
        <v>193</v>
      </c>
      <c r="D187" s="42">
        <v>6</v>
      </c>
      <c r="E187" s="43" t="s">
        <v>159</v>
      </c>
      <c r="F187" s="76" t="s">
        <v>364</v>
      </c>
      <c r="G187" s="43"/>
      <c r="H187" s="42"/>
      <c r="I187" s="41"/>
      <c r="J187" s="43"/>
      <c r="K187" s="44"/>
      <c r="L187" s="44"/>
      <c r="M187" s="44"/>
      <c r="N187" s="44"/>
    </row>
    <row r="188" spans="1:14" s="22" customFormat="1" ht="29" x14ac:dyDescent="0.35">
      <c r="A188" s="40" t="s">
        <v>162</v>
      </c>
      <c r="B188" s="40"/>
      <c r="C188" s="41" t="s">
        <v>193</v>
      </c>
      <c r="D188" s="42">
        <v>7</v>
      </c>
      <c r="E188" s="43" t="s">
        <v>102</v>
      </c>
      <c r="F188" s="43" t="s">
        <v>103</v>
      </c>
      <c r="G188" s="42" t="s">
        <v>111</v>
      </c>
      <c r="H188" s="42"/>
      <c r="I188" s="41"/>
      <c r="J188" s="43"/>
      <c r="K188" s="44"/>
      <c r="L188" s="44"/>
      <c r="M188" s="44"/>
      <c r="N188" s="44"/>
    </row>
    <row r="189" spans="1:14" s="22" customFormat="1" ht="36" customHeight="1" x14ac:dyDescent="0.35">
      <c r="A189" s="37"/>
      <c r="B189" s="38" t="s">
        <v>190</v>
      </c>
      <c r="C189" s="38" t="s">
        <v>194</v>
      </c>
      <c r="D189" s="38"/>
      <c r="E189" s="38"/>
      <c r="F189" s="38"/>
      <c r="G189" s="37"/>
      <c r="H189" s="37"/>
      <c r="I189" s="39"/>
      <c r="J189" s="37"/>
      <c r="K189" s="44"/>
      <c r="L189" s="44"/>
      <c r="M189" s="44"/>
      <c r="N189" s="44"/>
    </row>
    <row r="190" spans="1:14" s="22" customFormat="1" ht="174" x14ac:dyDescent="0.35">
      <c r="A190" s="40" t="s">
        <v>162</v>
      </c>
      <c r="B190" s="40"/>
      <c r="C190" s="41" t="s">
        <v>194</v>
      </c>
      <c r="D190" s="42">
        <v>1</v>
      </c>
      <c r="E190" s="43" t="s">
        <v>395</v>
      </c>
      <c r="F190" s="43" t="s">
        <v>349</v>
      </c>
      <c r="G190" s="43" t="s">
        <v>93</v>
      </c>
      <c r="H190" s="42" t="s">
        <v>64</v>
      </c>
      <c r="I190" s="41" t="s">
        <v>195</v>
      </c>
      <c r="J190" s="43"/>
      <c r="K190" s="44"/>
      <c r="L190" s="44"/>
      <c r="M190" s="44"/>
      <c r="N190" s="44"/>
    </row>
    <row r="191" spans="1:14" s="22" customFormat="1" ht="101.5" x14ac:dyDescent="0.35">
      <c r="A191" s="40" t="s">
        <v>162</v>
      </c>
      <c r="B191" s="40"/>
      <c r="C191" s="41" t="s">
        <v>194</v>
      </c>
      <c r="D191" s="42">
        <v>2</v>
      </c>
      <c r="E191" s="43" t="s">
        <v>196</v>
      </c>
      <c r="F191" s="43" t="s">
        <v>197</v>
      </c>
      <c r="G191" s="43"/>
      <c r="H191" s="41"/>
      <c r="I191" s="41"/>
      <c r="J191" s="43"/>
      <c r="K191" s="44"/>
      <c r="L191" s="44"/>
      <c r="M191" s="44"/>
      <c r="N191" s="44"/>
    </row>
    <row r="192" spans="1:14" s="22" customFormat="1" ht="29" x14ac:dyDescent="0.35">
      <c r="A192" s="40" t="s">
        <v>162</v>
      </c>
      <c r="B192" s="40"/>
      <c r="C192" s="41" t="s">
        <v>194</v>
      </c>
      <c r="D192" s="42">
        <v>3</v>
      </c>
      <c r="E192" s="43" t="s">
        <v>102</v>
      </c>
      <c r="F192" s="43" t="s">
        <v>103</v>
      </c>
      <c r="G192" s="42" t="s">
        <v>111</v>
      </c>
      <c r="H192" s="42"/>
      <c r="I192" s="41"/>
      <c r="J192" s="43"/>
      <c r="K192" s="44"/>
      <c r="L192" s="44"/>
      <c r="M192" s="44"/>
      <c r="N192" s="44"/>
    </row>
    <row r="193" spans="1:14" s="22" customFormat="1" ht="15" customHeight="1" x14ac:dyDescent="0.35">
      <c r="A193" s="37"/>
      <c r="B193" s="38" t="s">
        <v>192</v>
      </c>
      <c r="C193" s="38" t="s">
        <v>198</v>
      </c>
      <c r="D193" s="38"/>
      <c r="E193" s="38"/>
      <c r="F193" s="38"/>
      <c r="G193" s="37"/>
      <c r="H193" s="37"/>
      <c r="I193" s="39"/>
      <c r="J193" s="37"/>
      <c r="K193" s="44"/>
      <c r="L193" s="44"/>
      <c r="M193" s="44"/>
      <c r="N193" s="44"/>
    </row>
    <row r="194" spans="1:14" s="22" customFormat="1" ht="174" x14ac:dyDescent="0.35">
      <c r="A194" s="40" t="s">
        <v>162</v>
      </c>
      <c r="B194" s="40"/>
      <c r="C194" s="41" t="s">
        <v>198</v>
      </c>
      <c r="D194" s="42">
        <v>1</v>
      </c>
      <c r="E194" s="43" t="s">
        <v>395</v>
      </c>
      <c r="F194" s="43" t="s">
        <v>349</v>
      </c>
      <c r="G194" s="43" t="s">
        <v>93</v>
      </c>
      <c r="H194" s="42" t="s">
        <v>64</v>
      </c>
      <c r="I194" s="41" t="s">
        <v>195</v>
      </c>
      <c r="J194" s="43"/>
      <c r="K194" s="44"/>
      <c r="L194" s="44"/>
      <c r="M194" s="44"/>
      <c r="N194" s="44"/>
    </row>
    <row r="195" spans="1:14" s="22" customFormat="1" ht="409.5" x14ac:dyDescent="0.35">
      <c r="A195" s="40" t="s">
        <v>162</v>
      </c>
      <c r="B195" s="40"/>
      <c r="C195" s="41" t="s">
        <v>198</v>
      </c>
      <c r="D195" s="42">
        <v>2</v>
      </c>
      <c r="E195" s="43" t="s">
        <v>196</v>
      </c>
      <c r="F195" s="43" t="s">
        <v>199</v>
      </c>
      <c r="G195" s="43"/>
      <c r="H195" s="41"/>
      <c r="I195" s="41"/>
      <c r="J195" s="43"/>
      <c r="K195" s="44"/>
      <c r="L195" s="44"/>
      <c r="M195" s="44"/>
      <c r="N195" s="44"/>
    </row>
    <row r="196" spans="1:14" s="22" customFormat="1" ht="29" x14ac:dyDescent="0.35">
      <c r="A196" s="40" t="s">
        <v>162</v>
      </c>
      <c r="B196" s="40"/>
      <c r="C196" s="41" t="s">
        <v>198</v>
      </c>
      <c r="D196" s="42">
        <v>3</v>
      </c>
      <c r="E196" s="43" t="s">
        <v>200</v>
      </c>
      <c r="F196" s="43" t="s">
        <v>201</v>
      </c>
      <c r="G196" s="43"/>
      <c r="H196" s="42"/>
      <c r="I196" s="41"/>
      <c r="J196" s="43"/>
      <c r="K196" s="44"/>
      <c r="L196" s="44"/>
      <c r="M196" s="44"/>
      <c r="N196" s="44"/>
    </row>
    <row r="197" spans="1:14" s="22" customFormat="1" ht="29" x14ac:dyDescent="0.35">
      <c r="A197" s="40" t="s">
        <v>162</v>
      </c>
      <c r="B197" s="40"/>
      <c r="C197" s="41" t="s">
        <v>198</v>
      </c>
      <c r="D197" s="42">
        <v>4</v>
      </c>
      <c r="E197" s="43" t="s">
        <v>102</v>
      </c>
      <c r="F197" s="43" t="s">
        <v>103</v>
      </c>
      <c r="G197" s="42" t="s">
        <v>111</v>
      </c>
      <c r="H197" s="42"/>
      <c r="I197" s="41"/>
      <c r="J197" s="43"/>
      <c r="K197" s="44"/>
      <c r="L197" s="44"/>
      <c r="M197" s="44"/>
      <c r="N197" s="44"/>
    </row>
    <row r="198" spans="1:14" s="22" customFormat="1" ht="15" customHeight="1" x14ac:dyDescent="0.35">
      <c r="A198" s="37"/>
      <c r="B198" s="38" t="s">
        <v>358</v>
      </c>
      <c r="C198" s="38" t="s">
        <v>359</v>
      </c>
      <c r="D198" s="38"/>
      <c r="E198" s="38"/>
      <c r="F198" s="38"/>
      <c r="G198" s="37"/>
      <c r="H198" s="37"/>
      <c r="I198" s="39"/>
      <c r="J198" s="37"/>
      <c r="K198" s="44"/>
      <c r="L198" s="44"/>
      <c r="M198" s="44"/>
      <c r="N198" s="44"/>
    </row>
    <row r="199" spans="1:14" s="22" customFormat="1" ht="174" x14ac:dyDescent="0.35">
      <c r="A199" s="40" t="s">
        <v>162</v>
      </c>
      <c r="B199" s="40"/>
      <c r="C199" s="41" t="s">
        <v>191</v>
      </c>
      <c r="D199" s="42">
        <v>1</v>
      </c>
      <c r="E199" s="43" t="s">
        <v>395</v>
      </c>
      <c r="F199" s="43" t="s">
        <v>349</v>
      </c>
      <c r="G199" s="43" t="s">
        <v>183</v>
      </c>
      <c r="H199" s="42" t="s">
        <v>64</v>
      </c>
      <c r="I199" s="41" t="s">
        <v>184</v>
      </c>
      <c r="J199" s="43"/>
      <c r="K199" s="44"/>
      <c r="L199" s="44"/>
      <c r="M199" s="44"/>
      <c r="N199" s="44"/>
    </row>
    <row r="200" spans="1:14" s="22" customFormat="1" ht="255" x14ac:dyDescent="0.35">
      <c r="A200" s="40" t="s">
        <v>162</v>
      </c>
      <c r="B200" s="40"/>
      <c r="C200" s="41" t="s">
        <v>191</v>
      </c>
      <c r="D200" s="42">
        <v>2</v>
      </c>
      <c r="E200" s="43" t="s">
        <v>165</v>
      </c>
      <c r="F200" s="85" t="s">
        <v>413</v>
      </c>
      <c r="G200" s="74"/>
      <c r="H200" s="41"/>
      <c r="I200" s="41"/>
      <c r="J200" s="43"/>
      <c r="K200" s="44"/>
      <c r="L200" s="44"/>
      <c r="M200" s="44"/>
      <c r="N200" s="44"/>
    </row>
    <row r="201" spans="1:14" s="22" customFormat="1" ht="285" x14ac:dyDescent="0.35">
      <c r="A201" s="40" t="s">
        <v>162</v>
      </c>
      <c r="B201" s="40"/>
      <c r="C201" s="41" t="s">
        <v>191</v>
      </c>
      <c r="D201" s="42">
        <v>3</v>
      </c>
      <c r="E201" s="43" t="s">
        <v>107</v>
      </c>
      <c r="F201" s="86" t="s">
        <v>414</v>
      </c>
      <c r="G201" s="72" t="s">
        <v>415</v>
      </c>
      <c r="H201" s="42"/>
      <c r="I201" s="41"/>
      <c r="J201" s="43"/>
      <c r="K201" s="44"/>
      <c r="L201" s="44"/>
      <c r="M201" s="44"/>
      <c r="N201" s="44"/>
    </row>
    <row r="202" spans="1:14" s="22" customFormat="1" ht="217.5" x14ac:dyDescent="0.35">
      <c r="A202" s="40" t="s">
        <v>162</v>
      </c>
      <c r="B202" s="40"/>
      <c r="C202" s="41" t="s">
        <v>191</v>
      </c>
      <c r="D202" s="42">
        <v>4</v>
      </c>
      <c r="E202" s="80" t="s">
        <v>416</v>
      </c>
      <c r="F202" s="43" t="s">
        <v>343</v>
      </c>
      <c r="G202" s="43" t="s">
        <v>187</v>
      </c>
      <c r="H202" s="42"/>
      <c r="I202" s="41"/>
      <c r="J202" s="43"/>
      <c r="K202" s="44"/>
      <c r="L202" s="44"/>
      <c r="M202" s="44"/>
      <c r="N202" s="44"/>
    </row>
    <row r="203" spans="1:14" s="22" customFormat="1" ht="406" x14ac:dyDescent="0.35">
      <c r="A203" s="40" t="s">
        <v>162</v>
      </c>
      <c r="B203" s="40"/>
      <c r="C203" s="41" t="s">
        <v>191</v>
      </c>
      <c r="D203" s="42">
        <v>5</v>
      </c>
      <c r="E203" s="43" t="s">
        <v>354</v>
      </c>
      <c r="F203" s="41" t="s">
        <v>337</v>
      </c>
      <c r="G203" s="83" t="s">
        <v>394</v>
      </c>
      <c r="H203" s="42"/>
      <c r="I203" s="41"/>
      <c r="J203" s="43"/>
      <c r="K203" s="44"/>
      <c r="L203" s="44"/>
      <c r="M203" s="44"/>
      <c r="N203" s="44"/>
    </row>
    <row r="204" spans="1:14" s="22" customFormat="1" ht="409.5" x14ac:dyDescent="0.35">
      <c r="A204" s="40" t="s">
        <v>162</v>
      </c>
      <c r="B204" s="40"/>
      <c r="C204" s="41" t="s">
        <v>191</v>
      </c>
      <c r="D204" s="42">
        <v>6</v>
      </c>
      <c r="E204" s="43" t="s">
        <v>132</v>
      </c>
      <c r="F204" s="22" t="s">
        <v>362</v>
      </c>
      <c r="G204" s="43"/>
      <c r="H204" s="42"/>
      <c r="I204" s="41"/>
      <c r="J204" s="43"/>
      <c r="K204" s="44"/>
      <c r="L204" s="44"/>
      <c r="M204" s="44"/>
      <c r="N204" s="44"/>
    </row>
    <row r="205" spans="1:14" s="22" customFormat="1" ht="29" x14ac:dyDescent="0.35">
      <c r="A205" s="40" t="s">
        <v>162</v>
      </c>
      <c r="B205" s="40"/>
      <c r="C205" s="41" t="s">
        <v>191</v>
      </c>
      <c r="D205" s="42">
        <v>7</v>
      </c>
      <c r="E205" s="43" t="s">
        <v>102</v>
      </c>
      <c r="F205" s="43" t="s">
        <v>103</v>
      </c>
      <c r="G205" s="42" t="s">
        <v>111</v>
      </c>
      <c r="H205" s="42"/>
      <c r="I205" s="41"/>
      <c r="J205" s="43"/>
      <c r="K205" s="44"/>
      <c r="L205" s="44"/>
      <c r="M205" s="44"/>
      <c r="N205" s="44"/>
    </row>
    <row r="206" spans="1:14" s="22" customFormat="1" ht="15" customHeight="1" x14ac:dyDescent="0.35">
      <c r="A206" s="37"/>
      <c r="B206" s="38" t="s">
        <v>360</v>
      </c>
      <c r="C206" s="38" t="s">
        <v>361</v>
      </c>
      <c r="D206" s="38"/>
      <c r="E206" s="38"/>
      <c r="F206" s="38"/>
      <c r="G206" s="37"/>
      <c r="H206" s="37"/>
      <c r="I206" s="39"/>
      <c r="J206" s="37"/>
      <c r="K206" s="44"/>
      <c r="L206" s="44"/>
      <c r="M206" s="44"/>
      <c r="N206" s="44"/>
    </row>
    <row r="207" spans="1:14" s="22" customFormat="1" ht="174" x14ac:dyDescent="0.35">
      <c r="A207" s="40" t="s">
        <v>162</v>
      </c>
      <c r="B207" s="40"/>
      <c r="C207" s="41" t="s">
        <v>193</v>
      </c>
      <c r="D207" s="42">
        <v>1</v>
      </c>
      <c r="E207" s="43" t="s">
        <v>395</v>
      </c>
      <c r="F207" s="43" t="s">
        <v>349</v>
      </c>
      <c r="G207" s="43" t="s">
        <v>183</v>
      </c>
      <c r="H207" s="42" t="s">
        <v>64</v>
      </c>
      <c r="I207" s="41" t="s">
        <v>184</v>
      </c>
      <c r="J207" s="43"/>
      <c r="K207" s="44"/>
      <c r="L207" s="44"/>
      <c r="M207" s="44"/>
      <c r="N207" s="44"/>
    </row>
    <row r="208" spans="1:14" s="22" customFormat="1" ht="255" x14ac:dyDescent="0.35">
      <c r="A208" s="40" t="s">
        <v>162</v>
      </c>
      <c r="B208" s="40"/>
      <c r="C208" s="41" t="s">
        <v>193</v>
      </c>
      <c r="D208" s="42">
        <v>2</v>
      </c>
      <c r="E208" s="43" t="s">
        <v>165</v>
      </c>
      <c r="F208" s="85" t="s">
        <v>413</v>
      </c>
      <c r="G208" s="74"/>
      <c r="H208" s="41"/>
      <c r="I208" s="41"/>
      <c r="J208" s="43"/>
      <c r="K208" s="44"/>
      <c r="L208" s="44"/>
      <c r="M208" s="44"/>
      <c r="N208" s="44"/>
    </row>
    <row r="209" spans="1:14" s="22" customFormat="1" ht="285" x14ac:dyDescent="0.35">
      <c r="A209" s="40" t="s">
        <v>162</v>
      </c>
      <c r="B209" s="40"/>
      <c r="C209" s="41" t="s">
        <v>193</v>
      </c>
      <c r="D209" s="42">
        <v>3</v>
      </c>
      <c r="E209" s="43" t="s">
        <v>107</v>
      </c>
      <c r="F209" s="86" t="s">
        <v>414</v>
      </c>
      <c r="G209" s="72" t="s">
        <v>415</v>
      </c>
      <c r="H209" s="42"/>
      <c r="I209" s="41"/>
      <c r="J209" s="43"/>
      <c r="K209" s="44"/>
      <c r="L209" s="44"/>
      <c r="M209" s="44"/>
      <c r="N209" s="44"/>
    </row>
    <row r="210" spans="1:14" s="22" customFormat="1" ht="217.5" x14ac:dyDescent="0.35">
      <c r="A210" s="40" t="s">
        <v>162</v>
      </c>
      <c r="B210" s="40"/>
      <c r="C210" s="41" t="s">
        <v>193</v>
      </c>
      <c r="D210" s="42">
        <v>4</v>
      </c>
      <c r="E210" s="80" t="s">
        <v>416</v>
      </c>
      <c r="F210" s="43" t="s">
        <v>343</v>
      </c>
      <c r="G210" s="43" t="s">
        <v>187</v>
      </c>
      <c r="H210" s="42"/>
      <c r="I210" s="41"/>
      <c r="J210" s="43"/>
      <c r="K210" s="44"/>
      <c r="L210" s="44"/>
      <c r="M210" s="44"/>
      <c r="N210" s="44"/>
    </row>
    <row r="211" spans="1:14" s="22" customFormat="1" ht="362.5" x14ac:dyDescent="0.35">
      <c r="A211" s="40" t="s">
        <v>162</v>
      </c>
      <c r="B211" s="40"/>
      <c r="C211" s="41" t="s">
        <v>193</v>
      </c>
      <c r="D211" s="42">
        <v>5</v>
      </c>
      <c r="E211" s="43" t="s">
        <v>354</v>
      </c>
      <c r="F211" s="41" t="s">
        <v>337</v>
      </c>
      <c r="G211" s="74" t="s">
        <v>389</v>
      </c>
      <c r="H211" s="42"/>
      <c r="I211" s="41"/>
      <c r="J211" s="43"/>
      <c r="K211" s="44"/>
      <c r="L211" s="44"/>
      <c r="M211" s="44"/>
      <c r="N211" s="44"/>
    </row>
    <row r="212" spans="1:14" s="22" customFormat="1" ht="409.5" x14ac:dyDescent="0.35">
      <c r="A212" s="40" t="s">
        <v>162</v>
      </c>
      <c r="B212" s="40"/>
      <c r="C212" s="41" t="s">
        <v>193</v>
      </c>
      <c r="D212" s="42">
        <v>6</v>
      </c>
      <c r="E212" s="43" t="s">
        <v>159</v>
      </c>
      <c r="F212" s="44" t="s">
        <v>363</v>
      </c>
      <c r="G212" s="43"/>
      <c r="H212" s="42"/>
      <c r="I212" s="41"/>
      <c r="J212" s="43"/>
      <c r="K212" s="44"/>
      <c r="L212" s="44"/>
      <c r="M212" s="44"/>
      <c r="N212" s="44"/>
    </row>
    <row r="213" spans="1:14" s="22" customFormat="1" ht="29" x14ac:dyDescent="0.35">
      <c r="A213" s="40" t="s">
        <v>162</v>
      </c>
      <c r="B213" s="40"/>
      <c r="C213" s="41" t="s">
        <v>193</v>
      </c>
      <c r="D213" s="42">
        <v>7</v>
      </c>
      <c r="E213" s="43" t="s">
        <v>102</v>
      </c>
      <c r="F213" s="43" t="s">
        <v>103</v>
      </c>
      <c r="G213" s="42" t="s">
        <v>111</v>
      </c>
      <c r="H213" s="42"/>
      <c r="I213" s="41"/>
      <c r="J213" s="43"/>
      <c r="K213" s="44"/>
      <c r="L213" s="44"/>
      <c r="M213" s="44"/>
      <c r="N213" s="44"/>
    </row>
    <row r="214" spans="1:14" s="46" customFormat="1" ht="15" x14ac:dyDescent="0.25">
      <c r="A214" s="37"/>
      <c r="B214" s="38" t="s">
        <v>368</v>
      </c>
      <c r="C214" s="38" t="s">
        <v>366</v>
      </c>
      <c r="D214" s="38"/>
      <c r="E214" s="38"/>
      <c r="F214" s="38"/>
      <c r="G214" s="37"/>
      <c r="H214" s="37"/>
      <c r="I214" s="39"/>
      <c r="J214" s="37"/>
      <c r="K214" s="22"/>
      <c r="L214" s="22"/>
      <c r="M214" s="22"/>
    </row>
    <row r="215" spans="1:14" s="46" customFormat="1" ht="174" x14ac:dyDescent="0.25">
      <c r="A215" s="40" t="s">
        <v>62</v>
      </c>
      <c r="B215" s="40"/>
      <c r="C215" s="41" t="s">
        <v>151</v>
      </c>
      <c r="D215" s="42">
        <v>1</v>
      </c>
      <c r="E215" s="43" t="s">
        <v>395</v>
      </c>
      <c r="F215" s="43" t="s">
        <v>349</v>
      </c>
      <c r="G215" s="43" t="s">
        <v>93</v>
      </c>
      <c r="H215" s="42" t="s">
        <v>64</v>
      </c>
      <c r="I215" s="41" t="s">
        <v>152</v>
      </c>
      <c r="J215" s="43"/>
      <c r="K215" s="22"/>
      <c r="L215" s="22"/>
      <c r="M215" s="22"/>
    </row>
    <row r="216" spans="1:14" s="46" customFormat="1" ht="255" x14ac:dyDescent="0.25">
      <c r="A216" s="40" t="s">
        <v>62</v>
      </c>
      <c r="B216" s="40"/>
      <c r="C216" s="41" t="s">
        <v>151</v>
      </c>
      <c r="D216" s="42">
        <v>2</v>
      </c>
      <c r="E216" s="43" t="s">
        <v>95</v>
      </c>
      <c r="F216" s="85" t="s">
        <v>406</v>
      </c>
      <c r="G216" s="74"/>
      <c r="H216" s="41"/>
      <c r="I216" s="41"/>
      <c r="J216" s="43"/>
      <c r="K216" s="22"/>
      <c r="L216" s="22"/>
      <c r="M216" s="22"/>
    </row>
    <row r="217" spans="1:14" s="46" customFormat="1" ht="285" x14ac:dyDescent="0.25">
      <c r="A217" s="40" t="s">
        <v>62</v>
      </c>
      <c r="B217" s="40"/>
      <c r="C217" s="41" t="s">
        <v>151</v>
      </c>
      <c r="D217" s="42">
        <v>3</v>
      </c>
      <c r="E217" s="43" t="s">
        <v>107</v>
      </c>
      <c r="F217" s="86" t="s">
        <v>407</v>
      </c>
      <c r="G217" s="72" t="s">
        <v>408</v>
      </c>
      <c r="H217" s="42"/>
      <c r="I217" s="41"/>
      <c r="J217" s="43"/>
      <c r="K217" s="22"/>
      <c r="L217" s="22"/>
      <c r="M217" s="22"/>
    </row>
    <row r="218" spans="1:14" s="46" customFormat="1" ht="188.5" x14ac:dyDescent="0.25">
      <c r="A218" s="40" t="s">
        <v>62</v>
      </c>
      <c r="B218" s="40"/>
      <c r="C218" s="41" t="s">
        <v>151</v>
      </c>
      <c r="D218" s="42">
        <v>4</v>
      </c>
      <c r="E218" s="80" t="s">
        <v>416</v>
      </c>
      <c r="F218" s="43" t="s">
        <v>342</v>
      </c>
      <c r="G218" s="43" t="s">
        <v>154</v>
      </c>
      <c r="H218" s="42"/>
      <c r="I218" s="41"/>
      <c r="J218" s="43"/>
      <c r="K218" s="22"/>
      <c r="L218" s="22"/>
      <c r="M218" s="22"/>
    </row>
    <row r="219" spans="1:14" s="46" customFormat="1" ht="406" x14ac:dyDescent="0.25">
      <c r="A219" s="40" t="s">
        <v>62</v>
      </c>
      <c r="B219" s="40"/>
      <c r="C219" s="41" t="s">
        <v>151</v>
      </c>
      <c r="D219" s="42">
        <v>5</v>
      </c>
      <c r="E219" s="43" t="s">
        <v>354</v>
      </c>
      <c r="F219" s="44" t="s">
        <v>336</v>
      </c>
      <c r="G219" s="83" t="s">
        <v>390</v>
      </c>
      <c r="H219" s="42"/>
      <c r="I219" s="41"/>
      <c r="J219" s="43"/>
      <c r="K219" s="22"/>
      <c r="L219" s="22"/>
      <c r="M219" s="22"/>
    </row>
    <row r="220" spans="1:14" s="46" customFormat="1" ht="409.5" x14ac:dyDescent="0.25">
      <c r="A220" s="40" t="s">
        <v>62</v>
      </c>
      <c r="B220" s="40"/>
      <c r="C220" s="41" t="s">
        <v>151</v>
      </c>
      <c r="D220" s="42">
        <v>6</v>
      </c>
      <c r="E220" s="43" t="s">
        <v>132</v>
      </c>
      <c r="F220" s="22" t="s">
        <v>362</v>
      </c>
      <c r="G220" s="43"/>
      <c r="H220" s="42"/>
      <c r="I220" s="41"/>
      <c r="J220" s="43"/>
      <c r="K220" s="22"/>
      <c r="L220" s="22"/>
      <c r="M220" s="22"/>
    </row>
    <row r="221" spans="1:14" s="46" customFormat="1" ht="29" x14ac:dyDescent="0.25">
      <c r="A221" s="40" t="s">
        <v>62</v>
      </c>
      <c r="B221" s="40"/>
      <c r="C221" s="41" t="s">
        <v>151</v>
      </c>
      <c r="D221" s="42">
        <v>7</v>
      </c>
      <c r="E221" s="43" t="s">
        <v>102</v>
      </c>
      <c r="F221" s="43" t="s">
        <v>103</v>
      </c>
      <c r="G221" s="42" t="s">
        <v>111</v>
      </c>
      <c r="H221" s="42"/>
      <c r="I221" s="41"/>
      <c r="J221" s="43"/>
      <c r="K221" s="22"/>
      <c r="L221" s="22"/>
      <c r="M221" s="22"/>
    </row>
    <row r="222" spans="1:14" s="46" customFormat="1" ht="15" x14ac:dyDescent="0.25">
      <c r="A222" s="37"/>
      <c r="B222" s="38" t="s">
        <v>369</v>
      </c>
      <c r="C222" s="38" t="s">
        <v>367</v>
      </c>
      <c r="D222" s="38"/>
      <c r="E222" s="38"/>
      <c r="F222" s="38"/>
      <c r="G222" s="37"/>
      <c r="H222" s="37"/>
      <c r="I222" s="39"/>
      <c r="J222" s="37"/>
      <c r="K222" s="22"/>
      <c r="L222" s="22"/>
      <c r="M222" s="22"/>
    </row>
    <row r="223" spans="1:14" s="46" customFormat="1" ht="174" x14ac:dyDescent="0.25">
      <c r="A223" s="40" t="s">
        <v>62</v>
      </c>
      <c r="B223" s="40"/>
      <c r="C223" s="41" t="s">
        <v>158</v>
      </c>
      <c r="D223" s="42">
        <v>1</v>
      </c>
      <c r="E223" s="43" t="s">
        <v>395</v>
      </c>
      <c r="F223" s="43" t="s">
        <v>349</v>
      </c>
      <c r="G223" s="43" t="s">
        <v>93</v>
      </c>
      <c r="H223" s="42" t="s">
        <v>64</v>
      </c>
      <c r="I223" s="41" t="s">
        <v>152</v>
      </c>
      <c r="J223" s="43"/>
      <c r="K223" s="22"/>
      <c r="L223" s="22"/>
      <c r="M223" s="22"/>
    </row>
    <row r="224" spans="1:14" s="46" customFormat="1" ht="255" x14ac:dyDescent="0.25">
      <c r="A224" s="40" t="s">
        <v>62</v>
      </c>
      <c r="B224" s="40"/>
      <c r="C224" s="41" t="s">
        <v>158</v>
      </c>
      <c r="D224" s="42">
        <v>2</v>
      </c>
      <c r="E224" s="43" t="s">
        <v>95</v>
      </c>
      <c r="F224" s="85" t="s">
        <v>406</v>
      </c>
      <c r="G224" s="74"/>
      <c r="H224" s="41"/>
      <c r="I224" s="41"/>
      <c r="J224" s="43"/>
      <c r="K224" s="22"/>
      <c r="L224" s="22"/>
      <c r="M224" s="22"/>
    </row>
    <row r="225" spans="1:13" s="46" customFormat="1" ht="285" x14ac:dyDescent="0.25">
      <c r="A225" s="40" t="s">
        <v>62</v>
      </c>
      <c r="B225" s="40"/>
      <c r="C225" s="41" t="s">
        <v>158</v>
      </c>
      <c r="D225" s="42">
        <v>3</v>
      </c>
      <c r="E225" s="43" t="s">
        <v>107</v>
      </c>
      <c r="F225" s="86" t="s">
        <v>407</v>
      </c>
      <c r="G225" s="72" t="s">
        <v>408</v>
      </c>
      <c r="H225" s="42"/>
      <c r="I225" s="41"/>
      <c r="J225" s="43"/>
      <c r="K225" s="22"/>
      <c r="L225" s="22"/>
      <c r="M225" s="22"/>
    </row>
    <row r="226" spans="1:13" s="46" customFormat="1" ht="188.5" x14ac:dyDescent="0.25">
      <c r="A226" s="40" t="s">
        <v>62</v>
      </c>
      <c r="B226" s="40"/>
      <c r="C226" s="41" t="s">
        <v>158</v>
      </c>
      <c r="D226" s="42">
        <v>4</v>
      </c>
      <c r="E226" s="80" t="s">
        <v>416</v>
      </c>
      <c r="F226" s="43" t="s">
        <v>342</v>
      </c>
      <c r="G226" s="43" t="s">
        <v>142</v>
      </c>
      <c r="H226" s="42"/>
      <c r="I226" s="41"/>
      <c r="J226" s="43"/>
      <c r="K226" s="22"/>
      <c r="L226" s="22"/>
      <c r="M226" s="22"/>
    </row>
    <row r="227" spans="1:13" s="46" customFormat="1" ht="406" x14ac:dyDescent="0.25">
      <c r="A227" s="40" t="s">
        <v>62</v>
      </c>
      <c r="B227" s="40"/>
      <c r="C227" s="41" t="s">
        <v>158</v>
      </c>
      <c r="D227" s="42">
        <v>5</v>
      </c>
      <c r="E227" s="43" t="s">
        <v>354</v>
      </c>
      <c r="F227" s="41" t="s">
        <v>337</v>
      </c>
      <c r="G227" s="83" t="s">
        <v>391</v>
      </c>
      <c r="H227" s="42"/>
      <c r="I227" s="41"/>
      <c r="J227" s="43"/>
      <c r="K227" s="22"/>
      <c r="L227" s="22"/>
      <c r="M227" s="22"/>
    </row>
    <row r="228" spans="1:13" s="46" customFormat="1" ht="409.5" x14ac:dyDescent="0.25">
      <c r="A228" s="40" t="s">
        <v>62</v>
      </c>
      <c r="B228" s="40"/>
      <c r="C228" s="41" t="s">
        <v>158</v>
      </c>
      <c r="D228" s="42">
        <v>6</v>
      </c>
      <c r="E228" s="43" t="s">
        <v>159</v>
      </c>
      <c r="F228" s="44" t="s">
        <v>363</v>
      </c>
      <c r="G228" s="43"/>
      <c r="H228" s="42"/>
      <c r="I228" s="41"/>
      <c r="J228" s="43"/>
      <c r="K228" s="22"/>
      <c r="L228" s="22"/>
      <c r="M228" s="22"/>
    </row>
    <row r="229" spans="1:13" s="46" customFormat="1" ht="29" x14ac:dyDescent="0.25">
      <c r="A229" s="40" t="s">
        <v>62</v>
      </c>
      <c r="B229" s="40"/>
      <c r="C229" s="41" t="s">
        <v>158</v>
      </c>
      <c r="D229" s="42">
        <v>7</v>
      </c>
      <c r="E229" s="43" t="s">
        <v>102</v>
      </c>
      <c r="F229" s="43" t="s">
        <v>103</v>
      </c>
      <c r="G229" s="42" t="s">
        <v>111</v>
      </c>
      <c r="H229" s="42"/>
      <c r="I229" s="41"/>
      <c r="J229" s="43"/>
      <c r="K229" s="22"/>
      <c r="L229" s="22"/>
      <c r="M229" s="22"/>
    </row>
    <row r="230" spans="1:13" s="46" customFormat="1" ht="15" x14ac:dyDescent="0.25">
      <c r="A230" s="37"/>
      <c r="B230" s="38" t="s">
        <v>370</v>
      </c>
      <c r="C230" s="38" t="s">
        <v>371</v>
      </c>
      <c r="D230" s="38"/>
      <c r="E230" s="38"/>
      <c r="F230" s="38"/>
      <c r="G230" s="37"/>
      <c r="H230" s="37"/>
      <c r="I230" s="39"/>
      <c r="J230" s="37"/>
      <c r="K230" s="22"/>
      <c r="L230" s="22"/>
      <c r="M230" s="22"/>
    </row>
    <row r="231" spans="1:13" s="46" customFormat="1" ht="30" x14ac:dyDescent="0.35">
      <c r="A231" s="40" t="s">
        <v>62</v>
      </c>
      <c r="B231" s="77"/>
      <c r="C231" s="40" t="s">
        <v>371</v>
      </c>
      <c r="D231" s="42">
        <v>1</v>
      </c>
      <c r="E231" s="41" t="s">
        <v>372</v>
      </c>
      <c r="F231" s="40"/>
      <c r="G231" s="40"/>
      <c r="H231" s="78" t="s">
        <v>373</v>
      </c>
      <c r="I231" s="79" t="s">
        <v>65</v>
      </c>
      <c r="J231" s="80"/>
      <c r="K231" s="22"/>
      <c r="L231" s="22"/>
      <c r="M231" s="22"/>
    </row>
    <row r="232" spans="1:13" s="46" customFormat="1" ht="87" x14ac:dyDescent="0.25">
      <c r="A232" s="40" t="s">
        <v>62</v>
      </c>
      <c r="B232" s="40"/>
      <c r="C232" s="40" t="s">
        <v>371</v>
      </c>
      <c r="D232" s="42">
        <v>2</v>
      </c>
      <c r="E232" s="41" t="s">
        <v>397</v>
      </c>
      <c r="F232" s="43" t="s">
        <v>67</v>
      </c>
      <c r="G232" s="40" t="s">
        <v>374</v>
      </c>
      <c r="H232" s="81"/>
      <c r="I232" s="82" t="s">
        <v>375</v>
      </c>
      <c r="J232" s="80"/>
      <c r="K232" s="22"/>
      <c r="L232" s="22"/>
      <c r="M232" s="22"/>
    </row>
    <row r="233" spans="1:13" s="46" customFormat="1" ht="43.5" x14ac:dyDescent="0.25">
      <c r="A233" s="40" t="s">
        <v>62</v>
      </c>
      <c r="B233" s="40"/>
      <c r="C233" s="40" t="s">
        <v>371</v>
      </c>
      <c r="D233" s="42">
        <v>3</v>
      </c>
      <c r="E233" s="41" t="s">
        <v>376</v>
      </c>
      <c r="F233" s="41" t="s">
        <v>377</v>
      </c>
      <c r="G233" s="41"/>
      <c r="H233" s="41"/>
      <c r="I233" s="41"/>
      <c r="J233" s="80"/>
      <c r="K233" s="22"/>
      <c r="L233" s="22"/>
      <c r="M233" s="22"/>
    </row>
    <row r="234" spans="1:13" s="46" customFormat="1" ht="43.5" x14ac:dyDescent="0.25">
      <c r="A234" s="40" t="s">
        <v>62</v>
      </c>
      <c r="B234" s="40"/>
      <c r="C234" s="40" t="s">
        <v>371</v>
      </c>
      <c r="D234" s="42">
        <v>4</v>
      </c>
      <c r="E234" s="41" t="s">
        <v>378</v>
      </c>
      <c r="F234" s="41" t="s">
        <v>73</v>
      </c>
      <c r="G234" s="41"/>
      <c r="H234" s="41"/>
      <c r="I234" s="41"/>
      <c r="J234" s="80"/>
      <c r="K234" s="22"/>
      <c r="L234" s="22"/>
      <c r="M234" s="22"/>
    </row>
    <row r="235" spans="1:13" s="46" customFormat="1" ht="29" x14ac:dyDescent="0.25">
      <c r="A235" s="40" t="s">
        <v>62</v>
      </c>
      <c r="B235" s="40"/>
      <c r="C235" s="40" t="s">
        <v>371</v>
      </c>
      <c r="D235" s="42">
        <v>5</v>
      </c>
      <c r="E235" s="41" t="s">
        <v>379</v>
      </c>
      <c r="F235" s="41" t="s">
        <v>75</v>
      </c>
      <c r="G235" s="41"/>
      <c r="H235" s="41"/>
      <c r="I235" s="41"/>
      <c r="J235" s="80"/>
      <c r="K235" s="22"/>
      <c r="L235" s="22"/>
      <c r="M235" s="22"/>
    </row>
    <row r="236" spans="1:13" s="46" customFormat="1" ht="87" x14ac:dyDescent="0.25">
      <c r="A236" s="40" t="s">
        <v>62</v>
      </c>
      <c r="B236" s="40"/>
      <c r="C236" s="40" t="s">
        <v>371</v>
      </c>
      <c r="D236" s="42">
        <v>6</v>
      </c>
      <c r="E236" s="41" t="s">
        <v>76</v>
      </c>
      <c r="F236" s="41" t="s">
        <v>380</v>
      </c>
      <c r="G236" s="41" t="s">
        <v>381</v>
      </c>
      <c r="H236" s="41"/>
      <c r="I236" s="41"/>
      <c r="J236" s="80"/>
      <c r="K236" s="22"/>
      <c r="L236" s="22"/>
      <c r="M236" s="22"/>
    </row>
    <row r="237" spans="1:13" s="46" customFormat="1" ht="319" x14ac:dyDescent="0.25">
      <c r="A237" s="40" t="s">
        <v>62</v>
      </c>
      <c r="B237" s="40"/>
      <c r="C237" s="40" t="s">
        <v>371</v>
      </c>
      <c r="D237" s="42">
        <v>7</v>
      </c>
      <c r="E237" s="43" t="s">
        <v>382</v>
      </c>
      <c r="F237" s="43" t="s">
        <v>383</v>
      </c>
      <c r="G237" s="43" t="s">
        <v>384</v>
      </c>
      <c r="H237" s="43"/>
      <c r="I237" s="43"/>
      <c r="J237" s="80"/>
      <c r="K237" s="22"/>
      <c r="L237" s="22"/>
      <c r="M237" s="22"/>
    </row>
    <row r="238" spans="1:13" s="46" customFormat="1" ht="15" x14ac:dyDescent="0.25">
      <c r="A238" s="37"/>
      <c r="B238" s="38" t="s">
        <v>385</v>
      </c>
      <c r="C238" s="38" t="s">
        <v>386</v>
      </c>
      <c r="D238" s="38"/>
      <c r="E238" s="38"/>
      <c r="F238" s="38"/>
      <c r="G238" s="37"/>
      <c r="H238" s="37"/>
      <c r="I238" s="39"/>
      <c r="J238" s="37"/>
      <c r="K238" s="22"/>
      <c r="L238" s="22"/>
      <c r="M238" s="22"/>
    </row>
    <row r="239" spans="1:13" s="46" customFormat="1" ht="30" x14ac:dyDescent="0.35">
      <c r="A239" s="40" t="s">
        <v>62</v>
      </c>
      <c r="B239" s="77"/>
      <c r="C239" s="40" t="s">
        <v>386</v>
      </c>
      <c r="D239" s="42">
        <v>1</v>
      </c>
      <c r="E239" s="41" t="s">
        <v>372</v>
      </c>
      <c r="F239" s="40"/>
      <c r="G239" s="40"/>
      <c r="H239" s="78" t="s">
        <v>373</v>
      </c>
      <c r="I239" s="79" t="s">
        <v>65</v>
      </c>
      <c r="J239" s="80"/>
      <c r="K239" s="22"/>
      <c r="L239" s="22"/>
      <c r="M239" s="22"/>
    </row>
    <row r="240" spans="1:13" s="46" customFormat="1" ht="87" x14ac:dyDescent="0.25">
      <c r="A240" s="40" t="s">
        <v>62</v>
      </c>
      <c r="B240" s="40"/>
      <c r="C240" s="40" t="s">
        <v>386</v>
      </c>
      <c r="D240" s="42">
        <v>2</v>
      </c>
      <c r="E240" s="41" t="s">
        <v>397</v>
      </c>
      <c r="F240" s="43" t="s">
        <v>67</v>
      </c>
      <c r="G240" s="40" t="s">
        <v>374</v>
      </c>
      <c r="H240" s="81"/>
      <c r="I240" s="82" t="s">
        <v>375</v>
      </c>
      <c r="J240" s="80"/>
      <c r="K240" s="22"/>
      <c r="L240" s="22"/>
      <c r="M240" s="22"/>
    </row>
    <row r="241" spans="1:13" s="46" customFormat="1" ht="43.5" x14ac:dyDescent="0.25">
      <c r="A241" s="40" t="s">
        <v>62</v>
      </c>
      <c r="B241" s="40"/>
      <c r="C241" s="40" t="s">
        <v>386</v>
      </c>
      <c r="D241" s="42">
        <v>3</v>
      </c>
      <c r="E241" s="41" t="s">
        <v>376</v>
      </c>
      <c r="F241" s="41" t="s">
        <v>377</v>
      </c>
      <c r="G241" s="41"/>
      <c r="H241" s="41"/>
      <c r="I241" s="41"/>
      <c r="J241" s="80"/>
      <c r="K241" s="22"/>
      <c r="L241" s="22"/>
      <c r="M241" s="22"/>
    </row>
    <row r="242" spans="1:13" s="46" customFormat="1" ht="43.5" x14ac:dyDescent="0.25">
      <c r="A242" s="40" t="s">
        <v>62</v>
      </c>
      <c r="B242" s="40"/>
      <c r="C242" s="40" t="s">
        <v>386</v>
      </c>
      <c r="D242" s="42">
        <v>4</v>
      </c>
      <c r="E242" s="41" t="s">
        <v>378</v>
      </c>
      <c r="F242" s="41" t="s">
        <v>73</v>
      </c>
      <c r="G242" s="41"/>
      <c r="H242" s="41"/>
      <c r="I242" s="41"/>
      <c r="J242" s="80"/>
      <c r="K242" s="22"/>
      <c r="L242" s="22"/>
      <c r="M242" s="22"/>
    </row>
    <row r="243" spans="1:13" s="46" customFormat="1" ht="29" x14ac:dyDescent="0.25">
      <c r="A243" s="40" t="s">
        <v>62</v>
      </c>
      <c r="B243" s="40"/>
      <c r="C243" s="40" t="s">
        <v>386</v>
      </c>
      <c r="D243" s="42">
        <v>5</v>
      </c>
      <c r="E243" s="41" t="s">
        <v>379</v>
      </c>
      <c r="F243" s="41" t="s">
        <v>75</v>
      </c>
      <c r="G243" s="41"/>
      <c r="H243" s="41"/>
      <c r="I243" s="41"/>
      <c r="J243" s="80"/>
      <c r="K243" s="22"/>
      <c r="L243" s="22"/>
      <c r="M243" s="22"/>
    </row>
    <row r="244" spans="1:13" s="46" customFormat="1" ht="87" x14ac:dyDescent="0.25">
      <c r="A244" s="40" t="s">
        <v>62</v>
      </c>
      <c r="B244" s="40"/>
      <c r="C244" s="40" t="s">
        <v>386</v>
      </c>
      <c r="D244" s="42">
        <v>6</v>
      </c>
      <c r="E244" s="41" t="s">
        <v>76</v>
      </c>
      <c r="F244" s="41" t="s">
        <v>380</v>
      </c>
      <c r="G244" s="41" t="s">
        <v>381</v>
      </c>
      <c r="H244" s="41"/>
      <c r="I244" s="41"/>
      <c r="J244" s="80"/>
      <c r="K244" s="22"/>
      <c r="L244" s="22"/>
      <c r="M244" s="22"/>
    </row>
    <row r="245" spans="1:13" s="46" customFormat="1" ht="409.5" x14ac:dyDescent="0.25">
      <c r="A245" s="40" t="s">
        <v>62</v>
      </c>
      <c r="B245" s="40"/>
      <c r="C245" s="40" t="s">
        <v>386</v>
      </c>
      <c r="D245" s="42">
        <v>7</v>
      </c>
      <c r="E245" s="43" t="s">
        <v>387</v>
      </c>
      <c r="F245" s="43" t="s">
        <v>388</v>
      </c>
      <c r="G245" s="43"/>
      <c r="H245" s="43"/>
      <c r="I245" s="43"/>
      <c r="J245" s="80"/>
      <c r="K245" s="22"/>
      <c r="L245" s="22"/>
      <c r="M245" s="22"/>
    </row>
    <row r="246" spans="1:13" s="46" customFormat="1" ht="15" x14ac:dyDescent="0.35">
      <c r="A246" s="26"/>
      <c r="B246" s="26"/>
      <c r="C246" s="26"/>
      <c r="D246" s="26"/>
      <c r="E246" s="26"/>
      <c r="F246" s="26"/>
      <c r="G246" s="26"/>
      <c r="H246" s="26"/>
      <c r="K246" s="22"/>
      <c r="L246" s="22"/>
      <c r="M246" s="22"/>
    </row>
    <row r="247" spans="1:13" s="46" customFormat="1" ht="15" x14ac:dyDescent="0.35">
      <c r="A247" s="26"/>
      <c r="B247" s="26"/>
      <c r="C247" s="26"/>
      <c r="D247" s="26"/>
      <c r="E247" s="26"/>
      <c r="F247" s="26"/>
      <c r="G247" s="26"/>
      <c r="H247" s="26"/>
      <c r="K247" s="22"/>
      <c r="L247" s="22"/>
      <c r="M247" s="22"/>
    </row>
    <row r="248" spans="1:13" s="46" customFormat="1" ht="15" x14ac:dyDescent="0.35">
      <c r="A248" s="26"/>
      <c r="B248" s="26"/>
      <c r="C248" s="26"/>
      <c r="D248" s="26"/>
      <c r="E248" s="26"/>
      <c r="F248" s="26"/>
      <c r="G248" s="26"/>
      <c r="H248" s="26"/>
      <c r="K248" s="22"/>
      <c r="L248" s="22"/>
      <c r="M248" s="22"/>
    </row>
    <row r="249" spans="1:13" s="46" customFormat="1" ht="15" x14ac:dyDescent="0.35">
      <c r="A249" s="26"/>
      <c r="B249" s="26"/>
      <c r="C249" s="26"/>
      <c r="D249" s="26"/>
      <c r="E249" s="26"/>
      <c r="F249" s="26"/>
      <c r="G249" s="26"/>
      <c r="H249" s="26"/>
      <c r="K249" s="22"/>
      <c r="L249" s="22"/>
      <c r="M249" s="22"/>
    </row>
    <row r="250" spans="1:13" s="46" customFormat="1" ht="15" x14ac:dyDescent="0.35">
      <c r="A250" s="26"/>
      <c r="B250" s="26"/>
      <c r="C250" s="26"/>
      <c r="D250" s="26"/>
      <c r="E250" s="26"/>
      <c r="F250" s="26"/>
      <c r="G250" s="26"/>
      <c r="H250" s="26"/>
      <c r="K250" s="22"/>
      <c r="L250" s="22"/>
      <c r="M250" s="22"/>
    </row>
    <row r="251" spans="1:13" s="46" customFormat="1" ht="15" x14ac:dyDescent="0.35">
      <c r="A251" s="26"/>
      <c r="B251" s="26"/>
      <c r="C251" s="26"/>
      <c r="D251" s="26"/>
      <c r="E251" s="26"/>
      <c r="F251" s="26"/>
      <c r="G251" s="26"/>
      <c r="H251" s="26"/>
      <c r="K251" s="22"/>
      <c r="L251" s="22"/>
      <c r="M251" s="22"/>
    </row>
    <row r="252" spans="1:13" s="46" customFormat="1" ht="15" x14ac:dyDescent="0.35">
      <c r="A252" s="26"/>
      <c r="B252" s="26"/>
      <c r="C252" s="26"/>
      <c r="D252" s="26"/>
      <c r="E252" s="26"/>
      <c r="F252" s="26"/>
      <c r="G252" s="26"/>
      <c r="H252" s="26"/>
      <c r="K252" s="22"/>
      <c r="L252" s="22"/>
      <c r="M252" s="22"/>
    </row>
    <row r="253" spans="1:13" s="46" customFormat="1" ht="15" x14ac:dyDescent="0.35">
      <c r="A253" s="26"/>
      <c r="B253" s="26"/>
      <c r="C253" s="26"/>
      <c r="D253" s="26"/>
      <c r="E253" s="26"/>
      <c r="F253" s="26"/>
      <c r="G253" s="26"/>
      <c r="H253" s="26"/>
      <c r="K253" s="22"/>
      <c r="L253" s="22"/>
      <c r="M253" s="22"/>
    </row>
    <row r="254" spans="1:13" s="46" customFormat="1" ht="15" x14ac:dyDescent="0.35">
      <c r="A254" s="26"/>
      <c r="B254" s="26"/>
      <c r="C254" s="26"/>
      <c r="D254" s="26"/>
      <c r="E254" s="26"/>
      <c r="F254" s="26"/>
      <c r="G254" s="26"/>
      <c r="H254" s="26"/>
      <c r="K254" s="22"/>
      <c r="L254" s="22"/>
      <c r="M254" s="22"/>
    </row>
    <row r="255" spans="1:13" s="46" customFormat="1" ht="15" x14ac:dyDescent="0.35">
      <c r="A255" s="26"/>
      <c r="B255" s="26"/>
      <c r="C255" s="26"/>
      <c r="D255" s="26"/>
      <c r="E255" s="26"/>
      <c r="F255" s="26"/>
      <c r="G255" s="26"/>
      <c r="H255" s="26"/>
      <c r="K255" s="22"/>
      <c r="L255" s="22"/>
      <c r="M255" s="22"/>
    </row>
    <row r="256" spans="1:13" s="46" customFormat="1" ht="15" x14ac:dyDescent="0.35">
      <c r="A256" s="26"/>
      <c r="B256" s="26"/>
      <c r="C256" s="26"/>
      <c r="D256" s="26"/>
      <c r="E256" s="26"/>
      <c r="F256" s="26"/>
      <c r="G256" s="26"/>
      <c r="H256" s="26"/>
      <c r="K256" s="22"/>
      <c r="L256" s="22"/>
      <c r="M256" s="22"/>
    </row>
    <row r="257" spans="1:13" s="46" customFormat="1" ht="15" x14ac:dyDescent="0.35">
      <c r="A257" s="26"/>
      <c r="B257" s="26"/>
      <c r="C257" s="26"/>
      <c r="D257" s="26"/>
      <c r="E257" s="26"/>
      <c r="F257" s="26"/>
      <c r="G257" s="26"/>
      <c r="H257" s="26"/>
      <c r="K257" s="22"/>
      <c r="L257" s="22"/>
      <c r="M257" s="22"/>
    </row>
    <row r="258" spans="1:13" s="46" customFormat="1" ht="15" x14ac:dyDescent="0.35">
      <c r="A258" s="26"/>
      <c r="B258" s="26"/>
      <c r="C258" s="26"/>
      <c r="D258" s="26"/>
      <c r="E258" s="26"/>
      <c r="F258" s="26"/>
      <c r="G258" s="26"/>
      <c r="H258" s="26"/>
      <c r="K258" s="22"/>
      <c r="L258" s="22"/>
      <c r="M258" s="22"/>
    </row>
    <row r="259" spans="1:13" s="46" customFormat="1" ht="15" x14ac:dyDescent="0.35">
      <c r="A259" s="26"/>
      <c r="B259" s="26"/>
      <c r="C259" s="26"/>
      <c r="D259" s="26"/>
      <c r="E259" s="26"/>
      <c r="F259" s="26"/>
      <c r="G259" s="26"/>
      <c r="H259" s="26"/>
      <c r="K259" s="22"/>
      <c r="L259" s="22"/>
      <c r="M259" s="22"/>
    </row>
    <row r="260" spans="1:13" s="46" customFormat="1" ht="15" x14ac:dyDescent="0.35">
      <c r="A260" s="26"/>
      <c r="B260" s="26"/>
      <c r="C260" s="26"/>
      <c r="D260" s="26"/>
      <c r="E260" s="26"/>
      <c r="F260" s="26"/>
      <c r="G260" s="26"/>
      <c r="H260" s="26"/>
      <c r="K260" s="22"/>
      <c r="L260" s="22"/>
      <c r="M260" s="22"/>
    </row>
    <row r="261" spans="1:13" s="46" customFormat="1" ht="15" x14ac:dyDescent="0.35">
      <c r="A261" s="26"/>
      <c r="B261" s="26"/>
      <c r="C261" s="26"/>
      <c r="D261" s="26"/>
      <c r="E261" s="26"/>
      <c r="F261" s="26"/>
      <c r="G261" s="26"/>
      <c r="H261" s="26"/>
      <c r="K261" s="22"/>
      <c r="L261" s="22"/>
      <c r="M261" s="22"/>
    </row>
    <row r="262" spans="1:13" s="46" customFormat="1" ht="15" x14ac:dyDescent="0.35">
      <c r="A262" s="26"/>
      <c r="B262" s="26"/>
      <c r="C262" s="26"/>
      <c r="D262" s="26"/>
      <c r="E262" s="26"/>
      <c r="F262" s="26"/>
      <c r="G262" s="26"/>
      <c r="H262" s="26"/>
      <c r="K262" s="22"/>
      <c r="L262" s="22"/>
      <c r="M262" s="22"/>
    </row>
    <row r="263" spans="1:13" s="46" customFormat="1" ht="15" x14ac:dyDescent="0.35">
      <c r="A263" s="26"/>
      <c r="B263" s="26"/>
      <c r="C263" s="26"/>
      <c r="D263" s="26"/>
      <c r="E263" s="26"/>
      <c r="F263" s="26"/>
      <c r="G263" s="26"/>
      <c r="H263" s="26"/>
      <c r="K263" s="22"/>
      <c r="L263" s="22"/>
      <c r="M263" s="22"/>
    </row>
    <row r="264" spans="1:13" s="46" customFormat="1" ht="15" x14ac:dyDescent="0.35">
      <c r="A264" s="26"/>
      <c r="B264" s="26"/>
      <c r="C264" s="26"/>
      <c r="D264" s="26"/>
      <c r="E264" s="26"/>
      <c r="F264" s="26"/>
      <c r="G264" s="26"/>
      <c r="H264" s="26"/>
      <c r="K264" s="22"/>
      <c r="L264" s="22"/>
      <c r="M264" s="22"/>
    </row>
    <row r="265" spans="1:13" s="46" customFormat="1" ht="15" x14ac:dyDescent="0.35">
      <c r="A265" s="26"/>
      <c r="B265" s="26"/>
      <c r="C265" s="26"/>
      <c r="D265" s="26"/>
      <c r="E265" s="26"/>
      <c r="F265" s="26"/>
      <c r="G265" s="26"/>
      <c r="H265" s="26"/>
      <c r="K265" s="22"/>
      <c r="L265" s="22"/>
      <c r="M265" s="22"/>
    </row>
    <row r="266" spans="1:13" s="46" customFormat="1" ht="15" x14ac:dyDescent="0.35">
      <c r="A266" s="26"/>
      <c r="B266" s="26"/>
      <c r="C266" s="26"/>
      <c r="D266" s="26"/>
      <c r="E266" s="26"/>
      <c r="F266" s="26"/>
      <c r="G266" s="26"/>
      <c r="H266" s="26"/>
      <c r="K266" s="22"/>
      <c r="L266" s="22"/>
      <c r="M266" s="22"/>
    </row>
    <row r="267" spans="1:13" s="46" customFormat="1" ht="15" x14ac:dyDescent="0.35">
      <c r="A267" s="26"/>
      <c r="B267" s="26"/>
      <c r="C267" s="26"/>
      <c r="D267" s="26"/>
      <c r="E267" s="26"/>
      <c r="F267" s="26"/>
      <c r="G267" s="26"/>
      <c r="H267" s="26"/>
      <c r="K267" s="22"/>
      <c r="L267" s="22"/>
      <c r="M267" s="22"/>
    </row>
    <row r="268" spans="1:13" s="46" customFormat="1" ht="15" x14ac:dyDescent="0.35">
      <c r="A268" s="26"/>
      <c r="B268" s="26"/>
      <c r="C268" s="26"/>
      <c r="D268" s="26"/>
      <c r="E268" s="26"/>
      <c r="F268" s="26"/>
      <c r="G268" s="26"/>
      <c r="H268" s="26"/>
      <c r="K268" s="22"/>
      <c r="L268" s="22"/>
      <c r="M268" s="22"/>
    </row>
    <row r="269" spans="1:13" s="46" customFormat="1" ht="15" x14ac:dyDescent="0.35">
      <c r="A269" s="26"/>
      <c r="B269" s="26"/>
      <c r="C269" s="26"/>
      <c r="D269" s="26"/>
      <c r="E269" s="26"/>
      <c r="F269" s="26"/>
      <c r="G269" s="26"/>
      <c r="H269" s="26"/>
      <c r="K269" s="22"/>
      <c r="L269" s="22"/>
      <c r="M269" s="22"/>
    </row>
    <row r="270" spans="1:13" s="46" customFormat="1" ht="15" x14ac:dyDescent="0.35">
      <c r="A270" s="26"/>
      <c r="B270" s="26"/>
      <c r="C270" s="26"/>
      <c r="D270" s="26"/>
      <c r="E270" s="26"/>
      <c r="F270" s="26"/>
      <c r="G270" s="26"/>
      <c r="H270" s="26"/>
      <c r="K270" s="22"/>
      <c r="L270" s="22"/>
      <c r="M270" s="22"/>
    </row>
    <row r="271" spans="1:13" s="46" customFormat="1" ht="15" x14ac:dyDescent="0.35">
      <c r="A271" s="26"/>
      <c r="B271" s="26"/>
      <c r="C271" s="26"/>
      <c r="D271" s="26"/>
      <c r="E271" s="26"/>
      <c r="F271" s="26"/>
      <c r="G271" s="26"/>
      <c r="H271" s="26"/>
      <c r="K271" s="22"/>
      <c r="L271" s="22"/>
      <c r="M271" s="22"/>
    </row>
    <row r="272" spans="1:13" s="46" customFormat="1" ht="15" x14ac:dyDescent="0.35">
      <c r="A272" s="26"/>
      <c r="B272" s="26"/>
      <c r="C272" s="26"/>
      <c r="D272" s="26"/>
      <c r="E272" s="26"/>
      <c r="F272" s="26"/>
      <c r="G272" s="26"/>
      <c r="H272" s="26"/>
      <c r="K272" s="22"/>
      <c r="L272" s="22"/>
      <c r="M272" s="22"/>
    </row>
    <row r="273" spans="1:13" s="46" customFormat="1" ht="15" x14ac:dyDescent="0.35">
      <c r="A273" s="26"/>
      <c r="B273" s="26"/>
      <c r="C273" s="26"/>
      <c r="D273" s="26"/>
      <c r="E273" s="26"/>
      <c r="F273" s="26"/>
      <c r="G273" s="26"/>
      <c r="H273" s="26"/>
      <c r="K273" s="22"/>
      <c r="L273" s="22"/>
      <c r="M273" s="22"/>
    </row>
    <row r="274" spans="1:13" s="46" customFormat="1" ht="15" x14ac:dyDescent="0.35">
      <c r="A274" s="26"/>
      <c r="B274" s="26"/>
      <c r="C274" s="26"/>
      <c r="D274" s="26"/>
      <c r="E274" s="26"/>
      <c r="F274" s="26"/>
      <c r="G274" s="26"/>
      <c r="H274" s="26"/>
      <c r="K274" s="22"/>
      <c r="L274" s="22"/>
      <c r="M274" s="22"/>
    </row>
    <row r="275" spans="1:13" s="46" customFormat="1" ht="15" x14ac:dyDescent="0.35">
      <c r="A275" s="26"/>
      <c r="B275" s="26"/>
      <c r="C275" s="26"/>
      <c r="D275" s="26"/>
      <c r="E275" s="26"/>
      <c r="F275" s="26"/>
      <c r="G275" s="26"/>
      <c r="H275" s="26"/>
      <c r="K275" s="22"/>
      <c r="L275" s="22"/>
      <c r="M275" s="22"/>
    </row>
    <row r="276" spans="1:13" s="46" customFormat="1" ht="15" x14ac:dyDescent="0.35">
      <c r="A276" s="26"/>
      <c r="B276" s="26"/>
      <c r="C276" s="26"/>
      <c r="D276" s="26"/>
      <c r="E276" s="26"/>
      <c r="F276" s="26"/>
      <c r="G276" s="26"/>
      <c r="H276" s="26"/>
      <c r="K276" s="22"/>
      <c r="L276" s="22"/>
      <c r="M276" s="22"/>
    </row>
    <row r="277" spans="1:13" s="46" customFormat="1" ht="15" x14ac:dyDescent="0.35">
      <c r="A277" s="26"/>
      <c r="B277" s="26"/>
      <c r="C277" s="26"/>
      <c r="D277" s="26"/>
      <c r="E277" s="26"/>
      <c r="F277" s="26"/>
      <c r="G277" s="26"/>
      <c r="H277" s="26"/>
      <c r="K277" s="22"/>
      <c r="L277" s="22"/>
      <c r="M277" s="22"/>
    </row>
    <row r="278" spans="1:13" s="46" customFormat="1" ht="15" x14ac:dyDescent="0.35">
      <c r="A278" s="26"/>
      <c r="B278" s="26"/>
      <c r="C278" s="26"/>
      <c r="D278" s="26"/>
      <c r="E278" s="26"/>
      <c r="F278" s="26"/>
      <c r="G278" s="26"/>
      <c r="H278" s="26"/>
      <c r="K278" s="22"/>
      <c r="L278" s="22"/>
      <c r="M278" s="22"/>
    </row>
    <row r="279" spans="1:13" s="46" customFormat="1" ht="15" x14ac:dyDescent="0.35">
      <c r="A279" s="26"/>
      <c r="B279" s="26"/>
      <c r="C279" s="26"/>
      <c r="D279" s="26"/>
      <c r="E279" s="26"/>
      <c r="F279" s="26"/>
      <c r="G279" s="26"/>
      <c r="H279" s="26"/>
      <c r="K279" s="22"/>
      <c r="L279" s="22"/>
      <c r="M279" s="22"/>
    </row>
    <row r="280" spans="1:13" s="46" customFormat="1" ht="15" x14ac:dyDescent="0.35">
      <c r="A280" s="26"/>
      <c r="B280" s="26"/>
      <c r="C280" s="26"/>
      <c r="D280" s="26"/>
      <c r="E280" s="26"/>
      <c r="F280" s="26"/>
      <c r="G280" s="26"/>
      <c r="H280" s="26"/>
      <c r="K280" s="22"/>
      <c r="L280" s="22"/>
      <c r="M280" s="22"/>
    </row>
    <row r="281" spans="1:13" s="46" customFormat="1" ht="15" x14ac:dyDescent="0.35">
      <c r="A281" s="26"/>
      <c r="B281" s="26"/>
      <c r="C281" s="26"/>
      <c r="D281" s="26"/>
      <c r="E281" s="26"/>
      <c r="F281" s="26"/>
      <c r="G281" s="26"/>
      <c r="H281" s="26"/>
      <c r="K281" s="22"/>
      <c r="L281" s="22"/>
      <c r="M281" s="22"/>
    </row>
    <row r="282" spans="1:13" s="46" customFormat="1" ht="15" x14ac:dyDescent="0.35">
      <c r="A282" s="26"/>
      <c r="B282" s="26"/>
      <c r="C282" s="26"/>
      <c r="D282" s="26"/>
      <c r="E282" s="26"/>
      <c r="F282" s="26"/>
      <c r="G282" s="26"/>
      <c r="H282" s="26"/>
      <c r="K282" s="22"/>
      <c r="L282" s="22"/>
      <c r="M282" s="22"/>
    </row>
    <row r="283" spans="1:13" s="46" customFormat="1" ht="15" x14ac:dyDescent="0.35">
      <c r="A283" s="26"/>
      <c r="B283" s="26"/>
      <c r="C283" s="26"/>
      <c r="D283" s="26"/>
      <c r="E283" s="26"/>
      <c r="F283" s="26"/>
      <c r="G283" s="26"/>
      <c r="H283" s="26"/>
      <c r="K283" s="22"/>
      <c r="L283" s="22"/>
      <c r="M283" s="22"/>
    </row>
    <row r="284" spans="1:13" s="46" customFormat="1" ht="15" x14ac:dyDescent="0.35">
      <c r="A284" s="26"/>
      <c r="B284" s="26"/>
      <c r="C284" s="26"/>
      <c r="D284" s="26"/>
      <c r="E284" s="26"/>
      <c r="F284" s="26"/>
      <c r="G284" s="26"/>
      <c r="H284" s="26"/>
      <c r="K284" s="22"/>
      <c r="L284" s="22"/>
      <c r="M284" s="22"/>
    </row>
    <row r="285" spans="1:13" s="46" customFormat="1" ht="15" x14ac:dyDescent="0.35">
      <c r="A285" s="26"/>
      <c r="B285" s="26"/>
      <c r="C285" s="26"/>
      <c r="D285" s="26"/>
      <c r="E285" s="26"/>
      <c r="F285" s="26"/>
      <c r="G285" s="26"/>
      <c r="H285" s="26"/>
      <c r="K285" s="22"/>
      <c r="L285" s="22"/>
      <c r="M285" s="22"/>
    </row>
    <row r="286" spans="1:13" s="46" customFormat="1" ht="15" x14ac:dyDescent="0.35">
      <c r="A286" s="26"/>
      <c r="B286" s="26"/>
      <c r="C286" s="26"/>
      <c r="D286" s="26"/>
      <c r="E286" s="26"/>
      <c r="F286" s="26"/>
      <c r="G286" s="26"/>
      <c r="H286" s="26"/>
      <c r="K286" s="22"/>
      <c r="L286" s="22"/>
      <c r="M286" s="22"/>
    </row>
    <row r="287" spans="1:13" s="46" customFormat="1" ht="15" x14ac:dyDescent="0.35">
      <c r="A287" s="26"/>
      <c r="B287" s="26"/>
      <c r="C287" s="26"/>
      <c r="D287" s="26"/>
      <c r="E287" s="26"/>
      <c r="F287" s="26"/>
      <c r="G287" s="26"/>
      <c r="H287" s="26"/>
      <c r="K287" s="22"/>
      <c r="L287" s="22"/>
      <c r="M287" s="22"/>
    </row>
    <row r="288" spans="1:13" s="46" customFormat="1" ht="15" x14ac:dyDescent="0.35">
      <c r="A288" s="26"/>
      <c r="B288" s="26"/>
      <c r="C288" s="26"/>
      <c r="D288" s="26"/>
      <c r="E288" s="26"/>
      <c r="F288" s="26"/>
      <c r="G288" s="26"/>
      <c r="H288" s="26"/>
      <c r="K288" s="22"/>
      <c r="L288" s="22"/>
      <c r="M288" s="22"/>
    </row>
    <row r="289" spans="1:13" s="46" customFormat="1" ht="15" x14ac:dyDescent="0.35">
      <c r="A289" s="26"/>
      <c r="B289" s="26"/>
      <c r="C289" s="26"/>
      <c r="D289" s="26"/>
      <c r="E289" s="26"/>
      <c r="F289" s="26"/>
      <c r="G289" s="26"/>
      <c r="H289" s="26"/>
      <c r="K289" s="22"/>
      <c r="L289" s="22"/>
      <c r="M289" s="22"/>
    </row>
    <row r="290" spans="1:13" s="46" customFormat="1" ht="15" x14ac:dyDescent="0.35">
      <c r="A290" s="26"/>
      <c r="B290" s="26"/>
      <c r="C290" s="26"/>
      <c r="D290" s="26"/>
      <c r="E290" s="26"/>
      <c r="F290" s="26"/>
      <c r="G290" s="26"/>
      <c r="H290" s="26"/>
      <c r="K290" s="22"/>
      <c r="L290" s="22"/>
      <c r="M290" s="22"/>
    </row>
    <row r="291" spans="1:13" s="46" customFormat="1" ht="15" x14ac:dyDescent="0.35">
      <c r="A291" s="26"/>
      <c r="B291" s="26"/>
      <c r="C291" s="26"/>
      <c r="D291" s="26"/>
      <c r="E291" s="26"/>
      <c r="F291" s="26"/>
      <c r="G291" s="26"/>
      <c r="H291" s="26"/>
      <c r="K291" s="22"/>
      <c r="L291" s="22"/>
      <c r="M291" s="22"/>
    </row>
    <row r="292" spans="1:13" s="46" customFormat="1" ht="15" x14ac:dyDescent="0.35">
      <c r="A292" s="26"/>
      <c r="B292" s="26"/>
      <c r="C292" s="26"/>
      <c r="D292" s="26"/>
      <c r="E292" s="26"/>
      <c r="F292" s="26"/>
      <c r="G292" s="26"/>
      <c r="H292" s="26"/>
      <c r="K292" s="22"/>
      <c r="L292" s="22"/>
      <c r="M292" s="22"/>
    </row>
    <row r="293" spans="1:13" s="46" customFormat="1" ht="15" x14ac:dyDescent="0.35">
      <c r="A293" s="26"/>
      <c r="B293" s="26"/>
      <c r="C293" s="26"/>
      <c r="D293" s="26"/>
      <c r="E293" s="26"/>
      <c r="F293" s="26"/>
      <c r="G293" s="26"/>
      <c r="H293" s="26"/>
      <c r="K293" s="22"/>
      <c r="L293" s="22"/>
      <c r="M293" s="22"/>
    </row>
    <row r="294" spans="1:13" s="46" customFormat="1" ht="15" x14ac:dyDescent="0.35">
      <c r="A294" s="26"/>
      <c r="B294" s="26"/>
      <c r="C294" s="26"/>
      <c r="D294" s="26"/>
      <c r="E294" s="26"/>
      <c r="F294" s="26"/>
      <c r="G294" s="26"/>
      <c r="H294" s="26"/>
      <c r="K294" s="22"/>
      <c r="L294" s="22"/>
      <c r="M294" s="22"/>
    </row>
    <row r="295" spans="1:13" s="46" customFormat="1" ht="15" x14ac:dyDescent="0.35">
      <c r="A295" s="26"/>
      <c r="B295" s="26"/>
      <c r="C295" s="26"/>
      <c r="D295" s="26"/>
      <c r="E295" s="26"/>
      <c r="F295" s="26"/>
      <c r="G295" s="26"/>
      <c r="H295" s="26"/>
      <c r="K295" s="22"/>
      <c r="L295" s="22"/>
      <c r="M295" s="22"/>
    </row>
    <row r="296" spans="1:13" s="46" customFormat="1" ht="15" x14ac:dyDescent="0.35">
      <c r="A296" s="26"/>
      <c r="B296" s="26"/>
      <c r="C296" s="26"/>
      <c r="D296" s="26"/>
      <c r="E296" s="26"/>
      <c r="F296" s="26"/>
      <c r="G296" s="26"/>
      <c r="H296" s="26"/>
      <c r="K296" s="22"/>
      <c r="L296" s="22"/>
      <c r="M296" s="22"/>
    </row>
    <row r="297" spans="1:13" s="46" customFormat="1" ht="15" x14ac:dyDescent="0.35">
      <c r="A297" s="26"/>
      <c r="B297" s="26"/>
      <c r="C297" s="26"/>
      <c r="D297" s="26"/>
      <c r="E297" s="26"/>
      <c r="F297" s="26"/>
      <c r="G297" s="26"/>
      <c r="H297" s="26"/>
      <c r="K297" s="22"/>
      <c r="L297" s="22"/>
      <c r="M297" s="22"/>
    </row>
    <row r="298" spans="1:13" s="46" customFormat="1" ht="15" x14ac:dyDescent="0.35">
      <c r="A298" s="26"/>
      <c r="B298" s="26"/>
      <c r="C298" s="26"/>
      <c r="D298" s="26"/>
      <c r="E298" s="26"/>
      <c r="F298" s="26"/>
      <c r="G298" s="26"/>
      <c r="H298" s="26"/>
      <c r="K298" s="22"/>
      <c r="L298" s="22"/>
      <c r="M298" s="22"/>
    </row>
    <row r="299" spans="1:13" s="46" customFormat="1" ht="15" x14ac:dyDescent="0.35">
      <c r="A299" s="26"/>
      <c r="B299" s="26"/>
      <c r="C299" s="26"/>
      <c r="D299" s="26"/>
      <c r="E299" s="26"/>
      <c r="F299" s="26"/>
      <c r="G299" s="26"/>
      <c r="H299" s="26"/>
      <c r="K299" s="22"/>
      <c r="L299" s="22"/>
      <c r="M299" s="22"/>
    </row>
    <row r="300" spans="1:13" s="46" customFormat="1" ht="15" x14ac:dyDescent="0.35">
      <c r="A300" s="26"/>
      <c r="B300" s="26"/>
      <c r="C300" s="26"/>
      <c r="D300" s="26"/>
      <c r="E300" s="26"/>
      <c r="F300" s="26"/>
      <c r="G300" s="26"/>
      <c r="H300" s="26"/>
      <c r="K300" s="22"/>
      <c r="L300" s="22"/>
      <c r="M300" s="22"/>
    </row>
    <row r="301" spans="1:13" s="46" customFormat="1" ht="15" x14ac:dyDescent="0.35">
      <c r="A301" s="26"/>
      <c r="B301" s="26"/>
      <c r="C301" s="26"/>
      <c r="D301" s="26"/>
      <c r="E301" s="26"/>
      <c r="F301" s="26"/>
      <c r="G301" s="26"/>
      <c r="H301" s="26"/>
      <c r="K301" s="22"/>
      <c r="L301" s="22"/>
      <c r="M301" s="22"/>
    </row>
    <row r="302" spans="1:13" s="46" customFormat="1" ht="15" x14ac:dyDescent="0.35">
      <c r="A302" s="26"/>
      <c r="B302" s="26"/>
      <c r="C302" s="26"/>
      <c r="D302" s="26"/>
      <c r="E302" s="26"/>
      <c r="F302" s="26"/>
      <c r="G302" s="26"/>
      <c r="H302" s="26"/>
      <c r="K302" s="22"/>
      <c r="L302" s="22"/>
      <c r="M302" s="22"/>
    </row>
    <row r="303" spans="1:13" s="46" customFormat="1" ht="15" x14ac:dyDescent="0.35">
      <c r="A303" s="26"/>
      <c r="B303" s="26"/>
      <c r="C303" s="26"/>
      <c r="D303" s="26"/>
      <c r="E303" s="26"/>
      <c r="F303" s="26"/>
      <c r="G303" s="26"/>
      <c r="H303" s="26"/>
      <c r="K303" s="22"/>
      <c r="L303" s="22"/>
      <c r="M303" s="22"/>
    </row>
    <row r="304" spans="1:13" s="46" customFormat="1" ht="15" x14ac:dyDescent="0.35">
      <c r="A304" s="26"/>
      <c r="B304" s="26"/>
      <c r="C304" s="26"/>
      <c r="D304" s="26"/>
      <c r="E304" s="26"/>
      <c r="F304" s="26"/>
      <c r="G304" s="26"/>
      <c r="H304" s="26"/>
      <c r="K304" s="22"/>
      <c r="L304" s="22"/>
      <c r="M304" s="22"/>
    </row>
    <row r="305" spans="1:8" s="46" customFormat="1" x14ac:dyDescent="0.35">
      <c r="A305" s="26"/>
      <c r="B305" s="26"/>
      <c r="C305" s="26"/>
      <c r="D305" s="26"/>
      <c r="E305" s="26"/>
      <c r="F305" s="26"/>
      <c r="G305" s="26"/>
      <c r="H305" s="26"/>
    </row>
    <row r="306" spans="1:8" s="46" customFormat="1" x14ac:dyDescent="0.35">
      <c r="A306" s="26"/>
      <c r="B306" s="26"/>
      <c r="C306" s="26"/>
      <c r="D306" s="26"/>
      <c r="E306" s="26"/>
      <c r="F306" s="26"/>
      <c r="G306" s="26"/>
      <c r="H306" s="26"/>
    </row>
    <row r="307" spans="1:8" s="46" customFormat="1" x14ac:dyDescent="0.35">
      <c r="A307" s="26"/>
      <c r="B307" s="26"/>
      <c r="C307" s="26"/>
      <c r="D307" s="26"/>
      <c r="E307" s="26"/>
      <c r="F307" s="26"/>
      <c r="G307" s="26"/>
      <c r="H307" s="26"/>
    </row>
    <row r="308" spans="1:8" s="46" customFormat="1" x14ac:dyDescent="0.35">
      <c r="A308" s="26"/>
      <c r="B308" s="26"/>
      <c r="C308" s="26"/>
      <c r="D308" s="26"/>
      <c r="E308" s="26"/>
      <c r="F308" s="26"/>
      <c r="G308" s="26"/>
      <c r="H308" s="26"/>
    </row>
    <row r="309" spans="1:8" s="46" customFormat="1" x14ac:dyDescent="0.35">
      <c r="A309" s="26"/>
      <c r="B309" s="26"/>
      <c r="C309" s="26"/>
      <c r="D309" s="26"/>
      <c r="E309" s="26"/>
      <c r="F309" s="26"/>
      <c r="G309" s="26"/>
      <c r="H309" s="26"/>
    </row>
    <row r="310" spans="1:8" s="46" customFormat="1" x14ac:dyDescent="0.35">
      <c r="A310" s="26"/>
      <c r="B310" s="26"/>
      <c r="C310" s="26"/>
      <c r="D310" s="26"/>
      <c r="E310" s="26"/>
      <c r="F310" s="26"/>
      <c r="G310" s="26"/>
      <c r="H310" s="26"/>
    </row>
    <row r="311" spans="1:8" s="46" customFormat="1" x14ac:dyDescent="0.35">
      <c r="A311" s="26"/>
      <c r="B311" s="26"/>
      <c r="C311" s="26"/>
      <c r="D311" s="26"/>
      <c r="E311" s="26"/>
      <c r="F311" s="26"/>
      <c r="G311" s="26"/>
      <c r="H311" s="26"/>
    </row>
    <row r="312" spans="1:8" s="46" customFormat="1" x14ac:dyDescent="0.35">
      <c r="A312" s="26"/>
      <c r="B312" s="26"/>
      <c r="C312" s="26"/>
      <c r="D312" s="26"/>
      <c r="E312" s="26"/>
      <c r="F312" s="26"/>
      <c r="G312" s="26"/>
      <c r="H312" s="26"/>
    </row>
    <row r="313" spans="1:8" s="46" customFormat="1" x14ac:dyDescent="0.35">
      <c r="A313" s="26"/>
      <c r="B313" s="26"/>
      <c r="C313" s="26"/>
      <c r="D313" s="26"/>
      <c r="E313" s="26"/>
      <c r="F313" s="26"/>
      <c r="G313" s="26"/>
      <c r="H313" s="26"/>
    </row>
    <row r="314" spans="1:8" s="46" customFormat="1" x14ac:dyDescent="0.35">
      <c r="A314" s="26"/>
      <c r="B314" s="26"/>
      <c r="C314" s="26"/>
      <c r="D314" s="26"/>
      <c r="E314" s="26"/>
      <c r="F314" s="26"/>
      <c r="G314" s="26"/>
      <c r="H314" s="26"/>
    </row>
    <row r="315" spans="1:8" s="46" customFormat="1" x14ac:dyDescent="0.35">
      <c r="A315" s="26"/>
      <c r="B315" s="26"/>
      <c r="C315" s="26"/>
      <c r="D315" s="26"/>
      <c r="E315" s="26"/>
      <c r="F315" s="26"/>
      <c r="G315" s="26"/>
      <c r="H315" s="26"/>
    </row>
    <row r="316" spans="1:8" s="46" customFormat="1" x14ac:dyDescent="0.35">
      <c r="A316" s="26"/>
      <c r="B316" s="26"/>
      <c r="C316" s="26"/>
      <c r="D316" s="26"/>
      <c r="E316" s="26"/>
      <c r="F316" s="26"/>
      <c r="G316" s="26"/>
      <c r="H316" s="26"/>
    </row>
    <row r="317" spans="1:8" s="46" customFormat="1" x14ac:dyDescent="0.35">
      <c r="A317" s="26"/>
      <c r="B317" s="26"/>
      <c r="C317" s="26"/>
      <c r="D317" s="26"/>
      <c r="E317" s="26"/>
      <c r="F317" s="26"/>
      <c r="G317" s="26"/>
      <c r="H317" s="26"/>
    </row>
    <row r="318" spans="1:8" s="46" customFormat="1" x14ac:dyDescent="0.35">
      <c r="A318" s="26"/>
      <c r="B318" s="26"/>
      <c r="C318" s="26"/>
      <c r="D318" s="26"/>
      <c r="E318" s="26"/>
      <c r="F318" s="26"/>
      <c r="G318" s="26"/>
      <c r="H318" s="26"/>
    </row>
    <row r="319" spans="1:8" s="46" customFormat="1" x14ac:dyDescent="0.35">
      <c r="A319" s="26"/>
      <c r="B319" s="26"/>
      <c r="C319" s="26"/>
      <c r="D319" s="26"/>
      <c r="E319" s="26"/>
      <c r="F319" s="26"/>
      <c r="G319" s="26"/>
      <c r="H319" s="26"/>
    </row>
    <row r="320" spans="1:8" s="46" customFormat="1" x14ac:dyDescent="0.35">
      <c r="A320" s="26"/>
      <c r="B320" s="26"/>
      <c r="C320" s="26"/>
      <c r="D320" s="26"/>
      <c r="E320" s="26"/>
      <c r="F320" s="26"/>
      <c r="G320" s="26"/>
      <c r="H320" s="26"/>
    </row>
    <row r="321" spans="1:8" s="46" customFormat="1" x14ac:dyDescent="0.35">
      <c r="A321" s="26"/>
      <c r="B321" s="26"/>
      <c r="C321" s="26"/>
      <c r="D321" s="26"/>
      <c r="E321" s="26"/>
      <c r="F321" s="26"/>
      <c r="G321" s="26"/>
      <c r="H321" s="26"/>
    </row>
    <row r="322" spans="1:8" s="46" customFormat="1" x14ac:dyDescent="0.35">
      <c r="A322" s="26"/>
      <c r="B322" s="26"/>
      <c r="C322" s="26"/>
      <c r="D322" s="26"/>
      <c r="E322" s="26"/>
      <c r="F322" s="26"/>
      <c r="G322" s="26"/>
      <c r="H322" s="26"/>
    </row>
    <row r="323" spans="1:8" s="46" customFormat="1" x14ac:dyDescent="0.35">
      <c r="A323" s="26"/>
      <c r="B323" s="26"/>
      <c r="C323" s="26"/>
      <c r="D323" s="26"/>
      <c r="E323" s="26"/>
      <c r="F323" s="26"/>
      <c r="G323" s="26"/>
      <c r="H323" s="26"/>
    </row>
    <row r="324" spans="1:8" s="46" customFormat="1" x14ac:dyDescent="0.35">
      <c r="A324" s="26"/>
      <c r="B324" s="26"/>
      <c r="C324" s="26"/>
      <c r="D324" s="26"/>
      <c r="E324" s="26"/>
      <c r="F324" s="26"/>
      <c r="G324" s="26"/>
      <c r="H324" s="26"/>
    </row>
    <row r="325" spans="1:8" s="46" customFormat="1" x14ac:dyDescent="0.35">
      <c r="A325" s="26"/>
      <c r="B325" s="26"/>
      <c r="C325" s="26"/>
      <c r="D325" s="26"/>
      <c r="E325" s="26"/>
      <c r="F325" s="26"/>
      <c r="G325" s="26"/>
      <c r="H325" s="26"/>
    </row>
    <row r="326" spans="1:8" s="46" customFormat="1" x14ac:dyDescent="0.35">
      <c r="A326" s="26"/>
      <c r="B326" s="26"/>
      <c r="C326" s="26"/>
      <c r="D326" s="26"/>
      <c r="E326" s="26"/>
      <c r="F326" s="26"/>
      <c r="G326" s="26"/>
      <c r="H326" s="26"/>
    </row>
    <row r="327" spans="1:8" s="46" customFormat="1" x14ac:dyDescent="0.35">
      <c r="A327" s="26"/>
      <c r="B327" s="26"/>
      <c r="C327" s="26"/>
      <c r="D327" s="26"/>
      <c r="E327" s="26"/>
      <c r="F327" s="26"/>
      <c r="G327" s="26"/>
      <c r="H327" s="26"/>
    </row>
    <row r="328" spans="1:8" s="46" customFormat="1" x14ac:dyDescent="0.35">
      <c r="A328" s="26"/>
      <c r="B328" s="26"/>
      <c r="C328" s="26"/>
      <c r="D328" s="26"/>
      <c r="E328" s="26"/>
      <c r="F328" s="26"/>
      <c r="G328" s="26"/>
      <c r="H328" s="26"/>
    </row>
    <row r="329" spans="1:8" s="46" customFormat="1" x14ac:dyDescent="0.35">
      <c r="A329" s="26"/>
      <c r="B329" s="26"/>
      <c r="C329" s="26"/>
      <c r="D329" s="26"/>
      <c r="E329" s="26"/>
      <c r="F329" s="26"/>
      <c r="G329" s="26"/>
      <c r="H329" s="26"/>
    </row>
    <row r="330" spans="1:8" s="46" customFormat="1" x14ac:dyDescent="0.35">
      <c r="A330" s="26"/>
      <c r="B330" s="26"/>
      <c r="C330" s="26"/>
      <c r="D330" s="26"/>
      <c r="E330" s="26"/>
      <c r="F330" s="26"/>
      <c r="G330" s="26"/>
      <c r="H330" s="26"/>
    </row>
    <row r="331" spans="1:8" s="46" customFormat="1" x14ac:dyDescent="0.35">
      <c r="A331" s="26"/>
      <c r="B331" s="26"/>
      <c r="C331" s="26"/>
      <c r="D331" s="26"/>
      <c r="E331" s="26"/>
      <c r="F331" s="26"/>
      <c r="G331" s="26"/>
      <c r="H331" s="26"/>
    </row>
    <row r="332" spans="1:8" s="46" customFormat="1" x14ac:dyDescent="0.35">
      <c r="A332" s="26"/>
      <c r="B332" s="26"/>
      <c r="C332" s="26"/>
      <c r="D332" s="26"/>
      <c r="E332" s="26"/>
      <c r="F332" s="26"/>
      <c r="G332" s="26"/>
      <c r="H332" s="26"/>
    </row>
    <row r="333" spans="1:8" s="46" customFormat="1" x14ac:dyDescent="0.35">
      <c r="A333" s="26"/>
      <c r="B333" s="26"/>
      <c r="C333" s="26"/>
      <c r="D333" s="26"/>
      <c r="E333" s="26"/>
      <c r="F333" s="26"/>
      <c r="G333" s="26"/>
      <c r="H333" s="26"/>
    </row>
    <row r="334" spans="1:8" s="46" customFormat="1" x14ac:dyDescent="0.35">
      <c r="A334" s="26"/>
      <c r="B334" s="26"/>
      <c r="C334" s="26"/>
      <c r="D334" s="26"/>
      <c r="E334" s="26"/>
      <c r="F334" s="26"/>
      <c r="G334" s="26"/>
      <c r="H334" s="26"/>
    </row>
    <row r="335" spans="1:8" s="46" customFormat="1" x14ac:dyDescent="0.35">
      <c r="A335" s="26"/>
      <c r="B335" s="26"/>
      <c r="C335" s="26"/>
      <c r="D335" s="26"/>
      <c r="E335" s="26"/>
      <c r="F335" s="26"/>
      <c r="G335" s="26"/>
      <c r="H335" s="26"/>
    </row>
    <row r="336" spans="1:8" s="46" customFormat="1" x14ac:dyDescent="0.35">
      <c r="A336" s="26"/>
      <c r="B336" s="26"/>
      <c r="C336" s="26"/>
      <c r="D336" s="26"/>
      <c r="E336" s="26"/>
      <c r="F336" s="26"/>
      <c r="G336" s="26"/>
      <c r="H336" s="26"/>
    </row>
    <row r="337" spans="1:8" s="46" customFormat="1" x14ac:dyDescent="0.35">
      <c r="A337" s="26"/>
      <c r="B337" s="26"/>
      <c r="C337" s="26"/>
      <c r="D337" s="26"/>
      <c r="E337" s="26"/>
      <c r="F337" s="26"/>
      <c r="G337" s="26"/>
      <c r="H337" s="26"/>
    </row>
    <row r="338" spans="1:8" s="46" customFormat="1" x14ac:dyDescent="0.35">
      <c r="A338" s="26"/>
      <c r="B338" s="26"/>
      <c r="C338" s="26"/>
      <c r="D338" s="26"/>
      <c r="E338" s="26"/>
      <c r="F338" s="26"/>
      <c r="G338" s="26"/>
      <c r="H338" s="26"/>
    </row>
    <row r="339" spans="1:8" s="46" customFormat="1" x14ac:dyDescent="0.35">
      <c r="A339" s="26"/>
      <c r="B339" s="26"/>
      <c r="C339" s="26"/>
      <c r="D339" s="26"/>
      <c r="E339" s="26"/>
      <c r="F339" s="26"/>
      <c r="G339" s="26"/>
      <c r="H339" s="26"/>
    </row>
    <row r="340" spans="1:8" s="46" customFormat="1" x14ac:dyDescent="0.35">
      <c r="A340" s="26"/>
      <c r="B340" s="26"/>
      <c r="C340" s="26"/>
      <c r="D340" s="26"/>
      <c r="E340" s="26"/>
      <c r="F340" s="26"/>
      <c r="G340" s="26"/>
      <c r="H340" s="26"/>
    </row>
    <row r="341" spans="1:8" s="46" customFormat="1" x14ac:dyDescent="0.35">
      <c r="A341" s="26"/>
      <c r="B341" s="26"/>
      <c r="C341" s="26"/>
      <c r="D341" s="26"/>
      <c r="E341" s="26"/>
      <c r="F341" s="26"/>
      <c r="G341" s="26"/>
      <c r="H341" s="26"/>
    </row>
    <row r="342" spans="1:8" s="46" customFormat="1" x14ac:dyDescent="0.35">
      <c r="A342" s="26"/>
      <c r="B342" s="26"/>
      <c r="C342" s="26"/>
      <c r="D342" s="26"/>
      <c r="E342" s="26"/>
      <c r="F342" s="26"/>
      <c r="G342" s="26"/>
      <c r="H342" s="26"/>
    </row>
    <row r="343" spans="1:8" s="46" customFormat="1" x14ac:dyDescent="0.35">
      <c r="A343" s="26"/>
      <c r="B343" s="26"/>
      <c r="C343" s="26"/>
      <c r="D343" s="26"/>
      <c r="E343" s="26"/>
      <c r="F343" s="26"/>
      <c r="G343" s="26"/>
      <c r="H343" s="26"/>
    </row>
    <row r="344" spans="1:8" s="46" customFormat="1" x14ac:dyDescent="0.35">
      <c r="A344" s="26"/>
      <c r="B344" s="26"/>
      <c r="C344" s="26"/>
      <c r="D344" s="26"/>
      <c r="E344" s="26"/>
      <c r="F344" s="26"/>
      <c r="G344" s="26"/>
      <c r="H344" s="26"/>
    </row>
    <row r="345" spans="1:8" s="46" customFormat="1" x14ac:dyDescent="0.35">
      <c r="A345" s="26"/>
      <c r="B345" s="26"/>
      <c r="C345" s="26"/>
      <c r="D345" s="26"/>
      <c r="E345" s="26"/>
      <c r="F345" s="26"/>
      <c r="G345" s="26"/>
      <c r="H345" s="26"/>
    </row>
    <row r="346" spans="1:8" s="46" customFormat="1" x14ac:dyDescent="0.35">
      <c r="A346" s="26"/>
      <c r="B346" s="26"/>
      <c r="C346" s="26"/>
      <c r="D346" s="26"/>
      <c r="E346" s="26"/>
      <c r="F346" s="26"/>
      <c r="G346" s="26"/>
      <c r="H346" s="26"/>
    </row>
    <row r="347" spans="1:8" s="46" customFormat="1" x14ac:dyDescent="0.35">
      <c r="A347" s="26"/>
      <c r="B347" s="26"/>
      <c r="C347" s="26"/>
      <c r="D347" s="26"/>
      <c r="E347" s="26"/>
      <c r="F347" s="26"/>
      <c r="G347" s="26"/>
      <c r="H347" s="26"/>
    </row>
    <row r="348" spans="1:8" s="46" customFormat="1" x14ac:dyDescent="0.35">
      <c r="A348" s="26"/>
      <c r="B348" s="26"/>
      <c r="C348" s="26"/>
      <c r="D348" s="26"/>
      <c r="E348" s="26"/>
      <c r="F348" s="26"/>
      <c r="G348" s="26"/>
      <c r="H348" s="26"/>
    </row>
    <row r="349" spans="1:8" s="46" customFormat="1" x14ac:dyDescent="0.35">
      <c r="A349" s="26"/>
      <c r="B349" s="26"/>
      <c r="C349" s="26"/>
      <c r="D349" s="26"/>
      <c r="E349" s="26"/>
      <c r="F349" s="26"/>
      <c r="G349" s="26"/>
      <c r="H349" s="26"/>
    </row>
    <row r="350" spans="1:8" s="46" customFormat="1" x14ac:dyDescent="0.35">
      <c r="A350" s="26"/>
      <c r="B350" s="26"/>
      <c r="C350" s="26"/>
      <c r="D350" s="26"/>
      <c r="E350" s="26"/>
      <c r="F350" s="26"/>
      <c r="G350" s="26"/>
      <c r="H350" s="26"/>
    </row>
    <row r="351" spans="1:8" s="46" customFormat="1" x14ac:dyDescent="0.35">
      <c r="A351" s="26"/>
      <c r="B351" s="26"/>
      <c r="C351" s="26"/>
      <c r="D351" s="26"/>
      <c r="E351" s="26"/>
      <c r="F351" s="26"/>
      <c r="G351" s="26"/>
      <c r="H351" s="26"/>
    </row>
    <row r="352" spans="1:8" s="46" customFormat="1" x14ac:dyDescent="0.35">
      <c r="A352" s="26"/>
      <c r="B352" s="26"/>
      <c r="C352" s="26"/>
      <c r="D352" s="26"/>
      <c r="E352" s="26"/>
      <c r="F352" s="26"/>
      <c r="G352" s="26"/>
      <c r="H352" s="26"/>
    </row>
    <row r="353" spans="1:8" s="46" customFormat="1" x14ac:dyDescent="0.35">
      <c r="A353" s="26"/>
      <c r="B353" s="26"/>
      <c r="C353" s="26"/>
      <c r="D353" s="26"/>
      <c r="E353" s="26"/>
      <c r="F353" s="26"/>
      <c r="G353" s="26"/>
      <c r="H353" s="26"/>
    </row>
    <row r="354" spans="1:8" s="46" customFormat="1" x14ac:dyDescent="0.35">
      <c r="A354" s="26"/>
      <c r="B354" s="26"/>
      <c r="C354" s="26"/>
      <c r="D354" s="26"/>
      <c r="E354" s="26"/>
      <c r="F354" s="26"/>
      <c r="G354" s="26"/>
      <c r="H354" s="26"/>
    </row>
    <row r="355" spans="1:8" s="46" customFormat="1" x14ac:dyDescent="0.35">
      <c r="A355" s="26"/>
      <c r="B355" s="26"/>
      <c r="C355" s="26"/>
      <c r="D355" s="26"/>
      <c r="E355" s="26"/>
      <c r="F355" s="26"/>
      <c r="G355" s="26"/>
      <c r="H355" s="26"/>
    </row>
    <row r="356" spans="1:8" s="46" customFormat="1" x14ac:dyDescent="0.35">
      <c r="A356" s="26"/>
      <c r="B356" s="26"/>
      <c r="C356" s="26"/>
      <c r="D356" s="26"/>
      <c r="E356" s="26"/>
      <c r="F356" s="26"/>
      <c r="G356" s="26"/>
      <c r="H356" s="26"/>
    </row>
    <row r="357" spans="1:8" s="46" customFormat="1" x14ac:dyDescent="0.35">
      <c r="A357" s="26"/>
      <c r="B357" s="26"/>
      <c r="C357" s="26"/>
      <c r="D357" s="26"/>
      <c r="E357" s="26"/>
      <c r="F357" s="26"/>
      <c r="G357" s="26"/>
      <c r="H357" s="26"/>
    </row>
    <row r="358" spans="1:8" s="46" customFormat="1" x14ac:dyDescent="0.35">
      <c r="A358" s="26"/>
      <c r="B358" s="26"/>
      <c r="C358" s="26"/>
      <c r="D358" s="26"/>
      <c r="E358" s="26"/>
      <c r="F358" s="26"/>
      <c r="G358" s="26"/>
      <c r="H358" s="26"/>
    </row>
    <row r="359" spans="1:8" s="46" customFormat="1" x14ac:dyDescent="0.35">
      <c r="A359" s="26"/>
      <c r="B359" s="26"/>
      <c r="C359" s="26"/>
      <c r="D359" s="26"/>
      <c r="E359" s="26"/>
      <c r="F359" s="26"/>
      <c r="G359" s="26"/>
      <c r="H359" s="26"/>
    </row>
    <row r="360" spans="1:8" s="46" customFormat="1" x14ac:dyDescent="0.35">
      <c r="A360" s="26"/>
      <c r="B360" s="26"/>
      <c r="C360" s="26"/>
      <c r="D360" s="26"/>
      <c r="E360" s="26"/>
      <c r="F360" s="26"/>
      <c r="G360" s="26"/>
      <c r="H360" s="26"/>
    </row>
    <row r="361" spans="1:8" s="46" customFormat="1" x14ac:dyDescent="0.35">
      <c r="A361" s="26"/>
      <c r="B361" s="26"/>
      <c r="C361" s="26"/>
      <c r="D361" s="26"/>
      <c r="E361" s="26"/>
      <c r="F361" s="26"/>
      <c r="G361" s="26"/>
      <c r="H361" s="26"/>
    </row>
    <row r="362" spans="1:8" s="46" customFormat="1" x14ac:dyDescent="0.35">
      <c r="A362" s="26"/>
      <c r="B362" s="26"/>
      <c r="C362" s="26"/>
      <c r="D362" s="26"/>
      <c r="E362" s="26"/>
      <c r="F362" s="26"/>
      <c r="G362" s="26"/>
      <c r="H362" s="26"/>
    </row>
    <row r="363" spans="1:8" s="46" customFormat="1" x14ac:dyDescent="0.35">
      <c r="A363" s="26"/>
      <c r="B363" s="26"/>
      <c r="C363" s="26"/>
      <c r="D363" s="26"/>
      <c r="E363" s="26"/>
      <c r="F363" s="26"/>
      <c r="G363" s="26"/>
      <c r="H363" s="26"/>
    </row>
    <row r="364" spans="1:8" s="46" customFormat="1" x14ac:dyDescent="0.35">
      <c r="A364" s="26"/>
      <c r="B364" s="26"/>
      <c r="C364" s="26"/>
      <c r="D364" s="26"/>
      <c r="E364" s="26"/>
      <c r="F364" s="26"/>
      <c r="G364" s="26"/>
      <c r="H364" s="26"/>
    </row>
    <row r="365" spans="1:8" s="46" customFormat="1" x14ac:dyDescent="0.35">
      <c r="A365" s="26"/>
      <c r="B365" s="26"/>
      <c r="C365" s="26"/>
      <c r="D365" s="26"/>
      <c r="E365" s="26"/>
      <c r="F365" s="26"/>
      <c r="G365" s="26"/>
      <c r="H365" s="26"/>
    </row>
    <row r="366" spans="1:8" s="46" customFormat="1" x14ac:dyDescent="0.35">
      <c r="A366" s="26"/>
      <c r="B366" s="26"/>
      <c r="C366" s="26"/>
      <c r="D366" s="26"/>
      <c r="E366" s="26"/>
      <c r="F366" s="26"/>
      <c r="G366" s="26"/>
      <c r="H366" s="26"/>
    </row>
    <row r="367" spans="1:8" s="46" customFormat="1" x14ac:dyDescent="0.35">
      <c r="A367" s="26"/>
      <c r="B367" s="26"/>
      <c r="C367" s="26"/>
      <c r="D367" s="26"/>
      <c r="E367" s="26"/>
      <c r="F367" s="26"/>
      <c r="G367" s="26"/>
      <c r="H367" s="26"/>
    </row>
    <row r="368" spans="1:8" s="46" customFormat="1" x14ac:dyDescent="0.35">
      <c r="A368" s="26"/>
      <c r="B368" s="26"/>
      <c r="C368" s="26"/>
      <c r="D368" s="26"/>
      <c r="E368" s="26"/>
      <c r="F368" s="26"/>
      <c r="G368" s="26"/>
      <c r="H368" s="26"/>
    </row>
    <row r="369" spans="1:8" s="46" customFormat="1" x14ac:dyDescent="0.35">
      <c r="A369" s="26"/>
      <c r="B369" s="26"/>
      <c r="C369" s="26"/>
      <c r="D369" s="26"/>
      <c r="E369" s="26"/>
      <c r="F369" s="26"/>
      <c r="G369" s="26"/>
      <c r="H369" s="26"/>
    </row>
    <row r="370" spans="1:8" s="46" customFormat="1" x14ac:dyDescent="0.35">
      <c r="A370" s="26"/>
      <c r="B370" s="26"/>
      <c r="C370" s="26"/>
      <c r="D370" s="26"/>
      <c r="E370" s="26"/>
      <c r="F370" s="26"/>
      <c r="G370" s="26"/>
      <c r="H370" s="26"/>
    </row>
    <row r="371" spans="1:8" s="46" customFormat="1" x14ac:dyDescent="0.35">
      <c r="A371" s="26"/>
      <c r="B371" s="26"/>
      <c r="C371" s="26"/>
      <c r="D371" s="26"/>
      <c r="E371" s="26"/>
      <c r="F371" s="26"/>
      <c r="G371" s="26"/>
      <c r="H371" s="26"/>
    </row>
    <row r="372" spans="1:8" s="46" customFormat="1" x14ac:dyDescent="0.35">
      <c r="A372" s="26"/>
      <c r="B372" s="26"/>
      <c r="C372" s="26"/>
      <c r="D372" s="26"/>
      <c r="E372" s="26"/>
      <c r="F372" s="26"/>
      <c r="G372" s="26"/>
      <c r="H372" s="26"/>
    </row>
    <row r="373" spans="1:8" s="46" customFormat="1" x14ac:dyDescent="0.35">
      <c r="A373" s="26"/>
      <c r="B373" s="26"/>
      <c r="C373" s="26"/>
      <c r="D373" s="26"/>
      <c r="E373" s="26"/>
      <c r="F373" s="26"/>
      <c r="G373" s="26"/>
      <c r="H373" s="26"/>
    </row>
    <row r="374" spans="1:8" s="46" customFormat="1" x14ac:dyDescent="0.35">
      <c r="A374" s="26"/>
      <c r="B374" s="26"/>
      <c r="C374" s="26"/>
      <c r="D374" s="26"/>
      <c r="E374" s="26"/>
      <c r="F374" s="26"/>
      <c r="G374" s="26"/>
      <c r="H374" s="26"/>
    </row>
    <row r="375" spans="1:8" s="46" customFormat="1" x14ac:dyDescent="0.35">
      <c r="A375" s="26"/>
      <c r="B375" s="26"/>
      <c r="C375" s="26"/>
      <c r="D375" s="26"/>
      <c r="E375" s="26"/>
      <c r="F375" s="26"/>
      <c r="G375" s="26"/>
      <c r="H375" s="26"/>
    </row>
    <row r="376" spans="1:8" s="46" customFormat="1" x14ac:dyDescent="0.35">
      <c r="A376" s="26"/>
      <c r="B376" s="26"/>
      <c r="C376" s="26"/>
      <c r="D376" s="26"/>
      <c r="E376" s="26"/>
      <c r="F376" s="26"/>
      <c r="G376" s="26"/>
      <c r="H376" s="26"/>
    </row>
    <row r="377" spans="1:8" s="46" customFormat="1" x14ac:dyDescent="0.35">
      <c r="A377" s="26"/>
      <c r="B377" s="26"/>
      <c r="C377" s="26"/>
      <c r="D377" s="26"/>
      <c r="E377" s="26"/>
      <c r="F377" s="26"/>
      <c r="G377" s="26"/>
      <c r="H377" s="26"/>
    </row>
    <row r="378" spans="1:8" s="46" customFormat="1" x14ac:dyDescent="0.35">
      <c r="A378" s="26"/>
      <c r="B378" s="26"/>
      <c r="C378" s="26"/>
      <c r="D378" s="26"/>
      <c r="E378" s="26"/>
      <c r="F378" s="26"/>
      <c r="G378" s="26"/>
      <c r="H378" s="26"/>
    </row>
    <row r="379" spans="1:8" s="46" customFormat="1" x14ac:dyDescent="0.35">
      <c r="A379" s="26"/>
      <c r="B379" s="26"/>
      <c r="C379" s="26"/>
      <c r="D379" s="26"/>
      <c r="E379" s="26"/>
      <c r="F379" s="26"/>
      <c r="G379" s="26"/>
      <c r="H379" s="26"/>
    </row>
    <row r="380" spans="1:8" s="46" customFormat="1" x14ac:dyDescent="0.35">
      <c r="A380" s="26"/>
      <c r="B380" s="26"/>
      <c r="C380" s="26"/>
      <c r="D380" s="26"/>
      <c r="E380" s="26"/>
      <c r="F380" s="26"/>
      <c r="G380" s="26"/>
      <c r="H380" s="26"/>
    </row>
    <row r="381" spans="1:8" s="46" customFormat="1" x14ac:dyDescent="0.35">
      <c r="A381" s="26"/>
      <c r="B381" s="26"/>
      <c r="C381" s="26"/>
      <c r="D381" s="26"/>
      <c r="E381" s="26"/>
      <c r="F381" s="26"/>
      <c r="G381" s="26"/>
      <c r="H381" s="26"/>
    </row>
    <row r="382" spans="1:8" s="46" customFormat="1" x14ac:dyDescent="0.35">
      <c r="A382" s="26"/>
      <c r="B382" s="26"/>
      <c r="C382" s="26"/>
      <c r="D382" s="26"/>
      <c r="E382" s="26"/>
      <c r="F382" s="26"/>
      <c r="G382" s="26"/>
      <c r="H382" s="26"/>
    </row>
    <row r="383" spans="1:8" s="46" customFormat="1" x14ac:dyDescent="0.35">
      <c r="A383" s="26"/>
      <c r="B383" s="26"/>
      <c r="C383" s="26"/>
      <c r="D383" s="26"/>
      <c r="E383" s="26"/>
      <c r="F383" s="26"/>
      <c r="G383" s="26"/>
      <c r="H383" s="26"/>
    </row>
    <row r="384" spans="1:8" s="46" customFormat="1" x14ac:dyDescent="0.35">
      <c r="A384" s="26"/>
      <c r="B384" s="26"/>
      <c r="C384" s="26"/>
      <c r="D384" s="26"/>
      <c r="E384" s="26"/>
      <c r="F384" s="26"/>
      <c r="G384" s="26"/>
      <c r="H384" s="26"/>
    </row>
    <row r="385" spans="1:8" s="46" customFormat="1" x14ac:dyDescent="0.35">
      <c r="A385" s="26"/>
      <c r="B385" s="26"/>
      <c r="C385" s="26"/>
      <c r="D385" s="26"/>
      <c r="E385" s="26"/>
      <c r="F385" s="26"/>
      <c r="G385" s="26"/>
      <c r="H385" s="26"/>
    </row>
    <row r="386" spans="1:8" s="46" customFormat="1" x14ac:dyDescent="0.35">
      <c r="A386" s="26"/>
      <c r="B386" s="26"/>
      <c r="C386" s="26"/>
      <c r="D386" s="26"/>
      <c r="E386" s="26"/>
      <c r="F386" s="26"/>
      <c r="G386" s="26"/>
      <c r="H386" s="26"/>
    </row>
    <row r="387" spans="1:8" s="46" customFormat="1" x14ac:dyDescent="0.35">
      <c r="A387" s="26"/>
      <c r="B387" s="26"/>
      <c r="C387" s="26"/>
      <c r="D387" s="26"/>
      <c r="E387" s="26"/>
      <c r="F387" s="26"/>
      <c r="G387" s="26"/>
      <c r="H387" s="26"/>
    </row>
    <row r="388" spans="1:8" s="46" customFormat="1" x14ac:dyDescent="0.35">
      <c r="A388" s="26"/>
      <c r="B388" s="26"/>
      <c r="C388" s="26"/>
      <c r="D388" s="26"/>
      <c r="E388" s="26"/>
      <c r="F388" s="26"/>
      <c r="G388" s="26"/>
      <c r="H388" s="26"/>
    </row>
    <row r="389" spans="1:8" s="46" customFormat="1" x14ac:dyDescent="0.35">
      <c r="A389" s="26"/>
      <c r="B389" s="26"/>
      <c r="C389" s="26"/>
      <c r="D389" s="26"/>
      <c r="E389" s="26"/>
      <c r="F389" s="26"/>
      <c r="G389" s="26"/>
      <c r="H389" s="26"/>
    </row>
    <row r="390" spans="1:8" s="46" customFormat="1" x14ac:dyDescent="0.35">
      <c r="A390" s="26"/>
      <c r="B390" s="26"/>
      <c r="C390" s="26"/>
      <c r="D390" s="26"/>
      <c r="E390" s="26"/>
      <c r="F390" s="26"/>
      <c r="G390" s="26"/>
      <c r="H390" s="26"/>
    </row>
    <row r="391" spans="1:8" s="46" customFormat="1" x14ac:dyDescent="0.35">
      <c r="A391" s="26"/>
      <c r="B391" s="26"/>
      <c r="C391" s="26"/>
      <c r="D391" s="26"/>
      <c r="E391" s="26"/>
      <c r="F391" s="26"/>
      <c r="G391" s="26"/>
      <c r="H391" s="26"/>
    </row>
    <row r="392" spans="1:8" s="46" customFormat="1" x14ac:dyDescent="0.35">
      <c r="A392" s="26"/>
      <c r="B392" s="26"/>
      <c r="C392" s="26"/>
      <c r="D392" s="26"/>
      <c r="E392" s="26"/>
      <c r="F392" s="26"/>
      <c r="G392" s="26"/>
      <c r="H392" s="26"/>
    </row>
    <row r="393" spans="1:8" s="46" customFormat="1" x14ac:dyDescent="0.35">
      <c r="A393" s="26"/>
      <c r="B393" s="26"/>
      <c r="C393" s="26"/>
      <c r="D393" s="26"/>
      <c r="E393" s="26"/>
      <c r="F393" s="26"/>
      <c r="G393" s="26"/>
      <c r="H393" s="26"/>
    </row>
    <row r="394" spans="1:8" s="46" customFormat="1" x14ac:dyDescent="0.35">
      <c r="A394" s="26"/>
      <c r="B394" s="26"/>
      <c r="C394" s="26"/>
      <c r="D394" s="26"/>
      <c r="E394" s="26"/>
      <c r="F394" s="26"/>
      <c r="G394" s="26"/>
      <c r="H394" s="26"/>
    </row>
    <row r="395" spans="1:8" s="46" customFormat="1" x14ac:dyDescent="0.35">
      <c r="A395" s="26"/>
      <c r="B395" s="26"/>
      <c r="C395" s="26"/>
      <c r="D395" s="26"/>
      <c r="E395" s="26"/>
      <c r="F395" s="26"/>
      <c r="G395" s="26"/>
      <c r="H395" s="26"/>
    </row>
    <row r="396" spans="1:8" s="46" customFormat="1" x14ac:dyDescent="0.35">
      <c r="A396" s="26"/>
      <c r="B396" s="26"/>
      <c r="C396" s="26"/>
      <c r="D396" s="26"/>
      <c r="E396" s="26"/>
      <c r="F396" s="26"/>
      <c r="G396" s="26"/>
      <c r="H396" s="26"/>
    </row>
    <row r="397" spans="1:8" s="46" customFormat="1" x14ac:dyDescent="0.35">
      <c r="A397" s="26"/>
      <c r="B397" s="26"/>
      <c r="C397" s="26"/>
      <c r="D397" s="26"/>
      <c r="E397" s="26"/>
      <c r="F397" s="26"/>
      <c r="G397" s="26"/>
      <c r="H397" s="26"/>
    </row>
    <row r="398" spans="1:8" s="46" customFormat="1" x14ac:dyDescent="0.35">
      <c r="A398" s="26"/>
      <c r="B398" s="26"/>
      <c r="C398" s="26"/>
      <c r="D398" s="26"/>
      <c r="E398" s="26"/>
      <c r="F398" s="26"/>
      <c r="G398" s="26"/>
      <c r="H398" s="26"/>
    </row>
    <row r="399" spans="1:8" s="46" customFormat="1" x14ac:dyDescent="0.35">
      <c r="A399" s="26"/>
      <c r="B399" s="26"/>
      <c r="C399" s="26"/>
      <c r="D399" s="26"/>
      <c r="E399" s="26"/>
      <c r="F399" s="26"/>
      <c r="G399" s="26"/>
      <c r="H399" s="26"/>
    </row>
    <row r="400" spans="1:8" s="46" customFormat="1" x14ac:dyDescent="0.35">
      <c r="A400" s="26"/>
      <c r="B400" s="26"/>
      <c r="C400" s="26"/>
      <c r="D400" s="26"/>
      <c r="E400" s="26"/>
      <c r="F400" s="26"/>
      <c r="G400" s="26"/>
      <c r="H400" s="26"/>
    </row>
    <row r="401" spans="1:8" s="46" customFormat="1" x14ac:dyDescent="0.35">
      <c r="A401" s="26"/>
      <c r="B401" s="26"/>
      <c r="C401" s="26"/>
      <c r="D401" s="26"/>
      <c r="E401" s="26"/>
      <c r="F401" s="26"/>
      <c r="G401" s="26"/>
      <c r="H401" s="26"/>
    </row>
    <row r="402" spans="1:8" s="46" customFormat="1" x14ac:dyDescent="0.35">
      <c r="A402" s="26"/>
      <c r="B402" s="26"/>
      <c r="C402" s="26"/>
      <c r="D402" s="26"/>
      <c r="E402" s="26"/>
      <c r="F402" s="26"/>
      <c r="G402" s="26"/>
      <c r="H402" s="26"/>
    </row>
    <row r="403" spans="1:8" s="46" customFormat="1" x14ac:dyDescent="0.35">
      <c r="A403" s="26"/>
      <c r="B403" s="26"/>
      <c r="C403" s="26"/>
      <c r="D403" s="26"/>
      <c r="E403" s="26"/>
      <c r="F403" s="26"/>
      <c r="G403" s="26"/>
      <c r="H403" s="26"/>
    </row>
    <row r="404" spans="1:8" s="46" customFormat="1" x14ac:dyDescent="0.35">
      <c r="A404" s="26"/>
      <c r="B404" s="26"/>
      <c r="C404" s="26"/>
      <c r="D404" s="26"/>
      <c r="E404" s="26"/>
      <c r="F404" s="26"/>
      <c r="G404" s="26"/>
      <c r="H404" s="26"/>
    </row>
    <row r="405" spans="1:8" s="46" customFormat="1" x14ac:dyDescent="0.35">
      <c r="A405" s="26"/>
      <c r="B405" s="26"/>
      <c r="C405" s="26"/>
      <c r="D405" s="26"/>
      <c r="E405" s="26"/>
      <c r="F405" s="26"/>
      <c r="G405" s="26"/>
      <c r="H405" s="26"/>
    </row>
    <row r="406" spans="1:8" s="46" customFormat="1" x14ac:dyDescent="0.35">
      <c r="A406" s="26"/>
      <c r="B406" s="26"/>
      <c r="C406" s="26"/>
      <c r="D406" s="26"/>
      <c r="E406" s="26"/>
      <c r="F406" s="26"/>
      <c r="G406" s="26"/>
      <c r="H406" s="26"/>
    </row>
    <row r="407" spans="1:8" s="46" customFormat="1" x14ac:dyDescent="0.35">
      <c r="A407" s="26"/>
      <c r="B407" s="26"/>
      <c r="C407" s="26"/>
      <c r="D407" s="26"/>
      <c r="E407" s="26"/>
      <c r="F407" s="26"/>
      <c r="G407" s="26"/>
      <c r="H407" s="26"/>
    </row>
    <row r="408" spans="1:8" s="46" customFormat="1" x14ac:dyDescent="0.35">
      <c r="A408" s="26"/>
      <c r="B408" s="26"/>
      <c r="C408" s="26"/>
      <c r="D408" s="26"/>
      <c r="E408" s="26"/>
      <c r="F408" s="26"/>
      <c r="G408" s="26"/>
      <c r="H408" s="26"/>
    </row>
    <row r="409" spans="1:8" s="46" customFormat="1" x14ac:dyDescent="0.35">
      <c r="A409" s="26"/>
      <c r="B409" s="26"/>
      <c r="C409" s="26"/>
      <c r="D409" s="26"/>
      <c r="E409" s="26"/>
      <c r="F409" s="26"/>
      <c r="G409" s="26"/>
      <c r="H409" s="26"/>
    </row>
    <row r="410" spans="1:8" s="46" customFormat="1" x14ac:dyDescent="0.35">
      <c r="A410" s="26"/>
      <c r="B410" s="26"/>
      <c r="C410" s="26"/>
      <c r="D410" s="26"/>
      <c r="E410" s="26"/>
      <c r="F410" s="26"/>
      <c r="G410" s="26"/>
      <c r="H410" s="26"/>
    </row>
    <row r="411" spans="1:8" s="46" customFormat="1" x14ac:dyDescent="0.35">
      <c r="A411" s="26"/>
      <c r="B411" s="26"/>
      <c r="C411" s="26"/>
      <c r="D411" s="26"/>
      <c r="E411" s="26"/>
      <c r="F411" s="26"/>
      <c r="G411" s="26"/>
      <c r="H411" s="26"/>
    </row>
    <row r="412" spans="1:8" s="46" customFormat="1" x14ac:dyDescent="0.35">
      <c r="A412" s="26"/>
      <c r="B412" s="26"/>
      <c r="C412" s="26"/>
      <c r="D412" s="26"/>
      <c r="E412" s="26"/>
      <c r="F412" s="26"/>
      <c r="G412" s="26"/>
      <c r="H412" s="26"/>
    </row>
    <row r="413" spans="1:8" s="46" customFormat="1" x14ac:dyDescent="0.35">
      <c r="A413" s="26"/>
      <c r="B413" s="26"/>
      <c r="C413" s="26"/>
      <c r="D413" s="26"/>
      <c r="E413" s="26"/>
      <c r="F413" s="26"/>
      <c r="G413" s="26"/>
      <c r="H413" s="26"/>
    </row>
    <row r="414" spans="1:8" s="46" customFormat="1" x14ac:dyDescent="0.35">
      <c r="A414" s="26"/>
      <c r="B414" s="26"/>
      <c r="C414" s="26"/>
      <c r="D414" s="26"/>
      <c r="E414" s="26"/>
      <c r="F414" s="26"/>
      <c r="G414" s="26"/>
      <c r="H414" s="26"/>
    </row>
    <row r="415" spans="1:8" s="46" customFormat="1" x14ac:dyDescent="0.35">
      <c r="A415" s="26"/>
      <c r="B415" s="26"/>
      <c r="C415" s="26"/>
      <c r="D415" s="26"/>
      <c r="E415" s="26"/>
      <c r="F415" s="26"/>
      <c r="G415" s="26"/>
      <c r="H415" s="26"/>
    </row>
    <row r="416" spans="1:8" s="46" customFormat="1" x14ac:dyDescent="0.35">
      <c r="A416" s="26"/>
      <c r="B416" s="26"/>
      <c r="C416" s="26"/>
      <c r="D416" s="26"/>
      <c r="E416" s="26"/>
      <c r="F416" s="26"/>
      <c r="G416" s="26"/>
      <c r="H416" s="26"/>
    </row>
    <row r="417" spans="1:8" s="46" customFormat="1" x14ac:dyDescent="0.35">
      <c r="A417" s="26"/>
      <c r="B417" s="26"/>
      <c r="C417" s="26"/>
      <c r="D417" s="26"/>
      <c r="E417" s="26"/>
      <c r="F417" s="26"/>
      <c r="G417" s="26"/>
      <c r="H417" s="26"/>
    </row>
    <row r="418" spans="1:8" s="46" customFormat="1" x14ac:dyDescent="0.35">
      <c r="A418" s="26"/>
      <c r="B418" s="26"/>
      <c r="C418" s="26"/>
      <c r="D418" s="26"/>
      <c r="E418" s="26"/>
      <c r="F418" s="26"/>
      <c r="G418" s="26"/>
      <c r="H418" s="26"/>
    </row>
    <row r="419" spans="1:8" s="46" customFormat="1" x14ac:dyDescent="0.35">
      <c r="A419" s="26"/>
      <c r="B419" s="26"/>
      <c r="C419" s="26"/>
      <c r="D419" s="26"/>
      <c r="E419" s="26"/>
      <c r="F419" s="26"/>
      <c r="G419" s="26"/>
      <c r="H419" s="26"/>
    </row>
    <row r="420" spans="1:8" s="46" customFormat="1" x14ac:dyDescent="0.35">
      <c r="A420" s="26"/>
      <c r="B420" s="26"/>
      <c r="C420" s="26"/>
      <c r="D420" s="26"/>
      <c r="E420" s="26"/>
      <c r="F420" s="26"/>
      <c r="G420" s="26"/>
      <c r="H420" s="26"/>
    </row>
    <row r="421" spans="1:8" s="46" customFormat="1" x14ac:dyDescent="0.35">
      <c r="A421" s="26"/>
      <c r="B421" s="26"/>
      <c r="C421" s="26"/>
      <c r="D421" s="26"/>
      <c r="E421" s="26"/>
      <c r="F421" s="26"/>
      <c r="G421" s="26"/>
      <c r="H421" s="26"/>
    </row>
    <row r="422" spans="1:8" s="46" customFormat="1" x14ac:dyDescent="0.35">
      <c r="A422" s="26"/>
      <c r="B422" s="26"/>
      <c r="C422" s="26"/>
      <c r="D422" s="26"/>
      <c r="E422" s="26"/>
      <c r="F422" s="26"/>
      <c r="G422" s="26"/>
      <c r="H422" s="26"/>
    </row>
    <row r="423" spans="1:8" s="46" customFormat="1" x14ac:dyDescent="0.35">
      <c r="A423" s="26"/>
      <c r="B423" s="26"/>
      <c r="C423" s="26"/>
      <c r="D423" s="26"/>
      <c r="E423" s="26"/>
      <c r="F423" s="26"/>
      <c r="G423" s="26"/>
      <c r="H423" s="26"/>
    </row>
    <row r="424" spans="1:8" s="46" customFormat="1" x14ac:dyDescent="0.35">
      <c r="A424" s="26"/>
      <c r="B424" s="26"/>
      <c r="C424" s="26"/>
      <c r="D424" s="26"/>
      <c r="E424" s="26"/>
      <c r="F424" s="26"/>
      <c r="G424" s="26"/>
      <c r="H424" s="26"/>
    </row>
    <row r="425" spans="1:8" s="46" customFormat="1" x14ac:dyDescent="0.35">
      <c r="A425" s="26"/>
      <c r="B425" s="26"/>
      <c r="C425" s="26"/>
      <c r="D425" s="26"/>
      <c r="E425" s="26"/>
      <c r="F425" s="26"/>
      <c r="G425" s="26"/>
      <c r="H425" s="26"/>
    </row>
    <row r="426" spans="1:8" s="46" customFormat="1" x14ac:dyDescent="0.35">
      <c r="A426" s="26"/>
      <c r="B426" s="26"/>
      <c r="C426" s="26"/>
      <c r="D426" s="26"/>
      <c r="E426" s="26"/>
      <c r="F426" s="26"/>
      <c r="G426" s="26"/>
      <c r="H426" s="26"/>
    </row>
    <row r="427" spans="1:8" s="46" customFormat="1" x14ac:dyDescent="0.35">
      <c r="A427" s="26"/>
      <c r="B427" s="26"/>
      <c r="C427" s="26"/>
      <c r="D427" s="26"/>
      <c r="E427" s="26"/>
      <c r="F427" s="26"/>
      <c r="G427" s="26"/>
      <c r="H427" s="26"/>
    </row>
    <row r="428" spans="1:8" s="46" customFormat="1" x14ac:dyDescent="0.35">
      <c r="A428" s="26"/>
      <c r="B428" s="26"/>
      <c r="C428" s="26"/>
      <c r="D428" s="26"/>
      <c r="E428" s="26"/>
      <c r="F428" s="26"/>
      <c r="G428" s="26"/>
      <c r="H428" s="26"/>
    </row>
    <row r="429" spans="1:8" s="46" customFormat="1" x14ac:dyDescent="0.35">
      <c r="A429" s="26"/>
      <c r="B429" s="26"/>
      <c r="C429" s="26"/>
      <c r="D429" s="26"/>
      <c r="E429" s="26"/>
      <c r="F429" s="26"/>
      <c r="G429" s="26"/>
      <c r="H429" s="26"/>
    </row>
    <row r="430" spans="1:8" s="46" customFormat="1" x14ac:dyDescent="0.35">
      <c r="A430" s="26"/>
      <c r="B430" s="26"/>
      <c r="C430" s="26"/>
      <c r="D430" s="26"/>
      <c r="E430" s="26"/>
      <c r="F430" s="26"/>
      <c r="G430" s="26"/>
      <c r="H430" s="26"/>
    </row>
    <row r="431" spans="1:8" s="46" customFormat="1" x14ac:dyDescent="0.35">
      <c r="A431" s="26"/>
      <c r="B431" s="26"/>
      <c r="C431" s="26"/>
      <c r="D431" s="26"/>
      <c r="E431" s="26"/>
      <c r="F431" s="26"/>
      <c r="G431" s="26"/>
      <c r="H431" s="26"/>
    </row>
    <row r="432" spans="1:8" s="46" customFormat="1" x14ac:dyDescent="0.35">
      <c r="A432" s="26"/>
      <c r="B432" s="26"/>
      <c r="C432" s="26"/>
      <c r="D432" s="26"/>
      <c r="E432" s="26"/>
      <c r="F432" s="26"/>
      <c r="G432" s="26"/>
      <c r="H432" s="26"/>
    </row>
    <row r="433" spans="1:8" s="46" customFormat="1" x14ac:dyDescent="0.35">
      <c r="A433" s="26"/>
      <c r="B433" s="26"/>
      <c r="C433" s="26"/>
      <c r="D433" s="26"/>
      <c r="E433" s="26"/>
      <c r="F433" s="26"/>
      <c r="G433" s="26"/>
      <c r="H433" s="26"/>
    </row>
    <row r="434" spans="1:8" s="46" customFormat="1" x14ac:dyDescent="0.35">
      <c r="A434" s="26"/>
      <c r="B434" s="26"/>
      <c r="C434" s="26"/>
      <c r="D434" s="26"/>
      <c r="E434" s="26"/>
      <c r="F434" s="26"/>
      <c r="G434" s="26"/>
      <c r="H434" s="26"/>
    </row>
    <row r="435" spans="1:8" s="46" customFormat="1" x14ac:dyDescent="0.35">
      <c r="A435" s="26"/>
      <c r="B435" s="26"/>
      <c r="C435" s="26"/>
      <c r="D435" s="26"/>
      <c r="E435" s="26"/>
      <c r="F435" s="26"/>
      <c r="G435" s="26"/>
      <c r="H435" s="26"/>
    </row>
    <row r="436" spans="1:8" s="46" customFormat="1" x14ac:dyDescent="0.35">
      <c r="A436" s="26"/>
      <c r="B436" s="26"/>
      <c r="C436" s="26"/>
      <c r="D436" s="26"/>
      <c r="E436" s="26"/>
      <c r="F436" s="26"/>
      <c r="G436" s="26"/>
      <c r="H436" s="26"/>
    </row>
    <row r="437" spans="1:8" s="46" customFormat="1" x14ac:dyDescent="0.35">
      <c r="A437" s="26"/>
      <c r="B437" s="26"/>
      <c r="C437" s="26"/>
      <c r="D437" s="26"/>
      <c r="E437" s="26"/>
      <c r="F437" s="26"/>
      <c r="G437" s="26"/>
      <c r="H437" s="26"/>
    </row>
    <row r="438" spans="1:8" s="46" customFormat="1" x14ac:dyDescent="0.35">
      <c r="A438" s="26"/>
      <c r="B438" s="26"/>
      <c r="C438" s="26"/>
      <c r="D438" s="26"/>
      <c r="E438" s="26"/>
      <c r="F438" s="26"/>
      <c r="G438" s="26"/>
      <c r="H438" s="26"/>
    </row>
    <row r="439" spans="1:8" s="46" customFormat="1" x14ac:dyDescent="0.35">
      <c r="A439" s="26"/>
      <c r="B439" s="26"/>
      <c r="C439" s="26"/>
      <c r="D439" s="26"/>
      <c r="E439" s="26"/>
      <c r="F439" s="26"/>
      <c r="G439" s="26"/>
      <c r="H439" s="26"/>
    </row>
    <row r="440" spans="1:8" s="46" customFormat="1" x14ac:dyDescent="0.35">
      <c r="A440" s="26"/>
      <c r="B440" s="26"/>
      <c r="C440" s="26"/>
      <c r="D440" s="26"/>
      <c r="E440" s="26"/>
      <c r="F440" s="26"/>
      <c r="G440" s="26"/>
      <c r="H440" s="26"/>
    </row>
    <row r="441" spans="1:8" s="46" customFormat="1" x14ac:dyDescent="0.35">
      <c r="A441" s="26"/>
      <c r="B441" s="26"/>
      <c r="C441" s="26"/>
      <c r="D441" s="26"/>
      <c r="E441" s="26"/>
      <c r="F441" s="26"/>
      <c r="G441" s="26"/>
      <c r="H441" s="26"/>
    </row>
    <row r="442" spans="1:8" s="46" customFormat="1" x14ac:dyDescent="0.35">
      <c r="A442" s="26"/>
      <c r="B442" s="26"/>
      <c r="C442" s="26"/>
      <c r="D442" s="26"/>
      <c r="E442" s="26"/>
      <c r="F442" s="26"/>
      <c r="G442" s="26"/>
      <c r="H442" s="26"/>
    </row>
    <row r="443" spans="1:8" s="46" customFormat="1" x14ac:dyDescent="0.35">
      <c r="A443" s="26"/>
      <c r="B443" s="26"/>
      <c r="C443" s="26"/>
      <c r="D443" s="26"/>
      <c r="E443" s="26"/>
      <c r="F443" s="26"/>
      <c r="G443" s="26"/>
      <c r="H443" s="26"/>
    </row>
    <row r="444" spans="1:8" s="46" customFormat="1" x14ac:dyDescent="0.35">
      <c r="A444" s="26"/>
      <c r="B444" s="26"/>
      <c r="C444" s="26"/>
      <c r="D444" s="26"/>
      <c r="E444" s="26"/>
      <c r="F444" s="26"/>
      <c r="G444" s="26"/>
      <c r="H444" s="26"/>
    </row>
    <row r="445" spans="1:8" s="46" customFormat="1" x14ac:dyDescent="0.35">
      <c r="A445" s="26"/>
      <c r="B445" s="26"/>
      <c r="C445" s="26"/>
      <c r="D445" s="26"/>
      <c r="E445" s="26"/>
      <c r="F445" s="26"/>
      <c r="G445" s="26"/>
      <c r="H445" s="26"/>
    </row>
    <row r="446" spans="1:8" s="46" customFormat="1" x14ac:dyDescent="0.35">
      <c r="A446" s="26"/>
      <c r="B446" s="26"/>
      <c r="C446" s="26"/>
      <c r="D446" s="26"/>
      <c r="E446" s="26"/>
      <c r="F446" s="26"/>
      <c r="G446" s="26"/>
      <c r="H446" s="26"/>
    </row>
    <row r="447" spans="1:8" s="46" customFormat="1" x14ac:dyDescent="0.35">
      <c r="A447" s="26"/>
      <c r="B447" s="26"/>
      <c r="C447" s="26"/>
      <c r="D447" s="26"/>
      <c r="E447" s="26"/>
      <c r="F447" s="26"/>
      <c r="G447" s="26"/>
      <c r="H447" s="26"/>
    </row>
    <row r="448" spans="1:8" s="46" customFormat="1" x14ac:dyDescent="0.35">
      <c r="A448" s="26"/>
      <c r="B448" s="26"/>
      <c r="C448" s="26"/>
      <c r="D448" s="26"/>
      <c r="E448" s="26"/>
      <c r="F448" s="26"/>
      <c r="G448" s="26"/>
      <c r="H448" s="26"/>
    </row>
    <row r="449" spans="1:8" s="46" customFormat="1" x14ac:dyDescent="0.35">
      <c r="A449" s="26"/>
      <c r="B449" s="26"/>
      <c r="C449" s="26"/>
      <c r="D449" s="26"/>
      <c r="E449" s="26"/>
      <c r="F449" s="26"/>
      <c r="G449" s="26"/>
      <c r="H449" s="26"/>
    </row>
    <row r="450" spans="1:8" s="46" customFormat="1" x14ac:dyDescent="0.35">
      <c r="A450" s="26"/>
      <c r="B450" s="26"/>
      <c r="C450" s="26"/>
      <c r="D450" s="26"/>
      <c r="E450" s="26"/>
      <c r="F450" s="26"/>
      <c r="G450" s="26"/>
      <c r="H450" s="26"/>
    </row>
    <row r="451" spans="1:8" s="46" customFormat="1" x14ac:dyDescent="0.35">
      <c r="A451" s="26"/>
      <c r="B451" s="26"/>
      <c r="C451" s="26"/>
      <c r="D451" s="26"/>
      <c r="E451" s="26"/>
      <c r="F451" s="26"/>
      <c r="G451" s="26"/>
      <c r="H451" s="26"/>
    </row>
    <row r="452" spans="1:8" s="46" customFormat="1" x14ac:dyDescent="0.35">
      <c r="A452" s="26"/>
      <c r="B452" s="26"/>
      <c r="C452" s="26"/>
      <c r="D452" s="26"/>
      <c r="E452" s="26"/>
      <c r="F452" s="26"/>
      <c r="G452" s="26"/>
      <c r="H452" s="26"/>
    </row>
    <row r="453" spans="1:8" s="46" customFormat="1" x14ac:dyDescent="0.35">
      <c r="A453" s="26"/>
      <c r="B453" s="26"/>
      <c r="C453" s="26"/>
      <c r="D453" s="26"/>
      <c r="E453" s="26"/>
      <c r="F453" s="26"/>
      <c r="G453" s="26"/>
      <c r="H453" s="26"/>
    </row>
    <row r="454" spans="1:8" s="46" customFormat="1" x14ac:dyDescent="0.35">
      <c r="A454" s="26"/>
      <c r="B454" s="26"/>
      <c r="C454" s="26"/>
      <c r="D454" s="26"/>
      <c r="E454" s="26"/>
      <c r="F454" s="26"/>
      <c r="G454" s="26"/>
      <c r="H454" s="26"/>
    </row>
    <row r="455" spans="1:8" s="46" customFormat="1" x14ac:dyDescent="0.35">
      <c r="A455" s="26"/>
      <c r="B455" s="26"/>
      <c r="C455" s="26"/>
      <c r="D455" s="26"/>
      <c r="E455" s="26"/>
      <c r="F455" s="26"/>
      <c r="G455" s="26"/>
      <c r="H455" s="26"/>
    </row>
    <row r="456" spans="1:8" s="46" customFormat="1" x14ac:dyDescent="0.35">
      <c r="A456" s="26"/>
      <c r="B456" s="26"/>
      <c r="C456" s="26"/>
      <c r="D456" s="26"/>
      <c r="E456" s="26"/>
      <c r="F456" s="26"/>
      <c r="G456" s="26"/>
      <c r="H456" s="26"/>
    </row>
    <row r="457" spans="1:8" s="46" customFormat="1" x14ac:dyDescent="0.35">
      <c r="A457" s="26"/>
      <c r="B457" s="26"/>
      <c r="C457" s="26"/>
      <c r="D457" s="26"/>
      <c r="E457" s="26"/>
      <c r="F457" s="26"/>
      <c r="G457" s="26"/>
      <c r="H457" s="26"/>
    </row>
    <row r="458" spans="1:8" s="46" customFormat="1" x14ac:dyDescent="0.35">
      <c r="A458" s="26"/>
      <c r="B458" s="26"/>
      <c r="C458" s="26"/>
      <c r="D458" s="26"/>
      <c r="E458" s="26"/>
      <c r="F458" s="26"/>
      <c r="G458" s="26"/>
      <c r="H458" s="26"/>
    </row>
    <row r="459" spans="1:8" s="46" customFormat="1" x14ac:dyDescent="0.35">
      <c r="A459" s="26"/>
      <c r="B459" s="26"/>
      <c r="C459" s="26"/>
      <c r="D459" s="26"/>
      <c r="E459" s="26"/>
      <c r="F459" s="26"/>
      <c r="G459" s="26"/>
      <c r="H459" s="26"/>
    </row>
    <row r="460" spans="1:8" s="46" customFormat="1" x14ac:dyDescent="0.35">
      <c r="A460" s="26"/>
      <c r="B460" s="26"/>
      <c r="C460" s="26"/>
      <c r="D460" s="26"/>
      <c r="E460" s="26"/>
      <c r="F460" s="26"/>
      <c r="G460" s="26"/>
      <c r="H460" s="26"/>
    </row>
    <row r="461" spans="1:8" s="46" customFormat="1" x14ac:dyDescent="0.35">
      <c r="A461" s="26"/>
      <c r="B461" s="26"/>
      <c r="C461" s="26"/>
      <c r="D461" s="26"/>
      <c r="E461" s="26"/>
      <c r="F461" s="26"/>
      <c r="G461" s="26"/>
      <c r="H461" s="26"/>
    </row>
    <row r="462" spans="1:8" s="46" customFormat="1" x14ac:dyDescent="0.35">
      <c r="A462" s="26"/>
      <c r="B462" s="26"/>
      <c r="C462" s="26"/>
      <c r="D462" s="26"/>
      <c r="E462" s="26"/>
      <c r="F462" s="26"/>
      <c r="G462" s="26"/>
      <c r="H462" s="26"/>
    </row>
    <row r="463" spans="1:8" s="46" customFormat="1" x14ac:dyDescent="0.35">
      <c r="A463" s="26"/>
      <c r="B463" s="26"/>
      <c r="C463" s="26"/>
      <c r="D463" s="26"/>
      <c r="E463" s="26"/>
      <c r="F463" s="26"/>
      <c r="G463" s="26"/>
      <c r="H463" s="26"/>
    </row>
    <row r="464" spans="1:8" s="46" customFormat="1" x14ac:dyDescent="0.35">
      <c r="A464" s="26"/>
      <c r="B464" s="26"/>
      <c r="C464" s="26"/>
      <c r="D464" s="26"/>
      <c r="E464" s="26"/>
      <c r="F464" s="26"/>
      <c r="G464" s="26"/>
      <c r="H464" s="26"/>
    </row>
    <row r="465" spans="1:8" s="46" customFormat="1" x14ac:dyDescent="0.35">
      <c r="A465" s="26"/>
      <c r="B465" s="26"/>
      <c r="C465" s="26"/>
      <c r="D465" s="26"/>
      <c r="E465" s="26"/>
      <c r="F465" s="26"/>
      <c r="G465" s="26"/>
      <c r="H465" s="26"/>
    </row>
    <row r="466" spans="1:8" s="46" customFormat="1" x14ac:dyDescent="0.35">
      <c r="A466" s="26"/>
      <c r="B466" s="26"/>
      <c r="C466" s="26"/>
      <c r="D466" s="26"/>
      <c r="E466" s="26"/>
      <c r="F466" s="26"/>
      <c r="G466" s="26"/>
      <c r="H466" s="26"/>
    </row>
    <row r="467" spans="1:8" s="46" customFormat="1" x14ac:dyDescent="0.35">
      <c r="A467" s="26"/>
      <c r="B467" s="26"/>
      <c r="C467" s="26"/>
      <c r="D467" s="26"/>
      <c r="E467" s="26"/>
      <c r="F467" s="26"/>
      <c r="G467" s="26"/>
      <c r="H467" s="26"/>
    </row>
    <row r="468" spans="1:8" s="46" customFormat="1" x14ac:dyDescent="0.35">
      <c r="A468" s="26"/>
      <c r="B468" s="26"/>
      <c r="C468" s="26"/>
      <c r="D468" s="26"/>
      <c r="E468" s="26"/>
      <c r="F468" s="26"/>
      <c r="G468" s="26"/>
      <c r="H468" s="26"/>
    </row>
    <row r="469" spans="1:8" s="46" customFormat="1" x14ac:dyDescent="0.35">
      <c r="A469" s="26"/>
      <c r="B469" s="26"/>
      <c r="C469" s="26"/>
      <c r="D469" s="26"/>
      <c r="E469" s="26"/>
      <c r="F469" s="26"/>
      <c r="G469" s="26"/>
      <c r="H469" s="26"/>
    </row>
    <row r="470" spans="1:8" s="46" customFormat="1" x14ac:dyDescent="0.35">
      <c r="A470" s="26"/>
      <c r="B470" s="26"/>
      <c r="C470" s="26"/>
      <c r="D470" s="26"/>
      <c r="E470" s="26"/>
      <c r="F470" s="26"/>
      <c r="G470" s="26"/>
      <c r="H470" s="26"/>
    </row>
    <row r="471" spans="1:8" s="46" customFormat="1" x14ac:dyDescent="0.35">
      <c r="A471" s="26"/>
      <c r="B471" s="26"/>
      <c r="C471" s="26"/>
      <c r="D471" s="26"/>
      <c r="E471" s="26"/>
      <c r="F471" s="26"/>
      <c r="G471" s="26"/>
      <c r="H471" s="26"/>
    </row>
    <row r="472" spans="1:8" s="46" customFormat="1" x14ac:dyDescent="0.35">
      <c r="A472" s="26"/>
      <c r="B472" s="26"/>
      <c r="C472" s="26"/>
      <c r="D472" s="26"/>
      <c r="E472" s="26"/>
      <c r="F472" s="26"/>
      <c r="G472" s="26"/>
      <c r="H472" s="26"/>
    </row>
    <row r="473" spans="1:8" s="46" customFormat="1" x14ac:dyDescent="0.35">
      <c r="A473" s="26"/>
      <c r="B473" s="26"/>
      <c r="C473" s="26"/>
      <c r="D473" s="26"/>
      <c r="E473" s="26"/>
      <c r="F473" s="26"/>
      <c r="G473" s="26"/>
      <c r="H473" s="26"/>
    </row>
    <row r="474" spans="1:8" s="46" customFormat="1" x14ac:dyDescent="0.35">
      <c r="A474" s="26"/>
      <c r="B474" s="26"/>
      <c r="C474" s="26"/>
      <c r="D474" s="26"/>
      <c r="E474" s="26"/>
      <c r="F474" s="26"/>
      <c r="G474" s="26"/>
      <c r="H474" s="26"/>
    </row>
    <row r="475" spans="1:8" s="46" customFormat="1" x14ac:dyDescent="0.35">
      <c r="A475" s="26"/>
      <c r="B475" s="26"/>
      <c r="C475" s="26"/>
      <c r="D475" s="26"/>
      <c r="E475" s="26"/>
      <c r="F475" s="26"/>
      <c r="G475" s="26"/>
      <c r="H475" s="26"/>
    </row>
    <row r="476" spans="1:8" s="46" customFormat="1" x14ac:dyDescent="0.35">
      <c r="A476" s="26"/>
      <c r="B476" s="26"/>
      <c r="C476" s="26"/>
      <c r="D476" s="26"/>
      <c r="E476" s="26"/>
      <c r="F476" s="26"/>
      <c r="G476" s="26"/>
      <c r="H476" s="26"/>
    </row>
    <row r="477" spans="1:8" s="46" customFormat="1" x14ac:dyDescent="0.35">
      <c r="A477" s="26"/>
      <c r="B477" s="26"/>
      <c r="C477" s="26"/>
      <c r="D477" s="26"/>
      <c r="E477" s="26"/>
      <c r="F477" s="26"/>
      <c r="G477" s="26"/>
      <c r="H477" s="26"/>
    </row>
    <row r="478" spans="1:8" s="46" customFormat="1" x14ac:dyDescent="0.35">
      <c r="A478" s="26"/>
      <c r="B478" s="26"/>
      <c r="C478" s="26"/>
      <c r="D478" s="26"/>
      <c r="E478" s="26"/>
      <c r="F478" s="26"/>
      <c r="G478" s="26"/>
      <c r="H478" s="26"/>
    </row>
    <row r="479" spans="1:8" s="46" customFormat="1" x14ac:dyDescent="0.35">
      <c r="A479" s="26"/>
      <c r="B479" s="26"/>
      <c r="C479" s="26"/>
      <c r="D479" s="26"/>
      <c r="E479" s="26"/>
      <c r="F479" s="26"/>
      <c r="G479" s="26"/>
      <c r="H479" s="26"/>
    </row>
    <row r="480" spans="1:8" s="46" customFormat="1" x14ac:dyDescent="0.35">
      <c r="A480" s="26"/>
      <c r="B480" s="26"/>
      <c r="C480" s="26"/>
      <c r="D480" s="26"/>
      <c r="E480" s="26"/>
      <c r="F480" s="26"/>
      <c r="G480" s="26"/>
      <c r="H480" s="26"/>
    </row>
    <row r="481" spans="1:8" s="46" customFormat="1" x14ac:dyDescent="0.35">
      <c r="A481" s="26"/>
      <c r="B481" s="26"/>
      <c r="C481" s="26"/>
      <c r="D481" s="26"/>
      <c r="E481" s="26"/>
      <c r="F481" s="26"/>
      <c r="G481" s="26"/>
      <c r="H481" s="26"/>
    </row>
    <row r="482" spans="1:8" s="46" customFormat="1" x14ac:dyDescent="0.35">
      <c r="A482" s="26"/>
      <c r="B482" s="26"/>
      <c r="C482" s="26"/>
      <c r="D482" s="26"/>
      <c r="E482" s="26"/>
      <c r="F482" s="26"/>
      <c r="G482" s="26"/>
      <c r="H482" s="26"/>
    </row>
    <row r="483" spans="1:8" s="46" customFormat="1" x14ac:dyDescent="0.35">
      <c r="A483" s="26"/>
      <c r="B483" s="26"/>
      <c r="C483" s="26"/>
      <c r="D483" s="26"/>
      <c r="E483" s="26"/>
      <c r="F483" s="26"/>
      <c r="G483" s="26"/>
      <c r="H483" s="26"/>
    </row>
    <row r="484" spans="1:8" s="46" customFormat="1" x14ac:dyDescent="0.35">
      <c r="A484" s="26"/>
      <c r="B484" s="26"/>
      <c r="C484" s="26"/>
      <c r="D484" s="26"/>
      <c r="E484" s="26"/>
      <c r="F484" s="26"/>
      <c r="G484" s="26"/>
      <c r="H484" s="26"/>
    </row>
    <row r="485" spans="1:8" s="46" customFormat="1" x14ac:dyDescent="0.35">
      <c r="A485" s="26"/>
      <c r="B485" s="26"/>
      <c r="C485" s="26"/>
      <c r="D485" s="26"/>
      <c r="E485" s="26"/>
      <c r="F485" s="26"/>
      <c r="G485" s="26"/>
      <c r="H485" s="26"/>
    </row>
    <row r="486" spans="1:8" s="46" customFormat="1" x14ac:dyDescent="0.35">
      <c r="A486" s="26"/>
      <c r="B486" s="26"/>
      <c r="C486" s="26"/>
      <c r="D486" s="26"/>
      <c r="E486" s="26"/>
      <c r="F486" s="26"/>
      <c r="G486" s="26"/>
      <c r="H486" s="26"/>
    </row>
    <row r="487" spans="1:8" s="46" customFormat="1" x14ac:dyDescent="0.35">
      <c r="A487" s="26"/>
      <c r="B487" s="26"/>
      <c r="C487" s="26"/>
      <c r="D487" s="26"/>
      <c r="E487" s="26"/>
      <c r="F487" s="26"/>
      <c r="G487" s="26"/>
      <c r="H487" s="26"/>
    </row>
    <row r="488" spans="1:8" s="46" customFormat="1" x14ac:dyDescent="0.35">
      <c r="A488" s="26"/>
      <c r="B488" s="26"/>
      <c r="C488" s="26"/>
      <c r="D488" s="26"/>
      <c r="E488" s="26"/>
      <c r="F488" s="26"/>
      <c r="G488" s="26"/>
      <c r="H488" s="26"/>
    </row>
    <row r="489" spans="1:8" s="46" customFormat="1" x14ac:dyDescent="0.35">
      <c r="A489" s="26"/>
      <c r="B489" s="26"/>
      <c r="C489" s="26"/>
      <c r="D489" s="26"/>
      <c r="E489" s="26"/>
      <c r="F489" s="26"/>
      <c r="G489" s="26"/>
      <c r="H489" s="26"/>
    </row>
    <row r="490" spans="1:8" s="46" customFormat="1" x14ac:dyDescent="0.35">
      <c r="A490" s="26"/>
      <c r="B490" s="26"/>
      <c r="C490" s="26"/>
      <c r="D490" s="26"/>
      <c r="E490" s="26"/>
      <c r="F490" s="26"/>
      <c r="G490" s="26"/>
      <c r="H490" s="26"/>
    </row>
    <row r="491" spans="1:8" s="46" customFormat="1" x14ac:dyDescent="0.35">
      <c r="A491" s="26"/>
      <c r="B491" s="26"/>
      <c r="C491" s="26"/>
      <c r="D491" s="26"/>
      <c r="E491" s="26"/>
      <c r="F491" s="26"/>
      <c r="G491" s="26"/>
      <c r="H491" s="26"/>
    </row>
    <row r="492" spans="1:8" s="46" customFormat="1" x14ac:dyDescent="0.35">
      <c r="A492" s="26"/>
      <c r="B492" s="26"/>
      <c r="C492" s="26"/>
      <c r="D492" s="26"/>
      <c r="E492" s="26"/>
      <c r="F492" s="26"/>
      <c r="G492" s="26"/>
      <c r="H492" s="26"/>
    </row>
    <row r="493" spans="1:8" s="46" customFormat="1" x14ac:dyDescent="0.35">
      <c r="A493" s="26"/>
      <c r="B493" s="26"/>
      <c r="C493" s="26"/>
      <c r="D493" s="26"/>
      <c r="E493" s="26"/>
      <c r="F493" s="26"/>
      <c r="G493" s="26"/>
      <c r="H493" s="26"/>
    </row>
    <row r="494" spans="1:8" s="46" customFormat="1" x14ac:dyDescent="0.35">
      <c r="A494" s="26"/>
      <c r="B494" s="26"/>
      <c r="C494" s="26"/>
      <c r="D494" s="26"/>
      <c r="E494" s="26"/>
      <c r="F494" s="26"/>
      <c r="G494" s="26"/>
      <c r="H494" s="26"/>
    </row>
    <row r="495" spans="1:8" s="46" customFormat="1" x14ac:dyDescent="0.35">
      <c r="A495" s="26"/>
      <c r="B495" s="26"/>
      <c r="C495" s="26"/>
      <c r="D495" s="26"/>
      <c r="E495" s="26"/>
      <c r="F495" s="26"/>
      <c r="G495" s="26"/>
      <c r="H495" s="26"/>
    </row>
    <row r="496" spans="1:8" s="46" customFormat="1" x14ac:dyDescent="0.35">
      <c r="A496" s="26"/>
      <c r="B496" s="26"/>
      <c r="C496" s="26"/>
      <c r="D496" s="26"/>
      <c r="E496" s="26"/>
      <c r="F496" s="26"/>
      <c r="G496" s="26"/>
      <c r="H496" s="26"/>
    </row>
    <row r="497" spans="1:8" s="46" customFormat="1" x14ac:dyDescent="0.35">
      <c r="A497" s="26"/>
      <c r="B497" s="26"/>
      <c r="C497" s="26"/>
      <c r="D497" s="26"/>
      <c r="E497" s="26"/>
      <c r="F497" s="26"/>
      <c r="G497" s="26"/>
      <c r="H497" s="26"/>
    </row>
    <row r="498" spans="1:8" s="46" customFormat="1" x14ac:dyDescent="0.35">
      <c r="A498" s="26"/>
      <c r="B498" s="26"/>
      <c r="C498" s="26"/>
      <c r="D498" s="26"/>
      <c r="E498" s="26"/>
      <c r="F498" s="26"/>
      <c r="G498" s="26"/>
      <c r="H498" s="26"/>
    </row>
    <row r="499" spans="1:8" s="46" customFormat="1" x14ac:dyDescent="0.35">
      <c r="A499" s="26"/>
      <c r="B499" s="26"/>
      <c r="C499" s="26"/>
      <c r="D499" s="26"/>
      <c r="E499" s="26"/>
      <c r="F499" s="26"/>
      <c r="G499" s="26"/>
      <c r="H499" s="26"/>
    </row>
    <row r="500" spans="1:8" s="46" customFormat="1" x14ac:dyDescent="0.35">
      <c r="A500" s="26"/>
      <c r="B500" s="26"/>
      <c r="C500" s="26"/>
      <c r="D500" s="26"/>
      <c r="E500" s="26"/>
      <c r="F500" s="26"/>
      <c r="G500" s="26"/>
      <c r="H500" s="26"/>
    </row>
    <row r="501" spans="1:8" s="46" customFormat="1" x14ac:dyDescent="0.35">
      <c r="A501" s="26"/>
      <c r="B501" s="26"/>
      <c r="C501" s="26"/>
      <c r="D501" s="26"/>
      <c r="E501" s="26"/>
      <c r="F501" s="26"/>
      <c r="G501" s="26"/>
      <c r="H501" s="26"/>
    </row>
    <row r="502" spans="1:8" s="46" customFormat="1" x14ac:dyDescent="0.35">
      <c r="A502" s="26"/>
      <c r="B502" s="26"/>
      <c r="C502" s="26"/>
      <c r="D502" s="26"/>
      <c r="E502" s="26"/>
      <c r="F502" s="26"/>
      <c r="G502" s="26"/>
      <c r="H502" s="26"/>
    </row>
    <row r="503" spans="1:8" s="46" customFormat="1" x14ac:dyDescent="0.35">
      <c r="A503" s="26"/>
      <c r="B503" s="26"/>
      <c r="C503" s="26"/>
      <c r="D503" s="26"/>
      <c r="E503" s="26"/>
      <c r="F503" s="26"/>
      <c r="G503" s="26"/>
      <c r="H503" s="26"/>
    </row>
    <row r="504" spans="1:8" s="46" customFormat="1" x14ac:dyDescent="0.35">
      <c r="A504" s="26"/>
      <c r="B504" s="26"/>
      <c r="C504" s="26"/>
      <c r="D504" s="26"/>
      <c r="E504" s="26"/>
      <c r="F504" s="26"/>
      <c r="G504" s="26"/>
      <c r="H504" s="26"/>
    </row>
    <row r="505" spans="1:8" s="46" customFormat="1" x14ac:dyDescent="0.35">
      <c r="A505" s="26"/>
      <c r="B505" s="26"/>
      <c r="C505" s="26"/>
      <c r="D505" s="26"/>
      <c r="E505" s="26"/>
      <c r="F505" s="26"/>
      <c r="G505" s="26"/>
      <c r="H505" s="26"/>
    </row>
    <row r="506" spans="1:8" s="46" customFormat="1" x14ac:dyDescent="0.35">
      <c r="A506" s="26"/>
      <c r="B506" s="26"/>
      <c r="C506" s="26"/>
      <c r="D506" s="26"/>
      <c r="E506" s="26"/>
      <c r="F506" s="26"/>
      <c r="G506" s="26"/>
      <c r="H506" s="26"/>
    </row>
    <row r="507" spans="1:8" s="46" customFormat="1" x14ac:dyDescent="0.35">
      <c r="A507" s="26"/>
      <c r="B507" s="26"/>
      <c r="C507" s="26"/>
      <c r="D507" s="26"/>
      <c r="E507" s="26"/>
      <c r="F507" s="26"/>
      <c r="G507" s="26"/>
      <c r="H507" s="26"/>
    </row>
    <row r="508" spans="1:8" s="46" customFormat="1" x14ac:dyDescent="0.35">
      <c r="A508" s="26"/>
      <c r="B508" s="26"/>
      <c r="C508" s="26"/>
      <c r="D508" s="26"/>
      <c r="E508" s="26"/>
      <c r="F508" s="26"/>
      <c r="G508" s="26"/>
      <c r="H508" s="26"/>
    </row>
    <row r="509" spans="1:8" s="46" customFormat="1" x14ac:dyDescent="0.35">
      <c r="A509" s="26"/>
      <c r="B509" s="26"/>
      <c r="C509" s="26"/>
      <c r="D509" s="26"/>
      <c r="E509" s="26"/>
      <c r="F509" s="26"/>
      <c r="G509" s="26"/>
      <c r="H509" s="26"/>
    </row>
    <row r="510" spans="1:8" s="46" customFormat="1" x14ac:dyDescent="0.35">
      <c r="A510" s="26"/>
      <c r="B510" s="26"/>
      <c r="C510" s="26"/>
      <c r="D510" s="26"/>
      <c r="E510" s="26"/>
      <c r="F510" s="26"/>
      <c r="G510" s="26"/>
      <c r="H510" s="26"/>
    </row>
    <row r="511" spans="1:8" s="46" customFormat="1" x14ac:dyDescent="0.35">
      <c r="A511" s="26"/>
      <c r="B511" s="26"/>
      <c r="C511" s="26"/>
      <c r="D511" s="26"/>
      <c r="E511" s="26"/>
      <c r="F511" s="26"/>
      <c r="G511" s="26"/>
      <c r="H511" s="26"/>
    </row>
    <row r="512" spans="1:8" s="46" customFormat="1" x14ac:dyDescent="0.35">
      <c r="A512" s="26"/>
      <c r="B512" s="26"/>
      <c r="C512" s="26"/>
      <c r="D512" s="26"/>
      <c r="E512" s="26"/>
      <c r="F512" s="26"/>
      <c r="G512" s="26"/>
      <c r="H512" s="26"/>
    </row>
    <row r="513" spans="1:8" s="46" customFormat="1" x14ac:dyDescent="0.35">
      <c r="A513" s="26"/>
      <c r="B513" s="26"/>
      <c r="C513" s="26"/>
      <c r="D513" s="26"/>
      <c r="E513" s="26"/>
      <c r="F513" s="26"/>
      <c r="G513" s="26"/>
      <c r="H513" s="26"/>
    </row>
    <row r="514" spans="1:8" s="46" customFormat="1" x14ac:dyDescent="0.35">
      <c r="A514" s="26"/>
      <c r="B514" s="26"/>
      <c r="C514" s="26"/>
      <c r="D514" s="26"/>
      <c r="E514" s="26"/>
      <c r="F514" s="26"/>
      <c r="G514" s="26"/>
      <c r="H514" s="26"/>
    </row>
    <row r="515" spans="1:8" s="46" customFormat="1" x14ac:dyDescent="0.35">
      <c r="A515" s="26"/>
      <c r="B515" s="26"/>
      <c r="C515" s="26"/>
      <c r="D515" s="26"/>
      <c r="E515" s="26"/>
      <c r="F515" s="26"/>
      <c r="G515" s="26"/>
      <c r="H515" s="26"/>
    </row>
    <row r="516" spans="1:8" s="46" customFormat="1" x14ac:dyDescent="0.35">
      <c r="A516" s="26"/>
      <c r="B516" s="26"/>
      <c r="C516" s="26"/>
      <c r="D516" s="26"/>
      <c r="E516" s="26"/>
      <c r="F516" s="26"/>
      <c r="G516" s="26"/>
      <c r="H516" s="26"/>
    </row>
    <row r="517" spans="1:8" s="46" customFormat="1" x14ac:dyDescent="0.35">
      <c r="A517" s="26"/>
      <c r="B517" s="26"/>
      <c r="C517" s="26"/>
      <c r="D517" s="26"/>
      <c r="E517" s="26"/>
      <c r="F517" s="26"/>
      <c r="G517" s="26"/>
      <c r="H517" s="26"/>
    </row>
    <row r="518" spans="1:8" s="46" customFormat="1" x14ac:dyDescent="0.35">
      <c r="A518" s="26"/>
      <c r="B518" s="26"/>
      <c r="C518" s="26"/>
      <c r="D518" s="26"/>
      <c r="E518" s="26"/>
      <c r="F518" s="26"/>
      <c r="G518" s="26"/>
      <c r="H518" s="26"/>
    </row>
    <row r="519" spans="1:8" s="46" customFormat="1" x14ac:dyDescent="0.35">
      <c r="A519" s="26"/>
      <c r="B519" s="26"/>
      <c r="C519" s="26"/>
      <c r="D519" s="26"/>
      <c r="E519" s="26"/>
      <c r="F519" s="26"/>
      <c r="G519" s="26"/>
      <c r="H519" s="26"/>
    </row>
    <row r="520" spans="1:8" s="46" customFormat="1" x14ac:dyDescent="0.35">
      <c r="A520" s="26"/>
      <c r="B520" s="26"/>
      <c r="C520" s="26"/>
      <c r="D520" s="26"/>
      <c r="E520" s="26"/>
      <c r="F520" s="26"/>
      <c r="G520" s="26"/>
      <c r="H520" s="26"/>
    </row>
    <row r="521" spans="1:8" s="46" customFormat="1" x14ac:dyDescent="0.35">
      <c r="A521" s="26"/>
      <c r="B521" s="26"/>
      <c r="C521" s="26"/>
      <c r="D521" s="26"/>
      <c r="E521" s="26"/>
      <c r="F521" s="26"/>
      <c r="G521" s="26"/>
      <c r="H521" s="26"/>
    </row>
    <row r="522" spans="1:8" s="46" customFormat="1" x14ac:dyDescent="0.35">
      <c r="A522" s="26"/>
      <c r="B522" s="26"/>
      <c r="C522" s="26"/>
      <c r="D522" s="26"/>
      <c r="E522" s="26"/>
      <c r="F522" s="26"/>
      <c r="G522" s="26"/>
      <c r="H522" s="26"/>
    </row>
    <row r="523" spans="1:8" s="46" customFormat="1" x14ac:dyDescent="0.35">
      <c r="A523" s="26"/>
      <c r="B523" s="26"/>
      <c r="C523" s="26"/>
      <c r="D523" s="26"/>
      <c r="E523" s="26"/>
      <c r="F523" s="26"/>
      <c r="G523" s="26"/>
      <c r="H523" s="26"/>
    </row>
    <row r="524" spans="1:8" s="46" customFormat="1" x14ac:dyDescent="0.35">
      <c r="A524" s="26"/>
      <c r="B524" s="26"/>
      <c r="C524" s="26"/>
      <c r="D524" s="26"/>
      <c r="E524" s="26"/>
      <c r="F524" s="26"/>
      <c r="G524" s="26"/>
      <c r="H524" s="26"/>
    </row>
    <row r="525" spans="1:8" s="46" customFormat="1" x14ac:dyDescent="0.35">
      <c r="A525" s="26"/>
      <c r="B525" s="26"/>
      <c r="C525" s="26"/>
      <c r="D525" s="26"/>
      <c r="E525" s="26"/>
      <c r="F525" s="26"/>
      <c r="G525" s="26"/>
      <c r="H525" s="26"/>
    </row>
    <row r="526" spans="1:8" s="46" customFormat="1" x14ac:dyDescent="0.35">
      <c r="A526" s="26"/>
      <c r="B526" s="26"/>
      <c r="C526" s="26"/>
      <c r="D526" s="26"/>
      <c r="E526" s="26"/>
      <c r="F526" s="26"/>
      <c r="G526" s="26"/>
      <c r="H526" s="26"/>
    </row>
    <row r="527" spans="1:8" s="46" customFormat="1" x14ac:dyDescent="0.35">
      <c r="A527" s="26"/>
      <c r="B527" s="26"/>
      <c r="C527" s="26"/>
      <c r="D527" s="26"/>
      <c r="E527" s="26"/>
      <c r="F527" s="26"/>
      <c r="G527" s="26"/>
      <c r="H527" s="26"/>
    </row>
    <row r="528" spans="1:8" s="46" customFormat="1" x14ac:dyDescent="0.35">
      <c r="A528" s="26"/>
      <c r="B528" s="26"/>
      <c r="C528" s="26"/>
      <c r="D528" s="26"/>
      <c r="E528" s="26"/>
      <c r="F528" s="26"/>
      <c r="G528" s="26"/>
      <c r="H528" s="26"/>
    </row>
    <row r="529" spans="1:8" s="46" customFormat="1" x14ac:dyDescent="0.35">
      <c r="A529" s="26"/>
      <c r="B529" s="26"/>
      <c r="C529" s="26"/>
      <c r="D529" s="26"/>
      <c r="E529" s="26"/>
      <c r="F529" s="26"/>
      <c r="G529" s="26"/>
      <c r="H529" s="26"/>
    </row>
    <row r="530" spans="1:8" s="46" customFormat="1" x14ac:dyDescent="0.35">
      <c r="A530" s="26"/>
      <c r="B530" s="26"/>
      <c r="C530" s="26"/>
      <c r="D530" s="26"/>
      <c r="E530" s="26"/>
      <c r="F530" s="26"/>
      <c r="G530" s="26"/>
      <c r="H530" s="26"/>
    </row>
    <row r="531" spans="1:8" s="46" customFormat="1" x14ac:dyDescent="0.35">
      <c r="A531" s="26"/>
      <c r="B531" s="26"/>
      <c r="C531" s="26"/>
      <c r="D531" s="26"/>
      <c r="E531" s="26"/>
      <c r="F531" s="26"/>
      <c r="G531" s="26"/>
      <c r="H531" s="26"/>
    </row>
    <row r="532" spans="1:8" s="46" customFormat="1" x14ac:dyDescent="0.35">
      <c r="A532" s="26"/>
      <c r="B532" s="26"/>
      <c r="C532" s="26"/>
      <c r="D532" s="26"/>
      <c r="E532" s="26"/>
      <c r="F532" s="26"/>
      <c r="G532" s="26"/>
      <c r="H532" s="26"/>
    </row>
    <row r="533" spans="1:8" s="46" customFormat="1" x14ac:dyDescent="0.35">
      <c r="A533" s="26"/>
      <c r="B533" s="26"/>
      <c r="C533" s="26"/>
      <c r="D533" s="26"/>
      <c r="E533" s="26"/>
      <c r="F533" s="26"/>
      <c r="G533" s="26"/>
      <c r="H533" s="26"/>
    </row>
    <row r="534" spans="1:8" s="46" customFormat="1" x14ac:dyDescent="0.35">
      <c r="A534" s="26"/>
      <c r="B534" s="26"/>
      <c r="C534" s="26"/>
      <c r="D534" s="26"/>
      <c r="E534" s="26"/>
      <c r="F534" s="26"/>
      <c r="G534" s="26"/>
      <c r="H534" s="26"/>
    </row>
    <row r="535" spans="1:8" s="46" customFormat="1" x14ac:dyDescent="0.35">
      <c r="A535" s="26"/>
      <c r="B535" s="26"/>
      <c r="C535" s="26"/>
      <c r="D535" s="26"/>
      <c r="E535" s="26"/>
      <c r="F535" s="26"/>
      <c r="G535" s="26"/>
      <c r="H535" s="26"/>
    </row>
    <row r="536" spans="1:8" s="46" customFormat="1" x14ac:dyDescent="0.35">
      <c r="A536" s="26"/>
      <c r="B536" s="26"/>
      <c r="C536" s="26"/>
      <c r="D536" s="26"/>
      <c r="E536" s="26"/>
      <c r="F536" s="26"/>
      <c r="G536" s="26"/>
      <c r="H536" s="26"/>
    </row>
    <row r="537" spans="1:8" s="46" customFormat="1" x14ac:dyDescent="0.35">
      <c r="A537" s="26"/>
      <c r="B537" s="26"/>
      <c r="C537" s="26"/>
      <c r="D537" s="26"/>
      <c r="E537" s="26"/>
      <c r="F537" s="26"/>
      <c r="G537" s="26"/>
      <c r="H537" s="26"/>
    </row>
    <row r="538" spans="1:8" s="46" customFormat="1" x14ac:dyDescent="0.35">
      <c r="A538" s="26"/>
      <c r="B538" s="26"/>
      <c r="C538" s="26"/>
      <c r="D538" s="26"/>
      <c r="E538" s="26"/>
      <c r="F538" s="26"/>
      <c r="G538" s="26"/>
      <c r="H538" s="26"/>
    </row>
    <row r="539" spans="1:8" s="46" customFormat="1" x14ac:dyDescent="0.35">
      <c r="A539" s="26"/>
      <c r="B539" s="26"/>
      <c r="C539" s="26"/>
      <c r="D539" s="26"/>
      <c r="E539" s="26"/>
      <c r="F539" s="26"/>
      <c r="G539" s="26"/>
      <c r="H539" s="26"/>
    </row>
    <row r="540" spans="1:8" s="46" customFormat="1" x14ac:dyDescent="0.35">
      <c r="A540" s="26"/>
      <c r="B540" s="26"/>
      <c r="C540" s="26"/>
      <c r="D540" s="26"/>
      <c r="E540" s="26"/>
      <c r="F540" s="26"/>
      <c r="G540" s="26"/>
      <c r="H540" s="26"/>
    </row>
    <row r="541" spans="1:8" s="46" customFormat="1" x14ac:dyDescent="0.35">
      <c r="A541" s="26"/>
      <c r="B541" s="26"/>
      <c r="C541" s="26"/>
      <c r="D541" s="26"/>
      <c r="E541" s="26"/>
      <c r="F541" s="26"/>
      <c r="G541" s="26"/>
      <c r="H541" s="26"/>
    </row>
    <row r="542" spans="1:8" s="46" customFormat="1" x14ac:dyDescent="0.35">
      <c r="A542" s="26"/>
      <c r="B542" s="26"/>
      <c r="C542" s="26"/>
      <c r="D542" s="26"/>
      <c r="E542" s="26"/>
      <c r="F542" s="26"/>
      <c r="G542" s="26"/>
      <c r="H542" s="26"/>
    </row>
    <row r="543" spans="1:8" s="46" customFormat="1" x14ac:dyDescent="0.35">
      <c r="A543" s="26"/>
      <c r="B543" s="26"/>
      <c r="C543" s="26"/>
      <c r="D543" s="26"/>
      <c r="E543" s="26"/>
      <c r="F543" s="26"/>
      <c r="G543" s="26"/>
      <c r="H543" s="26"/>
    </row>
    <row r="544" spans="1:8" s="46" customFormat="1" x14ac:dyDescent="0.35">
      <c r="A544" s="26"/>
      <c r="B544" s="26"/>
      <c r="C544" s="26"/>
      <c r="D544" s="26"/>
      <c r="E544" s="26"/>
      <c r="F544" s="26"/>
      <c r="G544" s="26"/>
      <c r="H544" s="26"/>
    </row>
    <row r="545" spans="1:8" s="46" customFormat="1" x14ac:dyDescent="0.35">
      <c r="A545" s="26"/>
      <c r="B545" s="26"/>
      <c r="C545" s="26"/>
      <c r="D545" s="26"/>
      <c r="E545" s="26"/>
      <c r="F545" s="26"/>
      <c r="G545" s="26"/>
      <c r="H545" s="26"/>
    </row>
    <row r="546" spans="1:8" s="46" customFormat="1" x14ac:dyDescent="0.35">
      <c r="A546" s="26"/>
      <c r="B546" s="26"/>
      <c r="C546" s="26"/>
      <c r="D546" s="26"/>
      <c r="E546" s="26"/>
      <c r="F546" s="26"/>
      <c r="G546" s="26"/>
      <c r="H546" s="26"/>
    </row>
    <row r="547" spans="1:8" s="46" customFormat="1" x14ac:dyDescent="0.35">
      <c r="A547" s="26"/>
      <c r="B547" s="26"/>
      <c r="C547" s="26"/>
      <c r="D547" s="26"/>
      <c r="E547" s="26"/>
      <c r="F547" s="26"/>
      <c r="G547" s="26"/>
      <c r="H547" s="26"/>
    </row>
    <row r="548" spans="1:8" s="46" customFormat="1" x14ac:dyDescent="0.35">
      <c r="A548" s="26"/>
      <c r="B548" s="26"/>
      <c r="C548" s="26"/>
      <c r="D548" s="26"/>
      <c r="E548" s="26"/>
      <c r="F548" s="26"/>
      <c r="G548" s="26"/>
      <c r="H548" s="26"/>
    </row>
    <row r="549" spans="1:8" s="46" customFormat="1" x14ac:dyDescent="0.35">
      <c r="A549" s="26"/>
      <c r="B549" s="26"/>
      <c r="C549" s="26"/>
      <c r="D549" s="26"/>
      <c r="E549" s="26"/>
      <c r="F549" s="26"/>
      <c r="G549" s="26"/>
      <c r="H549" s="26"/>
    </row>
    <row r="550" spans="1:8" s="46" customFormat="1" x14ac:dyDescent="0.35">
      <c r="A550" s="26"/>
      <c r="B550" s="26"/>
      <c r="C550" s="26"/>
      <c r="D550" s="26"/>
      <c r="E550" s="26"/>
      <c r="F550" s="26"/>
      <c r="G550" s="26"/>
      <c r="H550" s="26"/>
    </row>
    <row r="551" spans="1:8" s="46" customFormat="1" x14ac:dyDescent="0.35">
      <c r="A551" s="26"/>
      <c r="B551" s="26"/>
      <c r="C551" s="26"/>
      <c r="D551" s="26"/>
      <c r="E551" s="26"/>
      <c r="F551" s="26"/>
      <c r="G551" s="26"/>
      <c r="H551" s="26"/>
    </row>
    <row r="552" spans="1:8" s="46" customFormat="1" x14ac:dyDescent="0.35">
      <c r="A552" s="26"/>
      <c r="B552" s="26"/>
      <c r="C552" s="26"/>
      <c r="D552" s="26"/>
      <c r="E552" s="26"/>
      <c r="F552" s="26"/>
      <c r="G552" s="26"/>
      <c r="H552" s="26"/>
    </row>
    <row r="553" spans="1:8" s="46" customFormat="1" x14ac:dyDescent="0.35">
      <c r="A553" s="26"/>
      <c r="B553" s="26"/>
      <c r="C553" s="26"/>
      <c r="D553" s="26"/>
      <c r="E553" s="26"/>
      <c r="F553" s="26"/>
      <c r="G553" s="26"/>
      <c r="H553" s="26"/>
    </row>
    <row r="554" spans="1:8" s="46" customFormat="1" x14ac:dyDescent="0.35">
      <c r="A554" s="26"/>
      <c r="B554" s="26"/>
      <c r="C554" s="26"/>
      <c r="D554" s="26"/>
      <c r="E554" s="26"/>
      <c r="F554" s="26"/>
      <c r="G554" s="26"/>
      <c r="H554" s="26"/>
    </row>
    <row r="555" spans="1:8" s="46" customFormat="1" x14ac:dyDescent="0.35">
      <c r="A555" s="26"/>
      <c r="B555" s="26"/>
      <c r="C555" s="26"/>
      <c r="D555" s="26"/>
      <c r="E555" s="26"/>
      <c r="F555" s="26"/>
      <c r="G555" s="26"/>
      <c r="H555" s="26"/>
    </row>
    <row r="556" spans="1:8" s="46" customFormat="1" x14ac:dyDescent="0.35">
      <c r="A556" s="26"/>
      <c r="B556" s="26"/>
      <c r="C556" s="26"/>
      <c r="D556" s="26"/>
      <c r="E556" s="26"/>
      <c r="F556" s="26"/>
      <c r="G556" s="26"/>
      <c r="H556" s="26"/>
    </row>
    <row r="557" spans="1:8" s="46" customFormat="1" x14ac:dyDescent="0.35">
      <c r="A557" s="26"/>
      <c r="B557" s="26"/>
      <c r="C557" s="26"/>
      <c r="D557" s="26"/>
      <c r="E557" s="26"/>
      <c r="F557" s="26"/>
      <c r="G557" s="26"/>
      <c r="H557" s="26"/>
    </row>
    <row r="558" spans="1:8" s="46" customFormat="1" x14ac:dyDescent="0.35">
      <c r="A558" s="26"/>
      <c r="B558" s="26"/>
      <c r="C558" s="26"/>
      <c r="D558" s="26"/>
      <c r="E558" s="26"/>
      <c r="F558" s="26"/>
      <c r="G558" s="26"/>
      <c r="H558" s="26"/>
    </row>
    <row r="559" spans="1:8" s="46" customFormat="1" x14ac:dyDescent="0.35">
      <c r="A559" s="26"/>
      <c r="B559" s="26"/>
      <c r="C559" s="26"/>
      <c r="D559" s="26"/>
      <c r="E559" s="26"/>
      <c r="F559" s="26"/>
      <c r="G559" s="26"/>
      <c r="H559" s="26"/>
    </row>
    <row r="560" spans="1:8" s="46" customFormat="1" x14ac:dyDescent="0.35">
      <c r="A560" s="26"/>
      <c r="B560" s="26"/>
      <c r="C560" s="26"/>
      <c r="D560" s="26"/>
      <c r="E560" s="26"/>
      <c r="F560" s="26"/>
      <c r="G560" s="26"/>
      <c r="H560" s="26"/>
    </row>
    <row r="561" spans="1:8" s="46" customFormat="1" x14ac:dyDescent="0.35">
      <c r="A561" s="26"/>
      <c r="B561" s="26"/>
      <c r="C561" s="26"/>
      <c r="D561" s="26"/>
      <c r="E561" s="26"/>
      <c r="F561" s="26"/>
      <c r="G561" s="26"/>
      <c r="H561" s="26"/>
    </row>
    <row r="562" spans="1:8" s="46" customFormat="1" x14ac:dyDescent="0.35">
      <c r="A562" s="26"/>
      <c r="B562" s="26"/>
      <c r="C562" s="26"/>
      <c r="D562" s="26"/>
      <c r="E562" s="26"/>
      <c r="F562" s="26"/>
      <c r="G562" s="26"/>
      <c r="H562" s="26"/>
    </row>
    <row r="563" spans="1:8" s="46" customFormat="1" x14ac:dyDescent="0.35">
      <c r="A563" s="26"/>
      <c r="B563" s="26"/>
      <c r="C563" s="26"/>
      <c r="D563" s="26"/>
      <c r="E563" s="26"/>
      <c r="F563" s="26"/>
      <c r="G563" s="26"/>
      <c r="H563" s="26"/>
    </row>
    <row r="564" spans="1:8" s="46" customFormat="1" x14ac:dyDescent="0.35">
      <c r="A564" s="26"/>
      <c r="B564" s="26"/>
      <c r="C564" s="26"/>
      <c r="D564" s="26"/>
      <c r="E564" s="26"/>
      <c r="F564" s="26"/>
      <c r="G564" s="26"/>
      <c r="H564" s="26"/>
    </row>
    <row r="565" spans="1:8" s="46" customFormat="1" x14ac:dyDescent="0.35">
      <c r="A565" s="26"/>
      <c r="B565" s="26"/>
      <c r="C565" s="26"/>
      <c r="D565" s="26"/>
      <c r="E565" s="26"/>
      <c r="F565" s="26"/>
      <c r="G565" s="26"/>
      <c r="H565" s="26"/>
    </row>
    <row r="566" spans="1:8" s="46" customFormat="1" x14ac:dyDescent="0.35">
      <c r="A566" s="26"/>
      <c r="B566" s="26"/>
      <c r="C566" s="26"/>
      <c r="D566" s="26"/>
      <c r="E566" s="26"/>
      <c r="F566" s="26"/>
      <c r="G566" s="26"/>
      <c r="H566" s="26"/>
    </row>
    <row r="567" spans="1:8" s="46" customFormat="1" x14ac:dyDescent="0.35">
      <c r="A567" s="26"/>
      <c r="B567" s="26"/>
      <c r="C567" s="26"/>
      <c r="D567" s="26"/>
      <c r="E567" s="26"/>
      <c r="F567" s="26"/>
      <c r="G567" s="26"/>
      <c r="H567" s="26"/>
    </row>
    <row r="568" spans="1:8" s="46" customFormat="1" x14ac:dyDescent="0.35">
      <c r="A568" s="26"/>
      <c r="B568" s="26"/>
      <c r="C568" s="26"/>
      <c r="D568" s="26"/>
      <c r="E568" s="26"/>
      <c r="F568" s="26"/>
      <c r="G568" s="26"/>
      <c r="H568" s="26"/>
    </row>
    <row r="569" spans="1:8" s="46" customFormat="1" x14ac:dyDescent="0.35">
      <c r="A569" s="26"/>
      <c r="B569" s="26"/>
      <c r="C569" s="26"/>
      <c r="D569" s="26"/>
      <c r="E569" s="26"/>
      <c r="F569" s="26"/>
      <c r="G569" s="26"/>
      <c r="H569" s="26"/>
    </row>
    <row r="570" spans="1:8" s="46" customFormat="1" x14ac:dyDescent="0.35">
      <c r="A570" s="26"/>
      <c r="B570" s="26"/>
      <c r="C570" s="26"/>
      <c r="D570" s="26"/>
      <c r="E570" s="26"/>
      <c r="F570" s="26"/>
      <c r="G570" s="26"/>
      <c r="H570" s="26"/>
    </row>
    <row r="571" spans="1:8" s="46" customFormat="1" x14ac:dyDescent="0.35">
      <c r="A571" s="26"/>
      <c r="B571" s="26"/>
      <c r="C571" s="26"/>
      <c r="D571" s="26"/>
      <c r="E571" s="26"/>
      <c r="F571" s="26"/>
      <c r="G571" s="26"/>
      <c r="H571" s="26"/>
    </row>
    <row r="572" spans="1:8" s="46" customFormat="1" x14ac:dyDescent="0.35">
      <c r="A572" s="26"/>
      <c r="B572" s="26"/>
      <c r="C572" s="26"/>
      <c r="D572" s="26"/>
      <c r="E572" s="26"/>
      <c r="F572" s="26"/>
      <c r="G572" s="26"/>
      <c r="H572" s="26"/>
    </row>
    <row r="573" spans="1:8" s="46" customFormat="1" x14ac:dyDescent="0.35">
      <c r="A573" s="26"/>
      <c r="B573" s="26"/>
      <c r="C573" s="26"/>
      <c r="D573" s="26"/>
      <c r="E573" s="26"/>
      <c r="F573" s="26"/>
      <c r="G573" s="26"/>
      <c r="H573" s="26"/>
    </row>
    <row r="574" spans="1:8" s="46" customFormat="1" x14ac:dyDescent="0.35">
      <c r="A574" s="26"/>
      <c r="B574" s="26"/>
      <c r="C574" s="26"/>
      <c r="D574" s="26"/>
      <c r="E574" s="26"/>
      <c r="F574" s="26"/>
      <c r="G574" s="26"/>
      <c r="H574" s="26"/>
    </row>
    <row r="575" spans="1:8" s="46" customFormat="1" x14ac:dyDescent="0.35">
      <c r="A575" s="26"/>
      <c r="B575" s="26"/>
      <c r="C575" s="26"/>
      <c r="D575" s="26"/>
      <c r="E575" s="26"/>
      <c r="F575" s="26"/>
      <c r="G575" s="26"/>
      <c r="H575" s="26"/>
    </row>
    <row r="576" spans="1:8" s="46" customFormat="1" x14ac:dyDescent="0.35">
      <c r="A576" s="26"/>
      <c r="B576" s="26"/>
      <c r="C576" s="26"/>
      <c r="D576" s="26"/>
      <c r="E576" s="26"/>
      <c r="F576" s="26"/>
      <c r="G576" s="26"/>
      <c r="H576" s="26"/>
    </row>
    <row r="577" spans="1:8" s="46" customFormat="1" x14ac:dyDescent="0.35">
      <c r="A577" s="26"/>
      <c r="B577" s="26"/>
      <c r="C577" s="26"/>
      <c r="D577" s="26"/>
      <c r="E577" s="26"/>
      <c r="F577" s="26"/>
      <c r="G577" s="26"/>
      <c r="H577" s="26"/>
    </row>
    <row r="578" spans="1:8" s="46" customFormat="1" x14ac:dyDescent="0.35">
      <c r="A578" s="26"/>
      <c r="B578" s="26"/>
      <c r="C578" s="26"/>
      <c r="D578" s="26"/>
      <c r="E578" s="26"/>
      <c r="F578" s="26"/>
      <c r="G578" s="26"/>
      <c r="H578" s="26"/>
    </row>
    <row r="579" spans="1:8" s="46" customFormat="1" x14ac:dyDescent="0.35">
      <c r="A579" s="26"/>
      <c r="B579" s="26"/>
      <c r="C579" s="26"/>
      <c r="D579" s="26"/>
      <c r="E579" s="26"/>
      <c r="F579" s="26"/>
      <c r="G579" s="26"/>
      <c r="H579" s="26"/>
    </row>
    <row r="580" spans="1:8" s="46" customFormat="1" x14ac:dyDescent="0.35">
      <c r="A580" s="26"/>
      <c r="B580" s="26"/>
      <c r="C580" s="26"/>
      <c r="D580" s="26"/>
      <c r="E580" s="26"/>
      <c r="F580" s="26"/>
      <c r="G580" s="26"/>
      <c r="H580" s="26"/>
    </row>
    <row r="581" spans="1:8" s="46" customFormat="1" x14ac:dyDescent="0.35">
      <c r="A581" s="26"/>
      <c r="B581" s="26"/>
      <c r="C581" s="26"/>
      <c r="D581" s="26"/>
      <c r="E581" s="26"/>
      <c r="F581" s="26"/>
      <c r="G581" s="26"/>
      <c r="H581" s="26"/>
    </row>
    <row r="582" spans="1:8" s="46" customFormat="1" x14ac:dyDescent="0.35">
      <c r="A582" s="26"/>
      <c r="B582" s="26"/>
      <c r="C582" s="26"/>
      <c r="D582" s="26"/>
      <c r="E582" s="26"/>
      <c r="F582" s="26"/>
      <c r="G582" s="26"/>
      <c r="H582" s="26"/>
    </row>
    <row r="583" spans="1:8" s="46" customFormat="1" x14ac:dyDescent="0.35">
      <c r="A583" s="26"/>
      <c r="B583" s="26"/>
      <c r="C583" s="26"/>
      <c r="D583" s="26"/>
      <c r="E583" s="26"/>
      <c r="F583" s="26"/>
      <c r="G583" s="26"/>
      <c r="H583" s="26"/>
    </row>
    <row r="584" spans="1:8" s="46" customFormat="1" x14ac:dyDescent="0.35">
      <c r="A584" s="26"/>
      <c r="B584" s="26"/>
      <c r="C584" s="26"/>
      <c r="D584" s="26"/>
      <c r="E584" s="26"/>
      <c r="F584" s="26"/>
      <c r="G584" s="26"/>
      <c r="H584" s="26"/>
    </row>
    <row r="585" spans="1:8" s="46" customFormat="1" x14ac:dyDescent="0.35">
      <c r="A585" s="26"/>
      <c r="B585" s="26"/>
      <c r="C585" s="26"/>
      <c r="D585" s="26"/>
      <c r="E585" s="26"/>
      <c r="F585" s="26"/>
      <c r="G585" s="26"/>
      <c r="H585" s="26"/>
    </row>
    <row r="586" spans="1:8" s="46" customFormat="1" x14ac:dyDescent="0.35">
      <c r="A586" s="26"/>
      <c r="B586" s="26"/>
      <c r="C586" s="26"/>
      <c r="D586" s="26"/>
      <c r="E586" s="26"/>
      <c r="F586" s="26"/>
      <c r="G586" s="26"/>
      <c r="H586" s="26"/>
    </row>
    <row r="587" spans="1:8" s="46" customFormat="1" x14ac:dyDescent="0.35">
      <c r="A587" s="26"/>
      <c r="B587" s="26"/>
      <c r="C587" s="26"/>
      <c r="D587" s="26"/>
      <c r="E587" s="26"/>
      <c r="F587" s="26"/>
      <c r="G587" s="26"/>
      <c r="H587" s="26"/>
    </row>
    <row r="588" spans="1:8" s="46" customFormat="1" x14ac:dyDescent="0.35">
      <c r="A588" s="26"/>
      <c r="B588" s="26"/>
      <c r="C588" s="26"/>
      <c r="D588" s="26"/>
      <c r="E588" s="26"/>
      <c r="F588" s="26"/>
      <c r="G588" s="26"/>
      <c r="H588" s="26"/>
    </row>
    <row r="589" spans="1:8" s="46" customFormat="1" x14ac:dyDescent="0.35">
      <c r="A589" s="26"/>
      <c r="B589" s="26"/>
      <c r="C589" s="26"/>
      <c r="D589" s="26"/>
      <c r="E589" s="26"/>
      <c r="F589" s="26"/>
      <c r="G589" s="26"/>
      <c r="H589" s="26"/>
    </row>
    <row r="590" spans="1:8" s="46" customFormat="1" x14ac:dyDescent="0.35">
      <c r="A590" s="26"/>
      <c r="B590" s="26"/>
      <c r="C590" s="26"/>
      <c r="D590" s="26"/>
      <c r="E590" s="26"/>
      <c r="F590" s="26"/>
      <c r="G590" s="26"/>
      <c r="H590" s="26"/>
    </row>
    <row r="591" spans="1:8" s="46" customFormat="1" x14ac:dyDescent="0.35">
      <c r="A591" s="26"/>
      <c r="B591" s="26"/>
      <c r="C591" s="26"/>
      <c r="D591" s="26"/>
      <c r="E591" s="26"/>
      <c r="F591" s="26"/>
      <c r="G591" s="26"/>
      <c r="H591" s="26"/>
    </row>
    <row r="592" spans="1:8" s="46" customFormat="1" x14ac:dyDescent="0.35">
      <c r="A592" s="26"/>
      <c r="B592" s="26"/>
      <c r="C592" s="26"/>
      <c r="D592" s="26"/>
      <c r="E592" s="26"/>
      <c r="F592" s="26"/>
      <c r="G592" s="26"/>
      <c r="H592" s="26"/>
    </row>
    <row r="593" spans="1:8" s="46" customFormat="1" x14ac:dyDescent="0.35">
      <c r="A593" s="26"/>
      <c r="B593" s="26"/>
      <c r="C593" s="26"/>
      <c r="D593" s="26"/>
      <c r="E593" s="26"/>
      <c r="F593" s="26"/>
      <c r="G593" s="26"/>
      <c r="H593" s="26"/>
    </row>
    <row r="594" spans="1:8" s="46" customFormat="1" x14ac:dyDescent="0.35">
      <c r="A594" s="26"/>
      <c r="B594" s="26"/>
      <c r="C594" s="26"/>
      <c r="D594" s="26"/>
      <c r="E594" s="26"/>
      <c r="F594" s="26"/>
      <c r="G594" s="26"/>
      <c r="H594" s="26"/>
    </row>
    <row r="595" spans="1:8" s="46" customFormat="1" x14ac:dyDescent="0.35">
      <c r="A595" s="26"/>
      <c r="B595" s="26"/>
      <c r="C595" s="26"/>
      <c r="D595" s="26"/>
      <c r="E595" s="26"/>
      <c r="F595" s="26"/>
      <c r="G595" s="26"/>
      <c r="H595" s="26"/>
    </row>
    <row r="596" spans="1:8" s="46" customFormat="1" x14ac:dyDescent="0.35">
      <c r="A596" s="26"/>
      <c r="B596" s="26"/>
      <c r="C596" s="26"/>
      <c r="D596" s="26"/>
      <c r="E596" s="26"/>
      <c r="F596" s="26"/>
      <c r="G596" s="26"/>
      <c r="H596" s="26"/>
    </row>
    <row r="597" spans="1:8" s="46" customFormat="1" x14ac:dyDescent="0.35">
      <c r="A597" s="26"/>
      <c r="B597" s="26"/>
      <c r="C597" s="26"/>
      <c r="D597" s="26"/>
      <c r="E597" s="26"/>
      <c r="F597" s="26"/>
      <c r="G597" s="26"/>
      <c r="H597" s="26"/>
    </row>
    <row r="598" spans="1:8" s="46" customFormat="1" x14ac:dyDescent="0.35">
      <c r="A598" s="26"/>
      <c r="B598" s="26"/>
      <c r="C598" s="26"/>
      <c r="D598" s="26"/>
      <c r="E598" s="26"/>
      <c r="F598" s="26"/>
      <c r="G598" s="26"/>
      <c r="H598" s="26"/>
    </row>
    <row r="599" spans="1:8" s="46" customFormat="1" x14ac:dyDescent="0.35">
      <c r="A599" s="26"/>
      <c r="B599" s="26"/>
      <c r="C599" s="26"/>
      <c r="D599" s="26"/>
      <c r="E599" s="26"/>
      <c r="F599" s="26"/>
      <c r="G599" s="26"/>
      <c r="H599" s="26"/>
    </row>
    <row r="600" spans="1:8" s="46" customFormat="1" x14ac:dyDescent="0.35">
      <c r="A600" s="26"/>
      <c r="B600" s="26"/>
      <c r="C600" s="26"/>
      <c r="D600" s="26"/>
      <c r="E600" s="26"/>
      <c r="F600" s="26"/>
      <c r="G600" s="26"/>
      <c r="H600" s="26"/>
    </row>
    <row r="601" spans="1:8" s="46" customFormat="1" x14ac:dyDescent="0.35">
      <c r="A601" s="26"/>
      <c r="B601" s="26"/>
      <c r="C601" s="26"/>
      <c r="D601" s="26"/>
      <c r="E601" s="26"/>
      <c r="F601" s="26"/>
      <c r="G601" s="26"/>
      <c r="H601" s="26"/>
    </row>
    <row r="602" spans="1:8" s="46" customFormat="1" x14ac:dyDescent="0.35">
      <c r="A602" s="26"/>
      <c r="B602" s="26"/>
      <c r="C602" s="26"/>
      <c r="D602" s="26"/>
      <c r="E602" s="26"/>
      <c r="F602" s="26"/>
      <c r="G602" s="26"/>
      <c r="H602" s="26"/>
    </row>
    <row r="603" spans="1:8" s="46" customFormat="1" x14ac:dyDescent="0.35">
      <c r="A603" s="26"/>
      <c r="B603" s="26"/>
      <c r="C603" s="26"/>
      <c r="D603" s="26"/>
      <c r="E603" s="26"/>
      <c r="F603" s="26"/>
      <c r="G603" s="26"/>
      <c r="H603" s="26"/>
    </row>
    <row r="604" spans="1:8" s="46" customFormat="1" x14ac:dyDescent="0.35">
      <c r="A604" s="26"/>
      <c r="B604" s="26"/>
      <c r="C604" s="26"/>
      <c r="D604" s="26"/>
      <c r="E604" s="26"/>
      <c r="F604" s="26"/>
      <c r="G604" s="26"/>
      <c r="H604" s="26"/>
    </row>
    <row r="605" spans="1:8" s="46" customFormat="1" x14ac:dyDescent="0.35">
      <c r="A605" s="26"/>
      <c r="B605" s="26"/>
      <c r="C605" s="26"/>
      <c r="D605" s="26"/>
      <c r="E605" s="26"/>
      <c r="F605" s="26"/>
      <c r="G605" s="26"/>
      <c r="H605" s="26"/>
    </row>
    <row r="606" spans="1:8" s="46" customFormat="1" x14ac:dyDescent="0.35">
      <c r="A606" s="26"/>
      <c r="B606" s="26"/>
      <c r="C606" s="26"/>
      <c r="D606" s="26"/>
      <c r="E606" s="26"/>
      <c r="F606" s="26"/>
      <c r="G606" s="26"/>
      <c r="H606" s="26"/>
    </row>
    <row r="607" spans="1:8" s="46" customFormat="1" x14ac:dyDescent="0.35">
      <c r="A607" s="26"/>
      <c r="B607" s="26"/>
      <c r="C607" s="26"/>
      <c r="D607" s="26"/>
      <c r="E607" s="26"/>
      <c r="F607" s="26"/>
      <c r="G607" s="26"/>
      <c r="H607" s="26"/>
    </row>
    <row r="608" spans="1:8" s="46" customFormat="1" x14ac:dyDescent="0.35">
      <c r="A608" s="26"/>
      <c r="B608" s="26"/>
      <c r="C608" s="26"/>
      <c r="D608" s="26"/>
      <c r="E608" s="26"/>
      <c r="F608" s="26"/>
      <c r="G608" s="26"/>
      <c r="H608" s="26"/>
    </row>
    <row r="609" spans="1:8" s="46" customFormat="1" x14ac:dyDescent="0.35">
      <c r="A609" s="26"/>
      <c r="B609" s="26"/>
      <c r="C609" s="26"/>
      <c r="D609" s="26"/>
      <c r="E609" s="26"/>
      <c r="F609" s="26"/>
      <c r="G609" s="26"/>
      <c r="H609" s="26"/>
    </row>
    <row r="610" spans="1:8" s="46" customFormat="1" x14ac:dyDescent="0.35">
      <c r="A610" s="26"/>
      <c r="B610" s="26"/>
      <c r="C610" s="26"/>
      <c r="D610" s="26"/>
      <c r="E610" s="26"/>
      <c r="F610" s="26"/>
      <c r="G610" s="26"/>
      <c r="H610" s="26"/>
    </row>
    <row r="611" spans="1:8" s="46" customFormat="1" x14ac:dyDescent="0.35">
      <c r="A611" s="26"/>
      <c r="B611" s="26"/>
      <c r="C611" s="26"/>
      <c r="D611" s="26"/>
      <c r="E611" s="26"/>
      <c r="F611" s="26"/>
      <c r="G611" s="26"/>
      <c r="H611" s="26"/>
    </row>
    <row r="612" spans="1:8" s="46" customFormat="1" x14ac:dyDescent="0.35">
      <c r="A612" s="26"/>
      <c r="B612" s="26"/>
      <c r="C612" s="26"/>
      <c r="D612" s="26"/>
      <c r="E612" s="26"/>
      <c r="F612" s="26"/>
      <c r="G612" s="26"/>
      <c r="H612" s="26"/>
    </row>
    <row r="613" spans="1:8" s="46" customFormat="1" x14ac:dyDescent="0.35">
      <c r="A613" s="26"/>
      <c r="B613" s="26"/>
      <c r="C613" s="26"/>
      <c r="D613" s="26"/>
      <c r="E613" s="26"/>
      <c r="F613" s="26"/>
      <c r="G613" s="26"/>
      <c r="H613" s="26"/>
    </row>
    <row r="614" spans="1:8" s="46" customFormat="1" x14ac:dyDescent="0.35">
      <c r="A614" s="26"/>
      <c r="B614" s="26"/>
      <c r="C614" s="26"/>
      <c r="D614" s="26"/>
      <c r="E614" s="26"/>
      <c r="F614" s="26"/>
      <c r="G614" s="26"/>
      <c r="H614" s="26"/>
    </row>
    <row r="615" spans="1:8" s="46" customFormat="1" x14ac:dyDescent="0.35">
      <c r="A615" s="26"/>
      <c r="B615" s="26"/>
      <c r="C615" s="26"/>
      <c r="D615" s="26"/>
      <c r="E615" s="26"/>
      <c r="F615" s="26"/>
      <c r="G615" s="26"/>
      <c r="H615" s="26"/>
    </row>
    <row r="616" spans="1:8" s="46" customFormat="1" x14ac:dyDescent="0.35">
      <c r="A616" s="26"/>
      <c r="B616" s="26"/>
      <c r="C616" s="26"/>
      <c r="D616" s="26"/>
      <c r="E616" s="26"/>
      <c r="F616" s="26"/>
      <c r="G616" s="26"/>
      <c r="H616" s="26"/>
    </row>
    <row r="617" spans="1:8" s="46" customFormat="1" x14ac:dyDescent="0.35">
      <c r="A617" s="26"/>
      <c r="B617" s="26"/>
      <c r="C617" s="26"/>
      <c r="D617" s="26"/>
      <c r="E617" s="26"/>
      <c r="F617" s="26"/>
      <c r="G617" s="26"/>
      <c r="H617" s="26"/>
    </row>
    <row r="618" spans="1:8" s="46" customFormat="1" x14ac:dyDescent="0.35">
      <c r="A618" s="26"/>
      <c r="B618" s="26"/>
      <c r="C618" s="26"/>
      <c r="D618" s="26"/>
      <c r="E618" s="26"/>
      <c r="F618" s="26"/>
      <c r="G618" s="26"/>
      <c r="H618" s="26"/>
    </row>
    <row r="619" spans="1:8" s="46" customFormat="1" x14ac:dyDescent="0.35">
      <c r="A619" s="26"/>
      <c r="B619" s="26"/>
      <c r="C619" s="26"/>
      <c r="D619" s="26"/>
      <c r="E619" s="26"/>
      <c r="F619" s="26"/>
      <c r="G619" s="26"/>
      <c r="H619" s="26"/>
    </row>
    <row r="620" spans="1:8" s="46" customFormat="1" x14ac:dyDescent="0.35">
      <c r="A620" s="26"/>
      <c r="B620" s="26"/>
      <c r="C620" s="26"/>
      <c r="D620" s="26"/>
      <c r="E620" s="26"/>
      <c r="F620" s="26"/>
      <c r="G620" s="26"/>
      <c r="H620" s="26"/>
    </row>
    <row r="621" spans="1:8" s="46" customFormat="1" x14ac:dyDescent="0.35">
      <c r="A621" s="26"/>
      <c r="B621" s="26"/>
      <c r="C621" s="26"/>
      <c r="D621" s="26"/>
      <c r="E621" s="26"/>
      <c r="F621" s="26"/>
      <c r="G621" s="26"/>
      <c r="H621" s="26"/>
    </row>
    <row r="622" spans="1:8" s="46" customFormat="1" x14ac:dyDescent="0.35">
      <c r="A622" s="26"/>
      <c r="B622" s="26"/>
      <c r="C622" s="26"/>
      <c r="D622" s="26"/>
      <c r="E622" s="26"/>
      <c r="F622" s="26"/>
      <c r="G622" s="26"/>
      <c r="H622" s="26"/>
    </row>
    <row r="623" spans="1:8" s="46" customFormat="1" x14ac:dyDescent="0.35">
      <c r="A623" s="26"/>
      <c r="B623" s="26"/>
      <c r="C623" s="26"/>
      <c r="D623" s="26"/>
      <c r="E623" s="26"/>
      <c r="F623" s="26"/>
      <c r="G623" s="26"/>
      <c r="H623" s="26"/>
    </row>
    <row r="624" spans="1:8" s="46" customFormat="1" x14ac:dyDescent="0.35">
      <c r="A624" s="26"/>
      <c r="B624" s="26"/>
      <c r="C624" s="26"/>
      <c r="D624" s="26"/>
      <c r="E624" s="26"/>
      <c r="F624" s="26"/>
      <c r="G624" s="26"/>
      <c r="H624" s="26"/>
    </row>
    <row r="625" spans="1:8" s="46" customFormat="1" x14ac:dyDescent="0.35">
      <c r="A625" s="26"/>
      <c r="B625" s="26"/>
      <c r="C625" s="26"/>
      <c r="D625" s="26"/>
      <c r="E625" s="26"/>
      <c r="F625" s="26"/>
      <c r="G625" s="26"/>
      <c r="H625" s="26"/>
    </row>
    <row r="626" spans="1:8" s="46" customFormat="1" x14ac:dyDescent="0.35">
      <c r="A626" s="26"/>
      <c r="B626" s="26"/>
      <c r="C626" s="26"/>
      <c r="D626" s="26"/>
      <c r="E626" s="26"/>
      <c r="F626" s="26"/>
      <c r="G626" s="26"/>
      <c r="H626" s="26"/>
    </row>
    <row r="627" spans="1:8" s="46" customFormat="1" x14ac:dyDescent="0.35">
      <c r="A627" s="26"/>
      <c r="B627" s="26"/>
      <c r="C627" s="26"/>
      <c r="D627" s="26"/>
      <c r="E627" s="26"/>
      <c r="F627" s="26"/>
      <c r="G627" s="26"/>
      <c r="H627" s="26"/>
    </row>
    <row r="628" spans="1:8" s="46" customFormat="1" x14ac:dyDescent="0.35">
      <c r="A628" s="26"/>
      <c r="B628" s="26"/>
      <c r="C628" s="26"/>
      <c r="D628" s="26"/>
      <c r="E628" s="26"/>
      <c r="F628" s="26"/>
      <c r="G628" s="26"/>
      <c r="H628" s="26"/>
    </row>
    <row r="629" spans="1:8" s="46" customFormat="1" x14ac:dyDescent="0.35">
      <c r="A629" s="26"/>
      <c r="B629" s="26"/>
      <c r="C629" s="26"/>
      <c r="D629" s="26"/>
      <c r="E629" s="26"/>
      <c r="F629" s="26"/>
      <c r="G629" s="26"/>
      <c r="H629" s="26"/>
    </row>
    <row r="630" spans="1:8" s="46" customFormat="1" x14ac:dyDescent="0.35">
      <c r="A630" s="26"/>
      <c r="B630" s="26"/>
      <c r="C630" s="26"/>
      <c r="D630" s="26"/>
      <c r="E630" s="26"/>
      <c r="F630" s="26"/>
      <c r="G630" s="26"/>
      <c r="H630" s="26"/>
    </row>
    <row r="631" spans="1:8" s="46" customFormat="1" x14ac:dyDescent="0.35">
      <c r="A631" s="26"/>
      <c r="B631" s="26"/>
      <c r="C631" s="26"/>
      <c r="D631" s="26"/>
      <c r="E631" s="26"/>
      <c r="F631" s="26"/>
      <c r="G631" s="26"/>
      <c r="H631" s="26"/>
    </row>
    <row r="632" spans="1:8" s="46" customFormat="1" x14ac:dyDescent="0.35">
      <c r="A632" s="26"/>
      <c r="B632" s="26"/>
      <c r="C632" s="26"/>
      <c r="D632" s="26"/>
      <c r="E632" s="26"/>
      <c r="F632" s="26"/>
      <c r="G632" s="26"/>
      <c r="H632" s="26"/>
    </row>
    <row r="633" spans="1:8" s="46" customFormat="1" x14ac:dyDescent="0.35">
      <c r="A633" s="26"/>
      <c r="B633" s="26"/>
      <c r="C633" s="26"/>
      <c r="D633" s="26"/>
      <c r="E633" s="26"/>
      <c r="F633" s="26"/>
      <c r="G633" s="26"/>
      <c r="H633" s="26"/>
    </row>
    <row r="634" spans="1:8" s="46" customFormat="1" x14ac:dyDescent="0.35">
      <c r="A634" s="26"/>
      <c r="B634" s="26"/>
      <c r="C634" s="26"/>
      <c r="D634" s="26"/>
      <c r="E634" s="26"/>
      <c r="F634" s="26"/>
      <c r="G634" s="26"/>
      <c r="H634" s="26"/>
    </row>
    <row r="635" spans="1:8" s="46" customFormat="1" x14ac:dyDescent="0.35">
      <c r="A635" s="26"/>
      <c r="B635" s="26"/>
      <c r="C635" s="26"/>
      <c r="D635" s="26"/>
      <c r="E635" s="26"/>
      <c r="F635" s="26"/>
      <c r="G635" s="26"/>
      <c r="H635" s="26"/>
    </row>
    <row r="636" spans="1:8" s="46" customFormat="1" x14ac:dyDescent="0.35">
      <c r="A636" s="26"/>
      <c r="B636" s="26"/>
      <c r="C636" s="26"/>
      <c r="D636" s="26"/>
      <c r="E636" s="26"/>
      <c r="F636" s="26"/>
      <c r="G636" s="26"/>
      <c r="H636" s="26"/>
    </row>
    <row r="637" spans="1:8" s="46" customFormat="1" x14ac:dyDescent="0.35">
      <c r="A637" s="26"/>
      <c r="B637" s="26"/>
      <c r="C637" s="26"/>
      <c r="D637" s="26"/>
      <c r="E637" s="26"/>
      <c r="F637" s="26"/>
      <c r="G637" s="26"/>
      <c r="H637" s="26"/>
    </row>
    <row r="638" spans="1:8" s="46" customFormat="1" x14ac:dyDescent="0.35">
      <c r="A638" s="26"/>
      <c r="B638" s="26"/>
      <c r="C638" s="26"/>
      <c r="D638" s="26"/>
      <c r="E638" s="26"/>
      <c r="F638" s="26"/>
      <c r="G638" s="26"/>
      <c r="H638" s="26"/>
    </row>
    <row r="639" spans="1:8" s="46" customFormat="1" x14ac:dyDescent="0.35">
      <c r="A639" s="26"/>
      <c r="B639" s="26"/>
      <c r="C639" s="26"/>
      <c r="D639" s="26"/>
      <c r="E639" s="26"/>
      <c r="F639" s="26"/>
      <c r="G639" s="26"/>
      <c r="H639" s="26"/>
    </row>
    <row r="640" spans="1:8" s="46" customFormat="1" x14ac:dyDescent="0.35">
      <c r="A640" s="26"/>
      <c r="B640" s="26"/>
      <c r="C640" s="26"/>
      <c r="D640" s="26"/>
      <c r="E640" s="26"/>
      <c r="F640" s="26"/>
      <c r="G640" s="26"/>
      <c r="H640" s="26"/>
    </row>
    <row r="641" spans="1:8" s="46" customFormat="1" x14ac:dyDescent="0.35">
      <c r="A641" s="26"/>
      <c r="B641" s="26"/>
      <c r="C641" s="26"/>
      <c r="D641" s="26"/>
      <c r="E641" s="26"/>
      <c r="F641" s="26"/>
      <c r="G641" s="26"/>
      <c r="H641" s="26"/>
    </row>
    <row r="642" spans="1:8" s="46" customFormat="1" x14ac:dyDescent="0.35">
      <c r="A642" s="26"/>
      <c r="B642" s="26"/>
      <c r="C642" s="26"/>
      <c r="D642" s="26"/>
      <c r="E642" s="26"/>
      <c r="F642" s="26"/>
      <c r="G642" s="26"/>
      <c r="H642" s="26"/>
    </row>
    <row r="643" spans="1:8" s="46" customFormat="1" x14ac:dyDescent="0.35">
      <c r="A643" s="26"/>
      <c r="B643" s="26"/>
      <c r="C643" s="26"/>
      <c r="D643" s="26"/>
      <c r="E643" s="26"/>
      <c r="F643" s="26"/>
      <c r="G643" s="26"/>
      <c r="H643" s="26"/>
    </row>
    <row r="644" spans="1:8" s="46" customFormat="1" x14ac:dyDescent="0.35">
      <c r="A644" s="26"/>
      <c r="B644" s="26"/>
      <c r="C644" s="26"/>
      <c r="D644" s="26"/>
      <c r="E644" s="26"/>
      <c r="F644" s="26"/>
      <c r="G644" s="26"/>
      <c r="H644" s="26"/>
    </row>
    <row r="645" spans="1:8" s="46" customFormat="1" x14ac:dyDescent="0.35">
      <c r="A645" s="26"/>
      <c r="B645" s="26"/>
      <c r="C645" s="26"/>
      <c r="D645" s="26"/>
      <c r="E645" s="26"/>
      <c r="F645" s="26"/>
      <c r="G645" s="26"/>
      <c r="H645" s="26"/>
    </row>
    <row r="646" spans="1:8" s="46" customFormat="1" x14ac:dyDescent="0.35">
      <c r="A646" s="26"/>
      <c r="B646" s="26"/>
      <c r="C646" s="26"/>
      <c r="D646" s="26"/>
      <c r="E646" s="26"/>
      <c r="F646" s="26"/>
      <c r="G646" s="26"/>
      <c r="H646" s="26"/>
    </row>
    <row r="647" spans="1:8" s="46" customFormat="1" x14ac:dyDescent="0.35">
      <c r="A647" s="26"/>
      <c r="B647" s="26"/>
      <c r="C647" s="26"/>
      <c r="D647" s="26"/>
      <c r="E647" s="26"/>
      <c r="F647" s="26"/>
      <c r="G647" s="26"/>
      <c r="H647" s="26"/>
    </row>
    <row r="648" spans="1:8" s="46" customFormat="1" x14ac:dyDescent="0.35">
      <c r="A648" s="26"/>
      <c r="B648" s="26"/>
      <c r="C648" s="26"/>
      <c r="D648" s="26"/>
      <c r="E648" s="26"/>
      <c r="F648" s="26"/>
      <c r="G648" s="26"/>
      <c r="H648" s="26"/>
    </row>
    <row r="649" spans="1:8" s="46" customFormat="1" x14ac:dyDescent="0.35">
      <c r="A649" s="26"/>
      <c r="B649" s="26"/>
      <c r="C649" s="26"/>
      <c r="D649" s="26"/>
      <c r="E649" s="26"/>
      <c r="F649" s="26"/>
      <c r="G649" s="26"/>
      <c r="H649" s="26"/>
    </row>
    <row r="650" spans="1:8" s="46" customFormat="1" x14ac:dyDescent="0.35">
      <c r="A650" s="26"/>
      <c r="B650" s="26"/>
      <c r="C650" s="26"/>
      <c r="D650" s="26"/>
      <c r="E650" s="26"/>
      <c r="F650" s="26"/>
      <c r="G650" s="26"/>
      <c r="H650" s="26"/>
    </row>
    <row r="651" spans="1:8" s="46" customFormat="1" x14ac:dyDescent="0.35">
      <c r="A651" s="26"/>
      <c r="B651" s="26"/>
      <c r="C651" s="26"/>
      <c r="D651" s="26"/>
      <c r="E651" s="26"/>
      <c r="F651" s="26"/>
      <c r="G651" s="26"/>
      <c r="H651" s="26"/>
    </row>
    <row r="652" spans="1:8" s="46" customFormat="1" x14ac:dyDescent="0.35">
      <c r="A652" s="26"/>
      <c r="B652" s="26"/>
      <c r="C652" s="26"/>
      <c r="D652" s="26"/>
      <c r="E652" s="26"/>
      <c r="F652" s="26"/>
      <c r="G652" s="26"/>
      <c r="H652" s="26"/>
    </row>
    <row r="653" spans="1:8" s="46" customFormat="1" x14ac:dyDescent="0.35">
      <c r="A653" s="26"/>
      <c r="B653" s="26"/>
      <c r="C653" s="26"/>
      <c r="D653" s="26"/>
      <c r="E653" s="26"/>
      <c r="F653" s="26"/>
      <c r="G653" s="26"/>
      <c r="H653" s="26"/>
    </row>
    <row r="654" spans="1:8" s="46" customFormat="1" x14ac:dyDescent="0.35">
      <c r="A654" s="26"/>
      <c r="B654" s="26"/>
      <c r="C654" s="26"/>
      <c r="D654" s="26"/>
      <c r="E654" s="26"/>
      <c r="F654" s="26"/>
      <c r="G654" s="26"/>
      <c r="H654" s="26"/>
    </row>
    <row r="655" spans="1:8" s="46" customFormat="1" x14ac:dyDescent="0.35">
      <c r="A655" s="26"/>
      <c r="B655" s="26"/>
      <c r="C655" s="26"/>
      <c r="D655" s="26"/>
      <c r="E655" s="26"/>
      <c r="F655" s="26"/>
      <c r="G655" s="26"/>
      <c r="H655" s="26"/>
    </row>
    <row r="656" spans="1:8" s="46" customFormat="1" x14ac:dyDescent="0.35">
      <c r="A656" s="26"/>
      <c r="B656" s="26"/>
      <c r="C656" s="26"/>
      <c r="D656" s="26"/>
      <c r="E656" s="26"/>
      <c r="F656" s="26"/>
      <c r="G656" s="26"/>
      <c r="H656" s="26"/>
    </row>
    <row r="657" spans="1:8" s="46" customFormat="1" x14ac:dyDescent="0.35">
      <c r="A657" s="26"/>
      <c r="B657" s="26"/>
      <c r="C657" s="26"/>
      <c r="D657" s="26"/>
      <c r="E657" s="26"/>
      <c r="F657" s="26"/>
      <c r="G657" s="26"/>
      <c r="H657" s="26"/>
    </row>
    <row r="658" spans="1:8" s="46" customFormat="1" x14ac:dyDescent="0.35">
      <c r="A658" s="26"/>
      <c r="B658" s="26"/>
      <c r="C658" s="26"/>
      <c r="D658" s="26"/>
      <c r="E658" s="26"/>
      <c r="F658" s="26"/>
      <c r="G658" s="26"/>
      <c r="H658" s="26"/>
    </row>
    <row r="659" spans="1:8" s="46" customFormat="1" x14ac:dyDescent="0.35">
      <c r="A659" s="26"/>
      <c r="B659" s="26"/>
      <c r="C659" s="26"/>
      <c r="D659" s="26"/>
      <c r="E659" s="26"/>
      <c r="F659" s="26"/>
      <c r="G659" s="26"/>
      <c r="H659" s="26"/>
    </row>
    <row r="660" spans="1:8" s="46" customFormat="1" x14ac:dyDescent="0.35">
      <c r="A660" s="26"/>
      <c r="B660" s="26"/>
      <c r="C660" s="26"/>
      <c r="D660" s="26"/>
      <c r="E660" s="26"/>
      <c r="F660" s="26"/>
      <c r="G660" s="26"/>
      <c r="H660" s="26"/>
    </row>
    <row r="661" spans="1:8" s="46" customFormat="1" x14ac:dyDescent="0.35">
      <c r="A661" s="26"/>
      <c r="B661" s="26"/>
      <c r="C661" s="26"/>
      <c r="D661" s="26"/>
      <c r="E661" s="26"/>
      <c r="F661" s="26"/>
      <c r="G661" s="26"/>
      <c r="H661" s="26"/>
    </row>
    <row r="662" spans="1:8" s="46" customFormat="1" x14ac:dyDescent="0.35">
      <c r="A662" s="26"/>
      <c r="B662" s="26"/>
      <c r="C662" s="26"/>
      <c r="D662" s="26"/>
      <c r="E662" s="26"/>
      <c r="F662" s="26"/>
      <c r="G662" s="26"/>
      <c r="H662" s="26"/>
    </row>
    <row r="663" spans="1:8" s="46" customFormat="1" x14ac:dyDescent="0.35">
      <c r="A663" s="26"/>
      <c r="B663" s="26"/>
      <c r="C663" s="26"/>
      <c r="D663" s="26"/>
      <c r="E663" s="26"/>
      <c r="F663" s="26"/>
      <c r="G663" s="26"/>
      <c r="H663" s="26"/>
    </row>
    <row r="664" spans="1:8" s="46" customFormat="1" x14ac:dyDescent="0.35">
      <c r="A664" s="26"/>
      <c r="B664" s="26"/>
      <c r="C664" s="26"/>
      <c r="D664" s="26"/>
      <c r="E664" s="26"/>
      <c r="F664" s="26"/>
      <c r="G664" s="26"/>
      <c r="H664" s="26"/>
    </row>
    <row r="665" spans="1:8" s="46" customFormat="1" x14ac:dyDescent="0.35">
      <c r="A665" s="26"/>
      <c r="B665" s="26"/>
      <c r="C665" s="26"/>
      <c r="D665" s="26"/>
      <c r="E665" s="26"/>
      <c r="F665" s="26"/>
      <c r="G665" s="26"/>
      <c r="H665" s="26"/>
    </row>
    <row r="666" spans="1:8" s="46" customFormat="1" x14ac:dyDescent="0.35">
      <c r="A666" s="26"/>
      <c r="B666" s="26"/>
      <c r="C666" s="26"/>
      <c r="D666" s="26"/>
      <c r="E666" s="26"/>
      <c r="F666" s="26"/>
      <c r="G666" s="26"/>
      <c r="H666" s="26"/>
    </row>
    <row r="667" spans="1:8" s="46" customFormat="1" x14ac:dyDescent="0.35">
      <c r="A667" s="26"/>
      <c r="B667" s="26"/>
      <c r="C667" s="26"/>
      <c r="D667" s="26"/>
      <c r="E667" s="26"/>
      <c r="F667" s="26"/>
      <c r="G667" s="26"/>
      <c r="H667" s="26"/>
    </row>
    <row r="668" spans="1:8" s="46" customFormat="1" x14ac:dyDescent="0.35">
      <c r="A668" s="26"/>
      <c r="B668" s="26"/>
      <c r="C668" s="26"/>
      <c r="D668" s="26"/>
      <c r="E668" s="26"/>
      <c r="F668" s="26"/>
      <c r="G668" s="26"/>
      <c r="H668" s="26"/>
    </row>
    <row r="669" spans="1:8" s="46" customFormat="1" x14ac:dyDescent="0.35">
      <c r="A669" s="26"/>
      <c r="B669" s="26"/>
      <c r="C669" s="26"/>
      <c r="D669" s="26"/>
      <c r="E669" s="26"/>
      <c r="F669" s="26"/>
      <c r="G669" s="26"/>
      <c r="H669" s="26"/>
    </row>
    <row r="670" spans="1:8" s="46" customFormat="1" x14ac:dyDescent="0.35">
      <c r="A670" s="26"/>
      <c r="B670" s="26"/>
      <c r="C670" s="26"/>
      <c r="D670" s="26"/>
      <c r="E670" s="26"/>
      <c r="F670" s="26"/>
      <c r="G670" s="26"/>
      <c r="H670" s="26"/>
    </row>
    <row r="671" spans="1:8" s="46" customFormat="1" x14ac:dyDescent="0.35">
      <c r="A671" s="26"/>
      <c r="B671" s="26"/>
      <c r="C671" s="26"/>
      <c r="D671" s="26"/>
      <c r="E671" s="26"/>
      <c r="F671" s="26"/>
      <c r="G671" s="26"/>
      <c r="H671" s="26"/>
    </row>
    <row r="672" spans="1:8" s="46" customFormat="1" x14ac:dyDescent="0.35">
      <c r="A672" s="26"/>
      <c r="B672" s="26"/>
      <c r="C672" s="26"/>
      <c r="D672" s="26"/>
      <c r="E672" s="26"/>
      <c r="F672" s="26"/>
      <c r="G672" s="26"/>
      <c r="H672" s="26"/>
    </row>
    <row r="673" spans="1:8" s="46" customFormat="1" x14ac:dyDescent="0.35">
      <c r="A673" s="26"/>
      <c r="B673" s="26"/>
      <c r="C673" s="26"/>
      <c r="D673" s="26"/>
      <c r="E673" s="26"/>
      <c r="F673" s="26"/>
      <c r="G673" s="26"/>
      <c r="H673" s="26"/>
    </row>
    <row r="674" spans="1:8" s="46" customFormat="1" x14ac:dyDescent="0.35">
      <c r="A674" s="26"/>
      <c r="B674" s="26"/>
      <c r="C674" s="26"/>
      <c r="D674" s="26"/>
      <c r="E674" s="26"/>
      <c r="F674" s="26"/>
      <c r="G674" s="26"/>
      <c r="H674" s="26"/>
    </row>
    <row r="675" spans="1:8" s="46" customFormat="1" x14ac:dyDescent="0.35">
      <c r="A675" s="26"/>
      <c r="B675" s="26"/>
      <c r="C675" s="26"/>
      <c r="D675" s="26"/>
      <c r="E675" s="26"/>
      <c r="F675" s="26"/>
      <c r="G675" s="26"/>
      <c r="H675" s="26"/>
    </row>
    <row r="676" spans="1:8" s="46" customFormat="1" x14ac:dyDescent="0.35">
      <c r="A676" s="26"/>
      <c r="B676" s="26"/>
      <c r="C676" s="26"/>
      <c r="D676" s="26"/>
      <c r="E676" s="26"/>
      <c r="F676" s="26"/>
      <c r="G676" s="26"/>
      <c r="H676" s="26"/>
    </row>
    <row r="677" spans="1:8" s="46" customFormat="1" x14ac:dyDescent="0.35">
      <c r="A677" s="26"/>
      <c r="B677" s="26"/>
      <c r="C677" s="26"/>
      <c r="D677" s="26"/>
      <c r="E677" s="26"/>
      <c r="F677" s="26"/>
      <c r="G677" s="26"/>
      <c r="H677" s="26"/>
    </row>
    <row r="678" spans="1:8" s="46" customFormat="1" x14ac:dyDescent="0.35">
      <c r="A678" s="26"/>
      <c r="B678" s="26"/>
      <c r="C678" s="26"/>
      <c r="D678" s="26"/>
      <c r="E678" s="26"/>
      <c r="F678" s="26"/>
      <c r="G678" s="26"/>
      <c r="H678" s="26"/>
    </row>
    <row r="679" spans="1:8" s="46" customFormat="1" x14ac:dyDescent="0.35">
      <c r="A679" s="26"/>
      <c r="B679" s="26"/>
      <c r="C679" s="26"/>
      <c r="D679" s="26"/>
      <c r="E679" s="26"/>
      <c r="F679" s="26"/>
      <c r="G679" s="26"/>
      <c r="H679" s="26"/>
    </row>
    <row r="680" spans="1:8" s="46" customFormat="1" x14ac:dyDescent="0.35">
      <c r="A680" s="26"/>
      <c r="B680" s="26"/>
      <c r="C680" s="26"/>
      <c r="D680" s="26"/>
      <c r="E680" s="26"/>
      <c r="F680" s="26"/>
      <c r="G680" s="26"/>
      <c r="H680" s="26"/>
    </row>
    <row r="681" spans="1:8" s="46" customFormat="1" x14ac:dyDescent="0.35">
      <c r="A681" s="26"/>
      <c r="B681" s="26"/>
      <c r="C681" s="26"/>
      <c r="D681" s="26"/>
      <c r="E681" s="26"/>
      <c r="F681" s="26"/>
      <c r="G681" s="26"/>
      <c r="H681" s="26"/>
    </row>
    <row r="682" spans="1:8" s="46" customFormat="1" x14ac:dyDescent="0.35">
      <c r="A682" s="26"/>
      <c r="B682" s="26"/>
      <c r="C682" s="26"/>
      <c r="D682" s="26"/>
      <c r="E682" s="26"/>
      <c r="F682" s="26"/>
      <c r="G682" s="26"/>
      <c r="H682" s="26"/>
    </row>
    <row r="683" spans="1:8" s="46" customFormat="1" x14ac:dyDescent="0.35">
      <c r="A683" s="26"/>
      <c r="B683" s="26"/>
      <c r="C683" s="26"/>
      <c r="D683" s="26"/>
      <c r="E683" s="26"/>
      <c r="F683" s="26"/>
      <c r="G683" s="26"/>
      <c r="H683" s="26"/>
    </row>
    <row r="684" spans="1:8" s="46" customFormat="1" x14ac:dyDescent="0.35">
      <c r="A684" s="26"/>
      <c r="B684" s="26"/>
      <c r="C684" s="26"/>
      <c r="D684" s="26"/>
      <c r="E684" s="26"/>
      <c r="F684" s="26"/>
      <c r="G684" s="26"/>
      <c r="H684" s="26"/>
    </row>
    <row r="685" spans="1:8" s="46" customFormat="1" x14ac:dyDescent="0.35">
      <c r="A685" s="26"/>
      <c r="B685" s="26"/>
      <c r="C685" s="26"/>
      <c r="D685" s="26"/>
      <c r="E685" s="26"/>
      <c r="F685" s="26"/>
      <c r="G685" s="26"/>
      <c r="H685" s="26"/>
    </row>
    <row r="686" spans="1:8" s="46" customFormat="1" x14ac:dyDescent="0.35">
      <c r="A686" s="26"/>
      <c r="B686" s="26"/>
      <c r="C686" s="26"/>
      <c r="D686" s="26"/>
      <c r="E686" s="26"/>
      <c r="F686" s="26"/>
      <c r="G686" s="26"/>
      <c r="H686" s="26"/>
    </row>
    <row r="687" spans="1:8" s="46" customFormat="1" x14ac:dyDescent="0.35">
      <c r="A687" s="26"/>
      <c r="B687" s="26"/>
      <c r="C687" s="26"/>
      <c r="D687" s="26"/>
      <c r="E687" s="26"/>
      <c r="F687" s="26"/>
      <c r="G687" s="26"/>
      <c r="H687" s="26"/>
    </row>
    <row r="688" spans="1:8" s="46" customFormat="1" x14ac:dyDescent="0.35">
      <c r="A688" s="26"/>
      <c r="B688" s="26"/>
      <c r="C688" s="26"/>
      <c r="D688" s="26"/>
      <c r="E688" s="26"/>
      <c r="F688" s="26"/>
      <c r="G688" s="26"/>
      <c r="H688" s="26"/>
    </row>
    <row r="689" spans="1:8" s="46" customFormat="1" x14ac:dyDescent="0.35">
      <c r="A689" s="26"/>
      <c r="B689" s="26"/>
      <c r="C689" s="26"/>
      <c r="D689" s="26"/>
      <c r="E689" s="26"/>
      <c r="F689" s="26"/>
      <c r="G689" s="26"/>
      <c r="H689" s="26"/>
    </row>
    <row r="690" spans="1:8" s="46" customFormat="1" x14ac:dyDescent="0.35">
      <c r="A690" s="26"/>
      <c r="B690" s="26"/>
      <c r="C690" s="26"/>
      <c r="D690" s="26"/>
      <c r="E690" s="26"/>
      <c r="F690" s="26"/>
      <c r="G690" s="26"/>
      <c r="H690" s="26"/>
    </row>
    <row r="691" spans="1:8" s="46" customFormat="1" x14ac:dyDescent="0.35">
      <c r="A691" s="26"/>
      <c r="B691" s="26"/>
      <c r="C691" s="26"/>
      <c r="D691" s="26"/>
      <c r="E691" s="26"/>
      <c r="F691" s="26"/>
      <c r="G691" s="26"/>
      <c r="H691" s="26"/>
    </row>
    <row r="692" spans="1:8" s="46" customFormat="1" x14ac:dyDescent="0.35">
      <c r="A692" s="26"/>
      <c r="B692" s="26"/>
      <c r="C692" s="26"/>
      <c r="D692" s="26"/>
      <c r="E692" s="26"/>
      <c r="F692" s="26"/>
      <c r="G692" s="26"/>
      <c r="H692" s="26"/>
    </row>
    <row r="693" spans="1:8" s="46" customFormat="1" x14ac:dyDescent="0.35">
      <c r="A693" s="26"/>
      <c r="B693" s="26"/>
      <c r="C693" s="26"/>
      <c r="D693" s="26"/>
      <c r="E693" s="26"/>
      <c r="F693" s="26"/>
      <c r="G693" s="26"/>
      <c r="H693" s="26"/>
    </row>
    <row r="694" spans="1:8" s="46" customFormat="1" x14ac:dyDescent="0.35">
      <c r="A694" s="26"/>
      <c r="B694" s="26"/>
      <c r="C694" s="26"/>
      <c r="D694" s="26"/>
      <c r="E694" s="26"/>
      <c r="F694" s="26"/>
      <c r="G694" s="26"/>
      <c r="H694" s="26"/>
    </row>
    <row r="695" spans="1:8" s="46" customFormat="1" x14ac:dyDescent="0.35">
      <c r="A695" s="26"/>
      <c r="B695" s="26"/>
      <c r="C695" s="26"/>
      <c r="D695" s="26"/>
      <c r="E695" s="26"/>
      <c r="F695" s="26"/>
      <c r="G695" s="26"/>
      <c r="H695" s="26"/>
    </row>
    <row r="696" spans="1:8" s="46" customFormat="1" x14ac:dyDescent="0.35">
      <c r="A696" s="26"/>
      <c r="B696" s="26"/>
      <c r="C696" s="26"/>
      <c r="D696" s="26"/>
      <c r="E696" s="26"/>
      <c r="F696" s="26"/>
      <c r="G696" s="26"/>
      <c r="H696" s="26"/>
    </row>
    <row r="697" spans="1:8" s="46" customFormat="1" x14ac:dyDescent="0.35">
      <c r="A697" s="26"/>
      <c r="B697" s="26"/>
      <c r="C697" s="26"/>
      <c r="D697" s="26"/>
      <c r="E697" s="26"/>
      <c r="F697" s="26"/>
      <c r="G697" s="26"/>
      <c r="H697" s="26"/>
    </row>
    <row r="698" spans="1:8" s="46" customFormat="1" x14ac:dyDescent="0.35">
      <c r="A698" s="26"/>
      <c r="B698" s="26"/>
      <c r="C698" s="26"/>
      <c r="D698" s="26"/>
      <c r="E698" s="26"/>
      <c r="F698" s="26"/>
      <c r="G698" s="26"/>
      <c r="H698" s="26"/>
    </row>
    <row r="699" spans="1:8" s="46" customFormat="1" x14ac:dyDescent="0.35">
      <c r="A699" s="26"/>
      <c r="B699" s="26"/>
      <c r="C699" s="26"/>
      <c r="D699" s="26"/>
      <c r="E699" s="26"/>
      <c r="F699" s="26"/>
      <c r="G699" s="26"/>
      <c r="H699" s="26"/>
    </row>
    <row r="700" spans="1:8" s="46" customFormat="1" x14ac:dyDescent="0.35">
      <c r="A700" s="26"/>
      <c r="B700" s="26"/>
      <c r="C700" s="26"/>
      <c r="D700" s="26"/>
      <c r="E700" s="26"/>
      <c r="F700" s="26"/>
      <c r="G700" s="26"/>
      <c r="H700" s="26"/>
    </row>
    <row r="701" spans="1:8" s="46" customFormat="1" x14ac:dyDescent="0.35">
      <c r="A701" s="26"/>
      <c r="B701" s="26"/>
      <c r="C701" s="26"/>
      <c r="D701" s="26"/>
      <c r="E701" s="26"/>
      <c r="F701" s="26"/>
      <c r="G701" s="26"/>
      <c r="H701" s="26"/>
    </row>
    <row r="702" spans="1:8" s="46" customFormat="1" x14ac:dyDescent="0.35">
      <c r="A702" s="26"/>
      <c r="B702" s="26"/>
      <c r="C702" s="26"/>
      <c r="D702" s="26"/>
      <c r="E702" s="26"/>
      <c r="F702" s="26"/>
      <c r="G702" s="26"/>
      <c r="H702" s="26"/>
    </row>
    <row r="703" spans="1:8" s="46" customFormat="1" x14ac:dyDescent="0.35">
      <c r="A703" s="26"/>
      <c r="B703" s="26"/>
      <c r="C703" s="26"/>
      <c r="D703" s="26"/>
      <c r="E703" s="26"/>
      <c r="F703" s="26"/>
      <c r="G703" s="26"/>
      <c r="H703" s="26"/>
    </row>
    <row r="704" spans="1:8" s="46" customFormat="1" x14ac:dyDescent="0.35">
      <c r="A704" s="26"/>
      <c r="B704" s="26"/>
      <c r="C704" s="26"/>
      <c r="D704" s="26"/>
      <c r="E704" s="26"/>
      <c r="F704" s="26"/>
      <c r="G704" s="26"/>
      <c r="H704" s="26"/>
    </row>
    <row r="705" spans="1:8" s="46" customFormat="1" x14ac:dyDescent="0.35">
      <c r="A705" s="26"/>
      <c r="B705" s="26"/>
      <c r="C705" s="26"/>
      <c r="D705" s="26"/>
      <c r="E705" s="26"/>
      <c r="F705" s="26"/>
      <c r="G705" s="26"/>
      <c r="H705" s="26"/>
    </row>
    <row r="706" spans="1:8" s="46" customFormat="1" x14ac:dyDescent="0.35">
      <c r="A706" s="26"/>
      <c r="B706" s="26"/>
      <c r="C706" s="26"/>
      <c r="D706" s="26"/>
      <c r="E706" s="26"/>
      <c r="F706" s="26"/>
      <c r="G706" s="26"/>
      <c r="H706" s="26"/>
    </row>
    <row r="707" spans="1:8" s="46" customFormat="1" x14ac:dyDescent="0.35">
      <c r="A707" s="26"/>
      <c r="B707" s="26"/>
      <c r="C707" s="26"/>
      <c r="D707" s="26"/>
      <c r="E707" s="26"/>
      <c r="F707" s="26"/>
      <c r="G707" s="26"/>
      <c r="H707" s="26"/>
    </row>
    <row r="708" spans="1:8" s="46" customFormat="1" x14ac:dyDescent="0.35">
      <c r="A708" s="26"/>
      <c r="B708" s="26"/>
      <c r="C708" s="26"/>
      <c r="D708" s="26"/>
      <c r="E708" s="26"/>
      <c r="F708" s="26"/>
      <c r="G708" s="26"/>
      <c r="H708" s="26"/>
    </row>
    <row r="709" spans="1:8" s="46" customFormat="1" x14ac:dyDescent="0.35">
      <c r="A709" s="26"/>
      <c r="B709" s="26"/>
      <c r="C709" s="26"/>
      <c r="D709" s="26"/>
      <c r="E709" s="26"/>
      <c r="F709" s="26"/>
      <c r="G709" s="26"/>
      <c r="H709" s="26"/>
    </row>
    <row r="710" spans="1:8" s="46" customFormat="1" x14ac:dyDescent="0.35">
      <c r="A710" s="26"/>
      <c r="B710" s="26"/>
      <c r="C710" s="26"/>
      <c r="D710" s="26"/>
      <c r="E710" s="26"/>
      <c r="F710" s="26"/>
      <c r="G710" s="26"/>
      <c r="H710" s="26"/>
    </row>
    <row r="711" spans="1:8" s="46" customFormat="1" x14ac:dyDescent="0.35">
      <c r="A711" s="26"/>
      <c r="B711" s="26"/>
      <c r="C711" s="26"/>
      <c r="D711" s="26"/>
      <c r="E711" s="26"/>
      <c r="F711" s="26"/>
      <c r="G711" s="26"/>
      <c r="H711" s="26"/>
    </row>
    <row r="712" spans="1:8" s="46" customFormat="1" x14ac:dyDescent="0.35">
      <c r="A712" s="26"/>
      <c r="B712" s="26"/>
      <c r="C712" s="26"/>
      <c r="D712" s="26"/>
      <c r="E712" s="26"/>
      <c r="F712" s="26"/>
      <c r="G712" s="26"/>
      <c r="H712" s="26"/>
    </row>
    <row r="713" spans="1:8" s="46" customFormat="1" x14ac:dyDescent="0.35">
      <c r="A713" s="26"/>
      <c r="B713" s="26"/>
      <c r="C713" s="26"/>
      <c r="D713" s="26"/>
      <c r="E713" s="26"/>
      <c r="F713" s="26"/>
      <c r="G713" s="26"/>
      <c r="H713" s="26"/>
    </row>
    <row r="714" spans="1:8" s="46" customFormat="1" x14ac:dyDescent="0.35">
      <c r="A714" s="26"/>
      <c r="B714" s="26"/>
      <c r="C714" s="26"/>
      <c r="D714" s="26"/>
      <c r="E714" s="26"/>
      <c r="F714" s="26"/>
      <c r="G714" s="26"/>
      <c r="H714" s="26"/>
    </row>
    <row r="715" spans="1:8" s="46" customFormat="1" x14ac:dyDescent="0.35">
      <c r="A715" s="26"/>
      <c r="B715" s="26"/>
      <c r="C715" s="26"/>
      <c r="D715" s="26"/>
      <c r="E715" s="26"/>
      <c r="F715" s="26"/>
      <c r="G715" s="26"/>
      <c r="H715" s="26"/>
    </row>
    <row r="716" spans="1:8" s="46" customFormat="1" x14ac:dyDescent="0.35">
      <c r="A716" s="26"/>
      <c r="B716" s="26"/>
      <c r="C716" s="26"/>
      <c r="D716" s="26"/>
      <c r="E716" s="26"/>
      <c r="F716" s="26"/>
      <c r="G716" s="26"/>
      <c r="H716" s="26"/>
    </row>
    <row r="717" spans="1:8" s="46" customFormat="1" x14ac:dyDescent="0.35">
      <c r="A717" s="26"/>
      <c r="B717" s="26"/>
      <c r="C717" s="26"/>
      <c r="D717" s="26"/>
      <c r="E717" s="26"/>
      <c r="F717" s="26"/>
      <c r="G717" s="26"/>
      <c r="H717" s="26"/>
    </row>
    <row r="718" spans="1:8" s="46" customFormat="1" x14ac:dyDescent="0.35">
      <c r="A718" s="26"/>
      <c r="B718" s="26"/>
      <c r="C718" s="26"/>
      <c r="D718" s="26"/>
      <c r="E718" s="26"/>
      <c r="F718" s="26"/>
      <c r="G718" s="26"/>
      <c r="H718" s="26"/>
    </row>
    <row r="719" spans="1:8" s="46" customFormat="1" x14ac:dyDescent="0.35">
      <c r="A719" s="26"/>
      <c r="B719" s="26"/>
      <c r="C719" s="26"/>
      <c r="D719" s="26"/>
      <c r="E719" s="26"/>
      <c r="F719" s="26"/>
      <c r="G719" s="26"/>
      <c r="H719" s="26"/>
    </row>
    <row r="720" spans="1:8" s="46" customFormat="1" x14ac:dyDescent="0.35">
      <c r="A720" s="26"/>
      <c r="B720" s="26"/>
      <c r="C720" s="26"/>
      <c r="D720" s="26"/>
      <c r="E720" s="26"/>
      <c r="F720" s="26"/>
      <c r="G720" s="26"/>
      <c r="H720" s="26"/>
    </row>
    <row r="721" spans="1:8" s="46" customFormat="1" x14ac:dyDescent="0.35">
      <c r="A721" s="26"/>
      <c r="B721" s="26"/>
      <c r="C721" s="26"/>
      <c r="D721" s="26"/>
      <c r="E721" s="26"/>
      <c r="F721" s="26"/>
      <c r="G721" s="26"/>
      <c r="H721" s="26"/>
    </row>
    <row r="722" spans="1:8" s="46" customFormat="1" x14ac:dyDescent="0.35">
      <c r="A722" s="26"/>
      <c r="B722" s="26"/>
      <c r="C722" s="26"/>
      <c r="D722" s="26"/>
      <c r="E722" s="26"/>
      <c r="F722" s="26"/>
      <c r="G722" s="26"/>
      <c r="H722" s="26"/>
    </row>
    <row r="723" spans="1:8" s="46" customFormat="1" x14ac:dyDescent="0.35">
      <c r="A723" s="26"/>
      <c r="B723" s="26"/>
      <c r="C723" s="26"/>
      <c r="D723" s="26"/>
      <c r="E723" s="26"/>
      <c r="F723" s="26"/>
      <c r="G723" s="26"/>
      <c r="H723" s="26"/>
    </row>
    <row r="724" spans="1:8" s="46" customFormat="1" x14ac:dyDescent="0.35">
      <c r="A724" s="26"/>
      <c r="B724" s="26"/>
      <c r="C724" s="26"/>
      <c r="D724" s="26"/>
      <c r="E724" s="26"/>
      <c r="F724" s="26"/>
      <c r="G724" s="26"/>
      <c r="H724" s="26"/>
    </row>
    <row r="725" spans="1:8" s="46" customFormat="1" x14ac:dyDescent="0.35">
      <c r="A725" s="26"/>
      <c r="B725" s="26"/>
      <c r="C725" s="26"/>
      <c r="D725" s="26"/>
      <c r="E725" s="26"/>
      <c r="F725" s="26"/>
      <c r="G725" s="26"/>
      <c r="H725" s="26"/>
    </row>
    <row r="726" spans="1:8" s="46" customFormat="1" x14ac:dyDescent="0.35">
      <c r="A726" s="26"/>
      <c r="B726" s="26"/>
      <c r="C726" s="26"/>
      <c r="D726" s="26"/>
      <c r="E726" s="26"/>
      <c r="F726" s="26"/>
      <c r="G726" s="26"/>
      <c r="H726" s="26"/>
    </row>
    <row r="727" spans="1:8" s="46" customFormat="1" x14ac:dyDescent="0.35">
      <c r="A727" s="26"/>
      <c r="B727" s="26"/>
      <c r="C727" s="26"/>
      <c r="D727" s="26"/>
      <c r="E727" s="26"/>
      <c r="F727" s="26"/>
      <c r="G727" s="26"/>
      <c r="H727" s="26"/>
    </row>
    <row r="728" spans="1:8" s="46" customFormat="1" x14ac:dyDescent="0.35">
      <c r="A728" s="26"/>
      <c r="B728" s="26"/>
      <c r="C728" s="26"/>
      <c r="D728" s="26"/>
      <c r="E728" s="26"/>
      <c r="F728" s="26"/>
      <c r="G728" s="26"/>
      <c r="H728" s="26"/>
    </row>
    <row r="729" spans="1:8" s="46" customFormat="1" x14ac:dyDescent="0.35">
      <c r="A729" s="26"/>
      <c r="B729" s="26"/>
      <c r="C729" s="26"/>
      <c r="D729" s="26"/>
      <c r="E729" s="26"/>
      <c r="F729" s="26"/>
      <c r="G729" s="26"/>
      <c r="H729" s="26"/>
    </row>
    <row r="730" spans="1:8" s="46" customFormat="1" x14ac:dyDescent="0.35">
      <c r="A730" s="26"/>
      <c r="B730" s="26"/>
      <c r="C730" s="26"/>
      <c r="D730" s="26"/>
      <c r="E730" s="26"/>
      <c r="F730" s="26"/>
      <c r="G730" s="26"/>
      <c r="H730" s="26"/>
    </row>
    <row r="731" spans="1:8" s="46" customFormat="1" x14ac:dyDescent="0.35">
      <c r="A731" s="26"/>
      <c r="B731" s="26"/>
      <c r="C731" s="26"/>
      <c r="D731" s="26"/>
      <c r="E731" s="26"/>
      <c r="F731" s="26"/>
      <c r="G731" s="26"/>
      <c r="H731" s="26"/>
    </row>
    <row r="732" spans="1:8" s="46" customFormat="1" x14ac:dyDescent="0.35">
      <c r="A732" s="26"/>
      <c r="B732" s="26"/>
      <c r="C732" s="26"/>
      <c r="D732" s="26"/>
      <c r="E732" s="26"/>
      <c r="F732" s="26"/>
      <c r="G732" s="26"/>
      <c r="H732" s="26"/>
    </row>
    <row r="733" spans="1:8" s="46" customFormat="1" x14ac:dyDescent="0.35">
      <c r="A733" s="26"/>
      <c r="B733" s="26"/>
      <c r="C733" s="26"/>
      <c r="D733" s="26"/>
      <c r="E733" s="26"/>
      <c r="F733" s="26"/>
      <c r="G733" s="26"/>
      <c r="H733" s="26"/>
    </row>
    <row r="734" spans="1:8" s="46" customFormat="1" x14ac:dyDescent="0.35">
      <c r="A734" s="26"/>
      <c r="B734" s="26"/>
      <c r="C734" s="26"/>
      <c r="D734" s="26"/>
      <c r="E734" s="26"/>
      <c r="F734" s="26"/>
      <c r="G734" s="26"/>
      <c r="H734" s="26"/>
    </row>
    <row r="735" spans="1:8" s="46" customFormat="1" x14ac:dyDescent="0.35">
      <c r="A735" s="26"/>
      <c r="B735" s="26"/>
      <c r="C735" s="26"/>
      <c r="D735" s="26"/>
      <c r="E735" s="26"/>
      <c r="F735" s="26"/>
      <c r="G735" s="26"/>
      <c r="H735" s="26"/>
    </row>
    <row r="736" spans="1:8" s="46" customFormat="1" x14ac:dyDescent="0.35">
      <c r="A736" s="26"/>
      <c r="B736" s="26"/>
      <c r="C736" s="26"/>
      <c r="D736" s="26"/>
      <c r="E736" s="26"/>
      <c r="F736" s="26"/>
      <c r="G736" s="26"/>
      <c r="H736" s="26"/>
    </row>
    <row r="737" spans="1:8" s="46" customFormat="1" x14ac:dyDescent="0.35">
      <c r="A737" s="26"/>
      <c r="B737" s="26"/>
      <c r="C737" s="26"/>
      <c r="D737" s="26"/>
      <c r="E737" s="26"/>
      <c r="F737" s="26"/>
      <c r="G737" s="26"/>
      <c r="H737" s="26"/>
    </row>
    <row r="738" spans="1:8" s="46" customFormat="1" x14ac:dyDescent="0.35">
      <c r="A738" s="26"/>
      <c r="B738" s="26"/>
      <c r="C738" s="26"/>
      <c r="D738" s="26"/>
      <c r="E738" s="26"/>
      <c r="F738" s="26"/>
      <c r="G738" s="26"/>
      <c r="H738" s="26"/>
    </row>
    <row r="739" spans="1:8" s="46" customFormat="1" x14ac:dyDescent="0.35">
      <c r="A739" s="26"/>
      <c r="B739" s="26"/>
      <c r="C739" s="26"/>
      <c r="D739" s="26"/>
      <c r="E739" s="26"/>
      <c r="F739" s="26"/>
      <c r="G739" s="26"/>
      <c r="H739" s="26"/>
    </row>
    <row r="740" spans="1:8" s="46" customFormat="1" x14ac:dyDescent="0.35">
      <c r="A740" s="26"/>
      <c r="B740" s="26"/>
      <c r="C740" s="26"/>
      <c r="D740" s="26"/>
      <c r="E740" s="26"/>
      <c r="F740" s="26"/>
      <c r="G740" s="26"/>
      <c r="H740" s="26"/>
    </row>
    <row r="741" spans="1:8" s="46" customFormat="1" x14ac:dyDescent="0.35">
      <c r="A741" s="26"/>
      <c r="B741" s="26"/>
      <c r="C741" s="26"/>
      <c r="D741" s="26"/>
      <c r="E741" s="26"/>
      <c r="F741" s="26"/>
      <c r="G741" s="26"/>
      <c r="H741" s="26"/>
    </row>
    <row r="742" spans="1:8" s="46" customFormat="1" x14ac:dyDescent="0.35">
      <c r="A742" s="26"/>
      <c r="B742" s="26"/>
      <c r="C742" s="26"/>
      <c r="D742" s="26"/>
      <c r="E742" s="26"/>
      <c r="F742" s="26"/>
      <c r="G742" s="26"/>
      <c r="H742" s="26"/>
    </row>
    <row r="743" spans="1:8" s="46" customFormat="1" x14ac:dyDescent="0.35">
      <c r="A743" s="26"/>
      <c r="B743" s="26"/>
      <c r="C743" s="26"/>
      <c r="D743" s="26"/>
      <c r="E743" s="26"/>
      <c r="F743" s="26"/>
      <c r="G743" s="26"/>
      <c r="H743" s="26"/>
    </row>
    <row r="744" spans="1:8" s="46" customFormat="1" x14ac:dyDescent="0.35">
      <c r="A744" s="26"/>
      <c r="B744" s="26"/>
      <c r="C744" s="26"/>
      <c r="D744" s="26"/>
      <c r="E744" s="26"/>
      <c r="F744" s="26"/>
      <c r="G744" s="26"/>
      <c r="H744" s="26"/>
    </row>
    <row r="745" spans="1:8" s="46" customFormat="1" x14ac:dyDescent="0.35">
      <c r="A745" s="26"/>
      <c r="B745" s="26"/>
      <c r="C745" s="26"/>
      <c r="D745" s="26"/>
      <c r="E745" s="26"/>
      <c r="F745" s="26"/>
      <c r="G745" s="26"/>
      <c r="H745" s="26"/>
    </row>
    <row r="746" spans="1:8" s="46" customFormat="1" x14ac:dyDescent="0.35">
      <c r="A746" s="26"/>
      <c r="B746" s="26"/>
      <c r="C746" s="26"/>
      <c r="D746" s="26"/>
      <c r="E746" s="26"/>
      <c r="F746" s="26"/>
      <c r="G746" s="26"/>
      <c r="H746" s="26"/>
    </row>
    <row r="747" spans="1:8" s="46" customFormat="1" x14ac:dyDescent="0.35">
      <c r="A747" s="26"/>
      <c r="B747" s="26"/>
      <c r="C747" s="26"/>
      <c r="D747" s="26"/>
      <c r="E747" s="26"/>
      <c r="F747" s="26"/>
      <c r="G747" s="26"/>
      <c r="H747" s="26"/>
    </row>
    <row r="748" spans="1:8" s="46" customFormat="1" x14ac:dyDescent="0.35">
      <c r="A748" s="26"/>
      <c r="B748" s="26"/>
      <c r="C748" s="26"/>
      <c r="D748" s="26"/>
      <c r="E748" s="26"/>
      <c r="F748" s="26"/>
      <c r="G748" s="26"/>
      <c r="H748" s="26"/>
    </row>
    <row r="749" spans="1:8" s="46" customFormat="1" x14ac:dyDescent="0.35">
      <c r="A749" s="26"/>
      <c r="B749" s="26"/>
      <c r="C749" s="26"/>
      <c r="D749" s="26"/>
      <c r="E749" s="26"/>
      <c r="F749" s="26"/>
      <c r="G749" s="26"/>
      <c r="H749" s="26"/>
    </row>
    <row r="750" spans="1:8" s="46" customFormat="1" x14ac:dyDescent="0.35">
      <c r="A750" s="26"/>
      <c r="B750" s="26"/>
      <c r="C750" s="26"/>
      <c r="D750" s="26"/>
      <c r="E750" s="26"/>
      <c r="F750" s="26"/>
      <c r="G750" s="26"/>
      <c r="H750" s="26"/>
    </row>
    <row r="751" spans="1:8" s="46" customFormat="1" x14ac:dyDescent="0.35">
      <c r="A751" s="26"/>
      <c r="B751" s="26"/>
      <c r="C751" s="26"/>
      <c r="D751" s="26"/>
      <c r="E751" s="26"/>
      <c r="F751" s="26"/>
      <c r="G751" s="26"/>
      <c r="H751" s="26"/>
    </row>
    <row r="752" spans="1:8" s="46" customFormat="1" x14ac:dyDescent="0.35">
      <c r="A752" s="26"/>
      <c r="B752" s="26"/>
      <c r="C752" s="26"/>
      <c r="D752" s="26"/>
      <c r="E752" s="26"/>
      <c r="F752" s="26"/>
      <c r="G752" s="26"/>
      <c r="H752" s="26"/>
    </row>
    <row r="753" spans="1:8" s="46" customFormat="1" x14ac:dyDescent="0.35">
      <c r="A753" s="26"/>
      <c r="B753" s="26"/>
      <c r="C753" s="26"/>
      <c r="D753" s="26"/>
      <c r="E753" s="26"/>
      <c r="F753" s="26"/>
      <c r="G753" s="26"/>
      <c r="H753" s="26"/>
    </row>
    <row r="754" spans="1:8" s="46" customFormat="1" x14ac:dyDescent="0.35">
      <c r="A754" s="26"/>
      <c r="B754" s="26"/>
      <c r="C754" s="26"/>
      <c r="D754" s="26"/>
      <c r="E754" s="26"/>
      <c r="F754" s="26"/>
      <c r="G754" s="26"/>
      <c r="H754" s="26"/>
    </row>
    <row r="755" spans="1:8" s="46" customFormat="1" x14ac:dyDescent="0.35">
      <c r="A755" s="26"/>
      <c r="B755" s="26"/>
      <c r="C755" s="26"/>
      <c r="D755" s="26"/>
      <c r="E755" s="26"/>
      <c r="F755" s="26"/>
      <c r="G755" s="26"/>
      <c r="H755" s="26"/>
    </row>
    <row r="756" spans="1:8" s="46" customFormat="1" x14ac:dyDescent="0.35">
      <c r="A756" s="26"/>
      <c r="B756" s="26"/>
      <c r="C756" s="26"/>
      <c r="D756" s="26"/>
      <c r="E756" s="26"/>
      <c r="F756" s="26"/>
      <c r="G756" s="26"/>
      <c r="H756" s="26"/>
    </row>
    <row r="757" spans="1:8" s="46" customFormat="1" x14ac:dyDescent="0.35">
      <c r="A757" s="26"/>
      <c r="B757" s="26"/>
      <c r="C757" s="26"/>
      <c r="D757" s="26"/>
      <c r="E757" s="26"/>
      <c r="F757" s="26"/>
      <c r="G757" s="26"/>
      <c r="H757" s="26"/>
    </row>
    <row r="758" spans="1:8" s="46" customFormat="1" x14ac:dyDescent="0.35">
      <c r="A758" s="26"/>
      <c r="B758" s="26"/>
      <c r="C758" s="26"/>
      <c r="D758" s="26"/>
      <c r="E758" s="26"/>
      <c r="F758" s="26"/>
      <c r="G758" s="26"/>
      <c r="H758" s="26"/>
    </row>
    <row r="759" spans="1:8" s="46" customFormat="1" x14ac:dyDescent="0.35">
      <c r="A759" s="26"/>
      <c r="B759" s="26"/>
      <c r="C759" s="26"/>
      <c r="D759" s="26"/>
      <c r="E759" s="26"/>
      <c r="F759" s="26"/>
      <c r="G759" s="26"/>
      <c r="H759" s="26"/>
    </row>
    <row r="760" spans="1:8" s="46" customFormat="1" x14ac:dyDescent="0.35">
      <c r="A760" s="26"/>
      <c r="B760" s="26"/>
      <c r="C760" s="26"/>
      <c r="D760" s="26"/>
      <c r="E760" s="26"/>
      <c r="F760" s="26"/>
      <c r="G760" s="26"/>
      <c r="H760" s="26"/>
    </row>
    <row r="761" spans="1:8" s="46" customFormat="1" x14ac:dyDescent="0.35">
      <c r="A761" s="26"/>
      <c r="B761" s="26"/>
      <c r="C761" s="26"/>
      <c r="D761" s="26"/>
      <c r="E761" s="26"/>
      <c r="F761" s="26"/>
      <c r="G761" s="26"/>
      <c r="H761" s="26"/>
    </row>
    <row r="762" spans="1:8" s="46" customFormat="1" x14ac:dyDescent="0.35">
      <c r="A762" s="26"/>
      <c r="B762" s="26"/>
      <c r="C762" s="26"/>
      <c r="D762" s="26"/>
      <c r="E762" s="26"/>
      <c r="F762" s="26"/>
      <c r="G762" s="26"/>
      <c r="H762" s="26"/>
    </row>
    <row r="763" spans="1:8" s="46" customFormat="1" x14ac:dyDescent="0.35">
      <c r="A763" s="26"/>
      <c r="B763" s="26"/>
      <c r="C763" s="26"/>
      <c r="D763" s="26"/>
      <c r="E763" s="26"/>
      <c r="F763" s="26"/>
      <c r="G763" s="26"/>
      <c r="H763" s="26"/>
    </row>
    <row r="764" spans="1:8" s="46" customFormat="1" x14ac:dyDescent="0.35">
      <c r="A764" s="26"/>
      <c r="B764" s="26"/>
      <c r="C764" s="26"/>
      <c r="D764" s="26"/>
      <c r="E764" s="26"/>
      <c r="F764" s="26"/>
      <c r="G764" s="26"/>
      <c r="H764" s="26"/>
    </row>
    <row r="765" spans="1:8" s="46" customFormat="1" x14ac:dyDescent="0.35">
      <c r="A765" s="26"/>
      <c r="B765" s="26"/>
      <c r="C765" s="26"/>
      <c r="D765" s="26"/>
      <c r="E765" s="26"/>
      <c r="F765" s="26"/>
      <c r="G765" s="26"/>
      <c r="H765" s="26"/>
    </row>
    <row r="766" spans="1:8" s="46" customFormat="1" x14ac:dyDescent="0.35">
      <c r="A766" s="26"/>
      <c r="B766" s="26"/>
      <c r="C766" s="26"/>
      <c r="D766" s="26"/>
      <c r="E766" s="26"/>
      <c r="F766" s="26"/>
      <c r="G766" s="26"/>
      <c r="H766" s="26"/>
    </row>
    <row r="767" spans="1:8" s="46" customFormat="1" x14ac:dyDescent="0.35">
      <c r="A767" s="26"/>
      <c r="B767" s="26"/>
      <c r="C767" s="26"/>
      <c r="D767" s="26"/>
      <c r="E767" s="26"/>
      <c r="F767" s="26"/>
      <c r="G767" s="26"/>
      <c r="H767" s="26"/>
    </row>
    <row r="768" spans="1:8" s="46" customFormat="1" x14ac:dyDescent="0.35">
      <c r="A768" s="26"/>
      <c r="B768" s="26"/>
      <c r="C768" s="26"/>
      <c r="D768" s="26"/>
      <c r="E768" s="26"/>
      <c r="F768" s="26"/>
      <c r="G768" s="26"/>
      <c r="H768" s="26"/>
    </row>
    <row r="769" spans="1:8" s="46" customFormat="1" x14ac:dyDescent="0.35">
      <c r="A769" s="26"/>
      <c r="B769" s="26"/>
      <c r="C769" s="26"/>
      <c r="D769" s="26"/>
      <c r="E769" s="26"/>
      <c r="F769" s="26"/>
      <c r="G769" s="26"/>
      <c r="H769" s="26"/>
    </row>
    <row r="770" spans="1:8" s="46" customFormat="1" x14ac:dyDescent="0.35">
      <c r="A770" s="26"/>
      <c r="B770" s="26"/>
      <c r="C770" s="26"/>
      <c r="D770" s="26"/>
      <c r="E770" s="26"/>
      <c r="F770" s="26"/>
      <c r="G770" s="26"/>
      <c r="H770" s="26"/>
    </row>
    <row r="771" spans="1:8" s="46" customFormat="1" x14ac:dyDescent="0.35">
      <c r="A771" s="26"/>
      <c r="B771" s="26"/>
      <c r="C771" s="26"/>
      <c r="D771" s="26"/>
      <c r="E771" s="26"/>
      <c r="F771" s="26"/>
      <c r="G771" s="26"/>
      <c r="H771" s="26"/>
    </row>
    <row r="772" spans="1:8" s="46" customFormat="1" x14ac:dyDescent="0.35">
      <c r="A772" s="26"/>
      <c r="B772" s="26"/>
      <c r="C772" s="26"/>
      <c r="D772" s="26"/>
      <c r="E772" s="26"/>
      <c r="F772" s="26"/>
      <c r="G772" s="26"/>
      <c r="H772" s="26"/>
    </row>
    <row r="773" spans="1:8" s="46" customFormat="1" x14ac:dyDescent="0.35">
      <c r="A773" s="26"/>
      <c r="B773" s="26"/>
      <c r="C773" s="26"/>
      <c r="D773" s="26"/>
      <c r="E773" s="26"/>
      <c r="F773" s="26"/>
      <c r="G773" s="26"/>
      <c r="H773" s="26"/>
    </row>
    <row r="774" spans="1:8" s="46" customFormat="1" x14ac:dyDescent="0.35">
      <c r="A774" s="26"/>
      <c r="B774" s="26"/>
      <c r="C774" s="26"/>
      <c r="D774" s="26"/>
      <c r="E774" s="26"/>
      <c r="F774" s="26"/>
      <c r="G774" s="26"/>
      <c r="H774" s="26"/>
    </row>
    <row r="775" spans="1:8" s="46" customFormat="1" x14ac:dyDescent="0.35">
      <c r="A775" s="26"/>
      <c r="B775" s="26"/>
      <c r="C775" s="26"/>
      <c r="D775" s="26"/>
      <c r="E775" s="26"/>
      <c r="F775" s="26"/>
      <c r="G775" s="26"/>
      <c r="H775" s="26"/>
    </row>
    <row r="776" spans="1:8" s="46" customFormat="1" x14ac:dyDescent="0.35">
      <c r="A776" s="26"/>
      <c r="B776" s="26"/>
      <c r="C776" s="26"/>
      <c r="D776" s="26"/>
      <c r="E776" s="26"/>
      <c r="F776" s="26"/>
      <c r="G776" s="26"/>
      <c r="H776" s="26"/>
    </row>
    <row r="777" spans="1:8" s="46" customFormat="1" x14ac:dyDescent="0.35">
      <c r="A777" s="26"/>
      <c r="B777" s="26"/>
      <c r="C777" s="26"/>
      <c r="D777" s="26"/>
      <c r="E777" s="26"/>
      <c r="F777" s="26"/>
      <c r="G777" s="26"/>
      <c r="H777" s="26"/>
    </row>
    <row r="778" spans="1:8" s="46" customFormat="1" x14ac:dyDescent="0.35">
      <c r="A778" s="26"/>
      <c r="B778" s="26"/>
      <c r="C778" s="26"/>
      <c r="D778" s="26"/>
      <c r="E778" s="26"/>
      <c r="F778" s="26"/>
      <c r="G778" s="26"/>
      <c r="H778" s="26"/>
    </row>
    <row r="779" spans="1:8" s="46" customFormat="1" x14ac:dyDescent="0.35">
      <c r="A779" s="26"/>
      <c r="B779" s="26"/>
      <c r="C779" s="26"/>
      <c r="D779" s="26"/>
      <c r="E779" s="26"/>
      <c r="F779" s="26"/>
      <c r="G779" s="26"/>
      <c r="H779" s="26"/>
    </row>
    <row r="780" spans="1:8" s="46" customFormat="1" x14ac:dyDescent="0.35">
      <c r="A780" s="26"/>
      <c r="B780" s="26"/>
      <c r="C780" s="26"/>
      <c r="D780" s="26"/>
      <c r="E780" s="26"/>
      <c r="F780" s="26"/>
      <c r="G780" s="26"/>
      <c r="H780" s="26"/>
    </row>
    <row r="781" spans="1:8" s="46" customFormat="1" x14ac:dyDescent="0.35">
      <c r="A781" s="26"/>
      <c r="B781" s="26"/>
      <c r="C781" s="26"/>
      <c r="D781" s="26"/>
      <c r="E781" s="26"/>
      <c r="F781" s="26"/>
      <c r="G781" s="26"/>
      <c r="H781" s="26"/>
    </row>
    <row r="782" spans="1:8" s="46" customFormat="1" x14ac:dyDescent="0.35">
      <c r="A782" s="26"/>
      <c r="B782" s="26"/>
      <c r="C782" s="26"/>
      <c r="D782" s="26"/>
      <c r="E782" s="26"/>
      <c r="F782" s="26"/>
      <c r="G782" s="26"/>
      <c r="H782" s="26"/>
    </row>
    <row r="783" spans="1:8" s="46" customFormat="1" x14ac:dyDescent="0.35">
      <c r="A783" s="26"/>
      <c r="B783" s="26"/>
      <c r="C783" s="26"/>
      <c r="D783" s="26"/>
      <c r="E783" s="26"/>
      <c r="F783" s="26"/>
      <c r="G783" s="26"/>
      <c r="H783" s="26"/>
    </row>
    <row r="784" spans="1:8" s="46" customFormat="1" x14ac:dyDescent="0.35">
      <c r="A784" s="26"/>
      <c r="B784" s="26"/>
      <c r="C784" s="26"/>
      <c r="D784" s="26"/>
      <c r="E784" s="26"/>
      <c r="F784" s="26"/>
      <c r="G784" s="26"/>
      <c r="H784" s="26"/>
    </row>
    <row r="785" spans="1:8" s="46" customFormat="1" x14ac:dyDescent="0.35">
      <c r="A785" s="26"/>
      <c r="B785" s="26"/>
      <c r="C785" s="26"/>
      <c r="D785" s="26"/>
      <c r="E785" s="26"/>
      <c r="F785" s="26"/>
      <c r="G785" s="26"/>
      <c r="H785" s="26"/>
    </row>
    <row r="786" spans="1:8" s="46" customFormat="1" x14ac:dyDescent="0.35">
      <c r="A786" s="26"/>
      <c r="B786" s="26"/>
      <c r="C786" s="26"/>
      <c r="D786" s="26"/>
      <c r="E786" s="26"/>
      <c r="F786" s="26"/>
      <c r="G786" s="26"/>
      <c r="H786" s="26"/>
    </row>
    <row r="787" spans="1:8" s="46" customFormat="1" x14ac:dyDescent="0.35">
      <c r="A787" s="26"/>
      <c r="B787" s="26"/>
      <c r="C787" s="26"/>
      <c r="D787" s="26"/>
      <c r="E787" s="26"/>
      <c r="F787" s="26"/>
      <c r="G787" s="26"/>
      <c r="H787" s="26"/>
    </row>
    <row r="788" spans="1:8" s="46" customFormat="1" x14ac:dyDescent="0.35">
      <c r="A788" s="26"/>
      <c r="B788" s="26"/>
      <c r="C788" s="26"/>
      <c r="D788" s="26"/>
      <c r="E788" s="26"/>
      <c r="F788" s="26"/>
      <c r="G788" s="26"/>
      <c r="H788" s="26"/>
    </row>
    <row r="789" spans="1:8" s="46" customFormat="1" x14ac:dyDescent="0.35">
      <c r="A789" s="26"/>
      <c r="B789" s="26"/>
      <c r="C789" s="26"/>
      <c r="D789" s="26"/>
      <c r="E789" s="26"/>
      <c r="F789" s="26"/>
      <c r="G789" s="26"/>
      <c r="H789" s="26"/>
    </row>
    <row r="790" spans="1:8" s="46" customFormat="1" x14ac:dyDescent="0.35">
      <c r="A790" s="26"/>
      <c r="B790" s="26"/>
      <c r="C790" s="26"/>
      <c r="D790" s="26"/>
      <c r="E790" s="26"/>
      <c r="F790" s="26"/>
      <c r="G790" s="26"/>
      <c r="H790" s="26"/>
    </row>
    <row r="791" spans="1:8" s="46" customFormat="1" x14ac:dyDescent="0.35">
      <c r="A791" s="26"/>
      <c r="B791" s="26"/>
      <c r="C791" s="26"/>
      <c r="D791" s="26"/>
      <c r="E791" s="26"/>
      <c r="F791" s="26"/>
      <c r="G791" s="26"/>
      <c r="H791" s="26"/>
    </row>
    <row r="792" spans="1:8" s="46" customFormat="1" x14ac:dyDescent="0.35">
      <c r="A792" s="26"/>
      <c r="B792" s="26"/>
      <c r="C792" s="26"/>
      <c r="D792" s="26"/>
      <c r="E792" s="26"/>
      <c r="F792" s="26"/>
      <c r="G792" s="26"/>
      <c r="H792" s="26"/>
    </row>
    <row r="793" spans="1:8" s="46" customFormat="1" x14ac:dyDescent="0.35">
      <c r="A793" s="26"/>
      <c r="B793" s="26"/>
      <c r="C793" s="26"/>
      <c r="D793" s="26"/>
      <c r="E793" s="26"/>
      <c r="F793" s="26"/>
      <c r="G793" s="26"/>
      <c r="H793" s="26"/>
    </row>
    <row r="794" spans="1:8" s="46" customFormat="1" x14ac:dyDescent="0.35">
      <c r="A794" s="26"/>
      <c r="B794" s="26"/>
      <c r="C794" s="26"/>
      <c r="D794" s="26"/>
      <c r="E794" s="26"/>
      <c r="F794" s="26"/>
      <c r="G794" s="26"/>
      <c r="H794" s="26"/>
    </row>
    <row r="795" spans="1:8" s="46" customFormat="1" x14ac:dyDescent="0.35">
      <c r="A795" s="26"/>
      <c r="B795" s="26"/>
      <c r="C795" s="26"/>
      <c r="D795" s="26"/>
      <c r="E795" s="26"/>
      <c r="F795" s="26"/>
      <c r="G795" s="26"/>
      <c r="H795" s="26"/>
    </row>
    <row r="796" spans="1:8" s="46" customFormat="1" x14ac:dyDescent="0.35">
      <c r="A796" s="26"/>
      <c r="B796" s="26"/>
      <c r="C796" s="26"/>
      <c r="D796" s="26"/>
      <c r="E796" s="26"/>
      <c r="F796" s="26"/>
      <c r="G796" s="26"/>
      <c r="H796" s="26"/>
    </row>
    <row r="797" spans="1:8" s="46" customFormat="1" x14ac:dyDescent="0.35">
      <c r="A797" s="26"/>
      <c r="B797" s="26"/>
      <c r="C797" s="26"/>
      <c r="D797" s="26"/>
      <c r="E797" s="26"/>
      <c r="F797" s="26"/>
      <c r="G797" s="26"/>
      <c r="H797" s="26"/>
    </row>
    <row r="798" spans="1:8" s="46" customFormat="1" x14ac:dyDescent="0.35">
      <c r="A798" s="26"/>
      <c r="B798" s="26"/>
      <c r="C798" s="26"/>
      <c r="D798" s="26"/>
      <c r="E798" s="26"/>
      <c r="F798" s="26"/>
      <c r="G798" s="26"/>
      <c r="H798" s="26"/>
    </row>
    <row r="799" spans="1:8" s="46" customFormat="1" x14ac:dyDescent="0.35">
      <c r="A799" s="26"/>
      <c r="B799" s="26"/>
      <c r="C799" s="26"/>
      <c r="D799" s="26"/>
      <c r="E799" s="26"/>
      <c r="F799" s="26"/>
      <c r="G799" s="26"/>
      <c r="H799" s="26"/>
    </row>
    <row r="800" spans="1:8" s="46" customFormat="1" x14ac:dyDescent="0.35">
      <c r="A800" s="26"/>
      <c r="B800" s="26"/>
      <c r="C800" s="26"/>
      <c r="D800" s="26"/>
      <c r="E800" s="26"/>
      <c r="F800" s="26"/>
      <c r="G800" s="26"/>
      <c r="H800" s="26"/>
    </row>
    <row r="801" spans="1:8" s="46" customFormat="1" x14ac:dyDescent="0.35">
      <c r="A801" s="26"/>
      <c r="B801" s="26"/>
      <c r="C801" s="26"/>
      <c r="D801" s="26"/>
      <c r="E801" s="26"/>
      <c r="F801" s="26"/>
      <c r="G801" s="26"/>
      <c r="H801" s="26"/>
    </row>
    <row r="802" spans="1:8" s="46" customFormat="1" x14ac:dyDescent="0.35">
      <c r="A802" s="26"/>
      <c r="B802" s="26"/>
      <c r="C802" s="26"/>
      <c r="D802" s="26"/>
      <c r="E802" s="26"/>
      <c r="F802" s="26"/>
      <c r="G802" s="26"/>
      <c r="H802" s="26"/>
    </row>
    <row r="803" spans="1:8" s="46" customFormat="1" x14ac:dyDescent="0.35">
      <c r="A803" s="26"/>
      <c r="B803" s="26"/>
      <c r="C803" s="26"/>
      <c r="D803" s="26"/>
      <c r="E803" s="26"/>
      <c r="F803" s="26"/>
      <c r="G803" s="26"/>
      <c r="H803" s="26"/>
    </row>
    <row r="804" spans="1:8" s="46" customFormat="1" x14ac:dyDescent="0.35">
      <c r="A804" s="26"/>
      <c r="B804" s="26"/>
      <c r="C804" s="26"/>
      <c r="D804" s="26"/>
      <c r="E804" s="26"/>
      <c r="F804" s="26"/>
      <c r="G804" s="26"/>
      <c r="H804" s="26"/>
    </row>
    <row r="805" spans="1:8" s="46" customFormat="1" x14ac:dyDescent="0.35">
      <c r="A805" s="26"/>
      <c r="B805" s="26"/>
      <c r="C805" s="26"/>
      <c r="D805" s="26"/>
      <c r="E805" s="26"/>
      <c r="F805" s="26"/>
      <c r="G805" s="26"/>
      <c r="H805" s="26"/>
    </row>
    <row r="806" spans="1:8" s="46" customFormat="1" x14ac:dyDescent="0.35">
      <c r="A806" s="26"/>
      <c r="B806" s="26"/>
      <c r="C806" s="26"/>
      <c r="D806" s="26"/>
      <c r="E806" s="26"/>
      <c r="F806" s="26"/>
      <c r="G806" s="26"/>
      <c r="H806" s="26"/>
    </row>
    <row r="807" spans="1:8" s="46" customFormat="1" x14ac:dyDescent="0.35">
      <c r="A807" s="26"/>
      <c r="B807" s="26"/>
      <c r="C807" s="26"/>
      <c r="D807" s="26"/>
      <c r="E807" s="26"/>
      <c r="F807" s="26"/>
      <c r="G807" s="26"/>
      <c r="H807" s="26"/>
    </row>
    <row r="808" spans="1:8" s="46" customFormat="1" x14ac:dyDescent="0.35">
      <c r="A808" s="26"/>
      <c r="B808" s="26"/>
      <c r="C808" s="26"/>
      <c r="D808" s="26"/>
      <c r="E808" s="26"/>
      <c r="F808" s="26"/>
      <c r="G808" s="26"/>
      <c r="H808" s="26"/>
    </row>
    <row r="809" spans="1:8" s="46" customFormat="1" x14ac:dyDescent="0.35">
      <c r="A809" s="26"/>
      <c r="B809" s="26"/>
      <c r="C809" s="26"/>
      <c r="D809" s="26"/>
      <c r="E809" s="26"/>
      <c r="F809" s="26"/>
      <c r="G809" s="26"/>
      <c r="H809" s="26"/>
    </row>
    <row r="810" spans="1:8" s="46" customFormat="1" x14ac:dyDescent="0.35">
      <c r="A810" s="26"/>
      <c r="B810" s="26"/>
      <c r="C810" s="26"/>
      <c r="D810" s="26"/>
      <c r="E810" s="26"/>
      <c r="F810" s="26"/>
      <c r="G810" s="26"/>
      <c r="H810" s="26"/>
    </row>
    <row r="811" spans="1:8" s="46" customFormat="1" x14ac:dyDescent="0.35">
      <c r="A811" s="26"/>
      <c r="B811" s="26"/>
      <c r="C811" s="26"/>
      <c r="D811" s="26"/>
      <c r="E811" s="26"/>
      <c r="F811" s="26"/>
      <c r="G811" s="26"/>
      <c r="H811" s="26"/>
    </row>
    <row r="812" spans="1:8" s="46" customFormat="1" x14ac:dyDescent="0.35">
      <c r="A812" s="26"/>
      <c r="B812" s="26"/>
      <c r="C812" s="26"/>
      <c r="D812" s="26"/>
      <c r="E812" s="26"/>
      <c r="F812" s="26"/>
      <c r="G812" s="26"/>
      <c r="H812" s="26"/>
    </row>
    <row r="813" spans="1:8" s="46" customFormat="1" x14ac:dyDescent="0.35">
      <c r="A813" s="26"/>
      <c r="B813" s="26"/>
      <c r="C813" s="26"/>
      <c r="D813" s="26"/>
      <c r="E813" s="26"/>
      <c r="F813" s="26"/>
      <c r="G813" s="26"/>
      <c r="H813" s="26"/>
    </row>
    <row r="814" spans="1:8" s="46" customFormat="1" x14ac:dyDescent="0.35">
      <c r="A814" s="26"/>
      <c r="B814" s="26"/>
      <c r="C814" s="26"/>
      <c r="D814" s="26"/>
      <c r="E814" s="26"/>
      <c r="F814" s="26"/>
      <c r="G814" s="26"/>
      <c r="H814" s="26"/>
    </row>
    <row r="815" spans="1:8" s="46" customFormat="1" x14ac:dyDescent="0.35">
      <c r="A815" s="26"/>
      <c r="B815" s="26"/>
      <c r="C815" s="26"/>
      <c r="D815" s="26"/>
      <c r="E815" s="26"/>
      <c r="F815" s="26"/>
      <c r="G815" s="26"/>
      <c r="H815" s="26"/>
    </row>
    <row r="816" spans="1:8" s="46" customFormat="1" x14ac:dyDescent="0.35">
      <c r="A816" s="26"/>
      <c r="B816" s="26"/>
      <c r="C816" s="26"/>
      <c r="D816" s="26"/>
      <c r="E816" s="26"/>
      <c r="F816" s="26"/>
      <c r="G816" s="26"/>
      <c r="H816" s="26"/>
    </row>
    <row r="817" spans="1:8" s="46" customFormat="1" x14ac:dyDescent="0.35">
      <c r="A817" s="26"/>
      <c r="B817" s="26"/>
      <c r="C817" s="26"/>
      <c r="D817" s="26"/>
      <c r="E817" s="26"/>
      <c r="F817" s="26"/>
      <c r="G817" s="26"/>
      <c r="H817" s="26"/>
    </row>
    <row r="818" spans="1:8" s="46" customFormat="1" x14ac:dyDescent="0.35">
      <c r="A818" s="26"/>
      <c r="B818" s="26"/>
      <c r="C818" s="26"/>
      <c r="D818" s="26"/>
      <c r="E818" s="26"/>
      <c r="F818" s="26"/>
      <c r="G818" s="26"/>
      <c r="H818" s="26"/>
    </row>
    <row r="819" spans="1:8" s="46" customFormat="1" x14ac:dyDescent="0.35">
      <c r="A819" s="26"/>
      <c r="B819" s="26"/>
      <c r="C819" s="26"/>
      <c r="D819" s="26"/>
      <c r="E819" s="26"/>
      <c r="F819" s="26"/>
      <c r="G819" s="26"/>
      <c r="H819" s="26"/>
    </row>
    <row r="820" spans="1:8" s="46" customFormat="1" x14ac:dyDescent="0.35">
      <c r="A820" s="26"/>
      <c r="B820" s="26"/>
      <c r="C820" s="26"/>
      <c r="D820" s="26"/>
      <c r="E820" s="26"/>
      <c r="F820" s="26"/>
      <c r="G820" s="26"/>
      <c r="H820" s="26"/>
    </row>
    <row r="821" spans="1:8" s="46" customFormat="1" x14ac:dyDescent="0.35">
      <c r="A821" s="26"/>
      <c r="B821" s="26"/>
      <c r="C821" s="26"/>
      <c r="D821" s="26"/>
      <c r="E821" s="26"/>
      <c r="F821" s="26"/>
      <c r="G821" s="26"/>
      <c r="H821" s="26"/>
    </row>
    <row r="822" spans="1:8" s="46" customFormat="1" x14ac:dyDescent="0.35">
      <c r="A822" s="26"/>
      <c r="B822" s="26"/>
      <c r="C822" s="26"/>
      <c r="D822" s="26"/>
      <c r="E822" s="26"/>
      <c r="F822" s="26"/>
      <c r="G822" s="26"/>
      <c r="H822" s="26"/>
    </row>
    <row r="823" spans="1:8" s="46" customFormat="1" x14ac:dyDescent="0.35">
      <c r="A823" s="26"/>
      <c r="B823" s="26"/>
      <c r="C823" s="26"/>
      <c r="D823" s="26"/>
      <c r="E823" s="26"/>
      <c r="F823" s="26"/>
      <c r="G823" s="26"/>
      <c r="H823" s="26"/>
    </row>
    <row r="824" spans="1:8" s="46" customFormat="1" x14ac:dyDescent="0.35">
      <c r="A824" s="26"/>
      <c r="B824" s="26"/>
      <c r="C824" s="26"/>
      <c r="D824" s="26"/>
      <c r="E824" s="26"/>
      <c r="F824" s="26"/>
      <c r="G824" s="26"/>
      <c r="H824" s="26"/>
    </row>
    <row r="825" spans="1:8" s="46" customFormat="1" x14ac:dyDescent="0.35">
      <c r="A825" s="26"/>
      <c r="B825" s="26"/>
      <c r="C825" s="26"/>
      <c r="D825" s="26"/>
      <c r="E825" s="26"/>
      <c r="F825" s="26"/>
      <c r="G825" s="26"/>
      <c r="H825" s="26"/>
    </row>
    <row r="826" spans="1:8" s="46" customFormat="1" x14ac:dyDescent="0.35">
      <c r="A826" s="26"/>
      <c r="B826" s="26"/>
      <c r="C826" s="26"/>
      <c r="D826" s="26"/>
      <c r="E826" s="26"/>
      <c r="F826" s="26"/>
      <c r="G826" s="26"/>
      <c r="H826" s="26"/>
    </row>
    <row r="827" spans="1:8" s="46" customFormat="1" x14ac:dyDescent="0.35">
      <c r="A827" s="26"/>
      <c r="B827" s="26"/>
      <c r="C827" s="26"/>
      <c r="D827" s="26"/>
      <c r="E827" s="26"/>
      <c r="F827" s="26"/>
      <c r="G827" s="26"/>
      <c r="H827" s="26"/>
    </row>
    <row r="828" spans="1:8" s="46" customFormat="1" x14ac:dyDescent="0.35">
      <c r="A828" s="26"/>
      <c r="B828" s="26"/>
      <c r="C828" s="26"/>
      <c r="D828" s="26"/>
      <c r="E828" s="26"/>
      <c r="F828" s="26"/>
      <c r="G828" s="26"/>
      <c r="H828" s="26"/>
    </row>
    <row r="829" spans="1:8" s="46" customFormat="1" x14ac:dyDescent="0.35">
      <c r="A829" s="26"/>
      <c r="B829" s="26"/>
      <c r="C829" s="26"/>
      <c r="D829" s="26"/>
      <c r="E829" s="26"/>
      <c r="F829" s="26"/>
      <c r="G829" s="26"/>
      <c r="H829" s="26"/>
    </row>
    <row r="830" spans="1:8" s="46" customFormat="1" x14ac:dyDescent="0.35">
      <c r="A830" s="26"/>
      <c r="B830" s="26"/>
      <c r="C830" s="26"/>
      <c r="D830" s="26"/>
      <c r="E830" s="26"/>
      <c r="F830" s="26"/>
      <c r="G830" s="26"/>
      <c r="H830" s="26"/>
    </row>
    <row r="831" spans="1:8" s="46" customFormat="1" x14ac:dyDescent="0.35">
      <c r="A831" s="26"/>
      <c r="B831" s="26"/>
      <c r="C831" s="26"/>
      <c r="D831" s="26"/>
      <c r="E831" s="26"/>
      <c r="F831" s="26"/>
      <c r="G831" s="26"/>
      <c r="H831" s="26"/>
    </row>
    <row r="832" spans="1:8" s="46" customFormat="1" x14ac:dyDescent="0.35">
      <c r="A832" s="26"/>
      <c r="B832" s="26"/>
      <c r="C832" s="26"/>
      <c r="D832" s="26"/>
      <c r="E832" s="26"/>
      <c r="F832" s="26"/>
      <c r="G832" s="26"/>
      <c r="H832" s="26"/>
    </row>
    <row r="833" spans="1:8" s="46" customFormat="1" x14ac:dyDescent="0.35">
      <c r="A833" s="26"/>
      <c r="B833" s="26"/>
      <c r="C833" s="26"/>
      <c r="D833" s="26"/>
      <c r="E833" s="26"/>
      <c r="F833" s="26"/>
      <c r="G833" s="26"/>
      <c r="H833" s="26"/>
    </row>
    <row r="834" spans="1:8" s="46" customFormat="1" x14ac:dyDescent="0.35">
      <c r="A834" s="26"/>
      <c r="B834" s="26"/>
      <c r="C834" s="26"/>
      <c r="D834" s="26"/>
      <c r="E834" s="26"/>
      <c r="F834" s="26"/>
      <c r="G834" s="26"/>
      <c r="H834" s="26"/>
    </row>
    <row r="835" spans="1:8" s="46" customFormat="1" x14ac:dyDescent="0.35">
      <c r="A835" s="26"/>
      <c r="B835" s="26"/>
      <c r="C835" s="26"/>
      <c r="D835" s="26"/>
      <c r="E835" s="26"/>
      <c r="F835" s="26"/>
      <c r="G835" s="26"/>
      <c r="H835" s="26"/>
    </row>
    <row r="836" spans="1:8" s="46" customFormat="1" x14ac:dyDescent="0.35">
      <c r="A836" s="26"/>
      <c r="B836" s="26"/>
      <c r="C836" s="26"/>
      <c r="D836" s="26"/>
      <c r="E836" s="26"/>
      <c r="F836" s="26"/>
      <c r="G836" s="26"/>
      <c r="H836" s="26"/>
    </row>
    <row r="837" spans="1:8" s="46" customFormat="1" x14ac:dyDescent="0.35">
      <c r="A837" s="26"/>
      <c r="B837" s="26"/>
      <c r="C837" s="26"/>
      <c r="D837" s="26"/>
      <c r="E837" s="26"/>
      <c r="F837" s="26"/>
      <c r="G837" s="26"/>
      <c r="H837" s="26"/>
    </row>
    <row r="838" spans="1:8" s="46" customFormat="1" x14ac:dyDescent="0.35">
      <c r="A838" s="26"/>
      <c r="B838" s="26"/>
      <c r="C838" s="26"/>
      <c r="D838" s="26"/>
      <c r="E838" s="26"/>
      <c r="F838" s="26"/>
      <c r="G838" s="26"/>
      <c r="H838" s="26"/>
    </row>
    <row r="839" spans="1:8" s="46" customFormat="1" x14ac:dyDescent="0.35">
      <c r="A839" s="26"/>
      <c r="B839" s="26"/>
      <c r="C839" s="26"/>
      <c r="D839" s="26"/>
      <c r="E839" s="26"/>
      <c r="F839" s="26"/>
      <c r="G839" s="26"/>
      <c r="H839" s="26"/>
    </row>
    <row r="840" spans="1:8" s="46" customFormat="1" x14ac:dyDescent="0.35">
      <c r="A840" s="26"/>
      <c r="B840" s="26"/>
      <c r="C840" s="26"/>
      <c r="D840" s="26"/>
      <c r="E840" s="26"/>
      <c r="F840" s="26"/>
      <c r="G840" s="26"/>
      <c r="H840" s="26"/>
    </row>
    <row r="841" spans="1:8" s="46" customFormat="1" x14ac:dyDescent="0.35">
      <c r="A841" s="26"/>
      <c r="B841" s="26"/>
      <c r="C841" s="26"/>
      <c r="D841" s="26"/>
      <c r="E841" s="26"/>
      <c r="F841" s="26"/>
      <c r="G841" s="26"/>
      <c r="H841" s="26"/>
    </row>
    <row r="842" spans="1:8" s="46" customFormat="1" x14ac:dyDescent="0.35">
      <c r="A842" s="26"/>
      <c r="B842" s="26"/>
      <c r="C842" s="26"/>
      <c r="D842" s="26"/>
      <c r="E842" s="26"/>
      <c r="F842" s="26"/>
      <c r="G842" s="26"/>
      <c r="H842" s="26"/>
    </row>
    <row r="843" spans="1:8" s="46" customFormat="1" x14ac:dyDescent="0.35">
      <c r="A843" s="26"/>
      <c r="B843" s="26"/>
      <c r="C843" s="26"/>
      <c r="D843" s="26"/>
      <c r="E843" s="26"/>
      <c r="F843" s="26"/>
      <c r="G843" s="26"/>
      <c r="H843" s="26"/>
    </row>
    <row r="844" spans="1:8" s="46" customFormat="1" x14ac:dyDescent="0.35">
      <c r="A844" s="26"/>
      <c r="B844" s="26"/>
      <c r="C844" s="26"/>
      <c r="D844" s="26"/>
      <c r="E844" s="26"/>
      <c r="F844" s="26"/>
      <c r="G844" s="26"/>
      <c r="H844" s="26"/>
    </row>
    <row r="845" spans="1:8" s="46" customFormat="1" x14ac:dyDescent="0.35">
      <c r="A845" s="26"/>
      <c r="B845" s="26"/>
      <c r="C845" s="26"/>
      <c r="D845" s="26"/>
      <c r="E845" s="26"/>
      <c r="F845" s="26"/>
      <c r="G845" s="26"/>
      <c r="H845" s="26"/>
    </row>
    <row r="846" spans="1:8" s="46" customFormat="1" x14ac:dyDescent="0.35">
      <c r="A846" s="26"/>
      <c r="B846" s="26"/>
      <c r="C846" s="26"/>
      <c r="D846" s="26"/>
      <c r="E846" s="26"/>
      <c r="F846" s="26"/>
      <c r="G846" s="26"/>
      <c r="H846" s="26"/>
    </row>
    <row r="847" spans="1:8" s="46" customFormat="1" x14ac:dyDescent="0.35">
      <c r="A847" s="26"/>
      <c r="B847" s="26"/>
      <c r="C847" s="26"/>
      <c r="D847" s="26"/>
      <c r="E847" s="26"/>
      <c r="F847" s="26"/>
      <c r="G847" s="26"/>
      <c r="H847" s="26"/>
    </row>
    <row r="848" spans="1:8" s="46" customFormat="1" x14ac:dyDescent="0.35">
      <c r="A848" s="26"/>
      <c r="B848" s="26"/>
      <c r="C848" s="26"/>
      <c r="D848" s="26"/>
      <c r="E848" s="26"/>
      <c r="F848" s="26"/>
      <c r="G848" s="26"/>
      <c r="H848" s="26"/>
    </row>
    <row r="849" spans="1:8" s="46" customFormat="1" x14ac:dyDescent="0.35">
      <c r="A849" s="26"/>
      <c r="B849" s="26"/>
      <c r="C849" s="26"/>
      <c r="D849" s="26"/>
      <c r="E849" s="26"/>
      <c r="F849" s="26"/>
      <c r="G849" s="26"/>
      <c r="H849" s="26"/>
    </row>
    <row r="850" spans="1:8" s="46" customFormat="1" x14ac:dyDescent="0.35">
      <c r="A850" s="26"/>
      <c r="B850" s="26"/>
      <c r="C850" s="26"/>
      <c r="D850" s="26"/>
      <c r="E850" s="26"/>
      <c r="F850" s="26"/>
      <c r="G850" s="26"/>
      <c r="H850" s="26"/>
    </row>
    <row r="851" spans="1:8" s="46" customFormat="1" x14ac:dyDescent="0.35">
      <c r="A851" s="26"/>
      <c r="B851" s="26"/>
      <c r="C851" s="26"/>
      <c r="D851" s="26"/>
      <c r="E851" s="26"/>
      <c r="F851" s="26"/>
      <c r="G851" s="26"/>
      <c r="H851" s="26"/>
    </row>
    <row r="852" spans="1:8" s="46" customFormat="1" x14ac:dyDescent="0.35">
      <c r="A852" s="26"/>
      <c r="B852" s="26"/>
      <c r="C852" s="26"/>
      <c r="D852" s="26"/>
      <c r="E852" s="26"/>
      <c r="F852" s="26"/>
      <c r="G852" s="26"/>
      <c r="H852" s="26"/>
    </row>
    <row r="853" spans="1:8" s="46" customFormat="1" x14ac:dyDescent="0.35">
      <c r="A853" s="26"/>
      <c r="B853" s="26"/>
      <c r="C853" s="26"/>
      <c r="D853" s="26"/>
      <c r="E853" s="26"/>
      <c r="F853" s="26"/>
      <c r="G853" s="26"/>
      <c r="H853" s="26"/>
    </row>
    <row r="854" spans="1:8" s="46" customFormat="1" x14ac:dyDescent="0.35">
      <c r="A854" s="26"/>
      <c r="B854" s="26"/>
      <c r="C854" s="26"/>
      <c r="D854" s="26"/>
      <c r="E854" s="26"/>
      <c r="F854" s="26"/>
      <c r="G854" s="26"/>
      <c r="H854" s="26"/>
    </row>
    <row r="855" spans="1:8" s="46" customFormat="1" x14ac:dyDescent="0.35">
      <c r="A855" s="26"/>
      <c r="B855" s="26"/>
      <c r="C855" s="26"/>
      <c r="D855" s="26"/>
      <c r="E855" s="26"/>
      <c r="F855" s="26"/>
      <c r="G855" s="26"/>
      <c r="H855" s="26"/>
    </row>
    <row r="856" spans="1:8" s="46" customFormat="1" x14ac:dyDescent="0.35">
      <c r="A856" s="26"/>
      <c r="B856" s="26"/>
      <c r="C856" s="26"/>
      <c r="D856" s="26"/>
      <c r="E856" s="26"/>
      <c r="F856" s="26"/>
      <c r="G856" s="26"/>
      <c r="H856" s="26"/>
    </row>
    <row r="857" spans="1:8" s="46" customFormat="1" x14ac:dyDescent="0.35">
      <c r="A857" s="26"/>
      <c r="B857" s="26"/>
      <c r="C857" s="26"/>
      <c r="D857" s="26"/>
      <c r="E857" s="26"/>
      <c r="F857" s="26"/>
      <c r="G857" s="26"/>
      <c r="H857" s="26"/>
    </row>
    <row r="858" spans="1:8" s="46" customFormat="1" x14ac:dyDescent="0.35">
      <c r="A858" s="26"/>
      <c r="B858" s="26"/>
      <c r="C858" s="26"/>
      <c r="D858" s="26"/>
      <c r="E858" s="26"/>
      <c r="F858" s="26"/>
      <c r="G858" s="26"/>
      <c r="H858" s="26"/>
    </row>
    <row r="859" spans="1:8" s="46" customFormat="1" x14ac:dyDescent="0.35">
      <c r="A859" s="26"/>
      <c r="B859" s="26"/>
      <c r="C859" s="26"/>
      <c r="D859" s="26"/>
      <c r="E859" s="26"/>
      <c r="F859" s="26"/>
      <c r="G859" s="26"/>
      <c r="H859" s="26"/>
    </row>
    <row r="860" spans="1:8" s="46" customFormat="1" x14ac:dyDescent="0.35">
      <c r="A860" s="26"/>
      <c r="B860" s="26"/>
      <c r="C860" s="26"/>
      <c r="D860" s="26"/>
      <c r="E860" s="26"/>
      <c r="F860" s="26"/>
      <c r="G860" s="26"/>
      <c r="H860" s="26"/>
    </row>
    <row r="861" spans="1:8" s="46" customFormat="1" x14ac:dyDescent="0.35">
      <c r="A861" s="26"/>
      <c r="B861" s="26"/>
      <c r="C861" s="26"/>
      <c r="D861" s="26"/>
      <c r="E861" s="26"/>
      <c r="F861" s="26"/>
      <c r="G861" s="26"/>
      <c r="H861" s="26"/>
    </row>
    <row r="862" spans="1:8" s="46" customFormat="1" x14ac:dyDescent="0.35">
      <c r="A862" s="26"/>
      <c r="B862" s="26"/>
      <c r="C862" s="26"/>
      <c r="D862" s="26"/>
      <c r="E862" s="26"/>
      <c r="F862" s="26"/>
      <c r="G862" s="26"/>
      <c r="H862" s="26"/>
    </row>
    <row r="863" spans="1:8" s="46" customFormat="1" x14ac:dyDescent="0.35">
      <c r="A863" s="26"/>
      <c r="B863" s="26"/>
      <c r="C863" s="26"/>
      <c r="D863" s="26"/>
      <c r="E863" s="26"/>
      <c r="F863" s="26"/>
      <c r="G863" s="26"/>
      <c r="H863" s="26"/>
    </row>
    <row r="864" spans="1:8" s="46" customFormat="1" x14ac:dyDescent="0.35">
      <c r="A864" s="26"/>
      <c r="B864" s="26"/>
      <c r="C864" s="26"/>
      <c r="D864" s="26"/>
      <c r="E864" s="26"/>
      <c r="F864" s="26"/>
      <c r="G864" s="26"/>
      <c r="H864" s="26"/>
    </row>
    <row r="865" spans="1:8" s="46" customFormat="1" x14ac:dyDescent="0.35">
      <c r="A865" s="26"/>
      <c r="B865" s="26"/>
      <c r="C865" s="26"/>
      <c r="D865" s="26"/>
      <c r="E865" s="26"/>
      <c r="F865" s="26"/>
      <c r="G865" s="26"/>
      <c r="H865" s="26"/>
    </row>
    <row r="866" spans="1:8" s="46" customFormat="1" x14ac:dyDescent="0.35">
      <c r="A866" s="26"/>
      <c r="B866" s="26"/>
      <c r="C866" s="26"/>
      <c r="D866" s="26"/>
      <c r="E866" s="26"/>
      <c r="F866" s="26"/>
      <c r="G866" s="26"/>
      <c r="H866" s="26"/>
    </row>
    <row r="867" spans="1:8" s="46" customFormat="1" x14ac:dyDescent="0.35">
      <c r="A867" s="26"/>
      <c r="B867" s="26"/>
      <c r="C867" s="26"/>
      <c r="D867" s="26"/>
      <c r="E867" s="26"/>
      <c r="F867" s="26"/>
      <c r="G867" s="26"/>
      <c r="H867" s="26"/>
    </row>
    <row r="868" spans="1:8" s="46" customFormat="1" x14ac:dyDescent="0.35">
      <c r="A868" s="26"/>
      <c r="B868" s="26"/>
      <c r="C868" s="26"/>
      <c r="D868" s="26"/>
      <c r="E868" s="26"/>
      <c r="F868" s="26"/>
      <c r="G868" s="26"/>
      <c r="H868" s="26"/>
    </row>
    <row r="869" spans="1:8" s="46" customFormat="1" x14ac:dyDescent="0.35">
      <c r="A869" s="26"/>
      <c r="B869" s="26"/>
      <c r="C869" s="26"/>
      <c r="D869" s="26"/>
      <c r="E869" s="26"/>
      <c r="F869" s="26"/>
      <c r="G869" s="26"/>
      <c r="H869" s="26"/>
    </row>
    <row r="870" spans="1:8" s="46" customFormat="1" x14ac:dyDescent="0.35">
      <c r="A870" s="26"/>
      <c r="B870" s="26"/>
      <c r="C870" s="26"/>
      <c r="D870" s="26"/>
      <c r="E870" s="26"/>
      <c r="F870" s="26"/>
      <c r="G870" s="26"/>
      <c r="H870" s="26"/>
    </row>
    <row r="871" spans="1:8" s="46" customFormat="1" x14ac:dyDescent="0.35">
      <c r="A871" s="26"/>
      <c r="B871" s="26"/>
      <c r="C871" s="26"/>
      <c r="D871" s="26"/>
      <c r="E871" s="26"/>
      <c r="F871" s="26"/>
      <c r="G871" s="26"/>
      <c r="H871" s="26"/>
    </row>
    <row r="872" spans="1:8" s="46" customFormat="1" x14ac:dyDescent="0.35">
      <c r="A872" s="26"/>
      <c r="B872" s="26"/>
      <c r="C872" s="26"/>
      <c r="D872" s="26"/>
      <c r="E872" s="26"/>
      <c r="F872" s="26"/>
      <c r="G872" s="26"/>
      <c r="H872" s="26"/>
    </row>
    <row r="873" spans="1:8" s="46" customFormat="1" x14ac:dyDescent="0.35">
      <c r="A873" s="26"/>
      <c r="B873" s="26"/>
      <c r="C873" s="26"/>
      <c r="D873" s="26"/>
      <c r="E873" s="26"/>
      <c r="F873" s="26"/>
      <c r="G873" s="26"/>
      <c r="H873" s="26"/>
    </row>
    <row r="874" spans="1:8" s="46" customFormat="1" x14ac:dyDescent="0.35">
      <c r="A874" s="26"/>
      <c r="B874" s="26"/>
      <c r="C874" s="26"/>
      <c r="D874" s="26"/>
      <c r="E874" s="26"/>
      <c r="F874" s="26"/>
      <c r="G874" s="26"/>
      <c r="H874" s="26"/>
    </row>
    <row r="875" spans="1:8" s="46" customFormat="1" x14ac:dyDescent="0.35">
      <c r="A875" s="26"/>
      <c r="B875" s="26"/>
      <c r="C875" s="26"/>
      <c r="D875" s="26"/>
      <c r="E875" s="26"/>
      <c r="F875" s="26"/>
      <c r="G875" s="26"/>
      <c r="H875" s="26"/>
    </row>
    <row r="876" spans="1:8" s="46" customFormat="1" x14ac:dyDescent="0.35">
      <c r="A876" s="26"/>
      <c r="B876" s="26"/>
      <c r="C876" s="26"/>
      <c r="D876" s="26"/>
      <c r="E876" s="26"/>
      <c r="F876" s="26"/>
      <c r="G876" s="26"/>
      <c r="H876" s="26"/>
    </row>
    <row r="877" spans="1:8" s="46" customFormat="1" x14ac:dyDescent="0.35">
      <c r="A877" s="26"/>
      <c r="B877" s="26"/>
      <c r="C877" s="26"/>
      <c r="D877" s="26"/>
      <c r="E877" s="26"/>
      <c r="F877" s="26"/>
      <c r="G877" s="26"/>
      <c r="H877" s="26"/>
    </row>
    <row r="878" spans="1:8" s="46" customFormat="1" x14ac:dyDescent="0.35">
      <c r="A878" s="26"/>
      <c r="B878" s="26"/>
      <c r="C878" s="26"/>
      <c r="D878" s="26"/>
      <c r="E878" s="26"/>
      <c r="F878" s="26"/>
      <c r="G878" s="26"/>
      <c r="H878" s="26"/>
    </row>
    <row r="879" spans="1:8" s="46" customFormat="1" x14ac:dyDescent="0.35">
      <c r="A879" s="26"/>
      <c r="B879" s="26"/>
      <c r="C879" s="26"/>
      <c r="D879" s="26"/>
      <c r="E879" s="26"/>
      <c r="F879" s="26"/>
      <c r="G879" s="26"/>
      <c r="H879" s="26"/>
    </row>
    <row r="880" spans="1:8" s="46" customFormat="1" x14ac:dyDescent="0.35">
      <c r="A880" s="26"/>
      <c r="B880" s="26"/>
      <c r="C880" s="26"/>
      <c r="D880" s="26"/>
      <c r="E880" s="26"/>
      <c r="F880" s="26"/>
      <c r="G880" s="26"/>
      <c r="H880" s="26"/>
    </row>
    <row r="881" spans="1:8" s="46" customFormat="1" x14ac:dyDescent="0.35">
      <c r="A881" s="26"/>
      <c r="B881" s="26"/>
      <c r="C881" s="26"/>
      <c r="D881" s="26"/>
      <c r="E881" s="26"/>
      <c r="F881" s="26"/>
      <c r="G881" s="26"/>
      <c r="H881" s="26"/>
    </row>
    <row r="882" spans="1:8" s="46" customFormat="1" x14ac:dyDescent="0.35">
      <c r="A882" s="26"/>
      <c r="B882" s="26"/>
      <c r="C882" s="26"/>
      <c r="D882" s="26"/>
      <c r="E882" s="26"/>
      <c r="F882" s="26"/>
      <c r="G882" s="26"/>
      <c r="H882" s="26"/>
    </row>
    <row r="883" spans="1:8" s="46" customFormat="1" x14ac:dyDescent="0.35">
      <c r="A883" s="26"/>
      <c r="B883" s="26"/>
      <c r="C883" s="26"/>
      <c r="D883" s="26"/>
      <c r="E883" s="26"/>
      <c r="F883" s="26"/>
      <c r="G883" s="26"/>
      <c r="H883" s="26"/>
    </row>
    <row r="884" spans="1:8" s="46" customFormat="1" x14ac:dyDescent="0.35">
      <c r="A884" s="26"/>
      <c r="B884" s="26"/>
      <c r="C884" s="26"/>
      <c r="D884" s="26"/>
      <c r="E884" s="26"/>
      <c r="F884" s="26"/>
      <c r="G884" s="26"/>
      <c r="H884" s="26"/>
    </row>
    <row r="885" spans="1:8" s="46" customFormat="1" x14ac:dyDescent="0.35">
      <c r="A885" s="26"/>
      <c r="B885" s="26"/>
      <c r="C885" s="26"/>
      <c r="D885" s="26"/>
      <c r="E885" s="26"/>
      <c r="F885" s="26"/>
      <c r="G885" s="26"/>
      <c r="H885" s="26"/>
    </row>
    <row r="886" spans="1:8" s="46" customFormat="1" x14ac:dyDescent="0.35">
      <c r="A886" s="26"/>
      <c r="B886" s="26"/>
      <c r="C886" s="26"/>
      <c r="D886" s="26"/>
      <c r="E886" s="26"/>
      <c r="F886" s="26"/>
      <c r="G886" s="26"/>
      <c r="H886" s="26"/>
    </row>
    <row r="887" spans="1:8" s="46" customFormat="1" x14ac:dyDescent="0.35">
      <c r="A887" s="26"/>
      <c r="B887" s="26"/>
      <c r="C887" s="26"/>
      <c r="D887" s="26"/>
      <c r="E887" s="26"/>
      <c r="F887" s="26"/>
      <c r="G887" s="26"/>
      <c r="H887" s="26"/>
    </row>
    <row r="888" spans="1:8" s="46" customFormat="1" x14ac:dyDescent="0.35">
      <c r="A888" s="26"/>
      <c r="B888" s="26"/>
      <c r="C888" s="26"/>
      <c r="D888" s="26"/>
      <c r="E888" s="26"/>
      <c r="F888" s="26"/>
      <c r="G888" s="26"/>
      <c r="H888" s="26"/>
    </row>
    <row r="889" spans="1:8" s="46" customFormat="1" x14ac:dyDescent="0.35">
      <c r="A889" s="26"/>
      <c r="B889" s="26"/>
      <c r="C889" s="26"/>
      <c r="D889" s="26"/>
      <c r="E889" s="26"/>
      <c r="F889" s="26"/>
      <c r="G889" s="26"/>
      <c r="H889" s="26"/>
    </row>
    <row r="890" spans="1:8" s="46" customFormat="1" x14ac:dyDescent="0.35">
      <c r="A890" s="26"/>
      <c r="B890" s="26"/>
      <c r="C890" s="26"/>
      <c r="D890" s="26"/>
      <c r="E890" s="26"/>
      <c r="F890" s="26"/>
      <c r="G890" s="26"/>
      <c r="H890" s="26"/>
    </row>
    <row r="891" spans="1:8" s="46" customFormat="1" x14ac:dyDescent="0.35">
      <c r="A891" s="26"/>
      <c r="B891" s="26"/>
      <c r="C891" s="26"/>
      <c r="D891" s="26"/>
      <c r="E891" s="26"/>
      <c r="F891" s="26"/>
      <c r="G891" s="26"/>
      <c r="H891" s="26"/>
    </row>
    <row r="892" spans="1:8" s="46" customFormat="1" x14ac:dyDescent="0.35">
      <c r="A892" s="26"/>
      <c r="B892" s="26"/>
      <c r="C892" s="26"/>
      <c r="D892" s="26"/>
      <c r="E892" s="26"/>
      <c r="F892" s="26"/>
      <c r="G892" s="26"/>
      <c r="H892" s="26"/>
    </row>
    <row r="893" spans="1:8" s="46" customFormat="1" x14ac:dyDescent="0.35">
      <c r="A893" s="26"/>
      <c r="B893" s="26"/>
      <c r="C893" s="26"/>
      <c r="D893" s="26"/>
      <c r="E893" s="26"/>
      <c r="F893" s="26"/>
      <c r="G893" s="26"/>
      <c r="H893" s="26"/>
    </row>
    <row r="894" spans="1:8" s="46" customFormat="1" x14ac:dyDescent="0.35">
      <c r="A894" s="26"/>
      <c r="B894" s="26"/>
      <c r="C894" s="26"/>
      <c r="D894" s="26"/>
      <c r="E894" s="26"/>
      <c r="F894" s="26"/>
      <c r="G894" s="26"/>
      <c r="H894" s="26"/>
    </row>
    <row r="895" spans="1:8" s="46" customFormat="1" x14ac:dyDescent="0.35">
      <c r="A895" s="26"/>
      <c r="B895" s="26"/>
      <c r="C895" s="26"/>
      <c r="D895" s="26"/>
      <c r="E895" s="26"/>
      <c r="F895" s="26"/>
      <c r="G895" s="26"/>
      <c r="H895" s="26"/>
    </row>
    <row r="896" spans="1:8" s="46" customFormat="1" x14ac:dyDescent="0.35">
      <c r="A896" s="26"/>
      <c r="B896" s="26"/>
      <c r="C896" s="26"/>
      <c r="D896" s="26"/>
      <c r="E896" s="26"/>
      <c r="F896" s="26"/>
      <c r="G896" s="26"/>
      <c r="H896" s="26"/>
    </row>
    <row r="897" spans="1:8" s="46" customFormat="1" x14ac:dyDescent="0.35">
      <c r="A897" s="26"/>
      <c r="B897" s="26"/>
      <c r="C897" s="26"/>
      <c r="D897" s="26"/>
      <c r="E897" s="26"/>
      <c r="F897" s="26"/>
      <c r="G897" s="26"/>
      <c r="H897" s="26"/>
    </row>
    <row r="898" spans="1:8" s="46" customFormat="1" x14ac:dyDescent="0.35">
      <c r="A898" s="26"/>
      <c r="B898" s="26"/>
      <c r="C898" s="26"/>
      <c r="D898" s="26"/>
      <c r="E898" s="26"/>
      <c r="F898" s="26"/>
      <c r="G898" s="26"/>
      <c r="H898" s="26"/>
    </row>
    <row r="899" spans="1:8" s="46" customFormat="1" x14ac:dyDescent="0.35">
      <c r="A899" s="26"/>
      <c r="B899" s="26"/>
      <c r="C899" s="26"/>
      <c r="D899" s="26"/>
      <c r="E899" s="26"/>
      <c r="F899" s="26"/>
      <c r="G899" s="26"/>
      <c r="H899" s="26"/>
    </row>
    <row r="900" spans="1:8" s="46" customFormat="1" x14ac:dyDescent="0.35">
      <c r="A900" s="26"/>
      <c r="B900" s="26"/>
      <c r="C900" s="26"/>
      <c r="D900" s="26"/>
      <c r="E900" s="26"/>
      <c r="F900" s="26"/>
      <c r="G900" s="26"/>
      <c r="H900" s="26"/>
    </row>
    <row r="901" spans="1:8" s="46" customFormat="1" x14ac:dyDescent="0.35">
      <c r="A901" s="26"/>
      <c r="B901" s="26"/>
      <c r="C901" s="26"/>
      <c r="D901" s="26"/>
      <c r="E901" s="26"/>
      <c r="F901" s="26"/>
      <c r="G901" s="26"/>
      <c r="H901" s="26"/>
    </row>
    <row r="902" spans="1:8" s="46" customFormat="1" x14ac:dyDescent="0.35">
      <c r="A902" s="26"/>
      <c r="B902" s="26"/>
      <c r="C902" s="26"/>
      <c r="D902" s="26"/>
      <c r="E902" s="26"/>
      <c r="F902" s="26"/>
      <c r="G902" s="26"/>
      <c r="H902" s="26"/>
    </row>
    <row r="903" spans="1:8" s="46" customFormat="1" x14ac:dyDescent="0.35">
      <c r="A903" s="26"/>
      <c r="B903" s="26"/>
      <c r="C903" s="26"/>
      <c r="D903" s="26"/>
      <c r="E903" s="26"/>
      <c r="F903" s="26"/>
      <c r="G903" s="26"/>
      <c r="H903" s="26"/>
    </row>
    <row r="904" spans="1:8" s="46" customFormat="1" x14ac:dyDescent="0.35">
      <c r="A904" s="26"/>
      <c r="B904" s="26"/>
      <c r="C904" s="26"/>
      <c r="D904" s="26"/>
      <c r="E904" s="26"/>
      <c r="F904" s="26"/>
      <c r="G904" s="26"/>
      <c r="H904" s="26"/>
    </row>
    <row r="905" spans="1:8" s="46" customFormat="1" x14ac:dyDescent="0.35">
      <c r="A905" s="26"/>
      <c r="B905" s="26"/>
      <c r="C905" s="26"/>
      <c r="D905" s="26"/>
      <c r="E905" s="26"/>
      <c r="F905" s="26"/>
      <c r="G905" s="26"/>
      <c r="H905" s="26"/>
    </row>
    <row r="906" spans="1:8" s="46" customFormat="1" x14ac:dyDescent="0.35">
      <c r="A906" s="26"/>
      <c r="B906" s="26"/>
      <c r="C906" s="26"/>
      <c r="D906" s="26"/>
      <c r="E906" s="26"/>
      <c r="F906" s="26"/>
      <c r="G906" s="26"/>
      <c r="H906" s="26"/>
    </row>
    <row r="907" spans="1:8" s="46" customFormat="1" x14ac:dyDescent="0.35">
      <c r="A907" s="26"/>
      <c r="B907" s="26"/>
      <c r="C907" s="26"/>
      <c r="D907" s="26"/>
      <c r="E907" s="26"/>
      <c r="F907" s="26"/>
      <c r="G907" s="26"/>
      <c r="H907" s="26"/>
    </row>
    <row r="908" spans="1:8" s="46" customFormat="1" x14ac:dyDescent="0.35">
      <c r="A908" s="26"/>
      <c r="B908" s="26"/>
      <c r="C908" s="26"/>
      <c r="D908" s="26"/>
      <c r="E908" s="26"/>
      <c r="F908" s="26"/>
      <c r="G908" s="26"/>
      <c r="H908" s="26"/>
    </row>
    <row r="909" spans="1:8" s="46" customFormat="1" x14ac:dyDescent="0.35">
      <c r="A909" s="26"/>
      <c r="B909" s="26"/>
      <c r="C909" s="26"/>
      <c r="D909" s="26"/>
      <c r="E909" s="26"/>
      <c r="F909" s="26"/>
      <c r="G909" s="26"/>
      <c r="H909" s="26"/>
    </row>
    <row r="910" spans="1:8" s="46" customFormat="1" x14ac:dyDescent="0.35">
      <c r="A910" s="26"/>
      <c r="B910" s="26"/>
      <c r="C910" s="26"/>
      <c r="D910" s="26"/>
      <c r="E910" s="26"/>
      <c r="F910" s="26"/>
      <c r="G910" s="26"/>
      <c r="H910" s="26"/>
    </row>
    <row r="911" spans="1:8" s="46" customFormat="1" x14ac:dyDescent="0.35">
      <c r="A911" s="26"/>
      <c r="B911" s="26"/>
      <c r="C911" s="26"/>
      <c r="D911" s="26"/>
      <c r="E911" s="26"/>
      <c r="F911" s="26"/>
      <c r="G911" s="26"/>
      <c r="H911" s="26"/>
    </row>
    <row r="912" spans="1:8" s="46" customFormat="1" x14ac:dyDescent="0.35">
      <c r="A912" s="26"/>
      <c r="B912" s="26"/>
      <c r="C912" s="26"/>
      <c r="D912" s="26"/>
      <c r="E912" s="26"/>
      <c r="F912" s="26"/>
      <c r="G912" s="26"/>
      <c r="H912" s="26"/>
    </row>
    <row r="913" spans="1:8" s="46" customFormat="1" x14ac:dyDescent="0.35">
      <c r="A913" s="26"/>
      <c r="B913" s="26"/>
      <c r="C913" s="26"/>
      <c r="D913" s="26"/>
      <c r="E913" s="26"/>
      <c r="F913" s="26"/>
      <c r="G913" s="26"/>
      <c r="H913" s="26"/>
    </row>
    <row r="914" spans="1:8" s="46" customFormat="1" ht="72.75" customHeight="1" x14ac:dyDescent="0.35">
      <c r="A914" s="26"/>
      <c r="B914" s="26"/>
      <c r="C914" s="26"/>
      <c r="D914" s="26"/>
      <c r="E914" s="26"/>
      <c r="F914" s="26"/>
      <c r="G914" s="26"/>
      <c r="H914" s="26"/>
    </row>
    <row r="915" spans="1:8" s="46" customFormat="1" x14ac:dyDescent="0.35">
      <c r="A915" s="26"/>
      <c r="B915" s="26"/>
      <c r="C915" s="26"/>
      <c r="D915" s="26"/>
      <c r="E915" s="26"/>
      <c r="F915" s="26"/>
      <c r="G915" s="26"/>
      <c r="H915" s="26"/>
    </row>
    <row r="916" spans="1:8" s="46" customFormat="1" ht="69.75" customHeight="1" x14ac:dyDescent="0.35">
      <c r="A916" s="26"/>
      <c r="B916" s="26"/>
      <c r="C916" s="26"/>
      <c r="D916" s="26"/>
      <c r="E916" s="26"/>
      <c r="F916" s="26"/>
      <c r="G916" s="26"/>
      <c r="H916" s="26"/>
    </row>
    <row r="917" spans="1:8" s="46" customFormat="1" x14ac:dyDescent="0.35">
      <c r="A917" s="26"/>
      <c r="B917" s="26"/>
      <c r="C917" s="26"/>
      <c r="D917" s="26"/>
      <c r="E917" s="26"/>
      <c r="F917" s="26"/>
      <c r="G917" s="26"/>
      <c r="H917" s="26"/>
    </row>
    <row r="918" spans="1:8" s="46" customFormat="1" ht="86.25" customHeight="1" x14ac:dyDescent="0.35">
      <c r="A918" s="26"/>
      <c r="B918" s="26"/>
      <c r="C918" s="26"/>
      <c r="D918" s="26"/>
      <c r="E918" s="26"/>
      <c r="F918" s="26"/>
      <c r="G918" s="26"/>
      <c r="H918" s="26"/>
    </row>
    <row r="919" spans="1:8" s="46" customFormat="1" x14ac:dyDescent="0.35">
      <c r="A919" s="26"/>
      <c r="B919" s="26"/>
      <c r="C919" s="26"/>
      <c r="D919" s="26"/>
      <c r="E919" s="26"/>
      <c r="F919" s="26"/>
      <c r="G919" s="26"/>
      <c r="H919" s="26"/>
    </row>
    <row r="920" spans="1:8" s="46" customFormat="1" x14ac:dyDescent="0.35">
      <c r="A920" s="26"/>
      <c r="B920" s="26"/>
      <c r="C920" s="26"/>
      <c r="D920" s="26"/>
      <c r="E920" s="26"/>
      <c r="F920" s="26"/>
      <c r="G920" s="26"/>
      <c r="H920" s="26"/>
    </row>
    <row r="921" spans="1:8" s="46" customFormat="1" x14ac:dyDescent="0.35">
      <c r="A921" s="26"/>
      <c r="B921" s="26"/>
      <c r="C921" s="26"/>
      <c r="D921" s="26"/>
      <c r="E921" s="26"/>
      <c r="F921" s="26"/>
      <c r="G921" s="26"/>
      <c r="H921" s="26"/>
    </row>
    <row r="922" spans="1:8" s="46" customFormat="1" x14ac:dyDescent="0.35">
      <c r="A922" s="26"/>
      <c r="B922" s="26"/>
      <c r="C922" s="26"/>
      <c r="D922" s="26"/>
      <c r="E922" s="26"/>
      <c r="F922" s="26"/>
      <c r="G922" s="26"/>
      <c r="H922" s="26"/>
    </row>
    <row r="923" spans="1:8" s="46" customFormat="1" x14ac:dyDescent="0.35">
      <c r="A923" s="26"/>
      <c r="B923" s="26"/>
      <c r="C923" s="26"/>
      <c r="D923" s="26"/>
      <c r="E923" s="26"/>
      <c r="F923" s="26"/>
      <c r="G923" s="26"/>
      <c r="H923" s="26"/>
    </row>
    <row r="924" spans="1:8" s="46" customFormat="1" x14ac:dyDescent="0.35">
      <c r="A924" s="26"/>
      <c r="B924" s="26"/>
      <c r="C924" s="26"/>
      <c r="D924" s="26"/>
      <c r="E924" s="26"/>
      <c r="F924" s="26"/>
      <c r="G924" s="26"/>
      <c r="H924" s="26"/>
    </row>
    <row r="925" spans="1:8" s="46" customFormat="1" x14ac:dyDescent="0.35">
      <c r="A925" s="26"/>
      <c r="B925" s="26"/>
      <c r="C925" s="26"/>
      <c r="D925" s="26"/>
      <c r="E925" s="26"/>
      <c r="F925" s="26"/>
      <c r="G925" s="26"/>
      <c r="H925" s="26"/>
    </row>
    <row r="926" spans="1:8" s="46" customFormat="1" x14ac:dyDescent="0.35">
      <c r="A926" s="26"/>
      <c r="B926" s="26"/>
      <c r="C926" s="26"/>
      <c r="D926" s="26"/>
      <c r="E926" s="26"/>
      <c r="F926" s="26"/>
      <c r="G926" s="26"/>
      <c r="H926" s="26"/>
    </row>
    <row r="927" spans="1:8" s="46" customFormat="1" x14ac:dyDescent="0.35">
      <c r="A927" s="26"/>
      <c r="B927" s="26"/>
      <c r="C927" s="26"/>
      <c r="D927" s="26"/>
      <c r="E927" s="26"/>
      <c r="F927" s="26"/>
      <c r="G927" s="26"/>
      <c r="H927" s="26"/>
    </row>
    <row r="928" spans="1:8" s="46" customFormat="1" x14ac:dyDescent="0.35">
      <c r="A928" s="26"/>
      <c r="B928" s="26"/>
      <c r="C928" s="26"/>
      <c r="D928" s="26"/>
      <c r="E928" s="26"/>
      <c r="F928" s="26"/>
      <c r="G928" s="26"/>
      <c r="H928" s="26"/>
    </row>
    <row r="929" spans="1:8" s="46" customFormat="1" x14ac:dyDescent="0.35">
      <c r="A929" s="26"/>
      <c r="B929" s="26"/>
      <c r="C929" s="26"/>
      <c r="D929" s="26"/>
      <c r="E929" s="26"/>
      <c r="F929" s="26"/>
      <c r="G929" s="26"/>
      <c r="H929" s="26"/>
    </row>
    <row r="930" spans="1:8" s="46" customFormat="1" x14ac:dyDescent="0.35">
      <c r="A930" s="26"/>
      <c r="B930" s="26"/>
      <c r="C930" s="26"/>
      <c r="D930" s="26"/>
      <c r="E930" s="26"/>
      <c r="F930" s="26"/>
      <c r="G930" s="26"/>
      <c r="H930" s="26"/>
    </row>
    <row r="931" spans="1:8" s="46" customFormat="1" x14ac:dyDescent="0.35">
      <c r="A931" s="26"/>
      <c r="B931" s="26"/>
      <c r="C931" s="26"/>
      <c r="D931" s="26"/>
      <c r="E931" s="26"/>
      <c r="F931" s="26"/>
      <c r="G931" s="26"/>
      <c r="H931" s="26"/>
    </row>
    <row r="932" spans="1:8" s="46" customFormat="1" x14ac:dyDescent="0.35">
      <c r="A932" s="26"/>
      <c r="B932" s="26"/>
      <c r="C932" s="26"/>
      <c r="D932" s="26"/>
      <c r="E932" s="26"/>
      <c r="F932" s="26"/>
      <c r="G932" s="26"/>
      <c r="H932" s="26"/>
    </row>
    <row r="933" spans="1:8" s="46" customFormat="1" x14ac:dyDescent="0.35">
      <c r="A933" s="26"/>
      <c r="B933" s="26"/>
      <c r="C933" s="26"/>
      <c r="D933" s="26"/>
      <c r="E933" s="26"/>
      <c r="F933" s="26"/>
      <c r="G933" s="26"/>
      <c r="H933" s="26"/>
    </row>
    <row r="934" spans="1:8" s="46" customFormat="1" ht="71.25" customHeight="1" x14ac:dyDescent="0.35">
      <c r="A934" s="26"/>
      <c r="B934" s="26"/>
      <c r="C934" s="26"/>
      <c r="D934" s="26"/>
      <c r="E934" s="26"/>
      <c r="F934" s="26"/>
      <c r="G934" s="26"/>
      <c r="H934" s="26"/>
    </row>
    <row r="935" spans="1:8" s="46" customFormat="1" x14ac:dyDescent="0.35">
      <c r="A935" s="26"/>
      <c r="B935" s="26"/>
      <c r="C935" s="26"/>
      <c r="D935" s="26"/>
      <c r="E935" s="26"/>
      <c r="F935" s="26"/>
      <c r="G935" s="26"/>
      <c r="H935" s="26"/>
    </row>
    <row r="936" spans="1:8" s="46" customFormat="1" x14ac:dyDescent="0.35">
      <c r="A936" s="26"/>
      <c r="B936" s="26"/>
      <c r="C936" s="26"/>
      <c r="D936" s="26"/>
      <c r="E936" s="26"/>
      <c r="F936" s="26"/>
      <c r="G936" s="26"/>
      <c r="H936" s="26"/>
    </row>
    <row r="937" spans="1:8" s="46" customFormat="1" x14ac:dyDescent="0.35">
      <c r="A937" s="26"/>
      <c r="B937" s="26"/>
      <c r="C937" s="26"/>
      <c r="D937" s="26"/>
      <c r="E937" s="26"/>
      <c r="F937" s="26"/>
      <c r="G937" s="26"/>
      <c r="H937" s="26"/>
    </row>
    <row r="938" spans="1:8" s="46" customFormat="1" x14ac:dyDescent="0.35">
      <c r="A938" s="26"/>
      <c r="B938" s="26"/>
      <c r="C938" s="26"/>
      <c r="D938" s="26"/>
      <c r="E938" s="26"/>
      <c r="F938" s="26"/>
      <c r="G938" s="26"/>
      <c r="H938" s="26"/>
    </row>
    <row r="939" spans="1:8" s="46" customFormat="1" x14ac:dyDescent="0.35">
      <c r="A939" s="26"/>
      <c r="B939" s="26"/>
      <c r="C939" s="26"/>
      <c r="D939" s="26"/>
      <c r="E939" s="26"/>
      <c r="F939" s="26"/>
      <c r="G939" s="26"/>
      <c r="H939" s="26"/>
    </row>
    <row r="940" spans="1:8" s="46" customFormat="1" ht="72.75" customHeight="1" x14ac:dyDescent="0.35">
      <c r="A940" s="26"/>
      <c r="B940" s="26"/>
      <c r="C940" s="26"/>
      <c r="D940" s="26"/>
      <c r="E940" s="26"/>
      <c r="F940" s="26"/>
      <c r="G940" s="26"/>
      <c r="H940" s="26"/>
    </row>
    <row r="941" spans="1:8" s="46" customFormat="1" x14ac:dyDescent="0.35">
      <c r="A941" s="26"/>
      <c r="B941" s="26"/>
      <c r="C941" s="26"/>
      <c r="D941" s="26"/>
      <c r="E941" s="26"/>
      <c r="F941" s="26"/>
      <c r="G941" s="26"/>
      <c r="H941" s="26"/>
    </row>
    <row r="942" spans="1:8" s="46" customFormat="1" ht="69.75" customHeight="1" x14ac:dyDescent="0.35">
      <c r="A942" s="26"/>
      <c r="B942" s="26"/>
      <c r="C942" s="26"/>
      <c r="D942" s="26"/>
      <c r="E942" s="26"/>
      <c r="F942" s="26"/>
      <c r="G942" s="26"/>
      <c r="H942" s="26"/>
    </row>
    <row r="943" spans="1:8" s="46" customFormat="1" x14ac:dyDescent="0.35">
      <c r="A943" s="26"/>
      <c r="B943" s="26"/>
      <c r="C943" s="26"/>
      <c r="D943" s="26"/>
      <c r="E943" s="26"/>
      <c r="F943" s="26"/>
      <c r="G943" s="26"/>
      <c r="H943" s="26"/>
    </row>
    <row r="944" spans="1:8" s="46" customFormat="1" x14ac:dyDescent="0.35">
      <c r="A944" s="26"/>
      <c r="B944" s="26"/>
      <c r="C944" s="26"/>
      <c r="D944" s="26"/>
      <c r="E944" s="26"/>
      <c r="F944" s="26"/>
      <c r="G944" s="26"/>
      <c r="H944" s="26"/>
    </row>
    <row r="945" spans="1:8" s="46" customFormat="1" x14ac:dyDescent="0.35">
      <c r="A945" s="26"/>
      <c r="B945" s="26"/>
      <c r="C945" s="26"/>
      <c r="D945" s="26"/>
      <c r="E945" s="26"/>
      <c r="F945" s="26"/>
      <c r="G945" s="26"/>
      <c r="H945" s="26"/>
    </row>
    <row r="946" spans="1:8" s="46" customFormat="1" x14ac:dyDescent="0.35">
      <c r="A946" s="26"/>
      <c r="B946" s="26"/>
      <c r="C946" s="26"/>
      <c r="D946" s="26"/>
      <c r="E946" s="26"/>
      <c r="F946" s="26"/>
      <c r="G946" s="26"/>
      <c r="H946" s="26"/>
    </row>
    <row r="947" spans="1:8" s="46" customFormat="1" x14ac:dyDescent="0.35">
      <c r="A947" s="26"/>
      <c r="B947" s="26"/>
      <c r="C947" s="26"/>
      <c r="D947" s="26"/>
      <c r="E947" s="26"/>
      <c r="F947" s="26"/>
      <c r="G947" s="26"/>
      <c r="H947" s="26"/>
    </row>
    <row r="948" spans="1:8" s="46" customFormat="1" x14ac:dyDescent="0.35">
      <c r="A948" s="26"/>
      <c r="B948" s="26"/>
      <c r="C948" s="26"/>
      <c r="D948" s="26"/>
      <c r="E948" s="26"/>
      <c r="F948" s="26"/>
      <c r="G948" s="26"/>
      <c r="H948" s="26"/>
    </row>
    <row r="949" spans="1:8" s="46" customFormat="1" x14ac:dyDescent="0.35">
      <c r="A949" s="26"/>
      <c r="B949" s="26"/>
      <c r="C949" s="26"/>
      <c r="D949" s="26"/>
      <c r="E949" s="26"/>
      <c r="F949" s="26"/>
      <c r="G949" s="26"/>
      <c r="H949" s="26"/>
    </row>
    <row r="950" spans="1:8" s="46" customFormat="1" x14ac:dyDescent="0.35">
      <c r="A950" s="26"/>
      <c r="B950" s="26"/>
      <c r="C950" s="26"/>
      <c r="D950" s="26"/>
      <c r="E950" s="26"/>
      <c r="F950" s="26"/>
      <c r="G950" s="26"/>
      <c r="H950" s="26"/>
    </row>
    <row r="951" spans="1:8" s="46" customFormat="1" x14ac:dyDescent="0.35">
      <c r="A951" s="26"/>
      <c r="B951" s="26"/>
      <c r="C951" s="26"/>
      <c r="D951" s="26"/>
      <c r="E951" s="26"/>
      <c r="F951" s="26"/>
      <c r="G951" s="26"/>
      <c r="H951" s="26"/>
    </row>
    <row r="952" spans="1:8" s="46" customFormat="1" x14ac:dyDescent="0.35">
      <c r="A952" s="26"/>
      <c r="B952" s="26"/>
      <c r="C952" s="26"/>
      <c r="D952" s="26"/>
      <c r="E952" s="26"/>
      <c r="F952" s="26"/>
      <c r="G952" s="26"/>
      <c r="H952" s="26"/>
    </row>
    <row r="953" spans="1:8" s="46" customFormat="1" x14ac:dyDescent="0.35">
      <c r="A953" s="26"/>
      <c r="B953" s="26"/>
      <c r="C953" s="26"/>
      <c r="D953" s="26"/>
      <c r="E953" s="26"/>
      <c r="F953" s="26"/>
      <c r="G953" s="26"/>
      <c r="H953" s="26"/>
    </row>
    <row r="954" spans="1:8" s="46" customFormat="1" x14ac:dyDescent="0.35">
      <c r="A954" s="26"/>
      <c r="B954" s="26"/>
      <c r="C954" s="26"/>
      <c r="D954" s="26"/>
      <c r="E954" s="26"/>
      <c r="F954" s="26"/>
      <c r="G954" s="26"/>
      <c r="H954" s="26"/>
    </row>
    <row r="955" spans="1:8" s="46" customFormat="1" x14ac:dyDescent="0.35">
      <c r="A955" s="26"/>
      <c r="B955" s="26"/>
      <c r="C955" s="26"/>
      <c r="D955" s="26"/>
      <c r="E955" s="26"/>
      <c r="F955" s="26"/>
      <c r="G955" s="26"/>
      <c r="H955" s="26"/>
    </row>
    <row r="956" spans="1:8" s="46" customFormat="1" x14ac:dyDescent="0.35">
      <c r="A956" s="26"/>
      <c r="B956" s="26"/>
      <c r="C956" s="26"/>
      <c r="D956" s="26"/>
      <c r="E956" s="26"/>
      <c r="F956" s="26"/>
      <c r="G956" s="26"/>
      <c r="H956" s="26"/>
    </row>
    <row r="957" spans="1:8" s="46" customFormat="1" x14ac:dyDescent="0.35">
      <c r="A957" s="26"/>
      <c r="B957" s="26"/>
      <c r="C957" s="26"/>
      <c r="D957" s="26"/>
      <c r="E957" s="26"/>
      <c r="F957" s="26"/>
      <c r="G957" s="26"/>
      <c r="H957" s="26"/>
    </row>
    <row r="958" spans="1:8" s="46" customFormat="1" ht="71.25" customHeight="1" x14ac:dyDescent="0.35">
      <c r="A958" s="26"/>
      <c r="B958" s="26"/>
      <c r="C958" s="26"/>
      <c r="D958" s="26"/>
      <c r="E958" s="26"/>
      <c r="F958" s="26"/>
      <c r="G958" s="26"/>
      <c r="H958" s="26"/>
    </row>
    <row r="959" spans="1:8" s="46" customFormat="1" x14ac:dyDescent="0.35">
      <c r="A959" s="26"/>
      <c r="B959" s="26"/>
      <c r="C959" s="26"/>
      <c r="D959" s="26"/>
      <c r="E959" s="26"/>
      <c r="F959" s="26"/>
      <c r="G959" s="26"/>
      <c r="H959" s="26"/>
    </row>
    <row r="960" spans="1:8" s="46" customFormat="1" x14ac:dyDescent="0.35">
      <c r="A960" s="26"/>
      <c r="B960" s="26"/>
      <c r="C960" s="26"/>
      <c r="D960" s="26"/>
      <c r="E960" s="26"/>
      <c r="F960" s="26"/>
      <c r="G960" s="26"/>
      <c r="H960" s="26"/>
    </row>
    <row r="961" spans="1:8" s="46" customFormat="1" x14ac:dyDescent="0.35">
      <c r="A961" s="26"/>
      <c r="B961" s="26"/>
      <c r="C961" s="26"/>
      <c r="D961" s="26"/>
      <c r="E961" s="26"/>
      <c r="F961" s="26"/>
      <c r="G961" s="26"/>
      <c r="H961" s="26"/>
    </row>
    <row r="962" spans="1:8" s="46" customFormat="1" x14ac:dyDescent="0.35">
      <c r="A962" s="26"/>
      <c r="B962" s="26"/>
      <c r="C962" s="26"/>
      <c r="D962" s="26"/>
      <c r="E962" s="26"/>
      <c r="F962" s="26"/>
      <c r="G962" s="26"/>
      <c r="H962" s="26"/>
    </row>
    <row r="963" spans="1:8" s="46" customFormat="1" x14ac:dyDescent="0.35">
      <c r="A963" s="26"/>
      <c r="B963" s="26"/>
      <c r="C963" s="26"/>
      <c r="D963" s="26"/>
      <c r="E963" s="26"/>
      <c r="F963" s="26"/>
      <c r="G963" s="26"/>
      <c r="H963" s="26"/>
    </row>
    <row r="964" spans="1:8" s="46" customFormat="1" x14ac:dyDescent="0.35">
      <c r="A964" s="26"/>
      <c r="B964" s="26"/>
      <c r="C964" s="26"/>
      <c r="D964" s="26"/>
      <c r="E964" s="26"/>
      <c r="F964" s="26"/>
      <c r="G964" s="26"/>
      <c r="H964" s="26"/>
    </row>
    <row r="965" spans="1:8" s="46" customFormat="1" x14ac:dyDescent="0.35">
      <c r="A965" s="26"/>
      <c r="B965" s="26"/>
      <c r="C965" s="26"/>
      <c r="D965" s="26"/>
      <c r="E965" s="26"/>
      <c r="F965" s="26"/>
      <c r="G965" s="26"/>
      <c r="H965" s="26"/>
    </row>
    <row r="966" spans="1:8" s="46" customFormat="1" x14ac:dyDescent="0.35">
      <c r="A966" s="26"/>
      <c r="B966" s="26"/>
      <c r="C966" s="26"/>
      <c r="D966" s="26"/>
      <c r="E966" s="26"/>
      <c r="F966" s="26"/>
      <c r="G966" s="26"/>
      <c r="H966" s="26"/>
    </row>
    <row r="967" spans="1:8" s="46" customFormat="1" x14ac:dyDescent="0.35">
      <c r="A967" s="26"/>
      <c r="B967" s="26"/>
      <c r="C967" s="26"/>
      <c r="D967" s="26"/>
      <c r="E967" s="26"/>
      <c r="F967" s="26"/>
      <c r="G967" s="26"/>
      <c r="H967" s="26"/>
    </row>
    <row r="968" spans="1:8" s="46" customFormat="1" x14ac:dyDescent="0.35">
      <c r="A968" s="26"/>
      <c r="B968" s="26"/>
      <c r="C968" s="26"/>
      <c r="D968" s="26"/>
      <c r="E968" s="26"/>
      <c r="F968" s="26"/>
      <c r="G968" s="26"/>
      <c r="H968" s="26"/>
    </row>
    <row r="969" spans="1:8" s="46" customFormat="1" x14ac:dyDescent="0.35">
      <c r="A969" s="26"/>
      <c r="B969" s="26"/>
      <c r="C969" s="26"/>
      <c r="D969" s="26"/>
      <c r="E969" s="26"/>
      <c r="F969" s="26"/>
      <c r="G969" s="26"/>
      <c r="H969" s="26"/>
    </row>
    <row r="970" spans="1:8" s="46" customFormat="1" x14ac:dyDescent="0.35">
      <c r="A970" s="26"/>
      <c r="B970" s="26"/>
      <c r="C970" s="26"/>
      <c r="D970" s="26"/>
      <c r="E970" s="26"/>
      <c r="F970" s="26"/>
      <c r="G970" s="26"/>
      <c r="H970" s="26"/>
    </row>
    <row r="971" spans="1:8" s="46" customFormat="1" x14ac:dyDescent="0.35">
      <c r="A971" s="26"/>
      <c r="B971" s="26"/>
      <c r="C971" s="26"/>
      <c r="D971" s="26"/>
      <c r="E971" s="26"/>
      <c r="F971" s="26"/>
      <c r="G971" s="26"/>
      <c r="H971" s="26"/>
    </row>
    <row r="972" spans="1:8" s="46" customFormat="1" x14ac:dyDescent="0.35">
      <c r="A972" s="26"/>
      <c r="B972" s="26"/>
      <c r="C972" s="26"/>
      <c r="D972" s="26"/>
      <c r="E972" s="26"/>
      <c r="F972" s="26"/>
      <c r="G972" s="26"/>
      <c r="H972" s="26"/>
    </row>
    <row r="973" spans="1:8" s="46" customFormat="1" x14ac:dyDescent="0.35">
      <c r="A973" s="26"/>
      <c r="B973" s="26"/>
      <c r="C973" s="26"/>
      <c r="D973" s="26"/>
      <c r="E973" s="26"/>
      <c r="F973" s="26"/>
      <c r="G973" s="26"/>
      <c r="H973" s="26"/>
    </row>
    <row r="974" spans="1:8" s="46" customFormat="1" x14ac:dyDescent="0.35">
      <c r="A974" s="26"/>
      <c r="B974" s="26"/>
      <c r="C974" s="26"/>
      <c r="D974" s="26"/>
      <c r="E974" s="26"/>
      <c r="F974" s="26"/>
      <c r="G974" s="26"/>
      <c r="H974" s="26"/>
    </row>
    <row r="975" spans="1:8" s="46" customFormat="1" x14ac:dyDescent="0.35">
      <c r="A975" s="26"/>
      <c r="B975" s="26"/>
      <c r="C975" s="26"/>
      <c r="D975" s="26"/>
      <c r="E975" s="26"/>
      <c r="F975" s="26"/>
      <c r="G975" s="26"/>
      <c r="H975" s="26"/>
    </row>
    <row r="976" spans="1:8" s="46" customFormat="1" x14ac:dyDescent="0.35">
      <c r="A976" s="26"/>
      <c r="B976" s="26"/>
      <c r="C976" s="26"/>
      <c r="D976" s="26"/>
      <c r="E976" s="26"/>
      <c r="F976" s="26"/>
      <c r="G976" s="26"/>
      <c r="H976" s="26"/>
    </row>
    <row r="977" spans="1:8" s="46" customFormat="1" x14ac:dyDescent="0.35">
      <c r="A977" s="26"/>
      <c r="B977" s="26"/>
      <c r="C977" s="26"/>
      <c r="D977" s="26"/>
      <c r="E977" s="26"/>
      <c r="F977" s="26"/>
      <c r="G977" s="26"/>
      <c r="H977" s="26"/>
    </row>
    <row r="978" spans="1:8" s="46" customFormat="1" x14ac:dyDescent="0.35">
      <c r="A978" s="26"/>
      <c r="B978" s="26"/>
      <c r="C978" s="26"/>
      <c r="D978" s="26"/>
      <c r="E978" s="26"/>
      <c r="F978" s="26"/>
      <c r="G978" s="26"/>
      <c r="H978" s="26"/>
    </row>
    <row r="979" spans="1:8" s="46" customFormat="1" x14ac:dyDescent="0.35">
      <c r="A979" s="26"/>
      <c r="B979" s="26"/>
      <c r="C979" s="26"/>
      <c r="D979" s="26"/>
      <c r="E979" s="26"/>
      <c r="F979" s="26"/>
      <c r="G979" s="26"/>
      <c r="H979" s="26"/>
    </row>
    <row r="980" spans="1:8" s="46" customFormat="1" x14ac:dyDescent="0.35">
      <c r="A980" s="26"/>
      <c r="B980" s="26"/>
      <c r="C980" s="26"/>
      <c r="D980" s="26"/>
      <c r="E980" s="26"/>
      <c r="F980" s="26"/>
      <c r="G980" s="26"/>
      <c r="H980" s="26"/>
    </row>
    <row r="981" spans="1:8" s="46" customFormat="1" x14ac:dyDescent="0.35">
      <c r="A981" s="26"/>
      <c r="B981" s="26"/>
      <c r="C981" s="26"/>
      <c r="D981" s="26"/>
      <c r="E981" s="26"/>
      <c r="F981" s="26"/>
      <c r="G981" s="26"/>
      <c r="H981" s="26"/>
    </row>
    <row r="982" spans="1:8" s="46" customFormat="1" x14ac:dyDescent="0.35">
      <c r="A982" s="26"/>
      <c r="B982" s="26"/>
      <c r="C982" s="26"/>
      <c r="D982" s="26"/>
      <c r="E982" s="26"/>
      <c r="F982" s="26"/>
      <c r="G982" s="26"/>
      <c r="H982" s="26"/>
    </row>
    <row r="983" spans="1:8" s="46" customFormat="1" x14ac:dyDescent="0.35">
      <c r="A983" s="26"/>
      <c r="B983" s="26"/>
      <c r="C983" s="26"/>
      <c r="D983" s="26"/>
      <c r="E983" s="26"/>
      <c r="F983" s="26"/>
      <c r="G983" s="26"/>
      <c r="H983" s="26"/>
    </row>
    <row r="984" spans="1:8" s="46" customFormat="1" x14ac:dyDescent="0.35">
      <c r="A984" s="26"/>
      <c r="B984" s="26"/>
      <c r="C984" s="26"/>
      <c r="D984" s="26"/>
      <c r="E984" s="26"/>
      <c r="F984" s="26"/>
      <c r="G984" s="26"/>
      <c r="H984" s="26"/>
    </row>
    <row r="985" spans="1:8" s="46" customFormat="1" x14ac:dyDescent="0.35">
      <c r="A985" s="26"/>
      <c r="B985" s="26"/>
      <c r="C985" s="26"/>
      <c r="D985" s="26"/>
      <c r="E985" s="26"/>
      <c r="F985" s="26"/>
      <c r="G985" s="26"/>
      <c r="H985" s="26"/>
    </row>
    <row r="986" spans="1:8" s="46" customFormat="1" x14ac:dyDescent="0.35">
      <c r="A986" s="26"/>
      <c r="B986" s="26"/>
      <c r="C986" s="26"/>
      <c r="D986" s="26"/>
      <c r="E986" s="26"/>
      <c r="F986" s="26"/>
      <c r="G986" s="26"/>
      <c r="H986" s="26"/>
    </row>
    <row r="987" spans="1:8" s="46" customFormat="1" x14ac:dyDescent="0.35">
      <c r="A987" s="26"/>
      <c r="B987" s="26"/>
      <c r="C987" s="26"/>
      <c r="D987" s="26"/>
      <c r="E987" s="26"/>
      <c r="F987" s="26"/>
      <c r="G987" s="26"/>
      <c r="H987" s="26"/>
    </row>
    <row r="988" spans="1:8" s="46" customFormat="1" x14ac:dyDescent="0.35">
      <c r="A988" s="26"/>
      <c r="B988" s="26"/>
      <c r="C988" s="26"/>
      <c r="D988" s="26"/>
      <c r="E988" s="26"/>
      <c r="F988" s="26"/>
      <c r="G988" s="26"/>
      <c r="H988" s="26"/>
    </row>
    <row r="989" spans="1:8" s="46" customFormat="1" x14ac:dyDescent="0.35">
      <c r="A989" s="26"/>
      <c r="B989" s="26"/>
      <c r="C989" s="26"/>
      <c r="D989" s="26"/>
      <c r="E989" s="26"/>
      <c r="F989" s="26"/>
      <c r="G989" s="26"/>
      <c r="H989" s="26"/>
    </row>
    <row r="990" spans="1:8" s="46" customFormat="1" x14ac:dyDescent="0.35">
      <c r="A990" s="26"/>
      <c r="B990" s="26"/>
      <c r="C990" s="26"/>
      <c r="D990" s="26"/>
      <c r="E990" s="26"/>
      <c r="F990" s="26"/>
      <c r="G990" s="26"/>
      <c r="H990" s="26"/>
    </row>
    <row r="991" spans="1:8" s="46" customFormat="1" x14ac:dyDescent="0.35">
      <c r="A991" s="26"/>
      <c r="B991" s="26"/>
      <c r="C991" s="26"/>
      <c r="D991" s="26"/>
      <c r="E991" s="26"/>
      <c r="F991" s="26"/>
      <c r="G991" s="26"/>
      <c r="H991" s="26"/>
    </row>
    <row r="992" spans="1:8" s="46" customFormat="1" x14ac:dyDescent="0.35">
      <c r="A992" s="26"/>
      <c r="B992" s="26"/>
      <c r="C992" s="26"/>
      <c r="D992" s="26"/>
      <c r="E992" s="26"/>
      <c r="F992" s="26"/>
      <c r="G992" s="26"/>
      <c r="H992" s="26"/>
    </row>
    <row r="993" spans="1:10" s="46" customFormat="1" x14ac:dyDescent="0.35">
      <c r="A993" s="26"/>
      <c r="B993" s="26"/>
      <c r="C993" s="26"/>
      <c r="D993" s="26"/>
      <c r="E993" s="26"/>
      <c r="F993" s="26"/>
      <c r="G993" s="26"/>
      <c r="H993" s="26"/>
    </row>
    <row r="994" spans="1:10" s="46" customFormat="1" x14ac:dyDescent="0.35">
      <c r="A994" s="26"/>
      <c r="B994" s="26"/>
      <c r="C994" s="26"/>
      <c r="D994" s="26"/>
      <c r="E994" s="26"/>
      <c r="F994" s="26"/>
      <c r="G994" s="26"/>
      <c r="H994" s="26"/>
    </row>
    <row r="995" spans="1:10" s="46" customFormat="1" x14ac:dyDescent="0.35">
      <c r="A995" s="26"/>
      <c r="B995" s="26"/>
      <c r="C995" s="26"/>
      <c r="D995" s="26"/>
      <c r="E995" s="26"/>
      <c r="F995" s="26"/>
      <c r="G995" s="26"/>
      <c r="H995" s="26"/>
    </row>
    <row r="996" spans="1:10" s="46" customFormat="1" x14ac:dyDescent="0.35">
      <c r="A996" s="26"/>
      <c r="B996" s="26"/>
      <c r="C996" s="26"/>
      <c r="D996" s="26"/>
      <c r="E996" s="26"/>
      <c r="F996" s="26"/>
      <c r="G996" s="26"/>
      <c r="H996" s="26"/>
    </row>
    <row r="997" spans="1:10" s="46" customFormat="1" x14ac:dyDescent="0.35">
      <c r="A997" s="26"/>
      <c r="B997" s="26"/>
      <c r="C997" s="26"/>
      <c r="D997" s="26"/>
      <c r="E997" s="26"/>
      <c r="F997" s="26"/>
      <c r="G997" s="26"/>
      <c r="H997" s="26"/>
    </row>
    <row r="998" spans="1:10" s="46" customFormat="1" x14ac:dyDescent="0.35">
      <c r="A998" s="26"/>
      <c r="B998" s="26"/>
      <c r="C998" s="26"/>
      <c r="D998" s="26"/>
      <c r="E998" s="26"/>
      <c r="F998" s="26"/>
      <c r="G998" s="26"/>
      <c r="H998" s="26"/>
    </row>
    <row r="999" spans="1:10" s="46" customFormat="1" x14ac:dyDescent="0.35">
      <c r="A999" s="26"/>
      <c r="B999" s="26"/>
      <c r="C999" s="26"/>
      <c r="D999" s="26"/>
      <c r="E999" s="26"/>
      <c r="F999" s="26"/>
      <c r="G999" s="26"/>
      <c r="H999" s="26"/>
    </row>
    <row r="1000" spans="1:10" s="46" customFormat="1" x14ac:dyDescent="0.35">
      <c r="A1000" s="26"/>
      <c r="B1000" s="26"/>
      <c r="C1000" s="26"/>
      <c r="D1000" s="26"/>
      <c r="E1000" s="26"/>
      <c r="F1000" s="26"/>
      <c r="G1000" s="26"/>
      <c r="H1000" s="26"/>
    </row>
    <row r="1001" spans="1:10" s="46" customFormat="1" x14ac:dyDescent="0.35">
      <c r="A1001" s="26"/>
      <c r="B1001" s="26"/>
      <c r="C1001" s="26"/>
      <c r="D1001" s="26"/>
      <c r="E1001" s="26"/>
      <c r="F1001" s="26"/>
      <c r="G1001" s="26"/>
      <c r="H1001" s="26"/>
    </row>
    <row r="1002" spans="1:10" s="46" customFormat="1" x14ac:dyDescent="0.35">
      <c r="A1002" s="26"/>
      <c r="B1002" s="26"/>
      <c r="C1002" s="26"/>
      <c r="D1002" s="26"/>
      <c r="E1002" s="26"/>
      <c r="F1002" s="26"/>
      <c r="G1002" s="26"/>
      <c r="H1002" s="26"/>
    </row>
    <row r="1003" spans="1:10" s="46" customFormat="1" x14ac:dyDescent="0.35">
      <c r="A1003" s="26"/>
      <c r="B1003" s="26"/>
      <c r="C1003" s="26"/>
      <c r="D1003" s="26"/>
      <c r="E1003" s="26"/>
      <c r="F1003" s="26"/>
      <c r="G1003" s="26"/>
      <c r="H1003" s="26"/>
    </row>
    <row r="1004" spans="1:10" s="46" customFormat="1" x14ac:dyDescent="0.35">
      <c r="A1004" s="26"/>
      <c r="B1004" s="26"/>
      <c r="C1004" s="26"/>
      <c r="D1004" s="26"/>
      <c r="E1004" s="26"/>
      <c r="F1004" s="26"/>
      <c r="G1004" s="26"/>
      <c r="H1004" s="26"/>
    </row>
    <row r="1005" spans="1:10" s="46" customFormat="1" x14ac:dyDescent="0.35">
      <c r="A1005" s="26"/>
      <c r="B1005" s="26"/>
      <c r="C1005" s="26"/>
      <c r="D1005" s="26"/>
      <c r="E1005" s="26"/>
      <c r="F1005" s="26"/>
      <c r="G1005" s="26"/>
      <c r="H1005" s="26"/>
    </row>
    <row r="1006" spans="1:10" s="46" customFormat="1" x14ac:dyDescent="0.35">
      <c r="A1006" s="26"/>
      <c r="B1006" s="26"/>
      <c r="C1006" s="26"/>
      <c r="D1006" s="26"/>
      <c r="E1006" s="26"/>
      <c r="F1006" s="26"/>
      <c r="G1006" s="26"/>
      <c r="H1006" s="26"/>
    </row>
    <row r="1007" spans="1:10" s="46" customFormat="1" x14ac:dyDescent="0.35">
      <c r="A1007" s="26"/>
      <c r="B1007" s="26"/>
      <c r="C1007" s="26"/>
      <c r="D1007" s="26"/>
      <c r="E1007" s="26"/>
      <c r="F1007" s="26"/>
      <c r="G1007" s="26"/>
      <c r="H1007" s="26"/>
    </row>
    <row r="1008" spans="1:10" x14ac:dyDescent="0.35">
      <c r="I1008" s="46"/>
      <c r="J1008" s="46"/>
    </row>
    <row r="1009" spans="9:10" x14ac:dyDescent="0.35">
      <c r="I1009" s="46"/>
      <c r="J1009" s="46"/>
    </row>
    <row r="1010" spans="9:10" x14ac:dyDescent="0.35">
      <c r="I1010" s="46"/>
      <c r="J1010" s="46"/>
    </row>
    <row r="1011" spans="9:10" x14ac:dyDescent="0.35">
      <c r="I1011" s="46"/>
      <c r="J1011" s="46"/>
    </row>
    <row r="1012" spans="9:10" x14ac:dyDescent="0.35">
      <c r="I1012" s="46"/>
      <c r="J1012" s="46"/>
    </row>
    <row r="1013" spans="9:10" x14ac:dyDescent="0.35">
      <c r="I1013" s="46"/>
      <c r="J1013" s="46"/>
    </row>
    <row r="1014" spans="9:10" x14ac:dyDescent="0.35">
      <c r="I1014" s="46"/>
      <c r="J1014" s="46"/>
    </row>
    <row r="1015" spans="9:10" x14ac:dyDescent="0.35">
      <c r="I1015" s="46"/>
      <c r="J1015" s="46"/>
    </row>
    <row r="1016" spans="9:10" x14ac:dyDescent="0.35">
      <c r="I1016" s="46"/>
      <c r="J1016" s="46"/>
    </row>
    <row r="1017" spans="9:10" x14ac:dyDescent="0.35">
      <c r="I1017" s="46"/>
      <c r="J1017" s="46"/>
    </row>
    <row r="1018" spans="9:10" x14ac:dyDescent="0.35">
      <c r="I1018" s="46"/>
      <c r="J1018" s="46"/>
    </row>
    <row r="1019" spans="9:10" x14ac:dyDescent="0.35">
      <c r="I1019" s="46"/>
      <c r="J1019" s="46"/>
    </row>
    <row r="1020" spans="9:10" x14ac:dyDescent="0.35">
      <c r="I1020" s="46"/>
      <c r="J1020" s="46"/>
    </row>
    <row r="1021" spans="9:10" x14ac:dyDescent="0.35">
      <c r="I1021" s="46"/>
      <c r="J1021" s="46"/>
    </row>
    <row r="1022" spans="9:10" x14ac:dyDescent="0.35">
      <c r="I1022" s="46"/>
      <c r="J1022" s="46"/>
    </row>
    <row r="1023" spans="9:10" x14ac:dyDescent="0.35">
      <c r="I1023" s="46"/>
      <c r="J1023" s="46"/>
    </row>
    <row r="1024" spans="9:10" x14ac:dyDescent="0.35">
      <c r="I1024" s="46"/>
      <c r="J1024" s="46"/>
    </row>
    <row r="1025" spans="9:10" x14ac:dyDescent="0.35">
      <c r="I1025" s="46"/>
      <c r="J1025" s="46"/>
    </row>
    <row r="1026" spans="9:10" x14ac:dyDescent="0.35">
      <c r="I1026" s="46"/>
      <c r="J1026" s="46"/>
    </row>
    <row r="1027" spans="9:10" x14ac:dyDescent="0.35">
      <c r="I1027" s="46"/>
      <c r="J1027" s="46"/>
    </row>
    <row r="1028" spans="9:10" x14ac:dyDescent="0.35">
      <c r="I1028" s="46"/>
      <c r="J1028" s="46"/>
    </row>
    <row r="1029" spans="9:10" x14ac:dyDescent="0.35">
      <c r="I1029" s="46"/>
      <c r="J1029" s="46"/>
    </row>
    <row r="1030" spans="9:10" x14ac:dyDescent="0.35">
      <c r="I1030" s="46"/>
      <c r="J1030" s="46"/>
    </row>
    <row r="1031" spans="9:10" x14ac:dyDescent="0.35">
      <c r="I1031" s="46"/>
      <c r="J1031" s="46"/>
    </row>
    <row r="1032" spans="9:10" x14ac:dyDescent="0.35">
      <c r="I1032" s="46"/>
      <c r="J1032" s="46"/>
    </row>
    <row r="1033" spans="9:10" x14ac:dyDescent="0.35">
      <c r="I1033" s="46"/>
      <c r="J1033" s="46"/>
    </row>
    <row r="1034" spans="9:10" x14ac:dyDescent="0.35">
      <c r="I1034" s="46"/>
      <c r="J1034" s="46"/>
    </row>
    <row r="1035" spans="9:10" x14ac:dyDescent="0.35">
      <c r="I1035" s="46"/>
      <c r="J1035" s="46"/>
    </row>
    <row r="1036" spans="9:10" x14ac:dyDescent="0.35">
      <c r="I1036" s="46"/>
      <c r="J1036" s="46"/>
    </row>
    <row r="1037" spans="9:10" x14ac:dyDescent="0.35">
      <c r="I1037" s="46"/>
      <c r="J1037" s="46"/>
    </row>
    <row r="1038" spans="9:10" x14ac:dyDescent="0.35">
      <c r="I1038" s="46"/>
      <c r="J1038" s="46"/>
    </row>
    <row r="1039" spans="9:10" x14ac:dyDescent="0.35">
      <c r="I1039" s="46"/>
      <c r="J1039" s="46"/>
    </row>
  </sheetData>
  <sheetProtection selectLockedCells="1" selectUnlockedCells="1"/>
  <mergeCells count="8">
    <mergeCell ref="A14:B14"/>
    <mergeCell ref="C14:D14"/>
    <mergeCell ref="A15:C15"/>
    <mergeCell ref="D10:E10"/>
    <mergeCell ref="A12:B12"/>
    <mergeCell ref="C12:D12"/>
    <mergeCell ref="A13:B13"/>
    <mergeCell ref="C13:D13"/>
  </mergeCells>
  <pageMargins left="0.70833333333333304" right="0.70833333333333304" top="0.74791666666666701" bottom="0.74791666666666701" header="0.511811023622047" footer="0.31527777777777799"/>
  <pageSetup scale="45" orientation="landscape" horizontalDpi="300" verticalDpi="300"/>
  <headerFooter>
    <oddFooter>&amp;R&amp;"Montserrat,Normal"&amp;10Página &amp;P de &amp;N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9:F210"/>
  <sheetViews>
    <sheetView topLeftCell="A7" zoomScale="85" zoomScaleNormal="85" workbookViewId="0">
      <selection activeCell="D20" sqref="D20"/>
    </sheetView>
  </sheetViews>
  <sheetFormatPr baseColWidth="10" defaultColWidth="10.54296875" defaultRowHeight="14.5" x14ac:dyDescent="0.35"/>
  <cols>
    <col min="5" max="5" width="18.08984375" customWidth="1"/>
  </cols>
  <sheetData>
    <row r="19" spans="1:6" x14ac:dyDescent="0.35">
      <c r="B19" t="s">
        <v>202</v>
      </c>
      <c r="C19" t="str">
        <f>IF('Casos de Prueba'!B18&lt;&gt;0,'Casos de Prueba'!B18&amp;"-"&amp;'Casos de Prueba'!C18:E18,"")</f>
        <v>CP01-/Autenticación</v>
      </c>
    </row>
    <row r="20" spans="1:6" x14ac:dyDescent="0.35">
      <c r="C20" t="str">
        <f>IF('Casos de Prueba'!B19&lt;&gt;0,'Casos de Prueba'!B19&amp;"-"&amp;'Casos de Prueba'!C19:E19,"")</f>
        <v/>
      </c>
      <c r="D20">
        <f>IF(LEN($C20)&gt;0,"",'Casos de Prueba'!D19)</f>
        <v>1</v>
      </c>
      <c r="E20" t="str">
        <f>IF(LEN($C20)&gt;0,"",'Casos de Prueba'!E19)</f>
        <v>PAC abre explorador</v>
      </c>
      <c r="F20" t="str">
        <f>IF(LEN($C20)&gt;0,"",'Casos de Prueba'!F19&amp;CHAR(10)&amp;'Casos de Prueba'!G19)</f>
        <v xml:space="preserve">
</v>
      </c>
    </row>
    <row r="21" spans="1:6" x14ac:dyDescent="0.35">
      <c r="A21">
        <f t="shared" ref="A21:A52" si="0">LEN(E21)</f>
        <v>46</v>
      </c>
      <c r="B21">
        <f t="shared" ref="B21:B52" si="1">LEN(F21)</f>
        <v>719</v>
      </c>
      <c r="C21" t="str">
        <f>IF('Casos de Prueba'!B20&lt;&gt;0,'Casos de Prueba'!B20&amp;"-"&amp;'Casos de Prueba'!C20:E20,"")</f>
        <v/>
      </c>
      <c r="D21">
        <f>IF(LEN($C21)&gt;0,"",'Casos de Prueba'!D20)</f>
        <v>2</v>
      </c>
      <c r="E21" t="str">
        <f>IF(LEN($C21)&gt;0,"",'Casos de Prueba'!E20)</f>
        <v>PAC ingresa a la URL correspondiente al Portal</v>
      </c>
      <c r="F21" t="str">
        <f>IF(LEN($C21)&gt;0,"",'Casos de Prueba'!F20&amp;CHAR(10)&amp;'Casos de Prueba'!G20)</f>
        <v>Se muestran los datos para ingresar:
Certificado (.cer)
Clave privada (.Key)
Contraseña de clave privada: 
Se muestra el campo RFC
Se requiere que el PAC al ingresar al aplicativo cuente con una opción que le permita autenticarse mediante su e.firma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PAC conforme a los lineamientos institucionales vigentes por el área de Seguridad del SAT. 
El PAC debe tener asignado el rol</v>
      </c>
    </row>
    <row r="22" spans="1:6" x14ac:dyDescent="0.35">
      <c r="A22">
        <f t="shared" si="0"/>
        <v>78</v>
      </c>
      <c r="B22">
        <f t="shared" si="1"/>
        <v>86</v>
      </c>
      <c r="C22" t="str">
        <f>IF('Casos de Prueba'!B21&lt;&gt;0,'Casos de Prueba'!B21&amp;"-"&amp;'Casos de Prueba'!C21:E21,"")</f>
        <v/>
      </c>
      <c r="D22">
        <f>IF(LEN($C22)&gt;0,"",'Casos de Prueba'!D21)</f>
        <v>3</v>
      </c>
      <c r="E22" t="str">
        <f>IF(LEN($C22)&gt;0,"",'Casos de Prueba'!E21)</f>
        <v>PAC da clic en buscar y selecciona el archivo correspondiente a su certificado</v>
      </c>
      <c r="F22" t="str">
        <f>IF(LEN($C22)&gt;0,"",'Casos de Prueba'!F21&amp;CHAR(10)&amp;'Casos de Prueba'!G21)</f>
        <v xml:space="preserve">Se muestra el dato en el  campo certificado y en el campo RFC el dato del RFC del PAC
</v>
      </c>
    </row>
    <row r="23" spans="1:6" x14ac:dyDescent="0.35">
      <c r="A23">
        <f t="shared" si="0"/>
        <v>80</v>
      </c>
      <c r="B23">
        <f t="shared" si="1"/>
        <v>45</v>
      </c>
      <c r="C23" t="str">
        <f>IF('Casos de Prueba'!B22&lt;&gt;0,'Casos de Prueba'!B22&amp;"-"&amp;'Casos de Prueba'!C22:E22,"")</f>
        <v/>
      </c>
      <c r="D23">
        <f>IF(LEN($C23)&gt;0,"",'Casos de Prueba'!D22)</f>
        <v>4</v>
      </c>
      <c r="E23" t="str">
        <f>IF(LEN($C23)&gt;0,"",'Casos de Prueba'!E22)</f>
        <v>PAC da clic en buscar y selecciona el archivo correspondiente a su clave privada</v>
      </c>
      <c r="F23" t="str">
        <f>IF(LEN($C23)&gt;0,"",'Casos de Prueba'!F22&amp;CHAR(10)&amp;'Casos de Prueba'!G22)</f>
        <v xml:space="preserve">Se muestra el dato en el campo clave privada
</v>
      </c>
    </row>
    <row r="24" spans="1:6" x14ac:dyDescent="0.35">
      <c r="A24">
        <f t="shared" si="0"/>
        <v>25</v>
      </c>
      <c r="B24">
        <f t="shared" si="1"/>
        <v>49</v>
      </c>
      <c r="C24" t="str">
        <f>IF('Casos de Prueba'!B23&lt;&gt;0,'Casos de Prueba'!B23&amp;"-"&amp;'Casos de Prueba'!C23:E23,"")</f>
        <v/>
      </c>
      <c r="D24">
        <f>IF(LEN($C24)&gt;0,"",'Casos de Prueba'!D23)</f>
        <v>5</v>
      </c>
      <c r="E24" t="str">
        <f>IF(LEN($C24)&gt;0,"",'Casos de Prueba'!E23)</f>
        <v>PAC ingresa su contraseña</v>
      </c>
      <c r="F24" t="str">
        <f>IF(LEN($C24)&gt;0,"",'Casos de Prueba'!F23&amp;CHAR(10)&amp;'Casos de Prueba'!G23)</f>
        <v xml:space="preserve">Se muestra oculto el dato en el campo contraseña
</v>
      </c>
    </row>
    <row r="25" spans="1:6" x14ac:dyDescent="0.35">
      <c r="A25">
        <f t="shared" si="0"/>
        <v>17</v>
      </c>
      <c r="B25">
        <f t="shared" si="1"/>
        <v>579</v>
      </c>
      <c r="C25" t="str">
        <f>IF('Casos de Prueba'!B24&lt;&gt;0,'Casos de Prueba'!B24&amp;"-"&amp;'Casos de Prueba'!C24:E24,"")</f>
        <v/>
      </c>
      <c r="D25">
        <f>IF(LEN($C25)&gt;0,"",'Casos de Prueba'!D24)</f>
        <v>6</v>
      </c>
      <c r="E25" t="str">
        <f>IF(LEN($C25)&gt;0,"",'Casos de Prueba'!E24)</f>
        <v>Da clic en enviar</v>
      </c>
      <c r="F25" t="str">
        <f>IF(LEN($C25)&gt;0,"",'Casos de Prueba'!F24&amp;CHAR(10)&amp;'Casos de Prueba'!G24)</f>
        <v xml:space="preserve">Si la autenticación es correcta, el aplicativo abre la página principal del Portal Contribuyente con las opciones:
- Consultar Facturas Emitidas
- Consultar Facturas Recibidas
- Recuperar Descargas de CFDI
- Consultar Solicitudes de Cancelación
- Consulta incidentes CFDI
- Consulta incidentes CFDI Retenciones
- Recuperar descargas Detalle de consulta de incidencias
En caso de que el PAC no cuente con los permisos asignados conforme a los roles establecidos, el aplicativo mostrará el mensaje: “El PAC no cuenta con los privilegios de acceso” y no se va a permitir su acceso. </v>
      </c>
    </row>
    <row r="26" spans="1:6" x14ac:dyDescent="0.35">
      <c r="A26">
        <f t="shared" si="0"/>
        <v>0</v>
      </c>
      <c r="B26">
        <f t="shared" si="1"/>
        <v>0</v>
      </c>
      <c r="C26" t="str">
        <f>IF('Casos de Prueba'!B25&lt;&gt;0,'Casos de Prueba'!B25&amp;"-"&amp;'Casos de Prueba'!C25:E25,"")</f>
        <v>CP02-/Autenticación_Cer_Key_Incorrecto</v>
      </c>
      <c r="D26" t="str">
        <f>IF(LEN($C26)&gt;0,"",'Casos de Prueba'!D25)</f>
        <v/>
      </c>
      <c r="E26" t="str">
        <f>IF(LEN($C26)&gt;0,"",'Casos de Prueba'!E25)</f>
        <v/>
      </c>
      <c r="F26" t="str">
        <f>IF(LEN($C26)&gt;0,"",'Casos de Prueba'!F25&amp;CHAR(10)&amp;'Casos de Prueba'!G25)</f>
        <v/>
      </c>
    </row>
    <row r="27" spans="1:6" x14ac:dyDescent="0.35">
      <c r="A27">
        <f t="shared" si="0"/>
        <v>22</v>
      </c>
      <c r="B27">
        <f t="shared" si="1"/>
        <v>1</v>
      </c>
      <c r="C27" t="str">
        <f>IF('Casos de Prueba'!B26&lt;&gt;0,'Casos de Prueba'!B26&amp;"-"&amp;'Casos de Prueba'!C26:E26,"")</f>
        <v/>
      </c>
      <c r="D27">
        <f>IF(LEN($C27)&gt;0,"",'Casos de Prueba'!D26)</f>
        <v>1</v>
      </c>
      <c r="E27" t="str">
        <f>IF(LEN($C27)&gt;0,"",'Casos de Prueba'!E26)</f>
        <v>PAC abre explorador
.</v>
      </c>
      <c r="F27" t="str">
        <f>IF(LEN($C27)&gt;0,"",'Casos de Prueba'!F26&amp;CHAR(10)&amp;'Casos de Prueba'!G26)</f>
        <v xml:space="preserve">
</v>
      </c>
    </row>
    <row r="28" spans="1:6" x14ac:dyDescent="0.35">
      <c r="A28">
        <f t="shared" si="0"/>
        <v>46</v>
      </c>
      <c r="B28">
        <f t="shared" si="1"/>
        <v>231</v>
      </c>
      <c r="C28" t="str">
        <f>IF('Casos de Prueba'!B27&lt;&gt;0,'Casos de Prueba'!B27&amp;"-"&amp;'Casos de Prueba'!C27:E27,"")</f>
        <v/>
      </c>
      <c r="D28">
        <f>IF(LEN($C28)&gt;0,"",'Casos de Prueba'!D27)</f>
        <v>2</v>
      </c>
      <c r="E28" t="str">
        <f>IF(LEN($C28)&gt;0,"",'Casos de Prueba'!E27)</f>
        <v>PAC ingresa a la URL correspondiente al Portal</v>
      </c>
      <c r="F28" t="str">
        <f>IF(LEN($C28)&gt;0,"",'Casos de Prueba'!F27&amp;CHAR(10)&amp;'Casos de Prueba'!G27)</f>
        <v>Se muestran los datos para ingresar:
Certificado (.cer)
Clave privada (.Key)
Contraseña de clave privada: 
Se muestra el campo RFC
Para  efectos de este caso de prueba se requiere un archivo .cer o un archivo .Key sean incorrectos.</v>
      </c>
    </row>
    <row r="29" spans="1:6" x14ac:dyDescent="0.35">
      <c r="A29">
        <f t="shared" si="0"/>
        <v>78</v>
      </c>
      <c r="B29">
        <f t="shared" si="1"/>
        <v>86</v>
      </c>
      <c r="C29" t="str">
        <f>IF('Casos de Prueba'!B28&lt;&gt;0,'Casos de Prueba'!B28&amp;"-"&amp;'Casos de Prueba'!C28:E28,"")</f>
        <v/>
      </c>
      <c r="D29">
        <f>IF(LEN($C29)&gt;0,"",'Casos de Prueba'!D28)</f>
        <v>3</v>
      </c>
      <c r="E29" t="str">
        <f>IF(LEN($C29)&gt;0,"",'Casos de Prueba'!E28)</f>
        <v>PAC da clic en buscar y selecciona el archivo correspondiente a su certificado</v>
      </c>
      <c r="F29" t="str">
        <f>IF(LEN($C29)&gt;0,"",'Casos de Prueba'!F28&amp;CHAR(10)&amp;'Casos de Prueba'!G28)</f>
        <v xml:space="preserve">Se muestra el dato en el  campo certificado y en el campo RFC el dato del RFC del PAC
</v>
      </c>
    </row>
    <row r="30" spans="1:6" x14ac:dyDescent="0.35">
      <c r="A30">
        <f t="shared" si="0"/>
        <v>80</v>
      </c>
      <c r="B30">
        <f t="shared" si="1"/>
        <v>45</v>
      </c>
      <c r="C30" t="str">
        <f>IF('Casos de Prueba'!B29&lt;&gt;0,'Casos de Prueba'!B29&amp;"-"&amp;'Casos de Prueba'!C29:E29,"")</f>
        <v/>
      </c>
      <c r="D30">
        <f>IF(LEN($C30)&gt;0,"",'Casos de Prueba'!D29)</f>
        <v>4</v>
      </c>
      <c r="E30" t="str">
        <f>IF(LEN($C30)&gt;0,"",'Casos de Prueba'!E29)</f>
        <v>PAC da clic en buscar y selecciona el archivo correspondiente a su clave privada</v>
      </c>
      <c r="F30" t="str">
        <f>IF(LEN($C30)&gt;0,"",'Casos de Prueba'!F29&amp;CHAR(10)&amp;'Casos de Prueba'!G29)</f>
        <v xml:space="preserve">Se muestra el dato en el campo clave privada
</v>
      </c>
    </row>
    <row r="31" spans="1:6" x14ac:dyDescent="0.35">
      <c r="A31">
        <f t="shared" si="0"/>
        <v>25</v>
      </c>
      <c r="B31">
        <f t="shared" si="1"/>
        <v>49</v>
      </c>
      <c r="C31" t="str">
        <f>IF('Casos de Prueba'!B30&lt;&gt;0,'Casos de Prueba'!B30&amp;"-"&amp;'Casos de Prueba'!C30:E30,"")</f>
        <v/>
      </c>
      <c r="D31">
        <f>IF(LEN($C31)&gt;0,"",'Casos de Prueba'!D30)</f>
        <v>5</v>
      </c>
      <c r="E31" t="str">
        <f>IF(LEN($C31)&gt;0,"",'Casos de Prueba'!E30)</f>
        <v>PAC ingresa su contraseña</v>
      </c>
      <c r="F31" t="str">
        <f>IF(LEN($C31)&gt;0,"",'Casos de Prueba'!F30&amp;CHAR(10)&amp;'Casos de Prueba'!G30)</f>
        <v xml:space="preserve">Se muestra oculto el dato en el campo contraseña
</v>
      </c>
    </row>
    <row r="32" spans="1:6" x14ac:dyDescent="0.35">
      <c r="A32">
        <f t="shared" si="0"/>
        <v>17</v>
      </c>
      <c r="B32">
        <f t="shared" si="1"/>
        <v>127</v>
      </c>
      <c r="C32" t="str">
        <f>IF('Casos de Prueba'!B31&lt;&gt;0,'Casos de Prueba'!B31&amp;"-"&amp;'Casos de Prueba'!C31:E31,"")</f>
        <v/>
      </c>
      <c r="D32">
        <f>IF(LEN($C32)&gt;0,"",'Casos de Prueba'!D31)</f>
        <v>6</v>
      </c>
      <c r="E32" t="str">
        <f>IF(LEN($C32)&gt;0,"",'Casos de Prueba'!E31)</f>
        <v>Da clic en enviar</v>
      </c>
      <c r="F32" t="str">
        <f>IF(LEN($C32)&gt;0,"",'Casos de Prueba'!F31&amp;CHAR(10)&amp;'Casos de Prueba'!G31)</f>
        <v xml:space="preserve">El sistema muestra mensaje: El certificado no corresponde con la llave privada. Y no permite el acceso al Portal de Incidentes
</v>
      </c>
    </row>
    <row r="33" spans="1:6" x14ac:dyDescent="0.35">
      <c r="A33">
        <f t="shared" si="0"/>
        <v>0</v>
      </c>
      <c r="B33">
        <f t="shared" si="1"/>
        <v>0</v>
      </c>
      <c r="C33" t="str">
        <f>IF('Casos de Prueba'!B32&lt;&gt;0,'Casos de Prueba'!B32&amp;"-"&amp;'Casos de Prueba'!C32:E32,"")</f>
        <v>CP03-/Autenticación_Contraseña_Incorrecto</v>
      </c>
      <c r="D33" t="str">
        <f>IF(LEN($C33)&gt;0,"",'Casos de Prueba'!D32)</f>
        <v/>
      </c>
      <c r="E33" t="str">
        <f>IF(LEN($C33)&gt;0,"",'Casos de Prueba'!E32)</f>
        <v/>
      </c>
      <c r="F33" t="str">
        <f>IF(LEN($C33)&gt;0,"",'Casos de Prueba'!F32&amp;CHAR(10)&amp;'Casos de Prueba'!G32)</f>
        <v/>
      </c>
    </row>
    <row r="34" spans="1:6" x14ac:dyDescent="0.35">
      <c r="A34">
        <f t="shared" si="0"/>
        <v>19</v>
      </c>
      <c r="B34">
        <f t="shared" si="1"/>
        <v>1</v>
      </c>
      <c r="C34" t="str">
        <f>IF('Casos de Prueba'!B33&lt;&gt;0,'Casos de Prueba'!B33&amp;"-"&amp;'Casos de Prueba'!C33:E33,"")</f>
        <v/>
      </c>
      <c r="D34">
        <f>IF(LEN($C34)&gt;0,"",'Casos de Prueba'!D33)</f>
        <v>1</v>
      </c>
      <c r="E34" t="str">
        <f>IF(LEN($C34)&gt;0,"",'Casos de Prueba'!E33)</f>
        <v>PAC abre explorador</v>
      </c>
      <c r="F34" t="str">
        <f>IF(LEN($C34)&gt;0,"",'Casos de Prueba'!F33&amp;CHAR(10)&amp;'Casos de Prueba'!G33)</f>
        <v xml:space="preserve">
</v>
      </c>
    </row>
    <row r="35" spans="1:6" x14ac:dyDescent="0.35">
      <c r="A35">
        <f t="shared" si="0"/>
        <v>46</v>
      </c>
      <c r="B35">
        <f t="shared" si="1"/>
        <v>215</v>
      </c>
      <c r="C35" t="str">
        <f>IF('Casos de Prueba'!B34&lt;&gt;0,'Casos de Prueba'!B34&amp;"-"&amp;'Casos de Prueba'!C34:E34,"")</f>
        <v/>
      </c>
      <c r="D35">
        <f>IF(LEN($C35)&gt;0,"",'Casos de Prueba'!D34)</f>
        <v>2</v>
      </c>
      <c r="E35" t="str">
        <f>IF(LEN($C35)&gt;0,"",'Casos de Prueba'!E34)</f>
        <v>PAC ingresa a la URL correspondiente al Portal</v>
      </c>
      <c r="F35" t="str">
        <f>IF(LEN($C35)&gt;0,"",'Casos de Prueba'!F34&amp;CHAR(10)&amp;'Casos de Prueba'!G34)</f>
        <v>Se muestran los datos para ingresar:
Certificado (.cer)
Clave privada (.Key)
Contraseña de clave privada: 
Se muestra el campo RFC
Para  efectos de este caso de prueba se requiere ingresar una contraseña incorrecta.</v>
      </c>
    </row>
    <row r="36" spans="1:6" x14ac:dyDescent="0.35">
      <c r="A36">
        <f t="shared" si="0"/>
        <v>78</v>
      </c>
      <c r="B36">
        <f t="shared" si="1"/>
        <v>86</v>
      </c>
      <c r="C36" t="str">
        <f>IF('Casos de Prueba'!B35&lt;&gt;0,'Casos de Prueba'!B35&amp;"-"&amp;'Casos de Prueba'!C35:E35,"")</f>
        <v/>
      </c>
      <c r="D36">
        <f>IF(LEN($C36)&gt;0,"",'Casos de Prueba'!D35)</f>
        <v>3</v>
      </c>
      <c r="E36" t="str">
        <f>IF(LEN($C36)&gt;0,"",'Casos de Prueba'!E35)</f>
        <v>PAC da clic en buscar y selecciona el archivo correspondiente a su certificado</v>
      </c>
      <c r="F36" t="str">
        <f>IF(LEN($C36)&gt;0,"",'Casos de Prueba'!F35&amp;CHAR(10)&amp;'Casos de Prueba'!G35)</f>
        <v xml:space="preserve">Se muestra el dato en el  campo certificado y en el campo RFC el dato del RFC del PAC
</v>
      </c>
    </row>
    <row r="37" spans="1:6" x14ac:dyDescent="0.35">
      <c r="A37">
        <f t="shared" si="0"/>
        <v>80</v>
      </c>
      <c r="B37">
        <f t="shared" si="1"/>
        <v>45</v>
      </c>
      <c r="C37" t="str">
        <f>IF('Casos de Prueba'!B36&lt;&gt;0,'Casos de Prueba'!B36&amp;"-"&amp;'Casos de Prueba'!C36:E36,"")</f>
        <v/>
      </c>
      <c r="D37">
        <f>IF(LEN($C37)&gt;0,"",'Casos de Prueba'!D36)</f>
        <v>4</v>
      </c>
      <c r="E37" t="str">
        <f>IF(LEN($C37)&gt;0,"",'Casos de Prueba'!E36)</f>
        <v>PAC da clic en buscar y selecciona el archivo correspondiente a su clave privada</v>
      </c>
      <c r="F37" t="str">
        <f>IF(LEN($C37)&gt;0,"",'Casos de Prueba'!F36&amp;CHAR(10)&amp;'Casos de Prueba'!G36)</f>
        <v xml:space="preserve">Se muestra el dato en el campo clave privada
</v>
      </c>
    </row>
    <row r="38" spans="1:6" x14ac:dyDescent="0.35">
      <c r="A38">
        <f t="shared" si="0"/>
        <v>36</v>
      </c>
      <c r="B38">
        <f t="shared" si="1"/>
        <v>49</v>
      </c>
      <c r="C38" t="str">
        <f>IF('Casos de Prueba'!B37&lt;&gt;0,'Casos de Prueba'!B37&amp;"-"&amp;'Casos de Prueba'!C37:E37,"")</f>
        <v/>
      </c>
      <c r="D38">
        <f>IF(LEN($C38)&gt;0,"",'Casos de Prueba'!D37)</f>
        <v>5</v>
      </c>
      <c r="E38" t="str">
        <f>IF(LEN($C38)&gt;0,"",'Casos de Prueba'!E37)</f>
        <v>PAC ingresa su contraseña incorrecta</v>
      </c>
      <c r="F38" t="str">
        <f>IF(LEN($C38)&gt;0,"",'Casos de Prueba'!F37&amp;CHAR(10)&amp;'Casos de Prueba'!G37)</f>
        <v xml:space="preserve">Se muestra oculto el dato en el campo contraseña
</v>
      </c>
    </row>
    <row r="39" spans="1:6" x14ac:dyDescent="0.35">
      <c r="A39">
        <f t="shared" si="0"/>
        <v>17</v>
      </c>
      <c r="B39">
        <f t="shared" si="1"/>
        <v>118</v>
      </c>
      <c r="C39" t="str">
        <f>IF('Casos de Prueba'!B38&lt;&gt;0,'Casos de Prueba'!B38&amp;"-"&amp;'Casos de Prueba'!C38:E38,"")</f>
        <v/>
      </c>
      <c r="D39">
        <f>IF(LEN($C39)&gt;0,"",'Casos de Prueba'!D38)</f>
        <v>6</v>
      </c>
      <c r="E39" t="str">
        <f>IF(LEN($C39)&gt;0,"",'Casos de Prueba'!E38)</f>
        <v>Da clic en enviar</v>
      </c>
      <c r="F39" t="str">
        <f>IF(LEN($C39)&gt;0,"",'Casos de Prueba'!F38&amp;CHAR(10)&amp;'Casos de Prueba'!G38)</f>
        <v xml:space="preserve">El sistema muestra mensaje: Certificado, clave privada o contraseña de clave privada inválidos, inténtelo nuevamente.
</v>
      </c>
    </row>
    <row r="40" spans="1:6" x14ac:dyDescent="0.35">
      <c r="A40">
        <f t="shared" si="0"/>
        <v>0</v>
      </c>
      <c r="B40">
        <f t="shared" si="1"/>
        <v>0</v>
      </c>
      <c r="C40" t="str">
        <f>IF('Casos de Prueba'!B39&lt;&gt;0,'Casos de Prueba'!B39&amp;"-"&amp;'Casos de Prueba'!C39:E39,"")</f>
        <v xml:space="preserve">CP04-/Inactividad </v>
      </c>
      <c r="D40" t="str">
        <f>IF(LEN($C40)&gt;0,"",'Casos de Prueba'!D39)</f>
        <v/>
      </c>
      <c r="E40" t="str">
        <f>IF(LEN($C40)&gt;0,"",'Casos de Prueba'!E39)</f>
        <v/>
      </c>
      <c r="F40" t="str">
        <f>IF(LEN($C40)&gt;0,"",'Casos de Prueba'!F39&amp;CHAR(10)&amp;'Casos de Prueba'!G39)</f>
        <v/>
      </c>
    </row>
    <row r="41" spans="1:6" x14ac:dyDescent="0.35">
      <c r="A41">
        <f t="shared" si="0"/>
        <v>40</v>
      </c>
      <c r="B41">
        <f t="shared" si="1"/>
        <v>368</v>
      </c>
      <c r="C41" t="str">
        <f>IF('Casos de Prueba'!B40&lt;&gt;0,'Casos de Prueba'!B40&amp;"-"&amp;'Casos de Prueba'!C40:E40,"")</f>
        <v/>
      </c>
      <c r="D41">
        <f>IF(LEN($C41)&gt;0,"",'Casos de Prueba'!D40)</f>
        <v>1</v>
      </c>
      <c r="E41" t="str">
        <f>IF(LEN($C41)&gt;0,"",'Casos de Prueba'!E40)</f>
        <v>PAC ingresa al Portal Contribuyente CFDI</v>
      </c>
      <c r="F41" t="str">
        <f>IF(LEN($C41)&gt;0,"",'Casos de Prueba'!F40&amp;CHAR(10)&amp;'Casos de Prueba'!G40)</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Contribuyente CFDI</v>
      </c>
    </row>
    <row r="42" spans="1:6" x14ac:dyDescent="0.35">
      <c r="A42">
        <f t="shared" si="0"/>
        <v>37</v>
      </c>
      <c r="B42">
        <f t="shared" si="1"/>
        <v>321</v>
      </c>
      <c r="C42" t="str">
        <f>IF('Casos de Prueba'!B41&lt;&gt;0,'Casos de Prueba'!B41&amp;"-"&amp;'Casos de Prueba'!C41:E41,"")</f>
        <v/>
      </c>
      <c r="D42">
        <f>IF(LEN($C42)&gt;0,"",'Casos de Prueba'!D41)</f>
        <v>2</v>
      </c>
      <c r="E42" t="str">
        <f>IF(LEN($C42)&gt;0,"",'Casos de Prueba'!E41)</f>
        <v>Da clic en "Consulta incidentes CFDI"</v>
      </c>
      <c r="F42" t="str">
        <f>IF(LEN($C42)&gt;0,"",'Casos de Prueba'!F41&amp;CHAR(10)&amp;'Casos de Prueba'!G41)</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43" spans="1:6" x14ac:dyDescent="0.35">
      <c r="A43">
        <f t="shared" si="0"/>
        <v>24</v>
      </c>
      <c r="B43">
        <f t="shared" si="1"/>
        <v>141</v>
      </c>
      <c r="C43" t="str">
        <f>IF('Casos de Prueba'!B42&lt;&gt;0,'Casos de Prueba'!B42&amp;"-"&amp;'Casos de Prueba'!C42:E42,"")</f>
        <v/>
      </c>
      <c r="D43">
        <f>IF(LEN($C43)&gt;0,"",'Casos de Prueba'!D42)</f>
        <v>3</v>
      </c>
      <c r="E43" t="str">
        <f>IF(LEN($C43)&gt;0,"",'Casos de Prueba'!E42)</f>
        <v xml:space="preserve">Dejar la sesión abierta </v>
      </c>
      <c r="F43" t="str">
        <f>IF(LEN($C43)&gt;0,"",'Casos de Prueba'!F42&amp;CHAR(10)&amp;'Casos de Prueba'!G42)</f>
        <v xml:space="preserve">La sesión debe cerrarse de forma automática cuando esta se encuentre inactiva por el PAC y permanezca abierta en un plazo mayor a 10 minutos
</v>
      </c>
    </row>
    <row r="44" spans="1:6" x14ac:dyDescent="0.35">
      <c r="A44">
        <f t="shared" si="0"/>
        <v>0</v>
      </c>
      <c r="B44">
        <f t="shared" si="1"/>
        <v>0</v>
      </c>
      <c r="C44" t="str">
        <f>IF('Casos de Prueba'!B43&lt;&gt;0,'Casos de Prueba'!B43&amp;"-"&amp;'Casos de Prueba'!C43:E43,"")</f>
        <v>CP05-/Salir</v>
      </c>
      <c r="D44" t="str">
        <f>IF(LEN($C44)&gt;0,"",'Casos de Prueba'!D43)</f>
        <v/>
      </c>
      <c r="E44" t="str">
        <f>IF(LEN($C44)&gt;0,"",'Casos de Prueba'!E43)</f>
        <v/>
      </c>
      <c r="F44" t="str">
        <f>IF(LEN($C44)&gt;0,"",'Casos de Prueba'!F43&amp;CHAR(10)&amp;'Casos de Prueba'!G43)</f>
        <v/>
      </c>
    </row>
    <row r="45" spans="1:6" x14ac:dyDescent="0.35">
      <c r="A45">
        <f t="shared" si="0"/>
        <v>40</v>
      </c>
      <c r="B45">
        <f t="shared" si="1"/>
        <v>366</v>
      </c>
      <c r="C45" t="str">
        <f>IF('Casos de Prueba'!B44&lt;&gt;0,'Casos de Prueba'!B44&amp;"-"&amp;'Casos de Prueba'!C44:E44,"")</f>
        <v/>
      </c>
      <c r="D45">
        <f>IF(LEN($C45)&gt;0,"",'Casos de Prueba'!D44)</f>
        <v>1</v>
      </c>
      <c r="E45" t="str">
        <f>IF(LEN($C45)&gt;0,"",'Casos de Prueba'!E44)</f>
        <v>PAC ingresa al Portal Contribuyente CFDI</v>
      </c>
      <c r="F45" t="str">
        <f>IF(LEN($C45)&gt;0,"",'Casos de Prueba'!F44&amp;CHAR(10)&amp;'Casos de Prueba'!G44)</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Cancelaciones</v>
      </c>
    </row>
    <row r="46" spans="1:6" x14ac:dyDescent="0.35">
      <c r="A46">
        <f t="shared" si="0"/>
        <v>37</v>
      </c>
      <c r="B46">
        <f t="shared" si="1"/>
        <v>321</v>
      </c>
      <c r="C46" t="str">
        <f>IF('Casos de Prueba'!B45&lt;&gt;0,'Casos de Prueba'!B45&amp;"-"&amp;'Casos de Prueba'!C45:E45,"")</f>
        <v/>
      </c>
      <c r="D46">
        <f>IF(LEN($C46)&gt;0,"",'Casos de Prueba'!D45)</f>
        <v>2</v>
      </c>
      <c r="E46" t="str">
        <f>IF(LEN($C46)&gt;0,"",'Casos de Prueba'!E45)</f>
        <v>Da clic en "Consulta Incidentes CFDI"</v>
      </c>
      <c r="F46" t="str">
        <f>IF(LEN($C46)&gt;0,"",'Casos de Prueba'!F45&amp;CHAR(10)&amp;'Casos de Prueba'!G45)</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47" spans="1:6" x14ac:dyDescent="0.35">
      <c r="A47">
        <f t="shared" si="0"/>
        <v>16</v>
      </c>
      <c r="B47">
        <f t="shared" si="1"/>
        <v>25</v>
      </c>
      <c r="C47" t="str">
        <f>IF('Casos de Prueba'!B46&lt;&gt;0,'Casos de Prueba'!B46&amp;"-"&amp;'Casos de Prueba'!C46:E46,"")</f>
        <v/>
      </c>
      <c r="D47">
        <f>IF(LEN($C47)&gt;0,"",'Casos de Prueba'!D46)</f>
        <v>3</v>
      </c>
      <c r="E47" t="str">
        <f>IF(LEN($C47)&gt;0,"",'Casos de Prueba'!E46)</f>
        <v>Da clic en Salir</v>
      </c>
      <c r="F47" t="str">
        <f>IF(LEN($C47)&gt;0,"",'Casos de Prueba'!F46&amp;CHAR(10)&amp;'Casos de Prueba'!G46)</f>
        <v xml:space="preserve">Cierra la sesión del RFC
</v>
      </c>
    </row>
    <row r="48" spans="1:6" x14ac:dyDescent="0.35">
      <c r="A48">
        <f t="shared" si="0"/>
        <v>0</v>
      </c>
      <c r="B48">
        <f t="shared" si="1"/>
        <v>0</v>
      </c>
      <c r="C48" t="str">
        <f>IF('Casos de Prueba'!B47&lt;&gt;0,'Casos de Prueba'!B47&amp;"-"&amp;'Casos de Prueba'!C47:E47,"")</f>
        <v>CP06-/FolioFiscalConsulta</v>
      </c>
      <c r="D48" t="str">
        <f>IF(LEN($C48)&gt;0,"",'Casos de Prueba'!D47)</f>
        <v/>
      </c>
      <c r="E48" t="str">
        <f>IF(LEN($C48)&gt;0,"",'Casos de Prueba'!E47)</f>
        <v/>
      </c>
      <c r="F48" t="str">
        <f>IF(LEN($C48)&gt;0,"",'Casos de Prueba'!F47&amp;CHAR(10)&amp;'Casos de Prueba'!G47)</f>
        <v/>
      </c>
    </row>
    <row r="49" spans="1:6" x14ac:dyDescent="0.35">
      <c r="A49">
        <f t="shared" si="0"/>
        <v>40</v>
      </c>
      <c r="B49">
        <f t="shared" si="1"/>
        <v>368</v>
      </c>
      <c r="C49" t="str">
        <f>IF('Casos de Prueba'!B48&lt;&gt;0,'Casos de Prueba'!B48&amp;"-"&amp;'Casos de Prueba'!C48:E48,"")</f>
        <v/>
      </c>
      <c r="D49">
        <f>IF(LEN($C49)&gt;0,"",'Casos de Prueba'!D48)</f>
        <v>1</v>
      </c>
      <c r="E49" t="str">
        <f>IF(LEN($C49)&gt;0,"",'Casos de Prueba'!E48)</f>
        <v>PAC ingresa al Portal Contribuyente CFDI</v>
      </c>
      <c r="F49" t="str">
        <f>IF(LEN($C49)&gt;0,"",'Casos de Prueba'!F48&amp;CHAR(10)&amp;'Casos de Prueba'!G48)</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Contribuyente CFDI</v>
      </c>
    </row>
    <row r="50" spans="1:6" x14ac:dyDescent="0.35">
      <c r="A50">
        <f t="shared" si="0"/>
        <v>37</v>
      </c>
      <c r="B50">
        <f t="shared" si="1"/>
        <v>517</v>
      </c>
      <c r="C50" t="str">
        <f>IF('Casos de Prueba'!B49&lt;&gt;0,'Casos de Prueba'!B49&amp;"-"&amp;'Casos de Prueba'!C49:E49,"")</f>
        <v/>
      </c>
      <c r="D50">
        <f>IF(LEN($C50)&gt;0,"",'Casos de Prueba'!D49)</f>
        <v>2</v>
      </c>
      <c r="E50" t="str">
        <f>IF(LEN($C50)&gt;0,"",'Casos de Prueba'!E49)</f>
        <v>Da clic en "Consulta incidentes CFDI"</v>
      </c>
      <c r="F50" t="str">
        <f>IF(LEN($C50)&gt;0,"",'Casos de Prueba'!F49&amp;CHAR(10)&amp;'Casos de Prueba'!G49)</f>
        <v>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Al seleccionar esta opción el sistema permitirá la consulta de los registros de incidencias para los CFDI en su version 4.0 al momento de su envío por el servicio del SAT y proveedores autorizados</v>
      </c>
    </row>
    <row r="51" spans="1:6" x14ac:dyDescent="0.35">
      <c r="A51">
        <f t="shared" si="0"/>
        <v>75</v>
      </c>
      <c r="B51">
        <f t="shared" si="1"/>
        <v>694</v>
      </c>
      <c r="C51" t="str">
        <f>IF('Casos de Prueba'!B50&lt;&gt;0,'Casos de Prueba'!B50&amp;"-"&amp;'Casos de Prueba'!C50:E50,"")</f>
        <v/>
      </c>
      <c r="D51">
        <f>IF(LEN($C51)&gt;0,"",'Casos de Prueba'!D50)</f>
        <v>3</v>
      </c>
      <c r="E51" t="str">
        <f>IF(LEN($C51)&gt;0,"",'Casos de Prueba'!E50)</f>
        <v>Selecciona en el campo "Tipo de Consulta":
Incidentes Servicio de Recepción</v>
      </c>
      <c r="F51" t="str">
        <f>IF(LEN($C51)&gt;0,"",'Casos de Prueba'!F50&amp;CHAR(10)&amp;'Casos de Prueba'!G50)</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v>
      </c>
    </row>
    <row r="52" spans="1:6" x14ac:dyDescent="0.35">
      <c r="A52">
        <f t="shared" si="0"/>
        <v>119</v>
      </c>
      <c r="B52">
        <f t="shared" si="1"/>
        <v>51</v>
      </c>
      <c r="C52" t="str">
        <f>IF('Casos de Prueba'!B51&lt;&gt;0,'Casos de Prueba'!B51&amp;"-"&amp;'Casos de Prueba'!C51:E51,"")</f>
        <v/>
      </c>
      <c r="D52">
        <f>IF(LEN($C52)&gt;0,"",'Casos de Prueba'!D51)</f>
        <v>4</v>
      </c>
      <c r="E52" t="str">
        <f>IF(LEN($C52)&gt;0,"",'Casos de Prueba'!E51)</f>
        <v>Selecciona el campo Folio Fiscal e ingresa el UUID del comprobante del cual se desea conocer los incidentes registrados</v>
      </c>
      <c r="F52" t="str">
        <f>IF(LEN($C52)&gt;0,"",'Casos de Prueba'!F51&amp;CHAR(10)&amp;'Casos de Prueba'!G51)</f>
        <v xml:space="preserve">El sistema muestra los datos que se van ingresando
</v>
      </c>
    </row>
    <row r="53" spans="1:6" x14ac:dyDescent="0.35">
      <c r="A53">
        <f t="shared" ref="A53:A84" si="2">LEN(E53)</f>
        <v>45</v>
      </c>
      <c r="B53">
        <f t="shared" ref="B53:B84" si="3">LEN(F53)</f>
        <v>222</v>
      </c>
      <c r="C53" t="str">
        <f>IF('Casos de Prueba'!B52&lt;&gt;0,'Casos de Prueba'!B52&amp;"-"&amp;'Casos de Prueba'!C52:E52,"")</f>
        <v/>
      </c>
      <c r="D53">
        <f>IF(LEN($C53)&gt;0,"",'Casos de Prueba'!D52)</f>
        <v>5</v>
      </c>
      <c r="E53" t="str">
        <f>IF(LEN($C53)&gt;0,"",'Casos de Prueba'!E52)</f>
        <v>Se da clic en el botón "Consultar Incidentes"</v>
      </c>
      <c r="F53" t="str">
        <f>IF(LEN($C53)&gt;0,"",'Casos de Prueba'!F52&amp;CHAR(10)&amp;'Casos de Prueba'!G52)</f>
        <v xml:space="preserve">El servicio inhabilita la sección de Fecha Inicial y Final de Recepción.
El sistema deberá mostrar en una tabla los resultados obtenidos de la consulta:
• Nombre o Razón Social
• Evento
• Mensaje
• Total
• Detalle (Boton)
</v>
      </c>
    </row>
    <row r="54" spans="1:6" x14ac:dyDescent="0.35">
      <c r="A54">
        <f t="shared" si="2"/>
        <v>16</v>
      </c>
      <c r="B54">
        <f t="shared" si="3"/>
        <v>37</v>
      </c>
      <c r="C54" t="str">
        <f>IF('Casos de Prueba'!B53&lt;&gt;0,'Casos de Prueba'!B53&amp;"-"&amp;'Casos de Prueba'!C53:E53,"")</f>
        <v/>
      </c>
      <c r="D54">
        <f>IF(LEN($C54)&gt;0,"",'Casos de Prueba'!D53)</f>
        <v>6</v>
      </c>
      <c r="E54" t="str">
        <f>IF(LEN($C54)&gt;0,"",'Casos de Prueba'!E53)</f>
        <v>Da clic en Salir</v>
      </c>
      <c r="F54" t="str">
        <f>IF(LEN($C54)&gt;0,"",'Casos de Prueba'!F53&amp;CHAR(10)&amp;'Casos de Prueba'!G53)</f>
        <v>Cierra la sesión del RFC
Fin del caso</v>
      </c>
    </row>
    <row r="55" spans="1:6" x14ac:dyDescent="0.35">
      <c r="A55">
        <f t="shared" si="2"/>
        <v>0</v>
      </c>
      <c r="B55">
        <f t="shared" si="3"/>
        <v>0</v>
      </c>
      <c r="C55" t="str">
        <f>IF('Casos de Prueba'!B54&lt;&gt;0,'Casos de Prueba'!B54&amp;"-"&amp;'Casos de Prueba'!C54:E54,"")</f>
        <v>CP07-/MsgErrorConsultaCFDIVacío</v>
      </c>
      <c r="D55" t="str">
        <f>IF(LEN($C55)&gt;0,"",'Casos de Prueba'!D54)</f>
        <v/>
      </c>
      <c r="E55" t="str">
        <f>IF(LEN($C55)&gt;0,"",'Casos de Prueba'!E54)</f>
        <v/>
      </c>
      <c r="F55" t="str">
        <f>IF(LEN($C55)&gt;0,"",'Casos de Prueba'!F54&amp;CHAR(10)&amp;'Casos de Prueba'!G54)</f>
        <v/>
      </c>
    </row>
    <row r="56" spans="1:6" x14ac:dyDescent="0.35">
      <c r="A56">
        <f t="shared" si="2"/>
        <v>40</v>
      </c>
      <c r="B56">
        <f t="shared" si="3"/>
        <v>363</v>
      </c>
      <c r="C56" t="str">
        <f>IF('Casos de Prueba'!B55&lt;&gt;0,'Casos de Prueba'!B55&amp;"-"&amp;'Casos de Prueba'!C55:E55,"")</f>
        <v/>
      </c>
      <c r="D56">
        <f>IF(LEN($C56)&gt;0,"",'Casos de Prueba'!D55)</f>
        <v>1</v>
      </c>
      <c r="E56" t="str">
        <f>IF(LEN($C56)&gt;0,"",'Casos de Prueba'!E55)</f>
        <v>PAC ingresa al Portal Contribuyente CFDI</v>
      </c>
      <c r="F56" t="str">
        <f>IF(LEN($C56)&gt;0,"",'Casos de Prueba'!F55&amp;CHAR(10)&amp;'Casos de Prueba'!G55)</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57" spans="1:6" x14ac:dyDescent="0.35">
      <c r="A57">
        <f t="shared" si="2"/>
        <v>37</v>
      </c>
      <c r="B57">
        <f t="shared" si="3"/>
        <v>523</v>
      </c>
      <c r="C57" t="str">
        <f>IF('Casos de Prueba'!B56&lt;&gt;0,'Casos de Prueba'!B56&amp;"-"&amp;'Casos de Prueba'!C56:E56,"")</f>
        <v/>
      </c>
      <c r="D57">
        <f>IF(LEN($C57)&gt;0,"",'Casos de Prueba'!D56)</f>
        <v>2</v>
      </c>
      <c r="E57" t="str">
        <f>IF(LEN($C57)&gt;0,"",'Casos de Prueba'!E56)</f>
        <v>Da clic en "Consulta incidentes CFDI"</v>
      </c>
      <c r="F57" t="str">
        <f>IF(LEN($C57)&gt;0,"",'Casos de Prueba'!F56&amp;CHAR(10)&amp;'Casos de Prueba'!G56)</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Al seleccionar esta opción el sistema permitirá la consulta de los registros de incidencias para los CFDI en sus versiones 4.0 al momento de su envío por el servicio del SAT y proveedores autorizados
</v>
      </c>
    </row>
    <row r="58" spans="1:6" x14ac:dyDescent="0.35">
      <c r="A58">
        <f t="shared" si="2"/>
        <v>75</v>
      </c>
      <c r="B58">
        <f t="shared" si="3"/>
        <v>719</v>
      </c>
      <c r="C58" t="str">
        <f>IF('Casos de Prueba'!B57&lt;&gt;0,'Casos de Prueba'!B57&amp;"-"&amp;'Casos de Prueba'!C57:E57,"")</f>
        <v/>
      </c>
      <c r="D58">
        <f>IF(LEN($C58)&gt;0,"",'Casos de Prueba'!D57)</f>
        <v>3</v>
      </c>
      <c r="E58" t="str">
        <f>IF(LEN($C58)&gt;0,"",'Casos de Prueba'!E57)</f>
        <v>Selecciona en el campo "Tipo de Consulta":
Incidentes Servicio de Recepción</v>
      </c>
      <c r="F58" t="str">
        <f>IF(LEN($C58)&gt;0,"",'Casos de Prueba'!F57&amp;CHAR(10)&amp;'Casos de Prueba'!G57)</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59" spans="1:6" x14ac:dyDescent="0.35">
      <c r="A59">
        <f t="shared" si="2"/>
        <v>117</v>
      </c>
      <c r="B59">
        <f t="shared" si="3"/>
        <v>88</v>
      </c>
      <c r="C59" t="str">
        <f>IF('Casos de Prueba'!B58&lt;&gt;0,'Casos de Prueba'!B58&amp;"-"&amp;'Casos de Prueba'!C58:E58,"")</f>
        <v/>
      </c>
      <c r="D59">
        <f>IF(LEN($C59)&gt;0,"",'Casos de Prueba'!D58)</f>
        <v>4</v>
      </c>
      <c r="E59" t="str">
        <f>IF(LEN($C59)&gt;0,"",'Casos de Prueba'!E58)</f>
        <v>Se da clic en el botón "Consultar Incidentes"
Nota: Para este caso de prueba no se ingresa el valor del Folio Fiscal</v>
      </c>
      <c r="F59" t="str">
        <f>IF(LEN($C59)&gt;0,"",'Casos de Prueba'!F58&amp;CHAR(10)&amp;'Casos de Prueba'!G58)</f>
        <v xml:space="preserve">El aplicativo muestra el siguiente mensaje
 “ERROR: Favor de ingresar el folio fiscal”.
</v>
      </c>
    </row>
    <row r="60" spans="1:6" x14ac:dyDescent="0.35">
      <c r="A60">
        <f t="shared" si="2"/>
        <v>16</v>
      </c>
      <c r="B60">
        <f t="shared" si="3"/>
        <v>37</v>
      </c>
      <c r="C60" t="str">
        <f>IF('Casos de Prueba'!B59&lt;&gt;0,'Casos de Prueba'!B59&amp;"-"&amp;'Casos de Prueba'!C59:E59,"")</f>
        <v/>
      </c>
      <c r="D60">
        <f>IF(LEN($C60)&gt;0,"",'Casos de Prueba'!D59)</f>
        <v>5</v>
      </c>
      <c r="E60" t="str">
        <f>IF(LEN($C60)&gt;0,"",'Casos de Prueba'!E59)</f>
        <v>Da clic en Salir</v>
      </c>
      <c r="F60" t="str">
        <f>IF(LEN($C60)&gt;0,"",'Casos de Prueba'!F59&amp;CHAR(10)&amp;'Casos de Prueba'!G59)</f>
        <v>Cierra la sesión del RFC
Fin del caso</v>
      </c>
    </row>
    <row r="61" spans="1:6" x14ac:dyDescent="0.35">
      <c r="A61">
        <f t="shared" si="2"/>
        <v>0</v>
      </c>
      <c r="B61">
        <f t="shared" si="3"/>
        <v>0</v>
      </c>
      <c r="C61" t="str">
        <f>IF('Casos de Prueba'!B60&lt;&gt;0,'Casos de Prueba'!B60&amp;"-"&amp;'Casos de Prueba'!C60:E60,"")</f>
        <v>CP08-/MsgErrorConsultaCFDIFormatoIncorrecto</v>
      </c>
      <c r="D61" t="str">
        <f>IF(LEN($C61)&gt;0,"",'Casos de Prueba'!D60)</f>
        <v/>
      </c>
      <c r="E61" t="str">
        <f>IF(LEN($C61)&gt;0,"",'Casos de Prueba'!E60)</f>
        <v/>
      </c>
      <c r="F61" t="str">
        <f>IF(LEN($C61)&gt;0,"",'Casos de Prueba'!F60&amp;CHAR(10)&amp;'Casos de Prueba'!G60)</f>
        <v/>
      </c>
    </row>
    <row r="62" spans="1:6" x14ac:dyDescent="0.35">
      <c r="A62">
        <f t="shared" si="2"/>
        <v>40</v>
      </c>
      <c r="B62">
        <f t="shared" si="3"/>
        <v>463</v>
      </c>
      <c r="C62" t="str">
        <f>IF('Casos de Prueba'!B61&lt;&gt;0,'Casos de Prueba'!B61&amp;"-"&amp;'Casos de Prueba'!C61:E61,"")</f>
        <v/>
      </c>
      <c r="D62">
        <f>IF(LEN($C62)&gt;0,"",'Casos de Prueba'!D61)</f>
        <v>1</v>
      </c>
      <c r="E62" t="str">
        <f>IF(LEN($C62)&gt;0,"",'Casos de Prueba'!E61)</f>
        <v>PAC ingresa al Portal Contribuyente CFDI</v>
      </c>
      <c r="F62" t="str">
        <f>IF(LEN($C62)&gt;0,"",'Casos de Prueba'!F61&amp;CHAR(10)&amp;'Casos de Prueba'!G61)</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ingresa un Comprobante Fiscal CFDI versión 4.0 con formato incorrecto</v>
      </c>
    </row>
    <row r="63" spans="1:6" x14ac:dyDescent="0.35">
      <c r="A63">
        <f t="shared" si="2"/>
        <v>37</v>
      </c>
      <c r="B63">
        <f t="shared" si="3"/>
        <v>522</v>
      </c>
      <c r="C63" t="str">
        <f>IF('Casos de Prueba'!B62&lt;&gt;0,'Casos de Prueba'!B62&amp;"-"&amp;'Casos de Prueba'!C62:E62,"")</f>
        <v/>
      </c>
      <c r="D63">
        <f>IF(LEN($C63)&gt;0,"",'Casos de Prueba'!D62)</f>
        <v>2</v>
      </c>
      <c r="E63" t="str">
        <f>IF(LEN($C63)&gt;0,"",'Casos de Prueba'!E62)</f>
        <v>Da clic en "Consulta incidentes CFDI"</v>
      </c>
      <c r="F63" t="str">
        <f>IF(LEN($C63)&gt;0,"",'Casos de Prueba'!F62&amp;CHAR(10)&amp;'Casos de Prueba'!G62)</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Al seleccionar esta opción el sistema permitirá la consulta de los registros de incidencias para los CFDI en sus versiones 4.0 al momento de su envío por el servicio del SAT y proveedores autorizados
</v>
      </c>
    </row>
    <row r="64" spans="1:6" x14ac:dyDescent="0.35">
      <c r="A64">
        <f t="shared" si="2"/>
        <v>75</v>
      </c>
      <c r="B64">
        <f t="shared" si="3"/>
        <v>719</v>
      </c>
      <c r="C64" t="str">
        <f>IF('Casos de Prueba'!B63&lt;&gt;0,'Casos de Prueba'!B63&amp;"-"&amp;'Casos de Prueba'!C63:E63,"")</f>
        <v/>
      </c>
      <c r="D64">
        <f>IF(LEN($C64)&gt;0,"",'Casos de Prueba'!D63)</f>
        <v>3</v>
      </c>
      <c r="E64" t="str">
        <f>IF(LEN($C64)&gt;0,"",'Casos de Prueba'!E63)</f>
        <v>Selecciona en el campo "Tipo de Consulta":
Incidentes Servicio de Recepción</v>
      </c>
      <c r="F64" t="str">
        <f>IF(LEN($C64)&gt;0,"",'Casos de Prueba'!F63&amp;CHAR(10)&amp;'Casos de Prueba'!G63)</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65" spans="1:6" x14ac:dyDescent="0.35">
      <c r="A65">
        <f t="shared" si="2"/>
        <v>150</v>
      </c>
      <c r="B65">
        <f t="shared" si="3"/>
        <v>139</v>
      </c>
      <c r="C65" t="str">
        <f>IF('Casos de Prueba'!B64&lt;&gt;0,'Casos de Prueba'!B64&amp;"-"&amp;'Casos de Prueba'!C64:E64,"")</f>
        <v/>
      </c>
      <c r="D65">
        <f>IF(LEN($C65)&gt;0,"",'Casos de Prueba'!D64)</f>
        <v>4</v>
      </c>
      <c r="E65" t="str">
        <f>IF(LEN($C65)&gt;0,"",'Casos de Prueba'!E64)</f>
        <v>Selecciona el campo Folio Fiscal e ingresa el UUID del comprobante el cual no cumple con la estructura  y selecciona la opción "Consultar Incidentes".</v>
      </c>
      <c r="F65" t="str">
        <f>IF(LEN($C65)&gt;0,"",'Casos de Prueba'!F64&amp;CHAR(10)&amp;'Casos de Prueba'!G64)</f>
        <v xml:space="preserve">El aplicativo muestra el siguiente mensaje: 
•	“ERROR: El Folio Fiscal no cumple con el formato correcto, favor de ingresarlo nuevamente”.
</v>
      </c>
    </row>
    <row r="66" spans="1:6" x14ac:dyDescent="0.35">
      <c r="A66">
        <f t="shared" si="2"/>
        <v>16</v>
      </c>
      <c r="B66">
        <f t="shared" si="3"/>
        <v>37</v>
      </c>
      <c r="C66" t="str">
        <f>IF('Casos de Prueba'!B65&lt;&gt;0,'Casos de Prueba'!B65&amp;"-"&amp;'Casos de Prueba'!C65:E65,"")</f>
        <v/>
      </c>
      <c r="D66">
        <f>IF(LEN($C66)&gt;0,"",'Casos de Prueba'!D65)</f>
        <v>5</v>
      </c>
      <c r="E66" t="str">
        <f>IF(LEN($C66)&gt;0,"",'Casos de Prueba'!E65)</f>
        <v>Da clic en Salir</v>
      </c>
      <c r="F66" t="str">
        <f>IF(LEN($C66)&gt;0,"",'Casos de Prueba'!F65&amp;CHAR(10)&amp;'Casos de Prueba'!G65)</f>
        <v>Cierra la sesión del RFC
Fin del caso</v>
      </c>
    </row>
    <row r="67" spans="1:6" x14ac:dyDescent="0.35">
      <c r="A67">
        <f t="shared" si="2"/>
        <v>0</v>
      </c>
      <c r="B67">
        <f t="shared" si="3"/>
        <v>0</v>
      </c>
      <c r="C67" t="str">
        <f>IF('Casos de Prueba'!B66&lt;&gt;0,'Casos de Prueba'!B66&amp;"-"&amp;'Casos de Prueba'!C66:E66,"")</f>
        <v>CP09-/MsgErrorConsultaCFDIRetenciones</v>
      </c>
      <c r="D67" t="str">
        <f>IF(LEN($C67)&gt;0,"",'Casos de Prueba'!D66)</f>
        <v/>
      </c>
      <c r="E67" t="str">
        <f>IF(LEN($C67)&gt;0,"",'Casos de Prueba'!E66)</f>
        <v/>
      </c>
      <c r="F67" t="str">
        <f>IF(LEN($C67)&gt;0,"",'Casos de Prueba'!F66&amp;CHAR(10)&amp;'Casos de Prueba'!G66)</f>
        <v/>
      </c>
    </row>
    <row r="68" spans="1:6" x14ac:dyDescent="0.35">
      <c r="A68">
        <f t="shared" si="2"/>
        <v>40</v>
      </c>
      <c r="B68">
        <f t="shared" si="3"/>
        <v>447</v>
      </c>
      <c r="C68" t="str">
        <f>IF('Casos de Prueba'!B67&lt;&gt;0,'Casos de Prueba'!B67&amp;"-"&amp;'Casos de Prueba'!C67:E67,"")</f>
        <v/>
      </c>
      <c r="D68">
        <f>IF(LEN($C68)&gt;0,"",'Casos de Prueba'!D67)</f>
        <v>1</v>
      </c>
      <c r="E68" t="str">
        <f>IF(LEN($C68)&gt;0,"",'Casos de Prueba'!E67)</f>
        <v>PAC ingresa al Portal Contribuyente CFDI</v>
      </c>
      <c r="F68" t="str">
        <f>IF(LEN($C68)&gt;0,"",'Casos de Prueba'!F67&amp;CHAR(10)&amp;'Casos de Prueba'!G67)</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esta prueba se requiere un Comprobante Fiscal CFDI de Retenciones versión 2.0</v>
      </c>
    </row>
    <row r="69" spans="1:6" x14ac:dyDescent="0.35">
      <c r="A69">
        <f t="shared" si="2"/>
        <v>37</v>
      </c>
      <c r="B69">
        <f t="shared" si="3"/>
        <v>321</v>
      </c>
      <c r="C69" t="str">
        <f>IF('Casos de Prueba'!B68&lt;&gt;0,'Casos de Prueba'!B68&amp;"-"&amp;'Casos de Prueba'!C68:E68,"")</f>
        <v/>
      </c>
      <c r="D69">
        <f>IF(LEN($C69)&gt;0,"",'Casos de Prueba'!D68)</f>
        <v>2</v>
      </c>
      <c r="E69" t="str">
        <f>IF(LEN($C69)&gt;0,"",'Casos de Prueba'!E68)</f>
        <v>Da clic en "Consulta incidentes CFDI"</v>
      </c>
      <c r="F69" t="str">
        <f>IF(LEN($C69)&gt;0,"",'Casos de Prueba'!F68&amp;CHAR(10)&amp;'Casos de Prueba'!G68)</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70" spans="1:6" x14ac:dyDescent="0.35">
      <c r="A70">
        <f t="shared" si="2"/>
        <v>75</v>
      </c>
      <c r="B70">
        <f t="shared" si="3"/>
        <v>719</v>
      </c>
      <c r="C70" t="str">
        <f>IF('Casos de Prueba'!B69&lt;&gt;0,'Casos de Prueba'!B69&amp;"-"&amp;'Casos de Prueba'!C69:E69,"")</f>
        <v/>
      </c>
      <c r="D70">
        <f>IF(LEN($C70)&gt;0,"",'Casos de Prueba'!D69)</f>
        <v>3</v>
      </c>
      <c r="E70" t="str">
        <f>IF(LEN($C70)&gt;0,"",'Casos de Prueba'!E69)</f>
        <v>Selecciona en el campo "Tipo de Consulta":
Incidentes Servicio de Recepción</v>
      </c>
      <c r="F70" t="str">
        <f>IF(LEN($C70)&gt;0,"",'Casos de Prueba'!F69&amp;CHAR(10)&amp;'Casos de Prueba'!G69)</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71" spans="1:6" x14ac:dyDescent="0.35">
      <c r="A71">
        <f t="shared" si="2"/>
        <v>148</v>
      </c>
      <c r="B71">
        <f t="shared" si="3"/>
        <v>219</v>
      </c>
      <c r="C71" t="str">
        <f>IF('Casos de Prueba'!B70&lt;&gt;0,'Casos de Prueba'!B70&amp;"-"&amp;'Casos de Prueba'!C70:E70,"")</f>
        <v/>
      </c>
      <c r="D71">
        <f>IF(LEN($C71)&gt;0,"",'Casos de Prueba'!D70)</f>
        <v>4</v>
      </c>
      <c r="E71" t="str">
        <f>IF(LEN($C71)&gt;0,"",'Casos de Prueba'!E70)</f>
        <v>Selecciona el campo Folio Fiscal e ingresa el UUID del comprobante y es de tipo CFDI de  Retenciones  y selecciona la opción "Consultar Incidentes".</v>
      </c>
      <c r="F71" t="str">
        <f>IF(LEN($C71)&gt;0,"",'Casos de Prueba'!F70&amp;CHAR(10)&amp;'Casos de Prueba'!G70)</f>
        <v xml:space="preserve">El aplicativo muestra el siguiente mensaje: 
“• ERROR: El Folio Fiscal que desea consultar no se encuentra en la BD.”.
Nota: Este mensaje de error aparece porque se quiere consultar un comprobante CFDI de Retenciones.
</v>
      </c>
    </row>
    <row r="72" spans="1:6" x14ac:dyDescent="0.35">
      <c r="A72">
        <f t="shared" si="2"/>
        <v>16</v>
      </c>
      <c r="B72">
        <f t="shared" si="3"/>
        <v>37</v>
      </c>
      <c r="C72" t="str">
        <f>IF('Casos de Prueba'!B71&lt;&gt;0,'Casos de Prueba'!B71&amp;"-"&amp;'Casos de Prueba'!C71:E71,"")</f>
        <v/>
      </c>
      <c r="D72">
        <f>IF(LEN($C72)&gt;0,"",'Casos de Prueba'!D71)</f>
        <v>5</v>
      </c>
      <c r="E72" t="str">
        <f>IF(LEN($C72)&gt;0,"",'Casos de Prueba'!E71)</f>
        <v>Da clic en Salir</v>
      </c>
      <c r="F72" t="str">
        <f>IF(LEN($C72)&gt;0,"",'Casos de Prueba'!F71&amp;CHAR(10)&amp;'Casos de Prueba'!G71)</f>
        <v>Cierra la sesión del RFC
Fin del caso</v>
      </c>
    </row>
    <row r="73" spans="1:6" x14ac:dyDescent="0.35">
      <c r="A73">
        <f t="shared" si="2"/>
        <v>0</v>
      </c>
      <c r="B73">
        <f t="shared" si="3"/>
        <v>0</v>
      </c>
      <c r="C73" t="str">
        <f>IF('Casos de Prueba'!B72&lt;&gt;0,'Casos de Prueba'!B72&amp;"-"&amp;'Casos de Prueba'!C72:E72,"")</f>
        <v>CP10-/FolioFiscalExportarPDF</v>
      </c>
      <c r="D73" t="str">
        <f>IF(LEN($C73)&gt;0,"",'Casos de Prueba'!D72)</f>
        <v/>
      </c>
      <c r="E73" t="str">
        <f>IF(LEN($C73)&gt;0,"",'Casos de Prueba'!E72)</f>
        <v/>
      </c>
      <c r="F73" t="str">
        <f>IF(LEN($C73)&gt;0,"",'Casos de Prueba'!F72&amp;CHAR(10)&amp;'Casos de Prueba'!G72)</f>
        <v/>
      </c>
    </row>
    <row r="74" spans="1:6" x14ac:dyDescent="0.35">
      <c r="A74">
        <f t="shared" si="2"/>
        <v>40</v>
      </c>
      <c r="B74">
        <f t="shared" si="3"/>
        <v>440</v>
      </c>
      <c r="C74" t="str">
        <f>IF('Casos de Prueba'!B73&lt;&gt;0,'Casos de Prueba'!B73&amp;"-"&amp;'Casos de Prueba'!C73:E73,"")</f>
        <v/>
      </c>
      <c r="D74">
        <f>IF(LEN($C74)&gt;0,"",'Casos de Prueba'!D73)</f>
        <v>1</v>
      </c>
      <c r="E74" t="str">
        <f>IF(LEN($C74)&gt;0,"",'Casos de Prueba'!E73)</f>
        <v>PAC ingresa al Portal Contribuyente CFDI</v>
      </c>
      <c r="F74" t="str">
        <f>IF(LEN($C74)&gt;0,"",'Casos de Prueba'!F73&amp;CHAR(10)&amp;'Casos de Prueba'!G73)</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versión 4.0</v>
      </c>
    </row>
    <row r="75" spans="1:6" x14ac:dyDescent="0.35">
      <c r="A75">
        <f t="shared" si="2"/>
        <v>37</v>
      </c>
      <c r="B75">
        <f t="shared" si="3"/>
        <v>321</v>
      </c>
      <c r="C75" t="str">
        <f>IF('Casos de Prueba'!B74&lt;&gt;0,'Casos de Prueba'!B74&amp;"-"&amp;'Casos de Prueba'!C74:E74,"")</f>
        <v/>
      </c>
      <c r="D75">
        <f>IF(LEN($C75)&gt;0,"",'Casos de Prueba'!D74)</f>
        <v>2</v>
      </c>
      <c r="E75" t="str">
        <f>IF(LEN($C75)&gt;0,"",'Casos de Prueba'!E74)</f>
        <v>Da clic en "Consulta incidentes CFDI"</v>
      </c>
      <c r="F75" t="str">
        <f>IF(LEN($C75)&gt;0,"",'Casos de Prueba'!F74&amp;CHAR(10)&amp;'Casos de Prueba'!G74)</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76" spans="1:6" x14ac:dyDescent="0.35">
      <c r="A76">
        <f t="shared" si="2"/>
        <v>75</v>
      </c>
      <c r="B76">
        <f t="shared" si="3"/>
        <v>719</v>
      </c>
      <c r="C76" t="str">
        <f>IF('Casos de Prueba'!B75&lt;&gt;0,'Casos de Prueba'!B75&amp;"-"&amp;'Casos de Prueba'!C75:E75,"")</f>
        <v/>
      </c>
      <c r="D76">
        <f>IF(LEN($C76)&gt;0,"",'Casos de Prueba'!D75)</f>
        <v>3</v>
      </c>
      <c r="E76" t="str">
        <f>IF(LEN($C76)&gt;0,"",'Casos de Prueba'!E75)</f>
        <v>Selecciona en el campo "Tipo de Consulta":
Incidentes Servicio de Recepción</v>
      </c>
      <c r="F76" t="str">
        <f>IF(LEN($C76)&gt;0,"",'Casos de Prueba'!F75&amp;CHAR(10)&amp;'Casos de Prueba'!G75)</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77" spans="1:6" x14ac:dyDescent="0.35">
      <c r="A77">
        <f t="shared" si="2"/>
        <v>119</v>
      </c>
      <c r="B77">
        <f t="shared" si="3"/>
        <v>51</v>
      </c>
      <c r="C77" t="str">
        <f>IF('Casos de Prueba'!B76&lt;&gt;0,'Casos de Prueba'!B76&amp;"-"&amp;'Casos de Prueba'!C76:E76,"")</f>
        <v/>
      </c>
      <c r="D77">
        <f>IF(LEN($C77)&gt;0,"",'Casos de Prueba'!D76)</f>
        <v>4</v>
      </c>
      <c r="E77" t="str">
        <f>IF(LEN($C77)&gt;0,"",'Casos de Prueba'!E76)</f>
        <v>Selecciona el campo Folio Fiscal e ingresa el UUID del comprobante del cual se desea conocer los incidentes registrados</v>
      </c>
      <c r="F77" t="str">
        <f>IF(LEN($C77)&gt;0,"",'Casos de Prueba'!F76&amp;CHAR(10)&amp;'Casos de Prueba'!G76)</f>
        <v xml:space="preserve">El sistema muestra los datos que se van ingresando
</v>
      </c>
    </row>
    <row r="78" spans="1:6" x14ac:dyDescent="0.35">
      <c r="A78">
        <f t="shared" si="2"/>
        <v>45</v>
      </c>
      <c r="B78">
        <f t="shared" si="3"/>
        <v>236</v>
      </c>
      <c r="C78" t="str">
        <f>IF('Casos de Prueba'!B77&lt;&gt;0,'Casos de Prueba'!B77&amp;"-"&amp;'Casos de Prueba'!C77:E77,"")</f>
        <v/>
      </c>
      <c r="D78">
        <f>IF(LEN($C78)&gt;0,"",'Casos de Prueba'!D77)</f>
        <v>5</v>
      </c>
      <c r="E78" t="str">
        <f>IF(LEN($C78)&gt;0,"",'Casos de Prueba'!E77)</f>
        <v>Se da clic en el botón "Consultar Incidentes"</v>
      </c>
      <c r="F78" t="str">
        <f>IF(LEN($C78)&gt;0,"",'Casos de Prueba'!F77&amp;CHAR(10)&amp;'Casos de Prueba'!G77)</f>
        <v xml:space="preserve">El servicio inhabilita la sección de Fecha Inicial y Final de Recepción.
El sistema deberá mostrar en una tabla los resultados obtenidos de la consulta:
• RFC del PAC
• Nombre o Razón Social
• Evento
• Mensaje
• Total
• Detalle (Boton)
</v>
      </c>
    </row>
    <row r="79" spans="1:6" x14ac:dyDescent="0.35">
      <c r="A79">
        <f t="shared" si="2"/>
        <v>62</v>
      </c>
      <c r="B79">
        <f t="shared" si="3"/>
        <v>568</v>
      </c>
      <c r="C79" t="str">
        <f>IF('Casos de Prueba'!B78&lt;&gt;0,'Casos de Prueba'!B78&amp;"-"&amp;'Casos de Prueba'!C78:E78,"")</f>
        <v/>
      </c>
      <c r="D79">
        <f>IF(LEN($C79)&gt;0,"",'Casos de Prueba'!D78)</f>
        <v>6</v>
      </c>
      <c r="E79" t="str">
        <f>IF(LEN($C79)&gt;0,"",'Casos de Prueba'!E78)</f>
        <v>Selecciona el registro y dar clic en el boton de "Ver detalle"</v>
      </c>
      <c r="F79" t="str">
        <f>IF(LEN($C79)&gt;0,"",'Casos de Prueba'!F78&amp;CHAR(10)&amp;'Casos de Prueba'!G78)</f>
        <v xml:space="preserve">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v>
      </c>
    </row>
    <row r="80" spans="1:6" x14ac:dyDescent="0.35">
      <c r="A80">
        <f t="shared" si="2"/>
        <v>45</v>
      </c>
      <c r="B80">
        <f t="shared" si="3"/>
        <v>267</v>
      </c>
      <c r="C80" t="str">
        <f>IF('Casos de Prueba'!B79&lt;&gt;0,'Casos de Prueba'!B79&amp;"-"&amp;'Casos de Prueba'!C79:E79,"")</f>
        <v/>
      </c>
      <c r="D80">
        <f>IF(LEN($C80)&gt;0,"",'Casos de Prueba'!D79)</f>
        <v>7</v>
      </c>
      <c r="E80" t="str">
        <f>IF(LEN($C80)&gt;0,"",'Casos de Prueba'!E79)</f>
        <v>Dar clic en el botón "Exportar Detalle a PDF"</v>
      </c>
      <c r="F80" t="str">
        <f>IF(LEN($C80)&gt;0,"",'Casos de Prueba'!F79&amp;CHAR(10)&amp;'Casos de Prueba'!G79)</f>
        <v xml:space="preserve">Al seleccionar este botón se debe generar una petición de descarga para los registros de incidentes que se muestran en la ventana ‘Detalle de Consulta’.
Al seleccionar el botón ‘Exportar Detalle a PDF’ se debe mostrar que el PDF se encuentra en proceso de descarga.
</v>
      </c>
    </row>
    <row r="81" spans="1:6" x14ac:dyDescent="0.35">
      <c r="A81">
        <f t="shared" si="2"/>
        <v>16</v>
      </c>
      <c r="B81">
        <f t="shared" si="3"/>
        <v>37</v>
      </c>
      <c r="C81" t="str">
        <f>IF('Casos de Prueba'!B80&lt;&gt;0,'Casos de Prueba'!B80&amp;"-"&amp;'Casos de Prueba'!C80:E80,"")</f>
        <v/>
      </c>
      <c r="D81">
        <f>IF(LEN($C81)&gt;0,"",'Casos de Prueba'!D80)</f>
        <v>8</v>
      </c>
      <c r="E81" t="str">
        <f>IF(LEN($C81)&gt;0,"",'Casos de Prueba'!E80)</f>
        <v>Da clic en Salir</v>
      </c>
      <c r="F81" t="str">
        <f>IF(LEN($C81)&gt;0,"",'Casos de Prueba'!F80&amp;CHAR(10)&amp;'Casos de Prueba'!G80)</f>
        <v>Cierra la sesión del RFC
Fin del caso</v>
      </c>
    </row>
    <row r="82" spans="1:6" x14ac:dyDescent="0.35">
      <c r="A82">
        <f t="shared" si="2"/>
        <v>0</v>
      </c>
      <c r="B82">
        <f t="shared" si="3"/>
        <v>0</v>
      </c>
      <c r="C82" t="str">
        <f>IF('Casos de Prueba'!B81&lt;&gt;0,'Casos de Prueba'!B81&amp;"-"&amp;'Casos de Prueba'!C81:E81,"")</f>
        <v>CP11-/FolioFiscalExportarJSON</v>
      </c>
      <c r="D82" t="str">
        <f>IF(LEN($C82)&gt;0,"",'Casos de Prueba'!D81)</f>
        <v/>
      </c>
      <c r="E82" t="str">
        <f>IF(LEN($C82)&gt;0,"",'Casos de Prueba'!E81)</f>
        <v/>
      </c>
      <c r="F82" t="str">
        <f>IF(LEN($C82)&gt;0,"",'Casos de Prueba'!F81&amp;CHAR(10)&amp;'Casos de Prueba'!G81)</f>
        <v/>
      </c>
    </row>
    <row r="83" spans="1:6" x14ac:dyDescent="0.35">
      <c r="A83">
        <f t="shared" si="2"/>
        <v>40</v>
      </c>
      <c r="B83">
        <f t="shared" si="3"/>
        <v>363</v>
      </c>
      <c r="C83" t="str">
        <f>IF('Casos de Prueba'!B82&lt;&gt;0,'Casos de Prueba'!B82&amp;"-"&amp;'Casos de Prueba'!C82:E82,"")</f>
        <v/>
      </c>
      <c r="D83">
        <f>IF(LEN($C83)&gt;0,"",'Casos de Prueba'!D82)</f>
        <v>1</v>
      </c>
      <c r="E83" t="str">
        <f>IF(LEN($C83)&gt;0,"",'Casos de Prueba'!E82)</f>
        <v>PAC ingresa al Portal Contribuyente CFDI</v>
      </c>
      <c r="F83" t="str">
        <f>IF(LEN($C83)&gt;0,"",'Casos de Prueba'!F82&amp;CHAR(10)&amp;'Casos de Prueba'!G82)</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84" spans="1:6" x14ac:dyDescent="0.35">
      <c r="A84">
        <f t="shared" si="2"/>
        <v>37</v>
      </c>
      <c r="B84">
        <f t="shared" si="3"/>
        <v>321</v>
      </c>
      <c r="C84" t="str">
        <f>IF('Casos de Prueba'!B83&lt;&gt;0,'Casos de Prueba'!B83&amp;"-"&amp;'Casos de Prueba'!C83:E83,"")</f>
        <v/>
      </c>
      <c r="D84">
        <f>IF(LEN($C84)&gt;0,"",'Casos de Prueba'!D83)</f>
        <v>2</v>
      </c>
      <c r="E84" t="str">
        <f>IF(LEN($C84)&gt;0,"",'Casos de Prueba'!E83)</f>
        <v>Da clic en "Consulta incidentes CFDI"</v>
      </c>
      <c r="F84" t="str">
        <f>IF(LEN($C84)&gt;0,"",'Casos de Prueba'!F83&amp;CHAR(10)&amp;'Casos de Prueba'!G83)</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85" spans="1:6" x14ac:dyDescent="0.35">
      <c r="A85">
        <f t="shared" ref="A85:A116" si="4">LEN(E85)</f>
        <v>75</v>
      </c>
      <c r="B85">
        <f t="shared" ref="B85:B116" si="5">LEN(F85)</f>
        <v>719</v>
      </c>
      <c r="C85" t="str">
        <f>IF('Casos de Prueba'!B84&lt;&gt;0,'Casos de Prueba'!B84&amp;"-"&amp;'Casos de Prueba'!C84:E84,"")</f>
        <v/>
      </c>
      <c r="D85">
        <f>IF(LEN($C85)&gt;0,"",'Casos de Prueba'!D84)</f>
        <v>3</v>
      </c>
      <c r="E85" t="str">
        <f>IF(LEN($C85)&gt;0,"",'Casos de Prueba'!E84)</f>
        <v>Selecciona en el campo "Tipo de Consulta":
Incidentes Servicio de Recepción</v>
      </c>
      <c r="F85" t="str">
        <f>IF(LEN($C85)&gt;0,"",'Casos de Prueba'!F84&amp;CHAR(10)&amp;'Casos de Prueba'!G84)</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86" spans="1:6" x14ac:dyDescent="0.35">
      <c r="A86">
        <f t="shared" si="4"/>
        <v>119</v>
      </c>
      <c r="B86">
        <f t="shared" si="5"/>
        <v>51</v>
      </c>
      <c r="C86" t="str">
        <f>IF('Casos de Prueba'!B85&lt;&gt;0,'Casos de Prueba'!B85&amp;"-"&amp;'Casos de Prueba'!C85:E85,"")</f>
        <v/>
      </c>
      <c r="D86">
        <f>IF(LEN($C86)&gt;0,"",'Casos de Prueba'!D85)</f>
        <v>4</v>
      </c>
      <c r="E86" t="str">
        <f>IF(LEN($C86)&gt;0,"",'Casos de Prueba'!E85)</f>
        <v>Selecciona el campo Folio Fiscal e ingresa el UUID del comprobante del cual se desea conocer los incidentes registrados</v>
      </c>
      <c r="F86" t="str">
        <f>IF(LEN($C86)&gt;0,"",'Casos de Prueba'!F85&amp;CHAR(10)&amp;'Casos de Prueba'!G85)</f>
        <v xml:space="preserve">El sistema muestra los datos que se van ingresando
</v>
      </c>
    </row>
    <row r="87" spans="1:6" x14ac:dyDescent="0.35">
      <c r="A87">
        <f t="shared" si="4"/>
        <v>45</v>
      </c>
      <c r="B87">
        <f t="shared" si="5"/>
        <v>236</v>
      </c>
      <c r="C87" t="str">
        <f>IF('Casos de Prueba'!B86&lt;&gt;0,'Casos de Prueba'!B86&amp;"-"&amp;'Casos de Prueba'!C86:E86,"")</f>
        <v/>
      </c>
      <c r="D87">
        <f>IF(LEN($C87)&gt;0,"",'Casos de Prueba'!D86)</f>
        <v>5</v>
      </c>
      <c r="E87" t="str">
        <f>IF(LEN($C87)&gt;0,"",'Casos de Prueba'!E86)</f>
        <v>Se da clic en el botón "Consultar Incidentes"</v>
      </c>
      <c r="F87" t="str">
        <f>IF(LEN($C87)&gt;0,"",'Casos de Prueba'!F86&amp;CHAR(10)&amp;'Casos de Prueba'!G86)</f>
        <v xml:space="preserve">El servicio inhabilita la sección de Fecha Inicial y Final de Recepción.
El sistema deberá mostrar en una tabla los resultados obtenidos de la consulta:
• RFC del PAC
• Nombre o Razón Social
• Evento
• Mensaje
• Total
• Detalle (Boton)
</v>
      </c>
    </row>
    <row r="88" spans="1:6" x14ac:dyDescent="0.35">
      <c r="A88">
        <f t="shared" si="4"/>
        <v>62</v>
      </c>
      <c r="B88">
        <f t="shared" si="5"/>
        <v>568</v>
      </c>
      <c r="C88" t="str">
        <f>IF('Casos de Prueba'!B87&lt;&gt;0,'Casos de Prueba'!B87&amp;"-"&amp;'Casos de Prueba'!C87:E87,"")</f>
        <v/>
      </c>
      <c r="D88">
        <f>IF(LEN($C88)&gt;0,"",'Casos de Prueba'!D87)</f>
        <v>6</v>
      </c>
      <c r="E88" t="str">
        <f>IF(LEN($C88)&gt;0,"",'Casos de Prueba'!E87)</f>
        <v>Selecciona el registro y dar clic en el boton de "Ver detalle"</v>
      </c>
      <c r="F88" t="str">
        <f>IF(LEN($C88)&gt;0,"",'Casos de Prueba'!F87&amp;CHAR(10)&amp;'Casos de Prueba'!G87)</f>
        <v xml:space="preserve">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v>
      </c>
    </row>
    <row r="89" spans="1:6" x14ac:dyDescent="0.35">
      <c r="A89">
        <f t="shared" si="4"/>
        <v>49</v>
      </c>
      <c r="B89">
        <f t="shared" si="5"/>
        <v>284</v>
      </c>
      <c r="C89" t="str">
        <f>IF('Casos de Prueba'!B88&lt;&gt;0,'Casos de Prueba'!B88&amp;"-"&amp;'Casos de Prueba'!C88:E88,"")</f>
        <v/>
      </c>
      <c r="D89">
        <f>IF(LEN($C89)&gt;0,"",'Casos de Prueba'!D88)</f>
        <v>7</v>
      </c>
      <c r="E89" t="str">
        <f>IF(LEN($C89)&gt;0,"",'Casos de Prueba'!E88)</f>
        <v>Dar clic en el botón "Exportar Resultados a JSON"</v>
      </c>
      <c r="F89" t="str">
        <f>IF(LEN($C89)&gt;0,"",'Casos de Prueba'!F88&amp;CHAR(10)&amp;'Casos de Prueba'!G88)</f>
        <v xml:space="preserve">Al seleccionar este botón se debe generar una petición de descarga para los registros de incidentes que se muestran en la ventana ‘Detalle de Consulta’ en formato JSON.
Al seleccionar el botón ‘Exportar Detalle a JSON se debe mostrar que el JSON se encuentra en proceso de descarga.
</v>
      </c>
    </row>
    <row r="90" spans="1:6" x14ac:dyDescent="0.35">
      <c r="A90">
        <f t="shared" si="4"/>
        <v>16</v>
      </c>
      <c r="B90">
        <f t="shared" si="5"/>
        <v>37</v>
      </c>
      <c r="C90" t="str">
        <f>IF('Casos de Prueba'!B89&lt;&gt;0,'Casos de Prueba'!B89&amp;"-"&amp;'Casos de Prueba'!C89:E89,"")</f>
        <v/>
      </c>
      <c r="D90">
        <f>IF(LEN($C90)&gt;0,"",'Casos de Prueba'!D89)</f>
        <v>8</v>
      </c>
      <c r="E90" t="str">
        <f>IF(LEN($C90)&gt;0,"",'Casos de Prueba'!E89)</f>
        <v>Da clic en Salir</v>
      </c>
      <c r="F90" t="str">
        <f>IF(LEN($C90)&gt;0,"",'Casos de Prueba'!F89&amp;CHAR(10)&amp;'Casos de Prueba'!G89)</f>
        <v>Cierra la sesión del RFC
Fin del caso</v>
      </c>
    </row>
    <row r="91" spans="1:6" x14ac:dyDescent="0.35">
      <c r="A91">
        <f t="shared" si="4"/>
        <v>0</v>
      </c>
      <c r="B91">
        <f t="shared" si="5"/>
        <v>0</v>
      </c>
      <c r="C91" t="str">
        <f>IF('Casos de Prueba'!B90&lt;&gt;0,'Casos de Prueba'!B90&amp;"-"&amp;'Casos de Prueba'!C90:E90,"")</f>
        <v>CP12-/FechaConsulta</v>
      </c>
      <c r="D91" t="str">
        <f>IF(LEN($C91)&gt;0,"",'Casos de Prueba'!D90)</f>
        <v/>
      </c>
      <c r="E91" t="str">
        <f>IF(LEN($C91)&gt;0,"",'Casos de Prueba'!E90)</f>
        <v/>
      </c>
      <c r="F91" t="str">
        <f>IF(LEN($C91)&gt;0,"",'Casos de Prueba'!F90&amp;CHAR(10)&amp;'Casos de Prueba'!G90)</f>
        <v/>
      </c>
    </row>
    <row r="92" spans="1:6" x14ac:dyDescent="0.35">
      <c r="A92">
        <f t="shared" si="4"/>
        <v>40</v>
      </c>
      <c r="B92">
        <f t="shared" si="5"/>
        <v>448</v>
      </c>
      <c r="C92" t="str">
        <f>IF('Casos de Prueba'!B91&lt;&gt;0,'Casos de Prueba'!B91&amp;"-"&amp;'Casos de Prueba'!C91:E91,"")</f>
        <v/>
      </c>
      <c r="D92">
        <f>IF(LEN($C92)&gt;0,"",'Casos de Prueba'!D91)</f>
        <v>1</v>
      </c>
      <c r="E92" t="str">
        <f>IF(LEN($C92)&gt;0,"",'Casos de Prueba'!E91)</f>
        <v>PAC ingresa al Portal Contribuyente CFDI</v>
      </c>
      <c r="F92" t="str">
        <f>IF(LEN($C92)&gt;0,"",'Casos de Prueba'!F91&amp;CHAR(10)&amp;'Casos de Prueba'!G91)</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uno o más comprobantes Fiscal CFDI versión 4.0</v>
      </c>
    </row>
    <row r="93" spans="1:6" x14ac:dyDescent="0.35">
      <c r="A93">
        <f t="shared" si="4"/>
        <v>37</v>
      </c>
      <c r="B93">
        <f t="shared" si="5"/>
        <v>321</v>
      </c>
      <c r="C93" t="str">
        <f>IF('Casos de Prueba'!B92&lt;&gt;0,'Casos de Prueba'!B92&amp;"-"&amp;'Casos de Prueba'!C92:E92,"")</f>
        <v/>
      </c>
      <c r="D93">
        <f>IF(LEN($C93)&gt;0,"",'Casos de Prueba'!D92)</f>
        <v>2</v>
      </c>
      <c r="E93" t="str">
        <f>IF(LEN($C93)&gt;0,"",'Casos de Prueba'!E92)</f>
        <v>Da clic en "Consulta incidentes CFDI"</v>
      </c>
      <c r="F93" t="str">
        <f>IF(LEN($C93)&gt;0,"",'Casos de Prueba'!F92&amp;CHAR(10)&amp;'Casos de Prueba'!G92)</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94" spans="1:6" x14ac:dyDescent="0.35">
      <c r="A94">
        <f t="shared" si="4"/>
        <v>75</v>
      </c>
      <c r="B94">
        <f t="shared" si="5"/>
        <v>795</v>
      </c>
      <c r="C94" t="str">
        <f>IF('Casos de Prueba'!B93&lt;&gt;0,'Casos de Prueba'!B93&amp;"-"&amp;'Casos de Prueba'!C93:E93,"")</f>
        <v/>
      </c>
      <c r="D94">
        <f>IF(LEN($C94)&gt;0,"",'Casos de Prueba'!D93)</f>
        <v>3</v>
      </c>
      <c r="E94" t="str">
        <f>IF(LEN($C94)&gt;0,"",'Casos de Prueba'!E93)</f>
        <v>Selecciona en el campo "Tipo de Consulta":
Incidentes Servicio de Recepción</v>
      </c>
      <c r="F94" t="str">
        <f>IF(LEN($C94)&gt;0,"",'Casos de Prueba'!F93&amp;CHAR(10)&amp;'Casos de Prueba'!G93)</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95" spans="1:6" x14ac:dyDescent="0.35">
      <c r="A95">
        <f t="shared" si="4"/>
        <v>216</v>
      </c>
      <c r="B95">
        <f t="shared" si="5"/>
        <v>406</v>
      </c>
      <c r="C95" t="str">
        <f>IF('Casos de Prueba'!B94&lt;&gt;0,'Casos de Prueba'!B94&amp;"-"&amp;'Casos de Prueba'!C94:E94,"")</f>
        <v/>
      </c>
      <c r="D95">
        <f>IF(LEN($C95)&gt;0,"",'Casos de Prueba'!D94)</f>
        <v>4</v>
      </c>
      <c r="E95" t="str">
        <f>IF(LEN($C95)&gt;0,"",'Casos de Prueba'!E94)</f>
        <v xml:space="preserve">Seleccionar la opcion Por Fechas y agregar los valores:
Campo Fecha Inicial de Recepción*
Campo Fecha Final de Recepción.*
Los campos marcados con (*) son obligatorios
Dar clic en el botón "Consultar Incidentes".
</v>
      </c>
      <c r="F95" t="str">
        <f>IF(LEN($C95)&gt;0,"",'Casos de Prueba'!F94&amp;CHAR(10)&amp;'Casos de Prueba'!G94)</f>
        <v xml:space="preserve">El campo Folio Fiscal se deshabilita.
El resultado de la consulta deberá mostrarse en una tabla con el título “Resultado de consulta” y la información:
• RFC del PAC
• Nombre o Razón Social
• Evento
• Mensaje
• Total
• Detalle (Boton)
Importante mencionar que, el resultado se debe agrupar por tipo de error y presentarse de forma general, 
Campo "Versión del comprobante" por default tiene el valor 4.0 </v>
      </c>
    </row>
    <row r="96" spans="1:6" x14ac:dyDescent="0.35">
      <c r="A96">
        <f t="shared" si="4"/>
        <v>16</v>
      </c>
      <c r="B96">
        <f t="shared" si="5"/>
        <v>37</v>
      </c>
      <c r="C96" t="str">
        <f>IF('Casos de Prueba'!B95&lt;&gt;0,'Casos de Prueba'!B95&amp;"-"&amp;'Casos de Prueba'!C95:E95,"")</f>
        <v/>
      </c>
      <c r="D96">
        <f>IF(LEN($C96)&gt;0,"",'Casos de Prueba'!D95)</f>
        <v>5</v>
      </c>
      <c r="E96" t="str">
        <f>IF(LEN($C96)&gt;0,"",'Casos de Prueba'!E95)</f>
        <v>Da clic en Salir</v>
      </c>
      <c r="F96" t="str">
        <f>IF(LEN($C96)&gt;0,"",'Casos de Prueba'!F95&amp;CHAR(10)&amp;'Casos de Prueba'!G95)</f>
        <v>Cierra la sesión del RFC
Fin del caso</v>
      </c>
    </row>
    <row r="97" spans="1:6" x14ac:dyDescent="0.35">
      <c r="A97">
        <f t="shared" si="4"/>
        <v>0</v>
      </c>
      <c r="B97">
        <f t="shared" si="5"/>
        <v>0</v>
      </c>
      <c r="C97" t="str">
        <f>IF('Casos de Prueba'!B96&lt;&gt;0,'Casos de Prueba'!B96&amp;"-"&amp;'Casos de Prueba'!C96:E96,"")</f>
        <v>CP13-/FechaMsgErrorConsultaRangoFecha</v>
      </c>
      <c r="D97" t="str">
        <f>IF(LEN($C97)&gt;0,"",'Casos de Prueba'!D96)</f>
        <v/>
      </c>
      <c r="E97" t="str">
        <f>IF(LEN($C97)&gt;0,"",'Casos de Prueba'!E96)</f>
        <v/>
      </c>
      <c r="F97" t="str">
        <f>IF(LEN($C97)&gt;0,"",'Casos de Prueba'!F96&amp;CHAR(10)&amp;'Casos de Prueba'!G96)</f>
        <v/>
      </c>
    </row>
    <row r="98" spans="1:6" x14ac:dyDescent="0.35">
      <c r="A98">
        <f t="shared" si="4"/>
        <v>40</v>
      </c>
      <c r="B98">
        <f t="shared" si="5"/>
        <v>436</v>
      </c>
      <c r="C98" t="str">
        <f>IF('Casos de Prueba'!B97&lt;&gt;0,'Casos de Prueba'!B97&amp;"-"&amp;'Casos de Prueba'!C97:E97,"")</f>
        <v/>
      </c>
      <c r="D98">
        <f>IF(LEN($C98)&gt;0,"",'Casos de Prueba'!D97)</f>
        <v>1</v>
      </c>
      <c r="E98" t="str">
        <f>IF(LEN($C98)&gt;0,"",'Casos de Prueba'!E97)</f>
        <v>PAC ingresa al Portal Contribuyente CFDI</v>
      </c>
      <c r="F98" t="str">
        <f>IF(LEN($C98)&gt;0,"",'Casos de Prueba'!F97&amp;CHAR(10)&amp;'Casos de Prueba'!G97)</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El PAC debe tener asignado el rol.
Comprobante Fiscal CFDI versión 4.0</v>
      </c>
    </row>
    <row r="99" spans="1:6" x14ac:dyDescent="0.35">
      <c r="A99">
        <f t="shared" si="4"/>
        <v>37</v>
      </c>
      <c r="B99">
        <f t="shared" si="5"/>
        <v>321</v>
      </c>
      <c r="C99" t="str">
        <f>IF('Casos de Prueba'!B98&lt;&gt;0,'Casos de Prueba'!B98&amp;"-"&amp;'Casos de Prueba'!C98:E98,"")</f>
        <v/>
      </c>
      <c r="D99">
        <f>IF(LEN($C99)&gt;0,"",'Casos de Prueba'!D98)</f>
        <v>2</v>
      </c>
      <c r="E99" t="str">
        <f>IF(LEN($C99)&gt;0,"",'Casos de Prueba'!E98)</f>
        <v>Da clic en "Consulta incidentes CFDI"</v>
      </c>
      <c r="F99" t="str">
        <f>IF(LEN($C99)&gt;0,"",'Casos de Prueba'!F98&amp;CHAR(10)&amp;'Casos de Prueba'!G98)</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100" spans="1:6" x14ac:dyDescent="0.35">
      <c r="A100">
        <f t="shared" si="4"/>
        <v>75</v>
      </c>
      <c r="B100">
        <f t="shared" si="5"/>
        <v>795</v>
      </c>
      <c r="C100" t="str">
        <f>IF('Casos de Prueba'!B99&lt;&gt;0,'Casos de Prueba'!B99&amp;"-"&amp;'Casos de Prueba'!C99:E99,"")</f>
        <v/>
      </c>
      <c r="D100">
        <f>IF(LEN($C100)&gt;0,"",'Casos de Prueba'!D99)</f>
        <v>3</v>
      </c>
      <c r="E100" t="str">
        <f>IF(LEN($C100)&gt;0,"",'Casos de Prueba'!E99)</f>
        <v>Selecciona en el campo "Tipo de Consulta":
Incidentes Servicio de Recepción</v>
      </c>
      <c r="F100" t="str">
        <f>IF(LEN($C100)&gt;0,"",'Casos de Prueba'!F99&amp;CHAR(10)&amp;'Casos de Prueba'!G99)</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101" spans="1:6" x14ac:dyDescent="0.35">
      <c r="A101">
        <f t="shared" si="4"/>
        <v>288</v>
      </c>
      <c r="B101">
        <f t="shared" si="5"/>
        <v>365</v>
      </c>
      <c r="C101" t="str">
        <f>IF('Casos de Prueba'!B100&lt;&gt;0,'Casos de Prueba'!B100&amp;"-"&amp;'Casos de Prueba'!C100:E100,"")</f>
        <v/>
      </c>
      <c r="D101">
        <f>IF(LEN($C101)&gt;0,"",'Casos de Prueba'!D100)</f>
        <v>4</v>
      </c>
      <c r="E101" t="str">
        <f>IF(LEN($C101)&gt;0,"",'Casos de Prueba'!E100)</f>
        <v>Seleccionar la opcion Por Fechas y agregar los valores:
Campo Fecha Inicial de Recepción*
Campo Fecha Final de Recepción.*
Los campos marcados con (*) son obligatorios
Dar clic en el botón "Consultar Incidentes".
Nota: Para este caso de prueba se debe seleccionar un rango mayor a un mes</v>
      </c>
      <c r="F101" t="str">
        <f>IF(LEN($C101)&gt;0,"",'Casos de Prueba'!F100&amp;CHAR(10)&amp;'Casos de Prueba'!G100)</f>
        <v xml:space="preserve">Cuando se ingrese un rango de fechas mayor a un mes y se seleccione el botón “Consultar Incidentes”, el aplicativo deberá mostrar el siguiente mensaje de error: 
•	“ERROR: La consulta no debe ser mayor a un mes”.
Al seleccionar el botón para la consulta por periodo de fecha de emisión, se debe deshabilitar el campo correspondiente a la consulta de Folio Fiscal.
</v>
      </c>
    </row>
    <row r="102" spans="1:6" x14ac:dyDescent="0.35">
      <c r="A102">
        <f t="shared" si="4"/>
        <v>16</v>
      </c>
      <c r="B102">
        <f t="shared" si="5"/>
        <v>37</v>
      </c>
      <c r="C102" t="str">
        <f>IF('Casos de Prueba'!B101&lt;&gt;0,'Casos de Prueba'!B101&amp;"-"&amp;'Casos de Prueba'!C101:E101,"")</f>
        <v/>
      </c>
      <c r="D102">
        <f>IF(LEN($C102)&gt;0,"",'Casos de Prueba'!D101)</f>
        <v>5</v>
      </c>
      <c r="E102" t="str">
        <f>IF(LEN($C102)&gt;0,"",'Casos de Prueba'!E101)</f>
        <v>Da clic en Salir</v>
      </c>
      <c r="F102" t="str">
        <f>IF(LEN($C102)&gt;0,"",'Casos de Prueba'!F101&amp;CHAR(10)&amp;'Casos de Prueba'!G101)</f>
        <v>Cierra la sesión del RFC
Fin del caso</v>
      </c>
    </row>
    <row r="103" spans="1:6" x14ac:dyDescent="0.35">
      <c r="A103" t="e">
        <f t="shared" si="4"/>
        <v>#REF!</v>
      </c>
      <c r="B103" t="e">
        <f t="shared" si="5"/>
        <v>#REF!</v>
      </c>
      <c r="C103" t="e">
        <f>IF('Casos de Prueba'!#REF!&lt;&gt;0,'Casos de Prueba'!#REF!&amp;"-"&amp;_xlfn.SINGLE('Casos de Prueba'!#REF!),"")</f>
        <v>#REF!</v>
      </c>
      <c r="D103" t="e">
        <f>IF(LEN($C103)&gt;0,"",'Casos de Prueba'!#REF!)</f>
        <v>#REF!</v>
      </c>
      <c r="E103" t="e">
        <f>IF(LEN($C103)&gt;0,"",'Casos de Prueba'!#REF!)</f>
        <v>#REF!</v>
      </c>
      <c r="F103" t="e">
        <f>IF(LEN($C103)&gt;0,"",'Casos de Prueba'!#REF!&amp;CHAR(10)&amp;'Casos de Prueba'!#REF!)</f>
        <v>#REF!</v>
      </c>
    </row>
    <row r="104" spans="1:6" x14ac:dyDescent="0.35">
      <c r="A104" t="e">
        <f t="shared" si="4"/>
        <v>#REF!</v>
      </c>
      <c r="B104" t="e">
        <f t="shared" si="5"/>
        <v>#REF!</v>
      </c>
      <c r="C104" t="e">
        <f>IF('Casos de Prueba'!#REF!&lt;&gt;0,'Casos de Prueba'!#REF!&amp;"-"&amp;_xlfn.SINGLE('Casos de Prueba'!#REF!),"")</f>
        <v>#REF!</v>
      </c>
      <c r="D104" t="e">
        <f>IF(LEN($C104)&gt;0,"",'Casos de Prueba'!#REF!)</f>
        <v>#REF!</v>
      </c>
      <c r="E104" t="e">
        <f>IF(LEN($C104)&gt;0,"",'Casos de Prueba'!#REF!)</f>
        <v>#REF!</v>
      </c>
      <c r="F104" t="e">
        <f>IF(LEN($C104)&gt;0,"",'Casos de Prueba'!#REF!&amp;CHAR(10)&amp;'Casos de Prueba'!#REF!)</f>
        <v>#REF!</v>
      </c>
    </row>
    <row r="105" spans="1:6" x14ac:dyDescent="0.35">
      <c r="A105" t="e">
        <f t="shared" si="4"/>
        <v>#REF!</v>
      </c>
      <c r="B105" t="e">
        <f t="shared" si="5"/>
        <v>#REF!</v>
      </c>
      <c r="C105" t="e">
        <f>IF('Casos de Prueba'!#REF!&lt;&gt;0,'Casos de Prueba'!#REF!&amp;"-"&amp;_xlfn.SINGLE('Casos de Prueba'!#REF!),"")</f>
        <v>#REF!</v>
      </c>
      <c r="D105" t="e">
        <f>IF(LEN($C105)&gt;0,"",'Casos de Prueba'!#REF!)</f>
        <v>#REF!</v>
      </c>
      <c r="E105" t="e">
        <f>IF(LEN($C105)&gt;0,"",'Casos de Prueba'!#REF!)</f>
        <v>#REF!</v>
      </c>
      <c r="F105" t="e">
        <f>IF(LEN($C105)&gt;0,"",'Casos de Prueba'!#REF!&amp;CHAR(10)&amp;'Casos de Prueba'!#REF!)</f>
        <v>#REF!</v>
      </c>
    </row>
    <row r="106" spans="1:6" x14ac:dyDescent="0.35">
      <c r="A106" t="e">
        <f t="shared" si="4"/>
        <v>#REF!</v>
      </c>
      <c r="B106" t="e">
        <f t="shared" si="5"/>
        <v>#REF!</v>
      </c>
      <c r="C106" t="e">
        <f>IF('Casos de Prueba'!#REF!&lt;&gt;0,'Casos de Prueba'!#REF!&amp;"-"&amp;_xlfn.SINGLE('Casos de Prueba'!#REF!),"")</f>
        <v>#REF!</v>
      </c>
      <c r="D106" t="e">
        <f>IF(LEN($C106)&gt;0,"",'Casos de Prueba'!#REF!)</f>
        <v>#REF!</v>
      </c>
      <c r="E106" t="e">
        <f>IF(LEN($C106)&gt;0,"",'Casos de Prueba'!#REF!)</f>
        <v>#REF!</v>
      </c>
      <c r="F106" t="e">
        <f>IF(LEN($C106)&gt;0,"",'Casos de Prueba'!#REF!&amp;CHAR(10)&amp;'Casos de Prueba'!#REF!)</f>
        <v>#REF!</v>
      </c>
    </row>
    <row r="107" spans="1:6" x14ac:dyDescent="0.35">
      <c r="A107" t="e">
        <f t="shared" si="4"/>
        <v>#REF!</v>
      </c>
      <c r="B107" t="e">
        <f t="shared" si="5"/>
        <v>#REF!</v>
      </c>
      <c r="C107" t="e">
        <f>IF('Casos de Prueba'!#REF!&lt;&gt;0,'Casos de Prueba'!#REF!&amp;"-"&amp;_xlfn.SINGLE('Casos de Prueba'!#REF!),"")</f>
        <v>#REF!</v>
      </c>
      <c r="D107" t="e">
        <f>IF(LEN($C107)&gt;0,"",'Casos de Prueba'!#REF!)</f>
        <v>#REF!</v>
      </c>
      <c r="E107" t="e">
        <f>IF(LEN($C107)&gt;0,"",'Casos de Prueba'!#REF!)</f>
        <v>#REF!</v>
      </c>
      <c r="F107" t="e">
        <f>IF(LEN($C107)&gt;0,"",'Casos de Prueba'!#REF!&amp;CHAR(10)&amp;'Casos de Prueba'!#REF!)</f>
        <v>#REF!</v>
      </c>
    </row>
    <row r="108" spans="1:6" x14ac:dyDescent="0.35">
      <c r="A108" t="e">
        <f t="shared" si="4"/>
        <v>#REF!</v>
      </c>
      <c r="B108" t="e">
        <f t="shared" si="5"/>
        <v>#REF!</v>
      </c>
      <c r="C108" t="e">
        <f>IF('Casos de Prueba'!#REF!&lt;&gt;0,'Casos de Prueba'!#REF!&amp;"-"&amp;_xlfn.SINGLE('Casos de Prueba'!#REF!),"")</f>
        <v>#REF!</v>
      </c>
      <c r="D108" t="e">
        <f>IF(LEN($C108)&gt;0,"",'Casos de Prueba'!#REF!)</f>
        <v>#REF!</v>
      </c>
      <c r="E108" t="e">
        <f>IF(LEN($C108)&gt;0,"",'Casos de Prueba'!#REF!)</f>
        <v>#REF!</v>
      </c>
      <c r="F108" t="e">
        <f>IF(LEN($C108)&gt;0,"",'Casos de Prueba'!#REF!&amp;CHAR(10)&amp;'Casos de Prueba'!#REF!)</f>
        <v>#REF!</v>
      </c>
    </row>
    <row r="109" spans="1:6" x14ac:dyDescent="0.35">
      <c r="A109">
        <f t="shared" si="4"/>
        <v>0</v>
      </c>
      <c r="B109">
        <f t="shared" si="5"/>
        <v>0</v>
      </c>
      <c r="C109" t="str">
        <f>IF('Casos de Prueba'!B102&lt;&gt;0,'Casos de Prueba'!B102&amp;"-"&amp;'Casos de Prueba'!C102:E102,"")</f>
        <v>CP14-/FechaExportarPDF</v>
      </c>
      <c r="D109" t="str">
        <f>IF(LEN($C109)&gt;0,"",'Casos de Prueba'!D102)</f>
        <v/>
      </c>
      <c r="E109" t="str">
        <f>IF(LEN($C109)&gt;0,"",'Casos de Prueba'!E102)</f>
        <v/>
      </c>
      <c r="F109" t="str">
        <f>IF(LEN($C109)&gt;0,"",'Casos de Prueba'!F102&amp;CHAR(10)&amp;'Casos de Prueba'!G102)</f>
        <v/>
      </c>
    </row>
    <row r="110" spans="1:6" x14ac:dyDescent="0.35">
      <c r="A110">
        <f t="shared" si="4"/>
        <v>40</v>
      </c>
      <c r="B110">
        <f t="shared" si="5"/>
        <v>363</v>
      </c>
      <c r="C110" t="str">
        <f>IF('Casos de Prueba'!B103&lt;&gt;0,'Casos de Prueba'!B103&amp;"-"&amp;'Casos de Prueba'!C103:E103,"")</f>
        <v/>
      </c>
      <c r="D110">
        <f>IF(LEN($C110)&gt;0,"",'Casos de Prueba'!D103)</f>
        <v>1</v>
      </c>
      <c r="E110" t="str">
        <f>IF(LEN($C110)&gt;0,"",'Casos de Prueba'!E103)</f>
        <v>PAC ingresa al Portal Contribuyente CFDI</v>
      </c>
      <c r="F110" t="str">
        <f>IF(LEN($C110)&gt;0,"",'Casos de Prueba'!F103&amp;CHAR(10)&amp;'Casos de Prueba'!G103)</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111" spans="1:6" x14ac:dyDescent="0.35">
      <c r="A111">
        <f t="shared" si="4"/>
        <v>37</v>
      </c>
      <c r="B111">
        <f t="shared" si="5"/>
        <v>321</v>
      </c>
      <c r="C111" t="str">
        <f>IF('Casos de Prueba'!B104&lt;&gt;0,'Casos de Prueba'!B104&amp;"-"&amp;'Casos de Prueba'!C104:E104,"")</f>
        <v/>
      </c>
      <c r="D111">
        <f>IF(LEN($C111)&gt;0,"",'Casos de Prueba'!D104)</f>
        <v>2</v>
      </c>
      <c r="E111" t="str">
        <f>IF(LEN($C111)&gt;0,"",'Casos de Prueba'!E104)</f>
        <v>Da clic en "Consulta incidentes CFDI"</v>
      </c>
      <c r="F111" t="str">
        <f>IF(LEN($C111)&gt;0,"",'Casos de Prueba'!F104&amp;CHAR(10)&amp;'Casos de Prueba'!G104)</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112" spans="1:6" x14ac:dyDescent="0.35">
      <c r="A112">
        <f t="shared" si="4"/>
        <v>75</v>
      </c>
      <c r="B112">
        <f t="shared" si="5"/>
        <v>795</v>
      </c>
      <c r="C112" t="str">
        <f>IF('Casos de Prueba'!B105&lt;&gt;0,'Casos de Prueba'!B105&amp;"-"&amp;'Casos de Prueba'!C105:E105,"")</f>
        <v/>
      </c>
      <c r="D112">
        <f>IF(LEN($C112)&gt;0,"",'Casos de Prueba'!D105)</f>
        <v>3</v>
      </c>
      <c r="E112" t="str">
        <f>IF(LEN($C112)&gt;0,"",'Casos de Prueba'!E105)</f>
        <v>Selecciona en el campo "Tipo de Consulta":
Incidentes Servicio de Recepción</v>
      </c>
      <c r="F112" t="str">
        <f>IF(LEN($C112)&gt;0,"",'Casos de Prueba'!F105&amp;CHAR(10)&amp;'Casos de Prueba'!G105)</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113" spans="1:6" x14ac:dyDescent="0.35">
      <c r="A113">
        <f t="shared" si="4"/>
        <v>216</v>
      </c>
      <c r="B113">
        <f t="shared" si="5"/>
        <v>406</v>
      </c>
      <c r="C113" t="str">
        <f>IF('Casos de Prueba'!B106&lt;&gt;0,'Casos de Prueba'!B106&amp;"-"&amp;'Casos de Prueba'!C106:E106,"")</f>
        <v/>
      </c>
      <c r="D113">
        <f>IF(LEN($C113)&gt;0,"",'Casos de Prueba'!D106)</f>
        <v>4</v>
      </c>
      <c r="E113" t="str">
        <f>IF(LEN($C113)&gt;0,"",'Casos de Prueba'!E106)</f>
        <v xml:space="preserve">Seleccionar la opcion Por Fechas y agregar los valores:
Campo Fecha Inicial de Recepción*
Campo Fecha Final de Recepción.*
Los campos marcados con (*) son obligatorios
Dar clic en el botón "Consultar Incidentes".
</v>
      </c>
      <c r="F113" t="str">
        <f>IF(LEN($C113)&gt;0,"",'Casos de Prueba'!F106&amp;CHAR(10)&amp;'Casos de Prueba'!G106)</f>
        <v xml:space="preserve">El campo Folio Fiscal se deshabilita.
El resultado de la consulta deberá mostrarse en una tabla con el título “Resultado de consulta” y la información:
• RFC del PAC
• Nombre o Razón Social
• Evento
• Mensaje
• Total
• Detalle (Boton)
Importante mencionar que, el resultado se debe agrupar por tipo de error y presentarse de forma general, 
Campo "Versión del comprobante" por default tiene el valor 4.0 </v>
      </c>
    </row>
    <row r="114" spans="1:6" x14ac:dyDescent="0.35">
      <c r="A114">
        <f t="shared" si="4"/>
        <v>87</v>
      </c>
      <c r="B114">
        <f t="shared" si="5"/>
        <v>701</v>
      </c>
      <c r="C114" t="str">
        <f>IF('Casos de Prueba'!B107&lt;&gt;0,'Casos de Prueba'!B107&amp;"-"&amp;'Casos de Prueba'!C107:E107,"")</f>
        <v/>
      </c>
      <c r="D114">
        <f>IF(LEN($C114)&gt;0,"",'Casos de Prueba'!D107)</f>
        <v>5</v>
      </c>
      <c r="E114" t="str">
        <f>IF(LEN($C114)&gt;0,"",'Casos de Prueba'!E107)</f>
        <v>De los resultados, se selecciona un registro y se da clic en el boton de "Ver detalle".</v>
      </c>
      <c r="F114" t="str">
        <f>IF(LEN($C114)&gt;0,"",'Casos de Prueba'!F107&amp;CHAR(10)&amp;'Casos de Prueba'!G107)</f>
        <v>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v>
      </c>
    </row>
    <row r="115" spans="1:6" x14ac:dyDescent="0.35">
      <c r="A115">
        <f t="shared" si="4"/>
        <v>45</v>
      </c>
      <c r="B115">
        <f t="shared" si="5"/>
        <v>323</v>
      </c>
      <c r="C115" t="str">
        <f>IF('Casos de Prueba'!B108&lt;&gt;0,'Casos de Prueba'!B108&amp;"-"&amp;'Casos de Prueba'!C108:E108,"")</f>
        <v/>
      </c>
      <c r="D115">
        <f>IF(LEN($C115)&gt;0,"",'Casos de Prueba'!D108)</f>
        <v>6</v>
      </c>
      <c r="E115" t="str">
        <f>IF(LEN($C115)&gt;0,"",'Casos de Prueba'!E108)</f>
        <v>Dar clic en el botón "Exportar Detalle a PDF"</v>
      </c>
      <c r="F115" t="str">
        <f>IF(LEN($C115)&gt;0,"",'Casos de Prueba'!F108&amp;CHAR(10)&amp;'Casos de Prueba'!G108)</f>
        <v xml:space="preserve">Al seleccionar este botón se debe generar una petición de descarga para los registros de incidentes que se muestran en la ventana ‘Detalle de Consulta’ en formato JSON.
A.	Máximo 100 registros de incidencias. 
Al seleccionar el botón ‘Exportar Detalle a PDF se debe mostrar que el PDF se encuentra en proceso de descarga.
</v>
      </c>
    </row>
    <row r="116" spans="1:6" x14ac:dyDescent="0.35">
      <c r="A116">
        <f t="shared" si="4"/>
        <v>16</v>
      </c>
      <c r="B116">
        <f t="shared" si="5"/>
        <v>37</v>
      </c>
      <c r="C116" t="str">
        <f>IF('Casos de Prueba'!B109&lt;&gt;0,'Casos de Prueba'!B109&amp;"-"&amp;'Casos de Prueba'!C109:E109,"")</f>
        <v/>
      </c>
      <c r="D116">
        <f>IF(LEN($C116)&gt;0,"",'Casos de Prueba'!D109)</f>
        <v>7</v>
      </c>
      <c r="E116" t="str">
        <f>IF(LEN($C116)&gt;0,"",'Casos de Prueba'!E109)</f>
        <v>Da clic en Salir</v>
      </c>
      <c r="F116" t="str">
        <f>IF(LEN($C116)&gt;0,"",'Casos de Prueba'!F109&amp;CHAR(10)&amp;'Casos de Prueba'!G109)</f>
        <v>Cierra la sesión del RFC
Fin del caso</v>
      </c>
    </row>
    <row r="117" spans="1:6" x14ac:dyDescent="0.35">
      <c r="A117">
        <f t="shared" ref="A117:A148" si="6">LEN(E117)</f>
        <v>0</v>
      </c>
      <c r="B117">
        <f t="shared" ref="B117:B148" si="7">LEN(F117)</f>
        <v>0</v>
      </c>
      <c r="C117" t="str">
        <f>IF('Casos de Prueba'!B110&lt;&gt;0,'Casos de Prueba'!B110&amp;"-"&amp;'Casos de Prueba'!C110:E110,"")</f>
        <v>CP15-/FechaExportarJSON</v>
      </c>
      <c r="D117" t="str">
        <f>IF(LEN($C117)&gt;0,"",'Casos de Prueba'!D110)</f>
        <v/>
      </c>
      <c r="E117" t="str">
        <f>IF(LEN($C117)&gt;0,"",'Casos de Prueba'!E110)</f>
        <v/>
      </c>
      <c r="F117" t="str">
        <f>IF(LEN($C117)&gt;0,"",'Casos de Prueba'!F110&amp;CHAR(10)&amp;'Casos de Prueba'!G110)</f>
        <v/>
      </c>
    </row>
    <row r="118" spans="1:6" x14ac:dyDescent="0.35">
      <c r="A118">
        <f t="shared" si="6"/>
        <v>40</v>
      </c>
      <c r="B118">
        <f t="shared" si="7"/>
        <v>363</v>
      </c>
      <c r="C118" t="str">
        <f>IF('Casos de Prueba'!B111&lt;&gt;0,'Casos de Prueba'!B111&amp;"-"&amp;'Casos de Prueba'!C111:E111,"")</f>
        <v/>
      </c>
      <c r="D118">
        <f>IF(LEN($C118)&gt;0,"",'Casos de Prueba'!D111)</f>
        <v>1</v>
      </c>
      <c r="E118" t="str">
        <f>IF(LEN($C118)&gt;0,"",'Casos de Prueba'!E111)</f>
        <v>PAC ingresa al Portal Contribuyente CFDI</v>
      </c>
      <c r="F118" t="str">
        <f>IF(LEN($C118)&gt;0,"",'Casos de Prueba'!F111&amp;CHAR(10)&amp;'Casos de Prueba'!G111)</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119" spans="1:6" x14ac:dyDescent="0.35">
      <c r="A119">
        <f t="shared" si="6"/>
        <v>37</v>
      </c>
      <c r="B119">
        <f t="shared" si="7"/>
        <v>321</v>
      </c>
      <c r="C119" t="str">
        <f>IF('Casos de Prueba'!B112&lt;&gt;0,'Casos de Prueba'!B112&amp;"-"&amp;'Casos de Prueba'!C112:E112,"")</f>
        <v/>
      </c>
      <c r="D119">
        <f>IF(LEN($C119)&gt;0,"",'Casos de Prueba'!D112)</f>
        <v>2</v>
      </c>
      <c r="E119" t="str">
        <f>IF(LEN($C119)&gt;0,"",'Casos de Prueba'!E112)</f>
        <v>Da clic en "Consulta incidentes CFDI"</v>
      </c>
      <c r="F119" t="str">
        <f>IF(LEN($C119)&gt;0,"",'Casos de Prueba'!F112&amp;CHAR(10)&amp;'Casos de Prueba'!G112)</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120" spans="1:6" x14ac:dyDescent="0.35">
      <c r="A120">
        <f t="shared" si="6"/>
        <v>75</v>
      </c>
      <c r="B120">
        <f t="shared" si="7"/>
        <v>795</v>
      </c>
      <c r="C120" t="str">
        <f>IF('Casos de Prueba'!B113&lt;&gt;0,'Casos de Prueba'!B113&amp;"-"&amp;'Casos de Prueba'!C113:E113,"")</f>
        <v/>
      </c>
      <c r="D120">
        <f>IF(LEN($C120)&gt;0,"",'Casos de Prueba'!D113)</f>
        <v>3</v>
      </c>
      <c r="E120" t="str">
        <f>IF(LEN($C120)&gt;0,"",'Casos de Prueba'!E113)</f>
        <v>Selecciona en el campo "Tipo de Consulta":
Incidentes Servicio de Recepción</v>
      </c>
      <c r="F120" t="str">
        <f>IF(LEN($C120)&gt;0,"",'Casos de Prueba'!F113&amp;CHAR(10)&amp;'Casos de Prueba'!G113)</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121" spans="1:6" x14ac:dyDescent="0.35">
      <c r="A121">
        <f t="shared" si="6"/>
        <v>216</v>
      </c>
      <c r="B121">
        <f t="shared" si="7"/>
        <v>406</v>
      </c>
      <c r="C121" t="str">
        <f>IF('Casos de Prueba'!B114&lt;&gt;0,'Casos de Prueba'!B114&amp;"-"&amp;'Casos de Prueba'!C114:E114,"")</f>
        <v/>
      </c>
      <c r="D121">
        <f>IF(LEN($C121)&gt;0,"",'Casos de Prueba'!D114)</f>
        <v>4</v>
      </c>
      <c r="E121" t="str">
        <f>IF(LEN($C121)&gt;0,"",'Casos de Prueba'!E114)</f>
        <v xml:space="preserve">Seleccionar la opcion Por Fechas y agregar los valores:
Campo Fecha Inicial de Recepción*
Campo Fecha Final de Recepción.*
Los campos marcados con (*) son obligatorios
Dar clic en el botón "Consultar Incidentes".
</v>
      </c>
      <c r="F121" t="str">
        <f>IF(LEN($C121)&gt;0,"",'Casos de Prueba'!F114&amp;CHAR(10)&amp;'Casos de Prueba'!G114)</f>
        <v xml:space="preserve">El campo Folio Fiscal se deshabilita.
El resultado de la consulta deberá mostrarse en una tabla con el título “Resultado de consulta” y la información:
• RFC del PAC
• Nombre o Razón Social
• Evento
• Mensaje
• Total
• Detalle (Boton)
Importante mencionar que, el resultado se debe agrupar por tipo de error y presentarse de forma general, 
Campo "Versión del comprobante" por default tiene el valor 4.0 </v>
      </c>
    </row>
    <row r="122" spans="1:6" x14ac:dyDescent="0.35">
      <c r="A122">
        <f t="shared" si="6"/>
        <v>87</v>
      </c>
      <c r="B122">
        <f t="shared" si="7"/>
        <v>701</v>
      </c>
      <c r="C122" t="str">
        <f>IF('Casos de Prueba'!B115&lt;&gt;0,'Casos de Prueba'!B115&amp;"-"&amp;'Casos de Prueba'!C115:E115,"")</f>
        <v/>
      </c>
      <c r="D122">
        <f>IF(LEN($C122)&gt;0,"",'Casos de Prueba'!D115)</f>
        <v>5</v>
      </c>
      <c r="E122" t="str">
        <f>IF(LEN($C122)&gt;0,"",'Casos de Prueba'!E115)</f>
        <v>De los resultados, se selecciona un registro y se da clic en el boton de "Ver detalle".</v>
      </c>
      <c r="F122" t="str">
        <f>IF(LEN($C122)&gt;0,"",'Casos de Prueba'!F115&amp;CHAR(10)&amp;'Casos de Prueba'!G115)</f>
        <v>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v>
      </c>
    </row>
    <row r="123" spans="1:6" x14ac:dyDescent="0.35">
      <c r="A123">
        <f t="shared" si="6"/>
        <v>49</v>
      </c>
      <c r="B123">
        <f t="shared" si="7"/>
        <v>325</v>
      </c>
      <c r="C123" t="str">
        <f>IF('Casos de Prueba'!B116&lt;&gt;0,'Casos de Prueba'!B116&amp;"-"&amp;'Casos de Prueba'!C116:E116,"")</f>
        <v/>
      </c>
      <c r="D123">
        <f>IF(LEN($C123)&gt;0,"",'Casos de Prueba'!D116)</f>
        <v>6</v>
      </c>
      <c r="E123" t="str">
        <f>IF(LEN($C123)&gt;0,"",'Casos de Prueba'!E116)</f>
        <v>Dar clic en el botón "Exportar Resultados a JSON"</v>
      </c>
      <c r="F123" t="str">
        <f>IF(LEN($C123)&gt;0,"",'Casos de Prueba'!F116&amp;CHAR(10)&amp;'Casos de Prueba'!G116)</f>
        <v xml:space="preserve">Al seleccionar este botón se debe generar una petición de descarga para los registros de incidentes que se muestran en la ventana ‘Detalle de Consulta’ en formato JSON.
A.	Máximo 100 registros de incidencias. 
Al seleccionar el botón ‘Exportar Detalle a JSON se debe mostrar que el JSON se encuentra en proceso de descarga.
</v>
      </c>
    </row>
    <row r="124" spans="1:6" x14ac:dyDescent="0.35">
      <c r="A124">
        <f t="shared" si="6"/>
        <v>16</v>
      </c>
      <c r="B124">
        <f t="shared" si="7"/>
        <v>37</v>
      </c>
      <c r="C124" t="str">
        <f>IF('Casos de Prueba'!B117&lt;&gt;0,'Casos de Prueba'!B117&amp;"-"&amp;'Casos de Prueba'!C117:E117,"")</f>
        <v/>
      </c>
      <c r="D124">
        <f>IF(LEN($C124)&gt;0,"",'Casos de Prueba'!D117)</f>
        <v>7</v>
      </c>
      <c r="E124" t="str">
        <f>IF(LEN($C124)&gt;0,"",'Casos de Prueba'!E117)</f>
        <v>Da clic en Salir</v>
      </c>
      <c r="F124" t="str">
        <f>IF(LEN($C124)&gt;0,"",'Casos de Prueba'!F117&amp;CHAR(10)&amp;'Casos de Prueba'!G117)</f>
        <v>Cierra la sesión del RFC
Fin del caso</v>
      </c>
    </row>
    <row r="125" spans="1:6" x14ac:dyDescent="0.35">
      <c r="A125">
        <f t="shared" si="6"/>
        <v>0</v>
      </c>
      <c r="B125">
        <f t="shared" si="7"/>
        <v>0</v>
      </c>
      <c r="C125" t="str">
        <f>IF('Casos de Prueba'!B118&lt;&gt;0,'Casos de Prueba'!B118&amp;"-"&amp;'Casos de Prueba'!C118:E118,"")</f>
        <v>CP16-/Retenciones/FolioFiscalConsulta</v>
      </c>
      <c r="D125" t="str">
        <f>IF(LEN($C125)&gt;0,"",'Casos de Prueba'!D118)</f>
        <v/>
      </c>
      <c r="E125" t="str">
        <f>IF(LEN($C125)&gt;0,"",'Casos de Prueba'!E118)</f>
        <v/>
      </c>
      <c r="F125" t="str">
        <f>IF(LEN($C125)&gt;0,"",'Casos de Prueba'!F118&amp;CHAR(10)&amp;'Casos de Prueba'!G118)</f>
        <v/>
      </c>
    </row>
    <row r="126" spans="1:6" x14ac:dyDescent="0.35">
      <c r="A126">
        <f t="shared" si="6"/>
        <v>40</v>
      </c>
      <c r="B126">
        <f t="shared" si="7"/>
        <v>452</v>
      </c>
      <c r="C126" t="str">
        <f>IF('Casos de Prueba'!B119&lt;&gt;0,'Casos de Prueba'!B119&amp;"-"&amp;'Casos de Prueba'!C119:E119,"")</f>
        <v/>
      </c>
      <c r="D126">
        <f>IF(LEN($C126)&gt;0,"",'Casos de Prueba'!D119)</f>
        <v>1</v>
      </c>
      <c r="E126" t="str">
        <f>IF(LEN($C126)&gt;0,"",'Casos de Prueba'!E119)</f>
        <v>PAC ingresa al Portal Contribuyente CFDI</v>
      </c>
      <c r="F126" t="str">
        <f>IF(LEN($C126)&gt;0,"",'Casos de Prueba'!F119&amp;CHAR(10)&amp;'Casos de Prueba'!G119)</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Retenciones versión 2.0</v>
      </c>
    </row>
    <row r="127" spans="1:6" x14ac:dyDescent="0.35">
      <c r="A127">
        <f t="shared" si="6"/>
        <v>49</v>
      </c>
      <c r="B127">
        <f t="shared" si="7"/>
        <v>514</v>
      </c>
      <c r="C127" t="str">
        <f>IF('Casos de Prueba'!B120&lt;&gt;0,'Casos de Prueba'!B120&amp;"-"&amp;'Casos de Prueba'!C120:E120,"")</f>
        <v/>
      </c>
      <c r="D127">
        <f>IF(LEN($C127)&gt;0,"",'Casos de Prueba'!D120)</f>
        <v>2</v>
      </c>
      <c r="E127" t="str">
        <f>IF(LEN($C127)&gt;0,"",'Casos de Prueba'!E120)</f>
        <v>Da clic en "Consulta Incidentes CFDI Retenciones"</v>
      </c>
      <c r="F127" t="str">
        <f>IF(LEN($C127)&gt;0,"",'Casos de Prueba'!F120&amp;CHAR(10)&amp;'Casos de Prueba'!G120)</f>
        <v xml:space="preserve">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Al seleccionar esta opción el sistema permitirá la consulta de los registros de incidencias para los CFDI de Retenciones en su version 2.0 al momento de su envío por el servicio del SAT y proveedores autorizados.
</v>
      </c>
    </row>
    <row r="128" spans="1:6" x14ac:dyDescent="0.35">
      <c r="A128">
        <f t="shared" si="6"/>
        <v>75</v>
      </c>
      <c r="B128">
        <f t="shared" si="7"/>
        <v>693</v>
      </c>
      <c r="C128" t="str">
        <f>IF('Casos de Prueba'!B121&lt;&gt;0,'Casos de Prueba'!B121&amp;"-"&amp;'Casos de Prueba'!C121:E121,"")</f>
        <v/>
      </c>
      <c r="D128">
        <f>IF(LEN($C128)&gt;0,"",'Casos de Prueba'!D121)</f>
        <v>3</v>
      </c>
      <c r="E128" t="str">
        <f>IF(LEN($C128)&gt;0,"",'Casos de Prueba'!E121)</f>
        <v>Selecciona en el campo "Tipo de Consulta":
Incidentes Servicio de Recepción</v>
      </c>
      <c r="F128" t="str">
        <f>IF(LEN($C128)&gt;0,"",'Casos de Prueba'!F121&amp;CHAR(10)&amp;'Casos de Prueba'!G121)</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29" spans="1:6" x14ac:dyDescent="0.35">
      <c r="A129">
        <f t="shared" si="6"/>
        <v>119</v>
      </c>
      <c r="B129">
        <f t="shared" si="7"/>
        <v>51</v>
      </c>
      <c r="C129" t="str">
        <f>IF('Casos de Prueba'!B122&lt;&gt;0,'Casos de Prueba'!B122&amp;"-"&amp;'Casos de Prueba'!C122:E122,"")</f>
        <v/>
      </c>
      <c r="D129">
        <f>IF(LEN($C129)&gt;0,"",'Casos de Prueba'!D122)</f>
        <v>4</v>
      </c>
      <c r="E129" t="str">
        <f>IF(LEN($C129)&gt;0,"",'Casos de Prueba'!E122)</f>
        <v>Selecciona el campo Folio Fiscal e ingresa el UUID del comprobante del cual se desea conocer los incidentes registrados</v>
      </c>
      <c r="F129" t="str">
        <f>IF(LEN($C129)&gt;0,"",'Casos de Prueba'!F122&amp;CHAR(10)&amp;'Casos de Prueba'!G122)</f>
        <v xml:space="preserve">El sistema muestra los datos que se van ingresando
</v>
      </c>
    </row>
    <row r="130" spans="1:6" x14ac:dyDescent="0.35">
      <c r="A130">
        <f t="shared" si="6"/>
        <v>45</v>
      </c>
      <c r="B130">
        <f t="shared" si="7"/>
        <v>236</v>
      </c>
      <c r="C130" t="str">
        <f>IF('Casos de Prueba'!B123&lt;&gt;0,'Casos de Prueba'!B123&amp;"-"&amp;'Casos de Prueba'!C123:E123,"")</f>
        <v/>
      </c>
      <c r="D130">
        <f>IF(LEN($C130)&gt;0,"",'Casos de Prueba'!D123)</f>
        <v>5</v>
      </c>
      <c r="E130" t="str">
        <f>IF(LEN($C130)&gt;0,"",'Casos de Prueba'!E123)</f>
        <v>Se da clic en el botón "Consultar Incidentes"</v>
      </c>
      <c r="F130" t="str">
        <f>IF(LEN($C130)&gt;0,"",'Casos de Prueba'!F123&amp;CHAR(10)&amp;'Casos de Prueba'!G123)</f>
        <v xml:space="preserve">El servicio inhabilita la sección de Fecha Inicial y Final de Recepción.
El sistema deberá mostrar en una tabla los resultados obtenidos de la consulta:
• RFC del PAC
• Nombre o Razón Social
• Evento
• Mensaje
• Total
• Detalle (Boton)
</v>
      </c>
    </row>
    <row r="131" spans="1:6" x14ac:dyDescent="0.35">
      <c r="A131">
        <f t="shared" si="6"/>
        <v>16</v>
      </c>
      <c r="B131">
        <f t="shared" si="7"/>
        <v>37</v>
      </c>
      <c r="C131" t="str">
        <f>IF('Casos de Prueba'!B124&lt;&gt;0,'Casos de Prueba'!B124&amp;"-"&amp;'Casos de Prueba'!C124:E124,"")</f>
        <v/>
      </c>
      <c r="D131">
        <f>IF(LEN($C131)&gt;0,"",'Casos de Prueba'!D124)</f>
        <v>6</v>
      </c>
      <c r="E131" t="str">
        <f>IF(LEN($C131)&gt;0,"",'Casos de Prueba'!E124)</f>
        <v>Da clic en Salir</v>
      </c>
      <c r="F131" t="str">
        <f>IF(LEN($C131)&gt;0,"",'Casos de Prueba'!F124&amp;CHAR(10)&amp;'Casos de Prueba'!G124)</f>
        <v>Cierra la sesión del RFC
Fin del caso</v>
      </c>
    </row>
    <row r="132" spans="1:6" x14ac:dyDescent="0.35">
      <c r="A132">
        <f t="shared" si="6"/>
        <v>0</v>
      </c>
      <c r="B132">
        <f t="shared" si="7"/>
        <v>0</v>
      </c>
      <c r="C132" t="str">
        <f>IF('Casos de Prueba'!B125&lt;&gt;0,'Casos de Prueba'!B125&amp;"-"&amp;'Casos de Prueba'!C125:E125,"")</f>
        <v>CP17-/Retenciones/MsgErrorConsultaCFDIRetVacío</v>
      </c>
      <c r="D132" t="str">
        <f>IF(LEN($C132)&gt;0,"",'Casos de Prueba'!D125)</f>
        <v/>
      </c>
      <c r="E132" t="str">
        <f>IF(LEN($C132)&gt;0,"",'Casos de Prueba'!E125)</f>
        <v/>
      </c>
      <c r="F132" t="str">
        <f>IF(LEN($C132)&gt;0,"",'Casos de Prueba'!F125&amp;CHAR(10)&amp;'Casos de Prueba'!G125)</f>
        <v/>
      </c>
    </row>
    <row r="133" spans="1:6" x14ac:dyDescent="0.35">
      <c r="A133">
        <f t="shared" si="6"/>
        <v>40</v>
      </c>
      <c r="B133">
        <f t="shared" si="7"/>
        <v>412</v>
      </c>
      <c r="C133" t="str">
        <f>IF('Casos de Prueba'!B126&lt;&gt;0,'Casos de Prueba'!B126&amp;"-"&amp;'Casos de Prueba'!C126:E126,"")</f>
        <v/>
      </c>
      <c r="D133">
        <f>IF(LEN($C133)&gt;0,"",'Casos de Prueba'!D126)</f>
        <v>1</v>
      </c>
      <c r="E133" t="str">
        <f>IF(LEN($C133)&gt;0,"",'Casos de Prueba'!E126)</f>
        <v>PAC ingresa al Portal Contribuyente CFDI</v>
      </c>
      <c r="F133" t="str">
        <f>IF(LEN($C133)&gt;0,"",'Casos de Prueba'!F126&amp;CHAR(10)&amp;'Casos de Prueba'!G126)</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Comprobante Fiscal CFDI Retenciones versión 2.0</v>
      </c>
    </row>
    <row r="134" spans="1:6" x14ac:dyDescent="0.35">
      <c r="A134">
        <f t="shared" si="6"/>
        <v>49</v>
      </c>
      <c r="B134">
        <f t="shared" si="7"/>
        <v>300</v>
      </c>
      <c r="C134" t="str">
        <f>IF('Casos de Prueba'!B127&lt;&gt;0,'Casos de Prueba'!B127&amp;"-"&amp;'Casos de Prueba'!C127:E127,"")</f>
        <v/>
      </c>
      <c r="D134">
        <f>IF(LEN($C134)&gt;0,"",'Casos de Prueba'!D127)</f>
        <v>2</v>
      </c>
      <c r="E134" t="str">
        <f>IF(LEN($C134)&gt;0,"",'Casos de Prueba'!E127)</f>
        <v>Da clic en "Consulta Incidentes CFDI Retenciones"</v>
      </c>
      <c r="F134" t="str">
        <f>IF(LEN($C134)&gt;0,"",'Casos de Prueba'!F127&amp;CHAR(10)&amp;'Casos de Prueba'!G127)</f>
        <v xml:space="preserve">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v>
      </c>
    </row>
    <row r="135" spans="1:6" x14ac:dyDescent="0.35">
      <c r="A135">
        <f t="shared" si="6"/>
        <v>75</v>
      </c>
      <c r="B135">
        <f t="shared" si="7"/>
        <v>693</v>
      </c>
      <c r="C135" t="str">
        <f>IF('Casos de Prueba'!B128&lt;&gt;0,'Casos de Prueba'!B128&amp;"-"&amp;'Casos de Prueba'!C128:E128,"")</f>
        <v/>
      </c>
      <c r="D135">
        <f>IF(LEN($C135)&gt;0,"",'Casos de Prueba'!D128)</f>
        <v>3</v>
      </c>
      <c r="E135" t="str">
        <f>IF(LEN($C135)&gt;0,"",'Casos de Prueba'!E128)</f>
        <v>Selecciona en el campo "Tipo de Consulta":
Incidentes Servicio de Recepción</v>
      </c>
      <c r="F135" t="str">
        <f>IF(LEN($C135)&gt;0,"",'Casos de Prueba'!F128&amp;CHAR(10)&amp;'Casos de Prueba'!G128)</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36" spans="1:6" x14ac:dyDescent="0.35">
      <c r="A136">
        <f t="shared" si="6"/>
        <v>107</v>
      </c>
      <c r="B136">
        <f t="shared" si="7"/>
        <v>88</v>
      </c>
      <c r="C136" t="str">
        <f>IF('Casos de Prueba'!B129&lt;&gt;0,'Casos de Prueba'!B129&amp;"-"&amp;'Casos de Prueba'!C129:E129,"")</f>
        <v/>
      </c>
      <c r="D136">
        <f>IF(LEN($C136)&gt;0,"",'Casos de Prueba'!D129)</f>
        <v>4</v>
      </c>
      <c r="E136" t="str">
        <f>IF(LEN($C136)&gt;0,"",'Casos de Prueba'!E129)</f>
        <v>Se da clic en el botón "Consultar Incidentes"
Nota: Para este caso de prueba no se ingresa el Folio Fiscal</v>
      </c>
      <c r="F136" t="str">
        <f>IF(LEN($C136)&gt;0,"",'Casos de Prueba'!F129&amp;CHAR(10)&amp;'Casos de Prueba'!G129)</f>
        <v xml:space="preserve">El aplicativo muestra el siguiente mensaje
 “ERROR: Favor de ingresar el folio fiscal”.
</v>
      </c>
    </row>
    <row r="137" spans="1:6" x14ac:dyDescent="0.35">
      <c r="A137">
        <f t="shared" si="6"/>
        <v>16</v>
      </c>
      <c r="B137">
        <f t="shared" si="7"/>
        <v>37</v>
      </c>
      <c r="C137" t="str">
        <f>IF('Casos de Prueba'!B130&lt;&gt;0,'Casos de Prueba'!B130&amp;"-"&amp;'Casos de Prueba'!C130:E130,"")</f>
        <v/>
      </c>
      <c r="D137">
        <f>IF(LEN($C137)&gt;0,"",'Casos de Prueba'!D130)</f>
        <v>5</v>
      </c>
      <c r="E137" t="str">
        <f>IF(LEN($C137)&gt;0,"",'Casos de Prueba'!E130)</f>
        <v>Da clic en Salir</v>
      </c>
      <c r="F137" t="str">
        <f>IF(LEN($C137)&gt;0,"",'Casos de Prueba'!F130&amp;CHAR(10)&amp;'Casos de Prueba'!G130)</f>
        <v>Cierra la sesión del RFC
Fin del caso</v>
      </c>
    </row>
    <row r="138" spans="1:6" x14ac:dyDescent="0.35">
      <c r="A138">
        <f t="shared" si="6"/>
        <v>0</v>
      </c>
      <c r="B138">
        <f t="shared" si="7"/>
        <v>0</v>
      </c>
      <c r="C138" t="str">
        <f>IF('Casos de Prueba'!B131&lt;&gt;0,'Casos de Prueba'!B131&amp;"-"&amp;'Casos de Prueba'!C131:E131,"")</f>
        <v>CP18-/Retenciones/MsgErrorConsultaCFDIRetFormatoIncorrecto</v>
      </c>
      <c r="D138" t="str">
        <f>IF(LEN($C138)&gt;0,"",'Casos de Prueba'!D131)</f>
        <v/>
      </c>
      <c r="E138" t="str">
        <f>IF(LEN($C138)&gt;0,"",'Casos de Prueba'!E131)</f>
        <v/>
      </c>
      <c r="F138" t="str">
        <f>IF(LEN($C138)&gt;0,"",'Casos de Prueba'!F131&amp;CHAR(10)&amp;'Casos de Prueba'!G131)</f>
        <v/>
      </c>
    </row>
    <row r="139" spans="1:6" x14ac:dyDescent="0.35">
      <c r="A139">
        <f t="shared" si="6"/>
        <v>40</v>
      </c>
      <c r="B139">
        <f t="shared" si="7"/>
        <v>452</v>
      </c>
      <c r="C139" t="str">
        <f>IF('Casos de Prueba'!B132&lt;&gt;0,'Casos de Prueba'!B132&amp;"-"&amp;'Casos de Prueba'!C132:E132,"")</f>
        <v/>
      </c>
      <c r="D139">
        <f>IF(LEN($C139)&gt;0,"",'Casos de Prueba'!D132)</f>
        <v>1</v>
      </c>
      <c r="E139" t="str">
        <f>IF(LEN($C139)&gt;0,"",'Casos de Prueba'!E132)</f>
        <v>PAC ingresa al Portal Contribuyente CFDI</v>
      </c>
      <c r="F139" t="str">
        <f>IF(LEN($C139)&gt;0,"",'Casos de Prueba'!F132&amp;CHAR(10)&amp;'Casos de Prueba'!G132)</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Retenciones versión 2.0</v>
      </c>
    </row>
    <row r="140" spans="1:6" x14ac:dyDescent="0.35">
      <c r="A140">
        <f t="shared" si="6"/>
        <v>49</v>
      </c>
      <c r="B140">
        <f t="shared" si="7"/>
        <v>300</v>
      </c>
      <c r="C140" t="str">
        <f>IF('Casos de Prueba'!B133&lt;&gt;0,'Casos de Prueba'!B133&amp;"-"&amp;'Casos de Prueba'!C133:E133,"")</f>
        <v/>
      </c>
      <c r="D140">
        <f>IF(LEN($C140)&gt;0,"",'Casos de Prueba'!D133)</f>
        <v>2</v>
      </c>
      <c r="E140" t="str">
        <f>IF(LEN($C140)&gt;0,"",'Casos de Prueba'!E133)</f>
        <v>Da clic en "Consulta Incidentes CFDI Retenciones"</v>
      </c>
      <c r="F140" t="str">
        <f>IF(LEN($C140)&gt;0,"",'Casos de Prueba'!F133&amp;CHAR(10)&amp;'Casos de Prueba'!G133)</f>
        <v xml:space="preserve">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v>
      </c>
    </row>
    <row r="141" spans="1:6" x14ac:dyDescent="0.35">
      <c r="A141">
        <f t="shared" si="6"/>
        <v>75</v>
      </c>
      <c r="B141">
        <f t="shared" si="7"/>
        <v>693</v>
      </c>
      <c r="C141" t="str">
        <f>IF('Casos de Prueba'!B134&lt;&gt;0,'Casos de Prueba'!B134&amp;"-"&amp;'Casos de Prueba'!C134:E134,"")</f>
        <v/>
      </c>
      <c r="D141">
        <f>IF(LEN($C141)&gt;0,"",'Casos de Prueba'!D134)</f>
        <v>3</v>
      </c>
      <c r="E141" t="str">
        <f>IF(LEN($C141)&gt;0,"",'Casos de Prueba'!E134)</f>
        <v>Selecciona en el campo "Tipo de Consulta":
Incidentes Servicio de Recepción</v>
      </c>
      <c r="F141" t="str">
        <f>IF(LEN($C141)&gt;0,"",'Casos de Prueba'!F134&amp;CHAR(10)&amp;'Casos de Prueba'!G134)</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42" spans="1:6" x14ac:dyDescent="0.35">
      <c r="A142">
        <f t="shared" si="6"/>
        <v>150</v>
      </c>
      <c r="B142">
        <f t="shared" si="7"/>
        <v>132</v>
      </c>
      <c r="C142" t="str">
        <f>IF('Casos de Prueba'!B135&lt;&gt;0,'Casos de Prueba'!B135&amp;"-"&amp;'Casos de Prueba'!C135:E135,"")</f>
        <v/>
      </c>
      <c r="D142">
        <f>IF(LEN($C142)&gt;0,"",'Casos de Prueba'!D135)</f>
        <v>4</v>
      </c>
      <c r="E142" t="str">
        <f>IF(LEN($C142)&gt;0,"",'Casos de Prueba'!E135)</f>
        <v>Selecciona el campo Folio Fiscal e ingresa el UUID del comprobante el cual no cumple con la estructura  y selecciona la opción "Consultar Incidentes".</v>
      </c>
      <c r="F142" t="str">
        <f>IF(LEN($C142)&gt;0,"",'Casos de Prueba'!F135&amp;CHAR(10)&amp;'Casos de Prueba'!G135)</f>
        <v xml:space="preserve">El aplicativo muestra el siguiente mensaje: 
•	“El Folio Fiscal no cumple con el formato correcto, favor de ingresarlo nuevamente”.
</v>
      </c>
    </row>
    <row r="143" spans="1:6" x14ac:dyDescent="0.35">
      <c r="A143">
        <f t="shared" si="6"/>
        <v>16</v>
      </c>
      <c r="B143">
        <f t="shared" si="7"/>
        <v>37</v>
      </c>
      <c r="C143" t="str">
        <f>IF('Casos de Prueba'!B136&lt;&gt;0,'Casos de Prueba'!B136&amp;"-"&amp;'Casos de Prueba'!C136:E136,"")</f>
        <v/>
      </c>
      <c r="D143">
        <f>IF(LEN($C143)&gt;0,"",'Casos de Prueba'!D136)</f>
        <v>5</v>
      </c>
      <c r="E143" t="str">
        <f>IF(LEN($C143)&gt;0,"",'Casos de Prueba'!E136)</f>
        <v>Da clic en Salir</v>
      </c>
      <c r="F143" t="str">
        <f>IF(LEN($C143)&gt;0,"",'Casos de Prueba'!F136&amp;CHAR(10)&amp;'Casos de Prueba'!G136)</f>
        <v>Cierra la sesión del RFC
Fin del caso</v>
      </c>
    </row>
    <row r="144" spans="1:6" x14ac:dyDescent="0.35">
      <c r="A144">
        <f t="shared" si="6"/>
        <v>0</v>
      </c>
      <c r="B144">
        <f t="shared" si="7"/>
        <v>0</v>
      </c>
      <c r="C144" t="str">
        <f>IF('Casos de Prueba'!B137&lt;&gt;0,'Casos de Prueba'!B137&amp;"-"&amp;'Casos de Prueba'!C137:E137,"")</f>
        <v>CP19-/MsgErrorConsultaCFDIv4.0</v>
      </c>
      <c r="D144" t="str">
        <f>IF(LEN($C144)&gt;0,"",'Casos de Prueba'!D137)</f>
        <v/>
      </c>
      <c r="E144" t="str">
        <f>IF(LEN($C144)&gt;0,"",'Casos de Prueba'!E137)</f>
        <v/>
      </c>
      <c r="F144" t="str">
        <f>IF(LEN($C144)&gt;0,"",'Casos de Prueba'!F137&amp;CHAR(10)&amp;'Casos de Prueba'!G137)</f>
        <v/>
      </c>
    </row>
    <row r="145" spans="1:6" x14ac:dyDescent="0.35">
      <c r="A145">
        <f t="shared" si="6"/>
        <v>40</v>
      </c>
      <c r="B145">
        <f t="shared" si="7"/>
        <v>440</v>
      </c>
      <c r="C145" t="str">
        <f>IF('Casos de Prueba'!B138&lt;&gt;0,'Casos de Prueba'!B138&amp;"-"&amp;'Casos de Prueba'!C138:E138,"")</f>
        <v/>
      </c>
      <c r="D145">
        <f>IF(LEN($C145)&gt;0,"",'Casos de Prueba'!D138)</f>
        <v>1</v>
      </c>
      <c r="E145" t="str">
        <f>IF(LEN($C145)&gt;0,"",'Casos de Prueba'!E138)</f>
        <v>PAC ingresa al Portal Contribuyente CFDI</v>
      </c>
      <c r="F145" t="str">
        <f>IF(LEN($C145)&gt;0,"",'Casos de Prueba'!F138&amp;CHAR(10)&amp;'Casos de Prueba'!G138)</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versión 4.0</v>
      </c>
    </row>
    <row r="146" spans="1:6" x14ac:dyDescent="0.35">
      <c r="A146">
        <f t="shared" si="6"/>
        <v>49</v>
      </c>
      <c r="B146">
        <f t="shared" si="7"/>
        <v>578</v>
      </c>
      <c r="C146" t="str">
        <f>IF('Casos de Prueba'!B139&lt;&gt;0,'Casos de Prueba'!B139&amp;"-"&amp;'Casos de Prueba'!C139:E139,"")</f>
        <v/>
      </c>
      <c r="D146">
        <f>IF(LEN($C146)&gt;0,"",'Casos de Prueba'!D139)</f>
        <v>2</v>
      </c>
      <c r="E146" t="str">
        <f>IF(LEN($C146)&gt;0,"",'Casos de Prueba'!E139)</f>
        <v>Da clic en "Consulta Incidentes CFDI Retenciones"</v>
      </c>
      <c r="F146" t="str">
        <f>IF(LEN($C146)&gt;0,"",'Casos de Prueba'!F139&amp;CHAR(10)&amp;'Casos de Prueba'!G140)</f>
        <v>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v>
      </c>
    </row>
    <row r="147" spans="1:6" x14ac:dyDescent="0.35">
      <c r="A147">
        <f t="shared" si="6"/>
        <v>75</v>
      </c>
      <c r="B147" t="e">
        <f t="shared" si="7"/>
        <v>#REF!</v>
      </c>
      <c r="C147" t="str">
        <f>IF('Casos de Prueba'!B140&lt;&gt;0,'Casos de Prueba'!B140&amp;"-"&amp;'Casos de Prueba'!C140:E140,"")</f>
        <v/>
      </c>
      <c r="D147">
        <f>IF(LEN($C147)&gt;0,"",'Casos de Prueba'!D140)</f>
        <v>3</v>
      </c>
      <c r="E147" t="str">
        <f>IF(LEN($C147)&gt;0,"",'Casos de Prueba'!E140)</f>
        <v>Selecciona en el campo "Tipo de Consulta":
Incidentes Servicio de Recepción</v>
      </c>
      <c r="F147" t="e">
        <f>IF(LEN($C147)&gt;0,"",'Casos de Prueba'!F140&amp;CHAR(10)&amp;'Casos de Prueba'!#REF!)</f>
        <v>#REF!</v>
      </c>
    </row>
    <row r="148" spans="1:6" x14ac:dyDescent="0.35">
      <c r="A148">
        <f t="shared" si="6"/>
        <v>140</v>
      </c>
      <c r="B148">
        <f t="shared" si="7"/>
        <v>231</v>
      </c>
      <c r="C148" t="str">
        <f>IF('Casos de Prueba'!B141&lt;&gt;0,'Casos de Prueba'!B141&amp;"-"&amp;'Casos de Prueba'!C141:E141,"")</f>
        <v/>
      </c>
      <c r="D148">
        <f>IF(LEN($C148)&gt;0,"",'Casos de Prueba'!D141)</f>
        <v>4</v>
      </c>
      <c r="E148" t="str">
        <f>IF(LEN($C148)&gt;0,"",'Casos de Prueba'!E141)</f>
        <v>Selecciona el campo Folio Fiscal e ingresa el UUID del comprobante y es de tipo CFDI ver 4.0  y selecciona la opción "Consultar Incidentes".</v>
      </c>
      <c r="F148" t="str">
        <f>IF(LEN($C148)&gt;0,"",'Casos de Prueba'!F141&amp;CHAR(10)&amp;'Casos de Prueba'!G141)</f>
        <v xml:space="preserve">El aplicativo muestra el siguiente mensaje: 
“ERROR: El Folio Fiscal que desea consultar no se encuentra en la BD.”.
Nota: Este mensaje de error aparece porque se quiere consultar un comprobante CFDI que no es de tipo Retenciones
</v>
      </c>
    </row>
    <row r="149" spans="1:6" x14ac:dyDescent="0.35">
      <c r="A149">
        <f t="shared" ref="A149:A180" si="8">LEN(E149)</f>
        <v>16</v>
      </c>
      <c r="B149">
        <f t="shared" ref="B149:B180" si="9">LEN(F149)</f>
        <v>37</v>
      </c>
      <c r="C149" t="str">
        <f>IF('Casos de Prueba'!B142&lt;&gt;0,'Casos de Prueba'!B142&amp;"-"&amp;'Casos de Prueba'!C142:E142,"")</f>
        <v/>
      </c>
      <c r="D149">
        <f>IF(LEN($C149)&gt;0,"",'Casos de Prueba'!D142)</f>
        <v>5</v>
      </c>
      <c r="E149" t="str">
        <f>IF(LEN($C149)&gt;0,"",'Casos de Prueba'!E142)</f>
        <v>Da clic en Salir</v>
      </c>
      <c r="F149" t="str">
        <f>IF(LEN($C149)&gt;0,"",'Casos de Prueba'!F142&amp;CHAR(10)&amp;'Casos de Prueba'!G142)</f>
        <v>Cierra la sesión del RFC
Fin del caso</v>
      </c>
    </row>
    <row r="150" spans="1:6" x14ac:dyDescent="0.35">
      <c r="A150">
        <f t="shared" si="8"/>
        <v>0</v>
      </c>
      <c r="B150">
        <f t="shared" si="9"/>
        <v>0</v>
      </c>
      <c r="C150" t="str">
        <f>IF('Casos de Prueba'!B143&lt;&gt;0,'Casos de Prueba'!B143&amp;"-"&amp;'Casos de Prueba'!C143:E143,"")</f>
        <v>CP20-/Retenciones/FolioFiscalExportarPDF</v>
      </c>
      <c r="D150" t="str">
        <f>IF(LEN($C150)&gt;0,"",'Casos de Prueba'!D143)</f>
        <v/>
      </c>
      <c r="E150" t="str">
        <f>IF(LEN($C150)&gt;0,"",'Casos de Prueba'!E143)</f>
        <v/>
      </c>
      <c r="F150" t="str">
        <f>IF(LEN($C150)&gt;0,"",'Casos de Prueba'!F143&amp;CHAR(10)&amp;'Casos de Prueba'!G143)</f>
        <v/>
      </c>
    </row>
    <row r="151" spans="1:6" x14ac:dyDescent="0.35">
      <c r="A151">
        <f t="shared" si="8"/>
        <v>40</v>
      </c>
      <c r="B151">
        <f t="shared" si="9"/>
        <v>452</v>
      </c>
      <c r="C151" t="str">
        <f>IF('Casos de Prueba'!B144&lt;&gt;0,'Casos de Prueba'!B144&amp;"-"&amp;'Casos de Prueba'!C144:E144,"")</f>
        <v/>
      </c>
      <c r="D151">
        <f>IF(LEN($C151)&gt;0,"",'Casos de Prueba'!D144)</f>
        <v>1</v>
      </c>
      <c r="E151" t="str">
        <f>IF(LEN($C151)&gt;0,"",'Casos de Prueba'!E144)</f>
        <v>PAC ingresa al Portal Contribuyente CFDI</v>
      </c>
      <c r="F151" t="str">
        <f>IF(LEN($C151)&gt;0,"",'Casos de Prueba'!F144&amp;CHAR(10)&amp;'Casos de Prueba'!G144)</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Retenciones versión 2.0</v>
      </c>
    </row>
    <row r="152" spans="1:6" x14ac:dyDescent="0.35">
      <c r="A152">
        <f t="shared" si="8"/>
        <v>49</v>
      </c>
      <c r="B152">
        <f t="shared" si="9"/>
        <v>300</v>
      </c>
      <c r="C152" t="str">
        <f>IF('Casos de Prueba'!B145&lt;&gt;0,'Casos de Prueba'!B145&amp;"-"&amp;'Casos de Prueba'!C145:E145,"")</f>
        <v/>
      </c>
      <c r="D152">
        <f>IF(LEN($C152)&gt;0,"",'Casos de Prueba'!D145)</f>
        <v>2</v>
      </c>
      <c r="E152" t="str">
        <f>IF(LEN($C152)&gt;0,"",'Casos de Prueba'!E145)</f>
        <v>Da clic en "Consulta Incidentes CFDI Retenciones"</v>
      </c>
      <c r="F152" t="str">
        <f>IF(LEN($C152)&gt;0,"",'Casos de Prueba'!F145&amp;CHAR(10)&amp;'Casos de Prueba'!G145)</f>
        <v xml:space="preserve">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v>
      </c>
    </row>
    <row r="153" spans="1:6" x14ac:dyDescent="0.35">
      <c r="A153">
        <f t="shared" si="8"/>
        <v>75</v>
      </c>
      <c r="B153">
        <f t="shared" si="9"/>
        <v>693</v>
      </c>
      <c r="C153" t="str">
        <f>IF('Casos de Prueba'!B146&lt;&gt;0,'Casos de Prueba'!B146&amp;"-"&amp;'Casos de Prueba'!C146:E146,"")</f>
        <v/>
      </c>
      <c r="D153">
        <f>IF(LEN($C153)&gt;0,"",'Casos de Prueba'!D146)</f>
        <v>3</v>
      </c>
      <c r="E153" t="str">
        <f>IF(LEN($C153)&gt;0,"",'Casos de Prueba'!E146)</f>
        <v>Selecciona en el campo "Tipo de Consulta":
Incidentes Servicio de Recepción</v>
      </c>
      <c r="F153" t="str">
        <f>IF(LEN($C153)&gt;0,"",'Casos de Prueba'!F146&amp;CHAR(10)&amp;'Casos de Prueba'!G146)</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54" spans="1:6" x14ac:dyDescent="0.35">
      <c r="A154">
        <f t="shared" si="8"/>
        <v>119</v>
      </c>
      <c r="B154">
        <f t="shared" si="9"/>
        <v>51</v>
      </c>
      <c r="C154" t="str">
        <f>IF('Casos de Prueba'!B147&lt;&gt;0,'Casos de Prueba'!B147&amp;"-"&amp;'Casos de Prueba'!C147:E147,"")</f>
        <v/>
      </c>
      <c r="D154">
        <f>IF(LEN($C154)&gt;0,"",'Casos de Prueba'!D147)</f>
        <v>4</v>
      </c>
      <c r="E154" t="str">
        <f>IF(LEN($C154)&gt;0,"",'Casos de Prueba'!E147)</f>
        <v>Selecciona el campo Folio Fiscal e ingresa el UUID del comprobante del cual se desea conocer los incidentes registrados</v>
      </c>
      <c r="F154" t="str">
        <f>IF(LEN($C154)&gt;0,"",'Casos de Prueba'!F147&amp;CHAR(10)&amp;'Casos de Prueba'!G147)</f>
        <v xml:space="preserve">El sistema muestra los datos que se van ingresando
</v>
      </c>
    </row>
    <row r="155" spans="1:6" x14ac:dyDescent="0.35">
      <c r="A155">
        <f t="shared" si="8"/>
        <v>45</v>
      </c>
      <c r="B155">
        <f t="shared" si="9"/>
        <v>236</v>
      </c>
      <c r="C155" t="str">
        <f>IF('Casos de Prueba'!B148&lt;&gt;0,'Casos de Prueba'!B148&amp;"-"&amp;'Casos de Prueba'!C148:E148,"")</f>
        <v/>
      </c>
      <c r="D155">
        <f>IF(LEN($C155)&gt;0,"",'Casos de Prueba'!D148)</f>
        <v>5</v>
      </c>
      <c r="E155" t="str">
        <f>IF(LEN($C155)&gt;0,"",'Casos de Prueba'!E148)</f>
        <v>Se da clic en el botón "Consultar Incidentes"</v>
      </c>
      <c r="F155" t="str">
        <f>IF(LEN($C155)&gt;0,"",'Casos de Prueba'!F148&amp;CHAR(10)&amp;'Casos de Prueba'!G148)</f>
        <v xml:space="preserve">El servicio inhabilita la sección de Fecha Inicial y Final de Recepción.
El sistema deberá mostrar en una tabla los resultados obtenidos de la consulta:
• RFC del PAC
• Nombre o Razón Social
• Evento
• Mensaje
• Total
• Detalle (Boton)
</v>
      </c>
    </row>
    <row r="156" spans="1:6" x14ac:dyDescent="0.35">
      <c r="A156">
        <f t="shared" si="8"/>
        <v>62</v>
      </c>
      <c r="B156">
        <f t="shared" si="9"/>
        <v>568</v>
      </c>
      <c r="C156" t="str">
        <f>IF('Casos de Prueba'!B149&lt;&gt;0,'Casos de Prueba'!B149&amp;"-"&amp;'Casos de Prueba'!C149:E149,"")</f>
        <v/>
      </c>
      <c r="D156">
        <f>IF(LEN($C156)&gt;0,"",'Casos de Prueba'!D149)</f>
        <v>6</v>
      </c>
      <c r="E156" t="str">
        <f>IF(LEN($C156)&gt;0,"",'Casos de Prueba'!E149)</f>
        <v>Selecciona el registro y dar clic en el boton de "Ver detalle"</v>
      </c>
      <c r="F156" t="str">
        <f>IF(LEN($C156)&gt;0,"",'Casos de Prueba'!F149&amp;CHAR(10)&amp;'Casos de Prueba'!G149)</f>
        <v xml:space="preserve">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v>
      </c>
    </row>
    <row r="157" spans="1:6" x14ac:dyDescent="0.35">
      <c r="A157">
        <f t="shared" si="8"/>
        <v>45</v>
      </c>
      <c r="B157">
        <f t="shared" si="9"/>
        <v>307</v>
      </c>
      <c r="C157" t="str">
        <f>IF('Casos de Prueba'!B150&lt;&gt;0,'Casos de Prueba'!B150&amp;"-"&amp;'Casos de Prueba'!C150:E150,"")</f>
        <v/>
      </c>
      <c r="D157">
        <f>IF(LEN($C157)&gt;0,"",'Casos de Prueba'!D150)</f>
        <v>7</v>
      </c>
      <c r="E157" t="str">
        <f>IF(LEN($C157)&gt;0,"",'Casos de Prueba'!E150)</f>
        <v>Dar clic en el botón "Exportar Detalle a PDF"</v>
      </c>
      <c r="F157" t="str">
        <f>IF(LEN($C157)&gt;0,"",'Casos de Prueba'!F150&amp;CHAR(10)&amp;'Casos de Prueba'!G150)</f>
        <v xml:space="preserve">Al seleccionar este botón se debe generar una petición de descarga para los registros de incidentes que se muestran en la ventana ‘Detalle de Consulta’.
A.	Máximo 100 registros de incidencias.
Al seleccionar el botón ‘Exportar Detalle a PDF’ se debe mostrar que el PDF se encuentra en proceso de descarga.
</v>
      </c>
    </row>
    <row r="158" spans="1:6" x14ac:dyDescent="0.35">
      <c r="A158">
        <f t="shared" si="8"/>
        <v>16</v>
      </c>
      <c r="B158">
        <f t="shared" si="9"/>
        <v>37</v>
      </c>
      <c r="C158" t="str">
        <f>IF('Casos de Prueba'!B151&lt;&gt;0,'Casos de Prueba'!B151&amp;"-"&amp;'Casos de Prueba'!C151:E151,"")</f>
        <v/>
      </c>
      <c r="D158">
        <f>IF(LEN($C158)&gt;0,"",'Casos de Prueba'!D151)</f>
        <v>8</v>
      </c>
      <c r="E158" t="str">
        <f>IF(LEN($C158)&gt;0,"",'Casos de Prueba'!E151)</f>
        <v>Da clic en Salir</v>
      </c>
      <c r="F158" t="str">
        <f>IF(LEN($C158)&gt;0,"",'Casos de Prueba'!F151&amp;CHAR(10)&amp;'Casos de Prueba'!G151)</f>
        <v>Cierra la sesión del RFC
Fin del caso</v>
      </c>
    </row>
    <row r="159" spans="1:6" x14ac:dyDescent="0.35">
      <c r="A159">
        <f t="shared" si="8"/>
        <v>0</v>
      </c>
      <c r="B159">
        <f t="shared" si="9"/>
        <v>0</v>
      </c>
      <c r="C159" t="str">
        <f>IF('Casos de Prueba'!B152&lt;&gt;0,'Casos de Prueba'!B152&amp;"-"&amp;'Casos de Prueba'!C152:E152,"")</f>
        <v>CP21-/Retenciones/FolioFiscalExportarJSON</v>
      </c>
      <c r="D159" t="str">
        <f>IF(LEN($C159)&gt;0,"",'Casos de Prueba'!D152)</f>
        <v/>
      </c>
      <c r="E159" t="str">
        <f>IF(LEN($C159)&gt;0,"",'Casos de Prueba'!E152)</f>
        <v/>
      </c>
      <c r="F159" t="str">
        <f>IF(LEN($C159)&gt;0,"",'Casos de Prueba'!F152&amp;CHAR(10)&amp;'Casos de Prueba'!G152)</f>
        <v/>
      </c>
    </row>
    <row r="160" spans="1:6" x14ac:dyDescent="0.35">
      <c r="A160">
        <f t="shared" si="8"/>
        <v>40</v>
      </c>
      <c r="B160">
        <f t="shared" si="9"/>
        <v>452</v>
      </c>
      <c r="C160" t="str">
        <f>IF('Casos de Prueba'!B153&lt;&gt;0,'Casos de Prueba'!B153&amp;"-"&amp;'Casos de Prueba'!C153:E153,"")</f>
        <v/>
      </c>
      <c r="D160">
        <f>IF(LEN($C160)&gt;0,"",'Casos de Prueba'!D153)</f>
        <v>1</v>
      </c>
      <c r="E160" t="str">
        <f>IF(LEN($C160)&gt;0,"",'Casos de Prueba'!E153)</f>
        <v>PAC ingresa al Portal Contribuyente CFDI</v>
      </c>
      <c r="F160" t="str">
        <f>IF(LEN($C160)&gt;0,"",'Casos de Prueba'!F153&amp;CHAR(10)&amp;'Casos de Prueba'!G153)</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Retenciones versión 2.0</v>
      </c>
    </row>
    <row r="161" spans="1:6" x14ac:dyDescent="0.35">
      <c r="A161">
        <f t="shared" si="8"/>
        <v>49</v>
      </c>
      <c r="B161">
        <f t="shared" si="9"/>
        <v>300</v>
      </c>
      <c r="C161" t="str">
        <f>IF('Casos de Prueba'!B154&lt;&gt;0,'Casos de Prueba'!B154&amp;"-"&amp;'Casos de Prueba'!C154:E154,"")</f>
        <v/>
      </c>
      <c r="D161">
        <f>IF(LEN($C161)&gt;0,"",'Casos de Prueba'!D154)</f>
        <v>2</v>
      </c>
      <c r="E161" t="str">
        <f>IF(LEN($C161)&gt;0,"",'Casos de Prueba'!E154)</f>
        <v>Da clic en "Consulta Incidentes CFDI Retenciones"</v>
      </c>
      <c r="F161" t="str">
        <f>IF(LEN($C161)&gt;0,"",'Casos de Prueba'!F154&amp;CHAR(10)&amp;'Casos de Prueba'!G154)</f>
        <v xml:space="preserve">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v>
      </c>
    </row>
    <row r="162" spans="1:6" x14ac:dyDescent="0.35">
      <c r="A162">
        <f t="shared" si="8"/>
        <v>75</v>
      </c>
      <c r="B162">
        <f t="shared" si="9"/>
        <v>668</v>
      </c>
      <c r="C162" t="str">
        <f>IF('Casos de Prueba'!B155&lt;&gt;0,'Casos de Prueba'!B155&amp;"-"&amp;'Casos de Prueba'!C155:E155,"")</f>
        <v/>
      </c>
      <c r="D162">
        <f>IF(LEN($C162)&gt;0,"",'Casos de Prueba'!D155)</f>
        <v>3</v>
      </c>
      <c r="E162" t="str">
        <f>IF(LEN($C162)&gt;0,"",'Casos de Prueba'!E155)</f>
        <v>Selecciona en el campo "Tipo de Consulta":
Incidentes Servicio de Recepción</v>
      </c>
      <c r="F162" t="str">
        <f>IF(LEN($C162)&gt;0,"",'Casos de Prueba'!F155&amp;CHAR(10)&amp;'Casos de Prueba'!G155)</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v>
      </c>
    </row>
    <row r="163" spans="1:6" x14ac:dyDescent="0.35">
      <c r="A163">
        <f t="shared" si="8"/>
        <v>119</v>
      </c>
      <c r="B163">
        <f t="shared" si="9"/>
        <v>51</v>
      </c>
      <c r="C163" t="str">
        <f>IF('Casos de Prueba'!B156&lt;&gt;0,'Casos de Prueba'!B156&amp;"-"&amp;'Casos de Prueba'!C156:E156,"")</f>
        <v/>
      </c>
      <c r="D163">
        <f>IF(LEN($C163)&gt;0,"",'Casos de Prueba'!D156)</f>
        <v>4</v>
      </c>
      <c r="E163" t="str">
        <f>IF(LEN($C163)&gt;0,"",'Casos de Prueba'!E156)</f>
        <v>Selecciona el campo Folio Fiscal e ingresa el UUID del comprobante del cual se desea conocer los incidentes registrados</v>
      </c>
      <c r="F163" t="str">
        <f>IF(LEN($C163)&gt;0,"",'Casos de Prueba'!F156&amp;CHAR(10)&amp;'Casos de Prueba'!G156)</f>
        <v xml:space="preserve">El sistema muestra los datos que se van ingresando
</v>
      </c>
    </row>
    <row r="164" spans="1:6" x14ac:dyDescent="0.35">
      <c r="A164">
        <f t="shared" si="8"/>
        <v>45</v>
      </c>
      <c r="B164">
        <f t="shared" si="9"/>
        <v>236</v>
      </c>
      <c r="C164" t="str">
        <f>IF('Casos de Prueba'!B157&lt;&gt;0,'Casos de Prueba'!B157&amp;"-"&amp;'Casos de Prueba'!C157:E157,"")</f>
        <v/>
      </c>
      <c r="D164">
        <f>IF(LEN($C164)&gt;0,"",'Casos de Prueba'!D157)</f>
        <v>5</v>
      </c>
      <c r="E164" t="str">
        <f>IF(LEN($C164)&gt;0,"",'Casos de Prueba'!E157)</f>
        <v>Se da clic en el botón "Consultar Incidentes"</v>
      </c>
      <c r="F164" t="str">
        <f>IF(LEN($C164)&gt;0,"",'Casos de Prueba'!F157&amp;CHAR(10)&amp;'Casos de Prueba'!G157)</f>
        <v xml:space="preserve">El servicio inhabilita la sección de Fecha Inicial y Final de Recepción.
El sistema deberá mostrar en una tabla los resultados obtenidos de la consulta:
• RFC del PAC
• Nombre o Razón Social
• Evento
• Mensaje
• Total
• Detalle (Boton)
</v>
      </c>
    </row>
    <row r="165" spans="1:6" x14ac:dyDescent="0.35">
      <c r="A165">
        <f t="shared" si="8"/>
        <v>62</v>
      </c>
      <c r="B165">
        <f t="shared" si="9"/>
        <v>568</v>
      </c>
      <c r="C165" t="str">
        <f>IF('Casos de Prueba'!B158&lt;&gt;0,'Casos de Prueba'!B158&amp;"-"&amp;'Casos de Prueba'!C158:E158,"")</f>
        <v/>
      </c>
      <c r="D165">
        <f>IF(LEN($C165)&gt;0,"",'Casos de Prueba'!D158)</f>
        <v>6</v>
      </c>
      <c r="E165" t="str">
        <f>IF(LEN($C165)&gt;0,"",'Casos de Prueba'!E158)</f>
        <v>Selecciona el registro y dar clic en el boton de "Ver detalle"</v>
      </c>
      <c r="F165" t="str">
        <f>IF(LEN($C165)&gt;0,"",'Casos de Prueba'!F158&amp;CHAR(10)&amp;'Casos de Prueba'!G158)</f>
        <v xml:space="preserve">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v>
      </c>
    </row>
    <row r="166" spans="1:6" x14ac:dyDescent="0.35">
      <c r="A166">
        <f t="shared" si="8"/>
        <v>49</v>
      </c>
      <c r="B166">
        <f t="shared" si="9"/>
        <v>323</v>
      </c>
      <c r="C166" t="str">
        <f>IF('Casos de Prueba'!B159&lt;&gt;0,'Casos de Prueba'!B159&amp;"-"&amp;'Casos de Prueba'!C159:E159,"")</f>
        <v/>
      </c>
      <c r="D166">
        <f>IF(LEN($C166)&gt;0,"",'Casos de Prueba'!D159)</f>
        <v>7</v>
      </c>
      <c r="E166" t="str">
        <f>IF(LEN($C166)&gt;0,"",'Casos de Prueba'!E159)</f>
        <v>Dar clic en el botón "Exportar Resultados a JSON"</v>
      </c>
      <c r="F166" t="str">
        <f>IF(LEN($C166)&gt;0,"",'Casos de Prueba'!F159&amp;CHAR(10)&amp;'Casos de Prueba'!G159)</f>
        <v xml:space="preserve">Al seleccionar este botón se debe generar una petición de descarga para los registros de incidentes que se muestran en la ventana ‘Detalle de Consulta’ en formato JSON.
•Máximo 100 registros de incidencias. 
Al seleccionar el botón ‘Exportar Detalle a JSON se debe mostrar que el JSON se encuentra en proceso de descarga.
</v>
      </c>
    </row>
    <row r="167" spans="1:6" x14ac:dyDescent="0.35">
      <c r="A167">
        <f t="shared" si="8"/>
        <v>16</v>
      </c>
      <c r="B167">
        <f t="shared" si="9"/>
        <v>37</v>
      </c>
      <c r="C167" t="str">
        <f>IF('Casos de Prueba'!B160&lt;&gt;0,'Casos de Prueba'!B160&amp;"-"&amp;'Casos de Prueba'!C160:E160,"")</f>
        <v/>
      </c>
      <c r="D167">
        <f>IF(LEN($C167)&gt;0,"",'Casos de Prueba'!D160)</f>
        <v>8</v>
      </c>
      <c r="E167" t="str">
        <f>IF(LEN($C167)&gt;0,"",'Casos de Prueba'!E160)</f>
        <v>Da clic en Salir</v>
      </c>
      <c r="F167" t="str">
        <f>IF(LEN($C167)&gt;0,"",'Casos de Prueba'!F160&amp;CHAR(10)&amp;'Casos de Prueba'!G160)</f>
        <v>Cierra la sesión del RFC
Fin del caso</v>
      </c>
    </row>
    <row r="168" spans="1:6" x14ac:dyDescent="0.35">
      <c r="A168">
        <f t="shared" si="8"/>
        <v>0</v>
      </c>
      <c r="B168">
        <f t="shared" si="9"/>
        <v>0</v>
      </c>
      <c r="C168" t="str">
        <f>IF('Casos de Prueba'!B161&lt;&gt;0,'Casos de Prueba'!B161&amp;"-"&amp;'Casos de Prueba'!C161:E161,"")</f>
        <v>CP22-/Retenciones/FechaConsulta</v>
      </c>
      <c r="D168" t="str">
        <f>IF(LEN($C168)&gt;0,"",'Casos de Prueba'!D161)</f>
        <v/>
      </c>
      <c r="E168" t="str">
        <f>IF(LEN($C168)&gt;0,"",'Casos de Prueba'!E161)</f>
        <v/>
      </c>
      <c r="F168" t="str">
        <f>IF(LEN($C168)&gt;0,"",'Casos de Prueba'!F161&amp;CHAR(10)&amp;'Casos de Prueba'!G161)</f>
        <v/>
      </c>
    </row>
    <row r="169" spans="1:6" x14ac:dyDescent="0.35">
      <c r="A169">
        <f t="shared" si="8"/>
        <v>40</v>
      </c>
      <c r="B169">
        <f t="shared" si="9"/>
        <v>460</v>
      </c>
      <c r="C169" t="str">
        <f>IF('Casos de Prueba'!B162&lt;&gt;0,'Casos de Prueba'!B162&amp;"-"&amp;'Casos de Prueba'!C162:E162,"")</f>
        <v/>
      </c>
      <c r="D169">
        <f>IF(LEN($C169)&gt;0,"",'Casos de Prueba'!D162)</f>
        <v>1</v>
      </c>
      <c r="E169" t="str">
        <f>IF(LEN($C169)&gt;0,"",'Casos de Prueba'!E162)</f>
        <v>PAC ingresa al Portal Contribuyente CFDI</v>
      </c>
      <c r="F169" t="str">
        <f>IF(LEN($C169)&gt;0,"",'Casos de Prueba'!F162&amp;CHAR(10)&amp;'Casos de Prueba'!G162)</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uno o más comprobantes Fiscal CFDI Retenciones versión 2.0</v>
      </c>
    </row>
    <row r="170" spans="1:6" x14ac:dyDescent="0.35">
      <c r="A170">
        <f t="shared" si="8"/>
        <v>49</v>
      </c>
      <c r="B170">
        <f t="shared" si="9"/>
        <v>710</v>
      </c>
      <c r="C170" t="str">
        <f>IF('Casos de Prueba'!B163&lt;&gt;0,'Casos de Prueba'!B163&amp;"-"&amp;'Casos de Prueba'!C163:E163,"")</f>
        <v/>
      </c>
      <c r="D170">
        <f>IF(LEN($C170)&gt;0,"",'Casos de Prueba'!D163)</f>
        <v>2</v>
      </c>
      <c r="E170" t="str">
        <f>IF(LEN($C170)&gt;0,"",'Casos de Prueba'!E163)</f>
        <v>Da clic en "Consulta Incidentes CFDI Retenciones"</v>
      </c>
      <c r="F170" t="str">
        <f>IF(LEN($C170)&gt;0,"",'Casos de Prueba'!F163&amp;CHAR(10)&amp;'Casos de Prueba'!G164)</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2.0)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
      </c>
    </row>
    <row r="171" spans="1:6" x14ac:dyDescent="0.35">
      <c r="A171">
        <f t="shared" si="8"/>
        <v>75</v>
      </c>
      <c r="B171" t="e">
        <f t="shared" si="9"/>
        <v>#REF!</v>
      </c>
      <c r="C171" t="str">
        <f>IF('Casos de Prueba'!B164&lt;&gt;0,'Casos de Prueba'!B164&amp;"-"&amp;'Casos de Prueba'!C164:E164,"")</f>
        <v/>
      </c>
      <c r="D171">
        <f>IF(LEN($C171)&gt;0,"",'Casos de Prueba'!D164)</f>
        <v>3</v>
      </c>
      <c r="E171" t="str">
        <f>IF(LEN($C171)&gt;0,"",'Casos de Prueba'!E164)</f>
        <v>Selecciona en el campo "Tipo de Consulta":
Incidentes Servicio de Recepción</v>
      </c>
      <c r="F171" t="e">
        <f>IF(LEN($C171)&gt;0,"",'Casos de Prueba'!F164&amp;CHAR(10)&amp;'Casos de Prueba'!#REF!)</f>
        <v>#REF!</v>
      </c>
    </row>
    <row r="172" spans="1:6" x14ac:dyDescent="0.35">
      <c r="A172">
        <f t="shared" si="8"/>
        <v>216</v>
      </c>
      <c r="B172">
        <f t="shared" si="9"/>
        <v>409</v>
      </c>
      <c r="C172" t="str">
        <f>IF('Casos de Prueba'!B165&lt;&gt;0,'Casos de Prueba'!B165&amp;"-"&amp;'Casos de Prueba'!C165:E165,"")</f>
        <v/>
      </c>
      <c r="D172">
        <f>IF(LEN($C172)&gt;0,"",'Casos de Prueba'!D165)</f>
        <v>4</v>
      </c>
      <c r="E172" t="str">
        <f>IF(LEN($C172)&gt;0,"",'Casos de Prueba'!E165)</f>
        <v xml:space="preserve">Seleccionar la opcion Por Fechas y agregar los valores:
Campo Fecha Inicial de Recepción*
Campo Fecha Final de Recepción.*
Los campos marcados con (*) son obligatorios
Dar clic en el botón "Consultar Incidentes".
</v>
      </c>
      <c r="F172" t="str">
        <f>IF(LEN($C172)&gt;0,"",'Casos de Prueba'!F165&amp;CHAR(10)&amp;'Casos de Prueba'!G165)</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Campo "Versión del comprobante" por default tiene el valor 2.0 </v>
      </c>
    </row>
    <row r="173" spans="1:6" x14ac:dyDescent="0.35">
      <c r="A173">
        <f t="shared" si="8"/>
        <v>16</v>
      </c>
      <c r="B173">
        <f t="shared" si="9"/>
        <v>37</v>
      </c>
      <c r="C173" t="str">
        <f>IF('Casos de Prueba'!B166&lt;&gt;0,'Casos de Prueba'!B166&amp;"-"&amp;'Casos de Prueba'!C166:E166,"")</f>
        <v/>
      </c>
      <c r="D173">
        <f>IF(LEN($C173)&gt;0,"",'Casos de Prueba'!D166)</f>
        <v>5</v>
      </c>
      <c r="E173" t="str">
        <f>IF(LEN($C173)&gt;0,"",'Casos de Prueba'!E166)</f>
        <v>Da clic en Salir</v>
      </c>
      <c r="F173" t="str">
        <f>IF(LEN($C173)&gt;0,"",'Casos de Prueba'!F166&amp;CHAR(10)&amp;'Casos de Prueba'!G166)</f>
        <v>Cierra la sesión del RFC
Fin del caso</v>
      </c>
    </row>
    <row r="174" spans="1:6" x14ac:dyDescent="0.35">
      <c r="A174">
        <f t="shared" si="8"/>
        <v>0</v>
      </c>
      <c r="B174">
        <f t="shared" si="9"/>
        <v>0</v>
      </c>
      <c r="C174" t="str">
        <f>IF('Casos de Prueba'!B167&lt;&gt;0,'Casos de Prueba'!B167&amp;"-"&amp;'Casos de Prueba'!C167:E167,"")</f>
        <v>CP23-/Retenciones/FechaMsgErrorConsultaRangoFecha</v>
      </c>
      <c r="D174" t="str">
        <f>IF(LEN($C174)&gt;0,"",'Casos de Prueba'!D167)</f>
        <v/>
      </c>
      <c r="E174" t="str">
        <f>IF(LEN($C174)&gt;0,"",'Casos de Prueba'!E167)</f>
        <v/>
      </c>
      <c r="F174" t="str">
        <f>IF(LEN($C174)&gt;0,"",'Casos de Prueba'!F167&amp;CHAR(10)&amp;'Casos de Prueba'!G167)</f>
        <v/>
      </c>
    </row>
    <row r="175" spans="1:6" x14ac:dyDescent="0.35">
      <c r="A175">
        <f t="shared" si="8"/>
        <v>40</v>
      </c>
      <c r="B175">
        <f t="shared" si="9"/>
        <v>412</v>
      </c>
      <c r="C175" t="str">
        <f>IF('Casos de Prueba'!B168&lt;&gt;0,'Casos de Prueba'!B168&amp;"-"&amp;'Casos de Prueba'!C168:E168,"")</f>
        <v/>
      </c>
      <c r="D175">
        <f>IF(LEN($C175)&gt;0,"",'Casos de Prueba'!D168)</f>
        <v>1</v>
      </c>
      <c r="E175" t="str">
        <f>IF(LEN($C175)&gt;0,"",'Casos de Prueba'!E168)</f>
        <v>PAC ingresa al Portal Contribuyente CFDI</v>
      </c>
      <c r="F175" t="str">
        <f>IF(LEN($C175)&gt;0,"",'Casos de Prueba'!F168&amp;CHAR(10)&amp;'Casos de Prueba'!G168)</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Comprobante Fiscal CFDI Retenciones versión 2.0</v>
      </c>
    </row>
    <row r="176" spans="1:6" x14ac:dyDescent="0.35">
      <c r="A176">
        <f t="shared" si="8"/>
        <v>49</v>
      </c>
      <c r="B176">
        <f t="shared" si="9"/>
        <v>321</v>
      </c>
      <c r="C176" t="str">
        <f>IF('Casos de Prueba'!B169&lt;&gt;0,'Casos de Prueba'!B169&amp;"-"&amp;'Casos de Prueba'!C169:E169,"")</f>
        <v/>
      </c>
      <c r="D176">
        <f>IF(LEN($C176)&gt;0,"",'Casos de Prueba'!D169)</f>
        <v>2</v>
      </c>
      <c r="E176" t="str">
        <f>IF(LEN($C176)&gt;0,"",'Casos de Prueba'!E169)</f>
        <v>Da clic en "Consulta incidentes CFDI Retenciones"</v>
      </c>
      <c r="F176" t="str">
        <f>IF(LEN($C176)&gt;0,"",'Casos de Prueba'!F169&amp;CHAR(10)&amp;'Casos de Prueba'!G169)</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2.0)
Botón "Consultar Incidentes"
</v>
      </c>
    </row>
    <row r="177" spans="1:6" x14ac:dyDescent="0.35">
      <c r="A177">
        <f t="shared" si="8"/>
        <v>75</v>
      </c>
      <c r="B177">
        <f t="shared" si="9"/>
        <v>770</v>
      </c>
      <c r="C177" t="str">
        <f>IF('Casos de Prueba'!B170&lt;&gt;0,'Casos de Prueba'!B170&amp;"-"&amp;'Casos de Prueba'!C170:E170,"")</f>
        <v/>
      </c>
      <c r="D177">
        <f>IF(LEN($C177)&gt;0,"",'Casos de Prueba'!D170)</f>
        <v>3</v>
      </c>
      <c r="E177" t="str">
        <f>IF(LEN($C177)&gt;0,"",'Casos de Prueba'!E170)</f>
        <v>Selecciona en el campo "Tipo de Consulta":
Incidentes Servicio de Recepción</v>
      </c>
      <c r="F177" t="str">
        <f>IF(LEN($C177)&gt;0,"",'Casos de Prueba'!F170&amp;CHAR(10)&amp;'Casos de Prueba'!G170)</f>
        <v xml:space="preserve">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
      </c>
    </row>
    <row r="178" spans="1:6" x14ac:dyDescent="0.35">
      <c r="A178">
        <f t="shared" si="8"/>
        <v>216</v>
      </c>
      <c r="B178">
        <f t="shared" si="9"/>
        <v>321</v>
      </c>
      <c r="C178" t="str">
        <f>IF('Casos de Prueba'!B171&lt;&gt;0,'Casos de Prueba'!B171&amp;"-"&amp;'Casos de Prueba'!C171:E171,"")</f>
        <v/>
      </c>
      <c r="D178">
        <f>IF(LEN($C178)&gt;0,"",'Casos de Prueba'!D171)</f>
        <v>4</v>
      </c>
      <c r="E178" t="str">
        <f>IF(LEN($C178)&gt;0,"",'Casos de Prueba'!E171)</f>
        <v xml:space="preserve">Seleccionar la opcion Por Fechas y agregar los valores:
Campo Fecha Inicial de Recepción*
Campo Fecha Final de Recepción.*
Los campos marcados con (*) son obligatorios
Dar clic en el botón "Consultar Incidentes".
</v>
      </c>
      <c r="F178" t="str">
        <f>IF(LEN($C178)&gt;0,"",'Casos de Prueba'!F171&amp;CHAR(10)&amp;'Casos de Prueba'!G171)</f>
        <v xml:space="preserve">Cuando se ingrese un rango de fechas mayor a un mes y se seleccione el botón “Consultar Incidentes”, el aplicativo deberá mostrar el siguiente mensaje de error: 
•	“ERROR: La consulta no debe ser mayor a un mes”.
Importante mencionar que, el resultado se debe agrupar por tipo de error y presentarse de forma general, 
</v>
      </c>
    </row>
    <row r="179" spans="1:6" x14ac:dyDescent="0.35">
      <c r="A179">
        <f t="shared" si="8"/>
        <v>16</v>
      </c>
      <c r="B179">
        <f t="shared" si="9"/>
        <v>37</v>
      </c>
      <c r="C179" t="str">
        <f>IF('Casos de Prueba'!B172&lt;&gt;0,'Casos de Prueba'!B172&amp;"-"&amp;'Casos de Prueba'!C172:E172,"")</f>
        <v/>
      </c>
      <c r="D179">
        <f>IF(LEN($C179)&gt;0,"",'Casos de Prueba'!D172)</f>
        <v>5</v>
      </c>
      <c r="E179" t="str">
        <f>IF(LEN($C179)&gt;0,"",'Casos de Prueba'!E172)</f>
        <v>Da clic en Salir</v>
      </c>
      <c r="F179" t="str">
        <f>IF(LEN($C179)&gt;0,"",'Casos de Prueba'!F172&amp;CHAR(10)&amp;'Casos de Prueba'!G172)</f>
        <v>Cierra la sesión del RFC
Fin del caso</v>
      </c>
    </row>
    <row r="180" spans="1:6" x14ac:dyDescent="0.35">
      <c r="A180" t="e">
        <f t="shared" si="8"/>
        <v>#REF!</v>
      </c>
      <c r="B180" t="e">
        <f t="shared" si="9"/>
        <v>#REF!</v>
      </c>
      <c r="C180" t="e">
        <f>IF('Casos de Prueba'!#REF!&lt;&gt;0,'Casos de Prueba'!#REF!&amp;"-"&amp;_xlfn.SINGLE('Casos de Prueba'!#REF!),"")</f>
        <v>#REF!</v>
      </c>
      <c r="D180" t="e">
        <f>IF(LEN($C180)&gt;0,"",'Casos de Prueba'!#REF!)</f>
        <v>#REF!</v>
      </c>
      <c r="E180" t="e">
        <f>IF(LEN($C180)&gt;0,"",'Casos de Prueba'!#REF!)</f>
        <v>#REF!</v>
      </c>
      <c r="F180" t="e">
        <f>IF(LEN($C180)&gt;0,"",'Casos de Prueba'!#REF!&amp;CHAR(10)&amp;'Casos de Prueba'!#REF!)</f>
        <v>#REF!</v>
      </c>
    </row>
    <row r="181" spans="1:6" x14ac:dyDescent="0.35">
      <c r="A181" t="e">
        <f t="shared" ref="A181:A210" si="10">LEN(E181)</f>
        <v>#REF!</v>
      </c>
      <c r="B181" t="e">
        <f t="shared" ref="B181:B210" si="11">LEN(F181)</f>
        <v>#REF!</v>
      </c>
      <c r="C181" t="e">
        <f>IF('Casos de Prueba'!#REF!&lt;&gt;0,'Casos de Prueba'!#REF!&amp;"-"&amp;_xlfn.SINGLE('Casos de Prueba'!#REF!),"")</f>
        <v>#REF!</v>
      </c>
      <c r="D181" t="e">
        <f>IF(LEN($C181)&gt;0,"",'Casos de Prueba'!#REF!)</f>
        <v>#REF!</v>
      </c>
      <c r="E181" t="e">
        <f>IF(LEN($C181)&gt;0,"",'Casos de Prueba'!#REF!)</f>
        <v>#REF!</v>
      </c>
      <c r="F181" t="e">
        <f>IF(LEN($C181)&gt;0,"",'Casos de Prueba'!#REF!&amp;CHAR(10)&amp;'Casos de Prueba'!#REF!)</f>
        <v>#REF!</v>
      </c>
    </row>
    <row r="182" spans="1:6" x14ac:dyDescent="0.35">
      <c r="A182" t="e">
        <f t="shared" si="10"/>
        <v>#REF!</v>
      </c>
      <c r="B182" t="e">
        <f t="shared" si="11"/>
        <v>#REF!</v>
      </c>
      <c r="C182" t="e">
        <f>IF('Casos de Prueba'!#REF!&lt;&gt;0,'Casos de Prueba'!#REF!&amp;"-"&amp;_xlfn.SINGLE('Casos de Prueba'!#REF!),"")</f>
        <v>#REF!</v>
      </c>
      <c r="D182" t="e">
        <f>IF(LEN($C182)&gt;0,"",'Casos de Prueba'!#REF!)</f>
        <v>#REF!</v>
      </c>
      <c r="E182" t="e">
        <f>IF(LEN($C182)&gt;0,"",'Casos de Prueba'!#REF!)</f>
        <v>#REF!</v>
      </c>
      <c r="F182" t="e">
        <f>IF(LEN($C182)&gt;0,"",'Casos de Prueba'!#REF!&amp;CHAR(10)&amp;'Casos de Prueba'!#REF!)</f>
        <v>#REF!</v>
      </c>
    </row>
    <row r="183" spans="1:6" x14ac:dyDescent="0.35">
      <c r="A183" t="e">
        <f t="shared" si="10"/>
        <v>#REF!</v>
      </c>
      <c r="B183" t="e">
        <f t="shared" si="11"/>
        <v>#REF!</v>
      </c>
      <c r="C183" t="e">
        <f>IF('Casos de Prueba'!#REF!&lt;&gt;0,'Casos de Prueba'!#REF!&amp;"-"&amp;_xlfn.SINGLE('Casos de Prueba'!#REF!),"")</f>
        <v>#REF!</v>
      </c>
      <c r="D183" t="e">
        <f>IF(LEN($C183)&gt;0,"",'Casos de Prueba'!#REF!)</f>
        <v>#REF!</v>
      </c>
      <c r="E183" t="e">
        <f>IF(LEN($C183)&gt;0,"",'Casos de Prueba'!#REF!)</f>
        <v>#REF!</v>
      </c>
      <c r="F183" t="e">
        <f>IF(LEN($C183)&gt;0,"",'Casos de Prueba'!#REF!&amp;CHAR(10)&amp;'Casos de Prueba'!#REF!)</f>
        <v>#REF!</v>
      </c>
    </row>
    <row r="184" spans="1:6" x14ac:dyDescent="0.35">
      <c r="A184" t="e">
        <f t="shared" si="10"/>
        <v>#REF!</v>
      </c>
      <c r="B184" t="e">
        <f t="shared" si="11"/>
        <v>#REF!</v>
      </c>
      <c r="C184" t="e">
        <f>IF('Casos de Prueba'!#REF!&lt;&gt;0,'Casos de Prueba'!#REF!&amp;"-"&amp;_xlfn.SINGLE('Casos de Prueba'!#REF!),"")</f>
        <v>#REF!</v>
      </c>
      <c r="D184" t="e">
        <f>IF(LEN($C184)&gt;0,"",'Casos de Prueba'!#REF!)</f>
        <v>#REF!</v>
      </c>
      <c r="E184" t="e">
        <f>IF(LEN($C184)&gt;0,"",'Casos de Prueba'!#REF!)</f>
        <v>#REF!</v>
      </c>
      <c r="F184" t="e">
        <f>IF(LEN($C184)&gt;0,"",'Casos de Prueba'!#REF!&amp;CHAR(10)&amp;'Casos de Prueba'!#REF!)</f>
        <v>#REF!</v>
      </c>
    </row>
    <row r="185" spans="1:6" x14ac:dyDescent="0.35">
      <c r="A185" t="e">
        <f t="shared" si="10"/>
        <v>#REF!</v>
      </c>
      <c r="B185" t="e">
        <f t="shared" si="11"/>
        <v>#REF!</v>
      </c>
      <c r="C185" t="e">
        <f>IF('Casos de Prueba'!#REF!&lt;&gt;0,'Casos de Prueba'!#REF!&amp;"-"&amp;_xlfn.SINGLE('Casos de Prueba'!#REF!),"")</f>
        <v>#REF!</v>
      </c>
      <c r="D185" t="e">
        <f>IF(LEN($C185)&gt;0,"",'Casos de Prueba'!#REF!)</f>
        <v>#REF!</v>
      </c>
      <c r="E185" t="e">
        <f>IF(LEN($C185)&gt;0,"",'Casos de Prueba'!#REF!)</f>
        <v>#REF!</v>
      </c>
      <c r="F185" t="e">
        <f>IF(LEN($C185)&gt;0,"",'Casos de Prueba'!#REF!&amp;CHAR(10)&amp;'Casos de Prueba'!#REF!)</f>
        <v>#REF!</v>
      </c>
    </row>
    <row r="186" spans="1:6" x14ac:dyDescent="0.35">
      <c r="A186">
        <f t="shared" si="10"/>
        <v>0</v>
      </c>
      <c r="B186">
        <f t="shared" si="11"/>
        <v>0</v>
      </c>
      <c r="C186" t="str">
        <f>IF('Casos de Prueba'!B173&lt;&gt;0,'Casos de Prueba'!B173&amp;"-"&amp;'Casos de Prueba'!C173:E173,"")</f>
        <v>CP24-/Retenciones/FechaExportarPDF</v>
      </c>
      <c r="D186" t="str">
        <f>IF(LEN($C186)&gt;0,"",'Casos de Prueba'!D173)</f>
        <v/>
      </c>
      <c r="E186" t="str">
        <f>IF(LEN($C186)&gt;0,"",'Casos de Prueba'!E173)</f>
        <v/>
      </c>
      <c r="F186" t="str">
        <f>IF(LEN($C186)&gt;0,"",'Casos de Prueba'!F173&amp;CHAR(10)&amp;'Casos de Prueba'!G173)</f>
        <v/>
      </c>
    </row>
    <row r="187" spans="1:6" x14ac:dyDescent="0.35">
      <c r="A187">
        <f t="shared" si="10"/>
        <v>40</v>
      </c>
      <c r="B187">
        <f t="shared" si="11"/>
        <v>460</v>
      </c>
      <c r="C187" t="str">
        <f>IF('Casos de Prueba'!B174&lt;&gt;0,'Casos de Prueba'!B174&amp;"-"&amp;'Casos de Prueba'!C174:E174,"")</f>
        <v/>
      </c>
      <c r="D187">
        <f>IF(LEN($C187)&gt;0,"",'Casos de Prueba'!D174)</f>
        <v>1</v>
      </c>
      <c r="E187" t="str">
        <f>IF(LEN($C187)&gt;0,"",'Casos de Prueba'!E174)</f>
        <v>PAC ingresa al Portal Contribuyente CFDI</v>
      </c>
      <c r="F187" t="str">
        <f>IF(LEN($C187)&gt;0,"",'Casos de Prueba'!F174&amp;CHAR(10)&amp;'Casos de Prueba'!G174)</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uno o más comprobantes Fiscal CFDI Retenciones versión 2.0</v>
      </c>
    </row>
    <row r="188" spans="1:6" x14ac:dyDescent="0.35">
      <c r="A188">
        <f t="shared" si="10"/>
        <v>49</v>
      </c>
      <c r="B188">
        <f t="shared" si="11"/>
        <v>321</v>
      </c>
      <c r="C188" t="str">
        <f>IF('Casos de Prueba'!B175&lt;&gt;0,'Casos de Prueba'!B175&amp;"-"&amp;'Casos de Prueba'!C175:E175,"")</f>
        <v/>
      </c>
      <c r="D188">
        <f>IF(LEN($C188)&gt;0,"",'Casos de Prueba'!D175)</f>
        <v>2</v>
      </c>
      <c r="E188" t="str">
        <f>IF(LEN($C188)&gt;0,"",'Casos de Prueba'!E175)</f>
        <v>Da clic en "Consulta Incidentes CFDI Retenciones"</v>
      </c>
      <c r="F188" t="str">
        <f>IF(LEN($C188)&gt;0,"",'Casos de Prueba'!F175&amp;CHAR(10)&amp;'Casos de Prueba'!G175)</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2.0)
Botón "Consultar Incidentes"
</v>
      </c>
    </row>
    <row r="189" spans="1:6" x14ac:dyDescent="0.35">
      <c r="A189">
        <f t="shared" si="10"/>
        <v>75</v>
      </c>
      <c r="B189">
        <f t="shared" si="11"/>
        <v>795</v>
      </c>
      <c r="C189" t="str">
        <f>IF('Casos de Prueba'!B176&lt;&gt;0,'Casos de Prueba'!B176&amp;"-"&amp;'Casos de Prueba'!C176:E176,"")</f>
        <v/>
      </c>
      <c r="D189">
        <f>IF(LEN($C189)&gt;0,"",'Casos de Prueba'!D176)</f>
        <v>3</v>
      </c>
      <c r="E189" t="str">
        <f>IF(LEN($C189)&gt;0,"",'Casos de Prueba'!E176)</f>
        <v>Selecciona en el campo "Tipo de Consulta":
Incidentes Servicio de Recepción</v>
      </c>
      <c r="F189" t="str">
        <f>IF(LEN($C189)&gt;0,"",'Casos de Prueba'!F176&amp;CHAR(10)&amp;'Casos de Prueba'!G176)</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v>
      </c>
    </row>
    <row r="190" spans="1:6" x14ac:dyDescent="0.35">
      <c r="A190">
        <f t="shared" si="10"/>
        <v>216</v>
      </c>
      <c r="B190">
        <f t="shared" si="11"/>
        <v>346</v>
      </c>
      <c r="C190" t="str">
        <f>IF('Casos de Prueba'!B177&lt;&gt;0,'Casos de Prueba'!B177&amp;"-"&amp;'Casos de Prueba'!C177:E177,"")</f>
        <v/>
      </c>
      <c r="D190">
        <f>IF(LEN($C190)&gt;0,"",'Casos de Prueba'!D177)</f>
        <v>4</v>
      </c>
      <c r="E190" t="str">
        <f>IF(LEN($C190)&gt;0,"",'Casos de Prueba'!E177)</f>
        <v xml:space="preserve">Seleccionar la opcion Por Fechas y agregar los valores:
Campo Fecha Inicial de Recepción*
Campo Fecha Final de Recepción.*
Los campos marcados con (*) son obligatorios
Dar clic en el botón "Consultar Incidentes".
</v>
      </c>
      <c r="F190" t="str">
        <f>IF(LEN($C190)&gt;0,"",'Casos de Prueba'!F177&amp;CHAR(10)&amp;'Casos de Prueba'!G177)</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191" spans="1:6" x14ac:dyDescent="0.35">
      <c r="A191">
        <f t="shared" si="10"/>
        <v>87</v>
      </c>
      <c r="B191">
        <f t="shared" si="11"/>
        <v>701</v>
      </c>
      <c r="C191" t="str">
        <f>IF('Casos de Prueba'!B178&lt;&gt;0,'Casos de Prueba'!B178&amp;"-"&amp;'Casos de Prueba'!C178:E178,"")</f>
        <v/>
      </c>
      <c r="D191">
        <f>IF(LEN($C191)&gt;0,"",'Casos de Prueba'!D178)</f>
        <v>5</v>
      </c>
      <c r="E191" t="str">
        <f>IF(LEN($C191)&gt;0,"",'Casos de Prueba'!E178)</f>
        <v>De los resultados, se selecciona un registro y se da clic en el boton de "Ver detalle".</v>
      </c>
      <c r="F191" t="str">
        <f>IF(LEN($C191)&gt;0,"",'Casos de Prueba'!F178&amp;CHAR(10)&amp;'Casos de Prueba'!G178)</f>
        <v>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v>
      </c>
    </row>
    <row r="192" spans="1:6" x14ac:dyDescent="0.35">
      <c r="A192">
        <f t="shared" si="10"/>
        <v>45</v>
      </c>
      <c r="B192">
        <f t="shared" si="11"/>
        <v>323</v>
      </c>
      <c r="C192" t="str">
        <f>IF('Casos de Prueba'!B179&lt;&gt;0,'Casos de Prueba'!B179&amp;"-"&amp;'Casos de Prueba'!C179:E179,"")</f>
        <v/>
      </c>
      <c r="D192">
        <f>IF(LEN($C192)&gt;0,"",'Casos de Prueba'!D179)</f>
        <v>6</v>
      </c>
      <c r="E192" t="str">
        <f>IF(LEN($C192)&gt;0,"",'Casos de Prueba'!E179)</f>
        <v>Dar clic en el botón "Exportar Detalle a PDF"</v>
      </c>
      <c r="F192" t="str">
        <f>IF(LEN($C192)&gt;0,"",'Casos de Prueba'!F179&amp;CHAR(10)&amp;'Casos de Prueba'!G179)</f>
        <v xml:space="preserve">Al seleccionar este botón se debe generar una petición de descarga para los registros de incidentes que se muestran en la ventana ‘Detalle de Consulta’ en formato JSON.
A.	Máximo 100 registros de incidencias. 
Al seleccionar el botón ‘Exportar Detalle a PDF se debe mostrar que el PDF se encuentra en proceso de descarga.
</v>
      </c>
    </row>
    <row r="193" spans="1:6" x14ac:dyDescent="0.35">
      <c r="A193">
        <f t="shared" si="10"/>
        <v>16</v>
      </c>
      <c r="B193">
        <f t="shared" si="11"/>
        <v>37</v>
      </c>
      <c r="C193" t="str">
        <f>IF('Casos de Prueba'!B180&lt;&gt;0,'Casos de Prueba'!B180&amp;"-"&amp;'Casos de Prueba'!C180:E180,"")</f>
        <v/>
      </c>
      <c r="D193">
        <f>IF(LEN($C193)&gt;0,"",'Casos de Prueba'!D180)</f>
        <v>7</v>
      </c>
      <c r="E193" t="str">
        <f>IF(LEN($C193)&gt;0,"",'Casos de Prueba'!E180)</f>
        <v>Da clic en Salir</v>
      </c>
      <c r="F193" t="str">
        <f>IF(LEN($C193)&gt;0,"",'Casos de Prueba'!F180&amp;CHAR(10)&amp;'Casos de Prueba'!G180)</f>
        <v>Cierra la sesión del RFC
Fin del caso</v>
      </c>
    </row>
    <row r="194" spans="1:6" x14ac:dyDescent="0.35">
      <c r="A194">
        <f t="shared" si="10"/>
        <v>0</v>
      </c>
      <c r="B194">
        <f t="shared" si="11"/>
        <v>0</v>
      </c>
      <c r="C194" t="str">
        <f>IF('Casos de Prueba'!B181&lt;&gt;0,'Casos de Prueba'!B181&amp;"-"&amp;'Casos de Prueba'!C181:E181,"")</f>
        <v>CP25-/Retenciones/FechaExportarJSON</v>
      </c>
      <c r="D194" t="str">
        <f>IF(LEN($C194)&gt;0,"",'Casos de Prueba'!D181)</f>
        <v/>
      </c>
      <c r="E194" t="str">
        <f>IF(LEN($C194)&gt;0,"",'Casos de Prueba'!E181)</f>
        <v/>
      </c>
      <c r="F194" t="str">
        <f>IF(LEN($C194)&gt;0,"",'Casos de Prueba'!F181&amp;CHAR(10)&amp;'Casos de Prueba'!G181)</f>
        <v/>
      </c>
    </row>
    <row r="195" spans="1:6" x14ac:dyDescent="0.35">
      <c r="A195">
        <f t="shared" si="10"/>
        <v>40</v>
      </c>
      <c r="B195">
        <f t="shared" si="11"/>
        <v>460</v>
      </c>
      <c r="C195" t="str">
        <f>IF('Casos de Prueba'!B182&lt;&gt;0,'Casos de Prueba'!B182&amp;"-"&amp;'Casos de Prueba'!C182:E182,"")</f>
        <v/>
      </c>
      <c r="D195">
        <f>IF(LEN($C195)&gt;0,"",'Casos de Prueba'!D182)</f>
        <v>1</v>
      </c>
      <c r="E195" t="str">
        <f>IF(LEN($C195)&gt;0,"",'Casos de Prueba'!E182)</f>
        <v>PAC ingresa al Portal Contribuyente CFDI</v>
      </c>
      <c r="F195" t="str">
        <f>IF(LEN($C195)&gt;0,"",'Casos de Prueba'!F182&amp;CHAR(10)&amp;'Casos de Prueba'!G182)</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uno o más comprobantes Fiscal CFDI Retenciones versión 2.0</v>
      </c>
    </row>
    <row r="196" spans="1:6" x14ac:dyDescent="0.35">
      <c r="A196">
        <f t="shared" si="10"/>
        <v>49</v>
      </c>
      <c r="B196">
        <f t="shared" si="11"/>
        <v>321</v>
      </c>
      <c r="C196" t="str">
        <f>IF('Casos de Prueba'!B183&lt;&gt;0,'Casos de Prueba'!B183&amp;"-"&amp;'Casos de Prueba'!C183:E183,"")</f>
        <v/>
      </c>
      <c r="D196">
        <f>IF(LEN($C196)&gt;0,"",'Casos de Prueba'!D183)</f>
        <v>2</v>
      </c>
      <c r="E196" t="str">
        <f>IF(LEN($C196)&gt;0,"",'Casos de Prueba'!E183)</f>
        <v>Da clic en "Consulta Incidentes CFDI Retenciones"</v>
      </c>
      <c r="F196" t="str">
        <f>IF(LEN($C196)&gt;0,"",'Casos de Prueba'!F183&amp;CHAR(10)&amp;'Casos de Prueba'!G183)</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2.0)
Botón "Consultar Incidentes"
</v>
      </c>
    </row>
    <row r="197" spans="1:6" x14ac:dyDescent="0.35">
      <c r="A197">
        <f t="shared" si="10"/>
        <v>75</v>
      </c>
      <c r="B197">
        <f t="shared" si="11"/>
        <v>795</v>
      </c>
      <c r="C197" t="str">
        <f>IF('Casos de Prueba'!B184&lt;&gt;0,'Casos de Prueba'!B184&amp;"-"&amp;'Casos de Prueba'!C184:E184,"")</f>
        <v/>
      </c>
      <c r="D197">
        <f>IF(LEN($C197)&gt;0,"",'Casos de Prueba'!D184)</f>
        <v>3</v>
      </c>
      <c r="E197" t="str">
        <f>IF(LEN($C197)&gt;0,"",'Casos de Prueba'!E184)</f>
        <v>Selecciona en el campo "Tipo de Consulta":
Incidentes Servicio de Recepción</v>
      </c>
      <c r="F197" t="str">
        <f>IF(LEN($C197)&gt;0,"",'Casos de Prueba'!F184&amp;CHAR(10)&amp;'Casos de Prueba'!G184)</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v>
      </c>
    </row>
    <row r="198" spans="1:6" x14ac:dyDescent="0.35">
      <c r="A198">
        <f t="shared" si="10"/>
        <v>216</v>
      </c>
      <c r="B198">
        <f t="shared" si="11"/>
        <v>346</v>
      </c>
      <c r="C198" t="str">
        <f>IF('Casos de Prueba'!B185&lt;&gt;0,'Casos de Prueba'!B185&amp;"-"&amp;'Casos de Prueba'!C185:E185,"")</f>
        <v/>
      </c>
      <c r="D198">
        <f>IF(LEN($C198)&gt;0,"",'Casos de Prueba'!D185)</f>
        <v>4</v>
      </c>
      <c r="E198" t="str">
        <f>IF(LEN($C198)&gt;0,"",'Casos de Prueba'!E185)</f>
        <v xml:space="preserve">Seleccionar la opcion Por Fechas y agregar los valores:
Campo Fecha Inicial de Recepción*
Campo Fecha Final de Recepción.*
Los campos marcados con (*) son obligatorios
Dar clic en el botón "Consultar Incidentes".
</v>
      </c>
      <c r="F198" t="str">
        <f>IF(LEN($C198)&gt;0,"",'Casos de Prueba'!F185&amp;CHAR(10)&amp;'Casos de Prueba'!G185)</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199" spans="1:6" x14ac:dyDescent="0.35">
      <c r="A199">
        <f t="shared" si="10"/>
        <v>87</v>
      </c>
      <c r="B199">
        <f t="shared" si="11"/>
        <v>571</v>
      </c>
      <c r="C199" t="str">
        <f>IF('Casos de Prueba'!B186&lt;&gt;0,'Casos de Prueba'!B186&amp;"-"&amp;'Casos de Prueba'!C186:E186,"")</f>
        <v/>
      </c>
      <c r="D199">
        <f>IF(LEN($C199)&gt;0,"",'Casos de Prueba'!D186)</f>
        <v>5</v>
      </c>
      <c r="E199" t="str">
        <f>IF(LEN($C199)&gt;0,"",'Casos de Prueba'!E186)</f>
        <v>De los resultados, se selecciona un registro y se da clic en el boton de "ver detalle".</v>
      </c>
      <c r="F199" t="str">
        <f>IF(LEN($C199)&gt;0,"",'Casos de Prueba'!F186&amp;CHAR(10)&amp;'Casos de Prueba'!G186)</f>
        <v xml:space="preserve">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v>
      </c>
    </row>
    <row r="200" spans="1:6" x14ac:dyDescent="0.35">
      <c r="A200">
        <f t="shared" si="10"/>
        <v>49</v>
      </c>
      <c r="B200">
        <f t="shared" si="11"/>
        <v>325</v>
      </c>
      <c r="C200" t="str">
        <f>IF('Casos de Prueba'!B187&lt;&gt;0,'Casos de Prueba'!B187&amp;"-"&amp;'Casos de Prueba'!C187:E187,"")</f>
        <v/>
      </c>
      <c r="D200">
        <f>IF(LEN($C200)&gt;0,"",'Casos de Prueba'!D187)</f>
        <v>6</v>
      </c>
      <c r="E200" t="str">
        <f>IF(LEN($C200)&gt;0,"",'Casos de Prueba'!E187)</f>
        <v>Dar clic en el botón "Exportar Resultados a JSON"</v>
      </c>
      <c r="F200" t="str">
        <f>IF(LEN($C200)&gt;0,"",'Casos de Prueba'!F187&amp;CHAR(10)&amp;'Casos de Prueba'!G187)</f>
        <v xml:space="preserve">Al seleccionar este botón se debe generar una petición de descarga para los registros de incidentes que se muestran en la ventana ‘Detalle de Consulta’ en formato JSON.
A.	Máximo 100 registros de incidencias. 
Al seleccionar el botón ‘Exportar Detalle a JSON se debe mostrar que el JSON se encuentra en proceso de descarga.
</v>
      </c>
    </row>
    <row r="201" spans="1:6" x14ac:dyDescent="0.35">
      <c r="A201">
        <f t="shared" si="10"/>
        <v>16</v>
      </c>
      <c r="B201">
        <f t="shared" si="11"/>
        <v>37</v>
      </c>
      <c r="C201" t="str">
        <f>IF('Casos de Prueba'!B188&lt;&gt;0,'Casos de Prueba'!B188&amp;"-"&amp;'Casos de Prueba'!C188:E188,"")</f>
        <v/>
      </c>
      <c r="D201">
        <f>IF(LEN($C201)&gt;0,"",'Casos de Prueba'!D188)</f>
        <v>7</v>
      </c>
      <c r="E201" t="str">
        <f>IF(LEN($C201)&gt;0,"",'Casos de Prueba'!E188)</f>
        <v>Da clic en Salir</v>
      </c>
      <c r="F201" t="str">
        <f>IF(LEN($C201)&gt;0,"",'Casos de Prueba'!F188&amp;CHAR(10)&amp;'Casos de Prueba'!G188)</f>
        <v>Cierra la sesión del RFC
Fin del caso</v>
      </c>
    </row>
    <row r="202" spans="1:6" x14ac:dyDescent="0.35">
      <c r="A202">
        <f t="shared" si="10"/>
        <v>0</v>
      </c>
      <c r="B202">
        <f t="shared" si="11"/>
        <v>0</v>
      </c>
      <c r="C202" t="str">
        <f>IF('Casos de Prueba'!B189&lt;&gt;0,'Casos de Prueba'!B189&amp;"-"&amp;'Casos de Prueba'!C189:E189,"")</f>
        <v>CP26-/Recuperar descargas Detalle de consulta de incidencias/Descargar/Sin Peticiones</v>
      </c>
      <c r="D202" t="str">
        <f>IF(LEN($C202)&gt;0,"",'Casos de Prueba'!D189)</f>
        <v/>
      </c>
      <c r="E202" t="str">
        <f>IF(LEN($C202)&gt;0,"",'Casos de Prueba'!E189)</f>
        <v/>
      </c>
      <c r="F202" t="str">
        <f>IF(LEN($C202)&gt;0,"",'Casos de Prueba'!F189&amp;CHAR(10)&amp;'Casos de Prueba'!G189)</f>
        <v/>
      </c>
    </row>
    <row r="203" spans="1:6" x14ac:dyDescent="0.35">
      <c r="A203">
        <f t="shared" si="10"/>
        <v>40</v>
      </c>
      <c r="B203">
        <f t="shared" si="11"/>
        <v>363</v>
      </c>
      <c r="C203" t="str">
        <f>IF('Casos de Prueba'!B190&lt;&gt;0,'Casos de Prueba'!B190&amp;"-"&amp;'Casos de Prueba'!C190:E190,"")</f>
        <v/>
      </c>
      <c r="D203">
        <f>IF(LEN($C203)&gt;0,"",'Casos de Prueba'!D190)</f>
        <v>1</v>
      </c>
      <c r="E203" t="str">
        <f>IF(LEN($C203)&gt;0,"",'Casos de Prueba'!E190)</f>
        <v>PAC ingresa al Portal Contribuyente CFDI</v>
      </c>
      <c r="F203" t="str">
        <f>IF(LEN($C203)&gt;0,"",'Casos de Prueba'!F190&amp;CHAR(10)&amp;'Casos de Prueba'!G190)</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204" spans="1:6" x14ac:dyDescent="0.35">
      <c r="A204">
        <f t="shared" si="10"/>
        <v>68</v>
      </c>
      <c r="B204">
        <f t="shared" si="11"/>
        <v>202</v>
      </c>
      <c r="C204" t="str">
        <f>IF('Casos de Prueba'!B191&lt;&gt;0,'Casos de Prueba'!B191&amp;"-"&amp;'Casos de Prueba'!C191:E191,"")</f>
        <v/>
      </c>
      <c r="D204">
        <f>IF(LEN($C204)&gt;0,"",'Casos de Prueba'!D191)</f>
        <v>2</v>
      </c>
      <c r="E204" t="str">
        <f>IF(LEN($C204)&gt;0,"",'Casos de Prueba'!E191)</f>
        <v>Da clic en "Recuperar descargas Detalle de consulta de incidencias’"</v>
      </c>
      <c r="F204" t="str">
        <f>IF(LEN($C204)&gt;0,"",'Casos de Prueba'!F191&amp;CHAR(10)&amp;'Casos de Prueba'!G191)</f>
        <v xml:space="preserve">El sistema valida si hay peticiones pendientes. En caso de no existir peticiones en proceso deberá arrojar el siguiente mensaje: “No existen registros de descargas desde los últimos 3 días a la fecha.”
</v>
      </c>
    </row>
    <row r="205" spans="1:6" x14ac:dyDescent="0.35">
      <c r="A205">
        <f t="shared" si="10"/>
        <v>16</v>
      </c>
      <c r="B205">
        <f t="shared" si="11"/>
        <v>37</v>
      </c>
      <c r="C205" t="str">
        <f>IF('Casos de Prueba'!B192&lt;&gt;0,'Casos de Prueba'!B192&amp;"-"&amp;'Casos de Prueba'!C192:E192,"")</f>
        <v/>
      </c>
      <c r="D205">
        <f>IF(LEN($C205)&gt;0,"",'Casos de Prueba'!D192)</f>
        <v>3</v>
      </c>
      <c r="E205" t="str">
        <f>IF(LEN($C205)&gt;0,"",'Casos de Prueba'!E192)</f>
        <v>Da clic en Salir</v>
      </c>
      <c r="F205" t="str">
        <f>IF(LEN($C205)&gt;0,"",'Casos de Prueba'!F192&amp;CHAR(10)&amp;'Casos de Prueba'!G192)</f>
        <v>Cierra la sesión del RFC
Fin del caso</v>
      </c>
    </row>
    <row r="206" spans="1:6" x14ac:dyDescent="0.35">
      <c r="A206">
        <f t="shared" si="10"/>
        <v>0</v>
      </c>
      <c r="B206">
        <f t="shared" si="11"/>
        <v>0</v>
      </c>
      <c r="C206" t="str">
        <f>IF('Casos de Prueba'!B193&lt;&gt;0,'Casos de Prueba'!B193&amp;"-"&amp;'Casos de Prueba'!C193:E193,"")</f>
        <v>CP27-/Recuperar descargas Detalle de consulta de incidencias/Descargar/Con Archivos</v>
      </c>
      <c r="D206" t="str">
        <f>IF(LEN($C206)&gt;0,"",'Casos de Prueba'!D193)</f>
        <v/>
      </c>
      <c r="E206" t="str">
        <f>IF(LEN($C206)&gt;0,"",'Casos de Prueba'!E193)</f>
        <v/>
      </c>
      <c r="F206" t="str">
        <f>IF(LEN($C206)&gt;0,"",'Casos de Prueba'!F193&amp;CHAR(10)&amp;'Casos de Prueba'!G193)</f>
        <v/>
      </c>
    </row>
    <row r="207" spans="1:6" x14ac:dyDescent="0.35">
      <c r="A207">
        <f t="shared" si="10"/>
        <v>40</v>
      </c>
      <c r="B207">
        <f t="shared" si="11"/>
        <v>363</v>
      </c>
      <c r="D207">
        <f>IF(LEN($C207)&gt;0,"",'Casos de Prueba'!D194)</f>
        <v>1</v>
      </c>
      <c r="E207" t="str">
        <f>IF(LEN($C207)&gt;0,"",'Casos de Prueba'!E194)</f>
        <v>PAC ingresa al Portal Contribuyente CFDI</v>
      </c>
      <c r="F207" t="str">
        <f>IF(LEN($C207)&gt;0,"",'Casos de Prueba'!F194&amp;CHAR(10)&amp;'Casos de Prueba'!G194)</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208" spans="1:6" x14ac:dyDescent="0.35">
      <c r="A208">
        <f t="shared" si="10"/>
        <v>68</v>
      </c>
      <c r="B208">
        <f t="shared" si="11"/>
        <v>948</v>
      </c>
      <c r="D208">
        <f>IF(LEN($C208)&gt;0,"",'Casos de Prueba'!D195)</f>
        <v>2</v>
      </c>
      <c r="E208" t="str">
        <f>IF(LEN($C208)&gt;0,"",'Casos de Prueba'!E195)</f>
        <v>Da clic en "Recuperar descargas Detalle de consulta de incidencias’"</v>
      </c>
      <c r="F208" t="str">
        <f>IF(LEN($C208)&gt;0,"",'Casos de Prueba'!F195&amp;CHAR(10)&amp;'Casos de Prueba'!G195)</f>
        <v xml:space="preserve">En caso de existir solicitudes de descarga en proceso, se visualizarán los registros de descarga con la siguiente estructura:
•	Descargar Paquete: Opción que permite la descarga solicitada.  Icono que representa la funcionalidad de descarga del paquete de archivos correspondiente.
•	Folio de Descarga: Indica el número de folio que genera el sistema al realizar la descarga.
•	Evento: Indica la clave del evento del detalle de la solicitud de descarga.
•	RFC PAC: Indica el RFC del PAC del detalle de la solicitud de descarga.
•	Tipo Descarga: Indica el tipo de descarga solicitada la cual puede ser: PDF o JSON. 
•	Cantidad de Documentos: Indica el total de documentos que contiene el archivo.
•	Fecha de la Solicitud: Indica la fecha en la que se realizó la solicitud.
•	Estatus de solicitud: Indica si está en proceso o atendida.
•	Fecha de atención de solicitud: Indica la fecha en la que se pusieron a disposición los archivos para descarga
</v>
      </c>
    </row>
    <row r="209" spans="1:6" x14ac:dyDescent="0.35">
      <c r="A209">
        <f t="shared" si="10"/>
        <v>51</v>
      </c>
      <c r="B209">
        <f t="shared" si="11"/>
        <v>59</v>
      </c>
      <c r="D209">
        <f>IF(LEN($C209)&gt;0,"",'Casos de Prueba'!D196)</f>
        <v>3</v>
      </c>
      <c r="E209" t="str">
        <f>IF(LEN($C209)&gt;0,"",'Casos de Prueba'!E196)</f>
        <v>Seleccionar registro y dar clic "Descargar Paquete"</v>
      </c>
      <c r="F209" t="str">
        <f>IF(LEN($C209)&gt;0,"",'Casos de Prueba'!F196&amp;CHAR(10)&amp;'Casos de Prueba'!G196)</f>
        <v xml:space="preserve">El sistema realiza la descarga de los archivos PDF o JASON
</v>
      </c>
    </row>
    <row r="210" spans="1:6" x14ac:dyDescent="0.35">
      <c r="A210">
        <f t="shared" si="10"/>
        <v>16</v>
      </c>
      <c r="B210">
        <f t="shared" si="11"/>
        <v>37</v>
      </c>
      <c r="D210">
        <f>IF(LEN($C210)&gt;0,"",'Casos de Prueba'!D197)</f>
        <v>4</v>
      </c>
      <c r="E210" t="str">
        <f>IF(LEN($C210)&gt;0,"",'Casos de Prueba'!E197)</f>
        <v>Da clic en Salir</v>
      </c>
      <c r="F210" t="str">
        <f>IF(LEN($C210)&gt;0,"",'Casos de Prueba'!F197&amp;CHAR(10)&amp;'Casos de Prueba'!G197)</f>
        <v>Cierra la sesión del RFC
Fin del caso</v>
      </c>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193"/>
  <sheetViews>
    <sheetView zoomScaleNormal="100" workbookViewId="0">
      <selection activeCell="I19" sqref="I19"/>
    </sheetView>
  </sheetViews>
  <sheetFormatPr baseColWidth="10" defaultColWidth="10.54296875" defaultRowHeight="14.5" x14ac:dyDescent="0.35"/>
  <sheetData>
    <row r="1" spans="2:6" x14ac:dyDescent="0.35">
      <c r="B1" t="s">
        <v>203</v>
      </c>
      <c r="C1" t="s">
        <v>204</v>
      </c>
      <c r="D1" t="s">
        <v>205</v>
      </c>
      <c r="E1" t="s">
        <v>206</v>
      </c>
      <c r="F1" t="s">
        <v>207</v>
      </c>
    </row>
    <row r="2" spans="2:6" x14ac:dyDescent="0.35">
      <c r="B2" t="s">
        <v>202</v>
      </c>
      <c r="C2" t="s">
        <v>208</v>
      </c>
    </row>
    <row r="3" spans="2:6" ht="29" x14ac:dyDescent="0.35">
      <c r="D3">
        <v>1</v>
      </c>
      <c r="E3" t="s">
        <v>63</v>
      </c>
      <c r="F3" s="26" t="s">
        <v>209</v>
      </c>
    </row>
    <row r="4" spans="2:6" ht="409.5" x14ac:dyDescent="0.35">
      <c r="D4">
        <v>2</v>
      </c>
      <c r="E4" t="s">
        <v>66</v>
      </c>
      <c r="F4" s="26" t="s">
        <v>210</v>
      </c>
    </row>
    <row r="5" spans="2:6" ht="145" x14ac:dyDescent="0.35">
      <c r="D5">
        <v>3</v>
      </c>
      <c r="E5" t="s">
        <v>70</v>
      </c>
      <c r="F5" s="26" t="s">
        <v>211</v>
      </c>
    </row>
    <row r="6" spans="2:6" ht="87" x14ac:dyDescent="0.35">
      <c r="D6">
        <v>4</v>
      </c>
      <c r="E6" t="s">
        <v>72</v>
      </c>
      <c r="F6" s="26" t="s">
        <v>212</v>
      </c>
    </row>
    <row r="7" spans="2:6" ht="87" x14ac:dyDescent="0.35">
      <c r="D7">
        <v>5</v>
      </c>
      <c r="E7" t="s">
        <v>74</v>
      </c>
      <c r="F7" s="26" t="s">
        <v>213</v>
      </c>
    </row>
    <row r="8" spans="2:6" ht="409.5" x14ac:dyDescent="0.35">
      <c r="D8">
        <v>6</v>
      </c>
      <c r="E8" t="s">
        <v>76</v>
      </c>
      <c r="F8" s="26" t="s">
        <v>214</v>
      </c>
    </row>
    <row r="9" spans="2:6" x14ac:dyDescent="0.35">
      <c r="C9" t="s">
        <v>215</v>
      </c>
    </row>
    <row r="10" spans="2:6" ht="58" x14ac:dyDescent="0.35">
      <c r="D10">
        <v>1</v>
      </c>
      <c r="E10" s="26" t="s">
        <v>80</v>
      </c>
      <c r="F10" s="26" t="s">
        <v>209</v>
      </c>
    </row>
    <row r="11" spans="2:6" ht="391.5" x14ac:dyDescent="0.35">
      <c r="D11">
        <v>2</v>
      </c>
      <c r="E11" t="s">
        <v>66</v>
      </c>
      <c r="F11" s="26" t="s">
        <v>216</v>
      </c>
    </row>
    <row r="12" spans="2:6" ht="217.5" x14ac:dyDescent="0.35">
      <c r="D12">
        <v>3</v>
      </c>
      <c r="E12" t="s">
        <v>70</v>
      </c>
      <c r="F12" s="26" t="s">
        <v>217</v>
      </c>
    </row>
    <row r="13" spans="2:6" ht="87" x14ac:dyDescent="0.35">
      <c r="D13">
        <v>4</v>
      </c>
      <c r="E13" t="s">
        <v>72</v>
      </c>
      <c r="F13" s="26" t="s">
        <v>212</v>
      </c>
    </row>
    <row r="14" spans="2:6" ht="87" x14ac:dyDescent="0.35">
      <c r="D14">
        <v>5</v>
      </c>
      <c r="E14" t="s">
        <v>74</v>
      </c>
      <c r="F14" s="26" t="s">
        <v>213</v>
      </c>
    </row>
    <row r="15" spans="2:6" ht="409.5" x14ac:dyDescent="0.35">
      <c r="D15">
        <v>6</v>
      </c>
      <c r="E15" t="s">
        <v>76</v>
      </c>
      <c r="F15" s="26" t="s">
        <v>218</v>
      </c>
    </row>
    <row r="16" spans="2:6" x14ac:dyDescent="0.35">
      <c r="C16" t="s">
        <v>219</v>
      </c>
    </row>
    <row r="17" spans="3:6" ht="29" x14ac:dyDescent="0.35">
      <c r="D17">
        <v>1</v>
      </c>
      <c r="E17" t="s">
        <v>63</v>
      </c>
      <c r="F17" s="26" t="s">
        <v>209</v>
      </c>
    </row>
    <row r="18" spans="3:6" ht="362.5" x14ac:dyDescent="0.35">
      <c r="D18">
        <v>2</v>
      </c>
      <c r="E18" t="s">
        <v>66</v>
      </c>
      <c r="F18" s="26" t="s">
        <v>220</v>
      </c>
    </row>
    <row r="19" spans="3:6" ht="145" x14ac:dyDescent="0.35">
      <c r="D19">
        <v>3</v>
      </c>
      <c r="E19" t="s">
        <v>70</v>
      </c>
      <c r="F19" s="26" t="s">
        <v>211</v>
      </c>
    </row>
    <row r="20" spans="3:6" ht="87" x14ac:dyDescent="0.35">
      <c r="D20">
        <v>4</v>
      </c>
      <c r="E20" t="s">
        <v>72</v>
      </c>
      <c r="F20" s="26" t="s">
        <v>212</v>
      </c>
    </row>
    <row r="21" spans="3:6" ht="87" x14ac:dyDescent="0.35">
      <c r="D21">
        <v>5</v>
      </c>
      <c r="E21" t="s">
        <v>88</v>
      </c>
      <c r="F21" s="26" t="s">
        <v>213</v>
      </c>
    </row>
    <row r="22" spans="3:6" ht="409.5" x14ac:dyDescent="0.35">
      <c r="D22">
        <v>6</v>
      </c>
      <c r="E22" t="s">
        <v>76</v>
      </c>
      <c r="F22" s="26" t="s">
        <v>221</v>
      </c>
    </row>
    <row r="23" spans="3:6" x14ac:dyDescent="0.35">
      <c r="C23" t="s">
        <v>222</v>
      </c>
    </row>
    <row r="24" spans="3:6" ht="348" x14ac:dyDescent="0.35">
      <c r="D24">
        <v>1</v>
      </c>
      <c r="E24" t="s">
        <v>92</v>
      </c>
      <c r="F24" s="26" t="s">
        <v>223</v>
      </c>
    </row>
    <row r="25" spans="3:6" ht="409.5" x14ac:dyDescent="0.35">
      <c r="D25">
        <v>2</v>
      </c>
      <c r="E25" t="s">
        <v>95</v>
      </c>
      <c r="F25" s="26" t="s">
        <v>224</v>
      </c>
    </row>
    <row r="26" spans="3:6" ht="333.5" x14ac:dyDescent="0.35">
      <c r="D26">
        <v>3</v>
      </c>
      <c r="E26" t="s">
        <v>96</v>
      </c>
      <c r="F26" s="26" t="s">
        <v>225</v>
      </c>
    </row>
    <row r="27" spans="3:6" x14ac:dyDescent="0.35">
      <c r="C27" t="s">
        <v>226</v>
      </c>
    </row>
    <row r="28" spans="3:6" ht="362.5" x14ac:dyDescent="0.35">
      <c r="D28">
        <v>1</v>
      </c>
      <c r="E28" t="s">
        <v>92</v>
      </c>
      <c r="F28" s="26" t="s">
        <v>227</v>
      </c>
    </row>
    <row r="29" spans="3:6" ht="409.5" x14ac:dyDescent="0.35">
      <c r="D29">
        <v>2</v>
      </c>
      <c r="E29" t="s">
        <v>101</v>
      </c>
      <c r="F29" s="26" t="s">
        <v>224</v>
      </c>
    </row>
    <row r="30" spans="3:6" ht="58" x14ac:dyDescent="0.35">
      <c r="D30">
        <v>3</v>
      </c>
      <c r="E30" t="s">
        <v>102</v>
      </c>
      <c r="F30" s="26" t="s">
        <v>228</v>
      </c>
    </row>
    <row r="31" spans="3:6" x14ac:dyDescent="0.35">
      <c r="C31" t="s">
        <v>229</v>
      </c>
    </row>
    <row r="32" spans="3:6" ht="348" x14ac:dyDescent="0.35">
      <c r="D32">
        <v>1</v>
      </c>
      <c r="E32" t="s">
        <v>92</v>
      </c>
      <c r="F32" s="26" t="s">
        <v>223</v>
      </c>
    </row>
    <row r="33" spans="3:6" ht="333.5" x14ac:dyDescent="0.35">
      <c r="D33">
        <v>2</v>
      </c>
      <c r="E33" t="s">
        <v>95</v>
      </c>
      <c r="F33" s="26" t="s">
        <v>230</v>
      </c>
    </row>
    <row r="34" spans="3:6" ht="409.5" x14ac:dyDescent="0.35">
      <c r="D34">
        <v>3</v>
      </c>
      <c r="E34" s="26" t="s">
        <v>107</v>
      </c>
      <c r="F34" s="26" t="s">
        <v>231</v>
      </c>
    </row>
    <row r="35" spans="3:6" ht="87" x14ac:dyDescent="0.35">
      <c r="D35">
        <v>4</v>
      </c>
      <c r="E35" t="s">
        <v>108</v>
      </c>
      <c r="F35" s="26" t="s">
        <v>232</v>
      </c>
    </row>
    <row r="36" spans="3:6" ht="391.5" x14ac:dyDescent="0.35">
      <c r="D36">
        <v>5</v>
      </c>
      <c r="E36" t="s">
        <v>110</v>
      </c>
      <c r="F36" s="26" t="s">
        <v>233</v>
      </c>
    </row>
    <row r="37" spans="3:6" ht="58" x14ac:dyDescent="0.35">
      <c r="D37">
        <v>6</v>
      </c>
      <c r="E37" t="s">
        <v>102</v>
      </c>
      <c r="F37" s="26" t="s">
        <v>234</v>
      </c>
    </row>
    <row r="38" spans="3:6" x14ac:dyDescent="0.35">
      <c r="C38" t="s">
        <v>235</v>
      </c>
    </row>
    <row r="39" spans="3:6" ht="348" x14ac:dyDescent="0.35">
      <c r="D39">
        <v>1</v>
      </c>
      <c r="E39" t="s">
        <v>92</v>
      </c>
      <c r="F39" s="26" t="s">
        <v>223</v>
      </c>
    </row>
    <row r="40" spans="3:6" ht="409.5" x14ac:dyDescent="0.35">
      <c r="D40">
        <v>2</v>
      </c>
      <c r="E40" t="s">
        <v>95</v>
      </c>
      <c r="F40" s="26" t="s">
        <v>236</v>
      </c>
    </row>
    <row r="41" spans="3:6" ht="116" x14ac:dyDescent="0.35">
      <c r="D41">
        <v>3</v>
      </c>
      <c r="E41" s="26" t="s">
        <v>107</v>
      </c>
      <c r="F41" s="26" t="s">
        <v>237</v>
      </c>
    </row>
    <row r="42" spans="3:6" ht="174" x14ac:dyDescent="0.35">
      <c r="D42">
        <v>4</v>
      </c>
      <c r="E42" s="26" t="s">
        <v>115</v>
      </c>
      <c r="F42" s="26" t="s">
        <v>238</v>
      </c>
    </row>
    <row r="43" spans="3:6" ht="58" x14ac:dyDescent="0.35">
      <c r="D43">
        <v>5</v>
      </c>
      <c r="E43" t="s">
        <v>102</v>
      </c>
      <c r="F43" s="26" t="s">
        <v>234</v>
      </c>
    </row>
    <row r="44" spans="3:6" x14ac:dyDescent="0.35">
      <c r="C44" t="s">
        <v>239</v>
      </c>
    </row>
    <row r="45" spans="3:6" ht="409.5" x14ac:dyDescent="0.35">
      <c r="D45">
        <v>1</v>
      </c>
      <c r="E45" t="s">
        <v>92</v>
      </c>
      <c r="F45" s="26" t="s">
        <v>240</v>
      </c>
    </row>
    <row r="46" spans="3:6" ht="409.5" x14ac:dyDescent="0.35">
      <c r="D46">
        <v>2</v>
      </c>
      <c r="E46" t="s">
        <v>95</v>
      </c>
      <c r="F46" s="26" t="s">
        <v>236</v>
      </c>
    </row>
    <row r="47" spans="3:6" ht="116" x14ac:dyDescent="0.35">
      <c r="D47">
        <v>3</v>
      </c>
      <c r="E47" s="26" t="s">
        <v>107</v>
      </c>
      <c r="F47" s="26" t="s">
        <v>237</v>
      </c>
    </row>
    <row r="48" spans="3:6" ht="232" x14ac:dyDescent="0.35">
      <c r="D48">
        <v>4</v>
      </c>
      <c r="E48" t="s">
        <v>121</v>
      </c>
      <c r="F48" s="26" t="s">
        <v>241</v>
      </c>
    </row>
    <row r="49" spans="3:6" ht="58" x14ac:dyDescent="0.35">
      <c r="D49">
        <v>5</v>
      </c>
      <c r="E49" t="s">
        <v>102</v>
      </c>
      <c r="F49" s="26" t="s">
        <v>234</v>
      </c>
    </row>
    <row r="50" spans="3:6" x14ac:dyDescent="0.35">
      <c r="C50" t="s">
        <v>242</v>
      </c>
    </row>
    <row r="51" spans="3:6" ht="409.5" x14ac:dyDescent="0.35">
      <c r="D51">
        <v>1</v>
      </c>
      <c r="E51" t="s">
        <v>92</v>
      </c>
      <c r="F51" s="26" t="s">
        <v>243</v>
      </c>
    </row>
    <row r="52" spans="3:6" ht="409.5" x14ac:dyDescent="0.35">
      <c r="D52">
        <v>2</v>
      </c>
      <c r="E52" t="s">
        <v>95</v>
      </c>
      <c r="F52" s="26" t="s">
        <v>224</v>
      </c>
    </row>
    <row r="53" spans="3:6" ht="116" x14ac:dyDescent="0.35">
      <c r="D53">
        <v>3</v>
      </c>
      <c r="E53" s="26" t="s">
        <v>107</v>
      </c>
      <c r="F53" s="26" t="s">
        <v>237</v>
      </c>
    </row>
    <row r="54" spans="3:6" ht="377" x14ac:dyDescent="0.35">
      <c r="D54">
        <v>4</v>
      </c>
      <c r="E54" t="s">
        <v>244</v>
      </c>
      <c r="F54" s="26" t="s">
        <v>245</v>
      </c>
    </row>
    <row r="55" spans="3:6" ht="58" x14ac:dyDescent="0.35">
      <c r="D55">
        <v>5</v>
      </c>
      <c r="E55" t="s">
        <v>102</v>
      </c>
      <c r="F55" s="26" t="s">
        <v>234</v>
      </c>
    </row>
    <row r="56" spans="3:6" x14ac:dyDescent="0.35">
      <c r="C56" t="s">
        <v>246</v>
      </c>
    </row>
    <row r="57" spans="3:6" ht="409.5" x14ac:dyDescent="0.35">
      <c r="D57">
        <v>1</v>
      </c>
      <c r="E57" t="s">
        <v>92</v>
      </c>
      <c r="F57" s="26" t="s">
        <v>247</v>
      </c>
    </row>
    <row r="58" spans="3:6" ht="409.5" x14ac:dyDescent="0.35">
      <c r="D58">
        <v>2</v>
      </c>
      <c r="E58" t="s">
        <v>95</v>
      </c>
      <c r="F58" s="26" t="s">
        <v>224</v>
      </c>
    </row>
    <row r="59" spans="3:6" ht="116" x14ac:dyDescent="0.35">
      <c r="D59">
        <v>3</v>
      </c>
      <c r="E59" s="26" t="s">
        <v>107</v>
      </c>
      <c r="F59" s="26" t="s">
        <v>237</v>
      </c>
    </row>
    <row r="60" spans="3:6" ht="87" x14ac:dyDescent="0.35">
      <c r="D60">
        <v>4</v>
      </c>
      <c r="E60" t="s">
        <v>108</v>
      </c>
      <c r="F60" s="26" t="s">
        <v>232</v>
      </c>
    </row>
    <row r="61" spans="3:6" ht="391.5" x14ac:dyDescent="0.35">
      <c r="D61">
        <v>5</v>
      </c>
      <c r="E61" t="s">
        <v>110</v>
      </c>
      <c r="F61" s="26" t="s">
        <v>233</v>
      </c>
    </row>
    <row r="62" spans="3:6" ht="409.5" x14ac:dyDescent="0.35">
      <c r="D62">
        <v>6</v>
      </c>
      <c r="E62" t="s">
        <v>131</v>
      </c>
      <c r="F62" s="26" t="s">
        <v>248</v>
      </c>
    </row>
    <row r="63" spans="3:6" ht="409.5" x14ac:dyDescent="0.35">
      <c r="D63">
        <v>7</v>
      </c>
      <c r="E63" t="s">
        <v>249</v>
      </c>
      <c r="F63" s="26" t="s">
        <v>250</v>
      </c>
    </row>
    <row r="64" spans="3:6" ht="58" x14ac:dyDescent="0.35">
      <c r="D64">
        <v>8</v>
      </c>
      <c r="E64" t="s">
        <v>102</v>
      </c>
      <c r="F64" s="26" t="s">
        <v>234</v>
      </c>
    </row>
    <row r="65" spans="3:6" x14ac:dyDescent="0.35">
      <c r="C65" t="s">
        <v>251</v>
      </c>
    </row>
    <row r="66" spans="3:6" ht="348" x14ac:dyDescent="0.35">
      <c r="D66">
        <v>1</v>
      </c>
      <c r="E66" t="s">
        <v>92</v>
      </c>
      <c r="F66" s="26" t="s">
        <v>223</v>
      </c>
    </row>
    <row r="67" spans="3:6" ht="409.5" x14ac:dyDescent="0.35">
      <c r="D67">
        <v>2</v>
      </c>
      <c r="E67" t="s">
        <v>95</v>
      </c>
      <c r="F67" s="26" t="s">
        <v>224</v>
      </c>
    </row>
    <row r="68" spans="3:6" ht="116" x14ac:dyDescent="0.35">
      <c r="D68">
        <v>3</v>
      </c>
      <c r="E68" s="26" t="s">
        <v>107</v>
      </c>
      <c r="F68" s="26" t="s">
        <v>237</v>
      </c>
    </row>
    <row r="69" spans="3:6" ht="87" x14ac:dyDescent="0.35">
      <c r="D69">
        <v>4</v>
      </c>
      <c r="E69" t="s">
        <v>108</v>
      </c>
      <c r="F69" s="26" t="s">
        <v>232</v>
      </c>
    </row>
    <row r="70" spans="3:6" ht="391.5" x14ac:dyDescent="0.35">
      <c r="D70">
        <v>5</v>
      </c>
      <c r="E70" t="s">
        <v>110</v>
      </c>
      <c r="F70" s="26" t="s">
        <v>233</v>
      </c>
    </row>
    <row r="71" spans="3:6" ht="409.5" x14ac:dyDescent="0.35">
      <c r="D71">
        <v>6</v>
      </c>
      <c r="E71" t="s">
        <v>131</v>
      </c>
      <c r="F71" s="26" t="s">
        <v>252</v>
      </c>
    </row>
    <row r="72" spans="3:6" ht="409.5" x14ac:dyDescent="0.35">
      <c r="D72">
        <v>7</v>
      </c>
      <c r="E72" t="s">
        <v>159</v>
      </c>
      <c r="F72" s="26" t="s">
        <v>253</v>
      </c>
    </row>
    <row r="73" spans="3:6" ht="58" x14ac:dyDescent="0.35">
      <c r="D73">
        <v>8</v>
      </c>
      <c r="E73" t="s">
        <v>102</v>
      </c>
      <c r="F73" s="26" t="s">
        <v>234</v>
      </c>
    </row>
    <row r="74" spans="3:6" x14ac:dyDescent="0.35">
      <c r="C74" t="s">
        <v>254</v>
      </c>
    </row>
    <row r="75" spans="3:6" ht="409.5" x14ac:dyDescent="0.35">
      <c r="D75">
        <v>1</v>
      </c>
      <c r="E75" t="s">
        <v>92</v>
      </c>
      <c r="F75" s="26" t="s">
        <v>255</v>
      </c>
    </row>
    <row r="76" spans="3:6" ht="409.5" x14ac:dyDescent="0.35">
      <c r="D76">
        <v>2</v>
      </c>
      <c r="E76" t="s">
        <v>95</v>
      </c>
      <c r="F76" s="26" t="s">
        <v>224</v>
      </c>
    </row>
    <row r="77" spans="3:6" ht="116" x14ac:dyDescent="0.35">
      <c r="D77">
        <v>3</v>
      </c>
      <c r="E77" s="26" t="s">
        <v>107</v>
      </c>
      <c r="F77" s="26" t="s">
        <v>237</v>
      </c>
    </row>
    <row r="78" spans="3:6" ht="409.5" x14ac:dyDescent="0.35">
      <c r="D78">
        <v>4</v>
      </c>
      <c r="E78" s="26" t="s">
        <v>141</v>
      </c>
      <c r="F78" s="26" t="s">
        <v>256</v>
      </c>
    </row>
    <row r="79" spans="3:6" ht="58" x14ac:dyDescent="0.35">
      <c r="D79">
        <v>5</v>
      </c>
      <c r="E79" t="s">
        <v>102</v>
      </c>
      <c r="F79" s="26" t="s">
        <v>234</v>
      </c>
    </row>
    <row r="80" spans="3:6" x14ac:dyDescent="0.35">
      <c r="C80" t="s">
        <v>257</v>
      </c>
    </row>
    <row r="81" spans="3:6" ht="409.5" x14ac:dyDescent="0.35">
      <c r="D81">
        <v>1</v>
      </c>
      <c r="E81" t="s">
        <v>92</v>
      </c>
      <c r="F81" s="26" t="s">
        <v>258</v>
      </c>
    </row>
    <row r="82" spans="3:6" ht="409.5" x14ac:dyDescent="0.35">
      <c r="D82">
        <v>2</v>
      </c>
      <c r="E82" t="s">
        <v>95</v>
      </c>
      <c r="F82" s="26" t="s">
        <v>224</v>
      </c>
    </row>
    <row r="83" spans="3:6" ht="116" x14ac:dyDescent="0.35">
      <c r="D83">
        <v>3</v>
      </c>
      <c r="E83" s="26" t="s">
        <v>107</v>
      </c>
      <c r="F83" s="26" t="s">
        <v>237</v>
      </c>
    </row>
    <row r="84" spans="3:6" ht="409.5" x14ac:dyDescent="0.35">
      <c r="D84">
        <v>4</v>
      </c>
      <c r="E84" s="26" t="s">
        <v>259</v>
      </c>
      <c r="F84" s="26" t="s">
        <v>260</v>
      </c>
    </row>
    <row r="85" spans="3:6" ht="58" x14ac:dyDescent="0.35">
      <c r="D85">
        <v>5</v>
      </c>
      <c r="E85" t="s">
        <v>102</v>
      </c>
      <c r="F85" s="26" t="s">
        <v>234</v>
      </c>
    </row>
    <row r="86" spans="3:6" x14ac:dyDescent="0.35">
      <c r="C86" t="s">
        <v>261</v>
      </c>
    </row>
    <row r="87" spans="3:6" ht="348" x14ac:dyDescent="0.35">
      <c r="D87">
        <v>1</v>
      </c>
      <c r="E87" t="s">
        <v>92</v>
      </c>
      <c r="F87" s="26" t="s">
        <v>223</v>
      </c>
    </row>
    <row r="88" spans="3:6" ht="409.5" x14ac:dyDescent="0.35">
      <c r="D88">
        <v>2</v>
      </c>
      <c r="E88" t="s">
        <v>95</v>
      </c>
      <c r="F88" s="26" t="s">
        <v>224</v>
      </c>
    </row>
    <row r="89" spans="3:6" ht="116" x14ac:dyDescent="0.35">
      <c r="D89">
        <v>3</v>
      </c>
      <c r="E89" s="26" t="s">
        <v>107</v>
      </c>
      <c r="F89" s="26" t="s">
        <v>237</v>
      </c>
    </row>
    <row r="90" spans="3:6" ht="409.5" x14ac:dyDescent="0.35">
      <c r="D90">
        <v>4</v>
      </c>
      <c r="E90" s="26" t="s">
        <v>262</v>
      </c>
      <c r="F90" s="26" t="s">
        <v>263</v>
      </c>
    </row>
    <row r="91" spans="3:6" ht="58" x14ac:dyDescent="0.35">
      <c r="D91">
        <v>5</v>
      </c>
      <c r="E91" t="s">
        <v>102</v>
      </c>
      <c r="F91" s="26" t="s">
        <v>234</v>
      </c>
    </row>
    <row r="92" spans="3:6" x14ac:dyDescent="0.35">
      <c r="C92" t="s">
        <v>264</v>
      </c>
    </row>
    <row r="93" spans="3:6" ht="348" x14ac:dyDescent="0.35">
      <c r="D93">
        <v>1</v>
      </c>
      <c r="E93" t="s">
        <v>92</v>
      </c>
      <c r="F93" s="26" t="s">
        <v>223</v>
      </c>
    </row>
    <row r="94" spans="3:6" ht="409.5" x14ac:dyDescent="0.35">
      <c r="D94">
        <v>2</v>
      </c>
      <c r="E94" t="s">
        <v>95</v>
      </c>
      <c r="F94" s="26" t="s">
        <v>224</v>
      </c>
    </row>
    <row r="95" spans="3:6" ht="116" x14ac:dyDescent="0.35">
      <c r="D95">
        <v>3</v>
      </c>
      <c r="E95" s="26" t="s">
        <v>107</v>
      </c>
      <c r="F95" s="26" t="s">
        <v>237</v>
      </c>
    </row>
    <row r="96" spans="3:6" ht="409.5" x14ac:dyDescent="0.35">
      <c r="D96">
        <v>4</v>
      </c>
      <c r="E96" s="26" t="s">
        <v>153</v>
      </c>
      <c r="F96" s="26" t="s">
        <v>256</v>
      </c>
    </row>
    <row r="97" spans="3:6" ht="409.5" x14ac:dyDescent="0.35">
      <c r="D97">
        <v>5</v>
      </c>
      <c r="E97" t="s">
        <v>155</v>
      </c>
      <c r="F97" s="26" t="s">
        <v>265</v>
      </c>
    </row>
    <row r="98" spans="3:6" ht="409.5" x14ac:dyDescent="0.35">
      <c r="D98">
        <v>6</v>
      </c>
      <c r="E98" t="s">
        <v>249</v>
      </c>
      <c r="F98" s="26" t="s">
        <v>266</v>
      </c>
    </row>
    <row r="99" spans="3:6" ht="58" x14ac:dyDescent="0.35">
      <c r="D99">
        <v>7</v>
      </c>
      <c r="E99" t="s">
        <v>102</v>
      </c>
      <c r="F99" s="26" t="s">
        <v>234</v>
      </c>
    </row>
    <row r="100" spans="3:6" x14ac:dyDescent="0.35">
      <c r="C100" t="s">
        <v>267</v>
      </c>
    </row>
    <row r="101" spans="3:6" ht="348" x14ac:dyDescent="0.35">
      <c r="D101">
        <v>1</v>
      </c>
      <c r="E101" t="s">
        <v>92</v>
      </c>
      <c r="F101" s="26" t="s">
        <v>223</v>
      </c>
    </row>
    <row r="102" spans="3:6" ht="409.5" x14ac:dyDescent="0.35">
      <c r="D102">
        <v>2</v>
      </c>
      <c r="E102" t="s">
        <v>95</v>
      </c>
      <c r="F102" s="26" t="s">
        <v>224</v>
      </c>
    </row>
    <row r="103" spans="3:6" ht="116" x14ac:dyDescent="0.35">
      <c r="D103">
        <v>3</v>
      </c>
      <c r="E103" s="26" t="s">
        <v>107</v>
      </c>
      <c r="F103" s="26" t="s">
        <v>237</v>
      </c>
    </row>
    <row r="104" spans="3:6" ht="409.5" x14ac:dyDescent="0.35">
      <c r="D104">
        <v>4</v>
      </c>
      <c r="E104" s="26" t="s">
        <v>153</v>
      </c>
      <c r="F104" s="26" t="s">
        <v>256</v>
      </c>
    </row>
    <row r="105" spans="3:6" ht="409.5" x14ac:dyDescent="0.35">
      <c r="D105">
        <v>5</v>
      </c>
      <c r="E105" t="s">
        <v>155</v>
      </c>
      <c r="F105" s="26" t="s">
        <v>265</v>
      </c>
    </row>
    <row r="106" spans="3:6" ht="409.5" x14ac:dyDescent="0.35">
      <c r="D106">
        <v>6</v>
      </c>
      <c r="E106" t="s">
        <v>159</v>
      </c>
      <c r="F106" s="26" t="s">
        <v>253</v>
      </c>
    </row>
    <row r="107" spans="3:6" ht="58" x14ac:dyDescent="0.35">
      <c r="D107">
        <v>7</v>
      </c>
      <c r="E107" t="s">
        <v>102</v>
      </c>
      <c r="F107" s="26" t="s">
        <v>234</v>
      </c>
    </row>
    <row r="108" spans="3:6" x14ac:dyDescent="0.35">
      <c r="C108" t="s">
        <v>268</v>
      </c>
    </row>
    <row r="109" spans="3:6" ht="409.5" x14ac:dyDescent="0.35">
      <c r="D109">
        <v>1</v>
      </c>
      <c r="E109" t="s">
        <v>92</v>
      </c>
      <c r="F109" s="26" t="s">
        <v>269</v>
      </c>
    </row>
    <row r="110" spans="3:6" ht="409.5" x14ac:dyDescent="0.35">
      <c r="D110">
        <v>2</v>
      </c>
      <c r="E110" t="s">
        <v>165</v>
      </c>
      <c r="F110" s="26" t="s">
        <v>270</v>
      </c>
    </row>
    <row r="111" spans="3:6" ht="116" x14ac:dyDescent="0.35">
      <c r="D111">
        <v>3</v>
      </c>
      <c r="E111" s="26" t="s">
        <v>107</v>
      </c>
      <c r="F111" s="26" t="s">
        <v>271</v>
      </c>
    </row>
    <row r="112" spans="3:6" ht="87" x14ac:dyDescent="0.35">
      <c r="D112">
        <v>4</v>
      </c>
      <c r="E112" t="s">
        <v>108</v>
      </c>
      <c r="F112" s="26" t="s">
        <v>232</v>
      </c>
    </row>
    <row r="113" spans="3:6" ht="391.5" x14ac:dyDescent="0.35">
      <c r="D113">
        <v>5</v>
      </c>
      <c r="E113" t="s">
        <v>110</v>
      </c>
      <c r="F113" s="26" t="s">
        <v>233</v>
      </c>
    </row>
    <row r="114" spans="3:6" ht="58" x14ac:dyDescent="0.35">
      <c r="D114">
        <v>6</v>
      </c>
      <c r="E114" t="s">
        <v>102</v>
      </c>
      <c r="F114" s="26" t="s">
        <v>234</v>
      </c>
    </row>
    <row r="115" spans="3:6" x14ac:dyDescent="0.35">
      <c r="C115" t="s">
        <v>272</v>
      </c>
    </row>
    <row r="116" spans="3:6" ht="409.5" x14ac:dyDescent="0.35">
      <c r="D116">
        <v>1</v>
      </c>
      <c r="E116" t="s">
        <v>92</v>
      </c>
      <c r="F116" s="26" t="s">
        <v>273</v>
      </c>
    </row>
    <row r="117" spans="3:6" ht="409.5" x14ac:dyDescent="0.35">
      <c r="D117">
        <v>2</v>
      </c>
      <c r="E117" t="s">
        <v>165</v>
      </c>
      <c r="F117" s="26" t="s">
        <v>274</v>
      </c>
    </row>
    <row r="118" spans="3:6" ht="116" x14ac:dyDescent="0.35">
      <c r="D118">
        <v>3</v>
      </c>
      <c r="E118" s="26" t="s">
        <v>107</v>
      </c>
      <c r="F118" s="26" t="s">
        <v>271</v>
      </c>
    </row>
    <row r="119" spans="3:6" ht="159.5" x14ac:dyDescent="0.35">
      <c r="D119">
        <v>4</v>
      </c>
      <c r="E119" s="26" t="s">
        <v>275</v>
      </c>
      <c r="F119" s="26" t="s">
        <v>238</v>
      </c>
    </row>
    <row r="120" spans="3:6" ht="58" x14ac:dyDescent="0.35">
      <c r="D120">
        <v>5</v>
      </c>
      <c r="E120" t="s">
        <v>102</v>
      </c>
      <c r="F120" s="26" t="s">
        <v>234</v>
      </c>
    </row>
    <row r="121" spans="3:6" x14ac:dyDescent="0.35">
      <c r="C121" t="s">
        <v>276</v>
      </c>
    </row>
    <row r="122" spans="3:6" ht="409.5" x14ac:dyDescent="0.35">
      <c r="D122">
        <v>1</v>
      </c>
      <c r="E122" t="s">
        <v>92</v>
      </c>
      <c r="F122" s="26" t="s">
        <v>269</v>
      </c>
    </row>
    <row r="123" spans="3:6" ht="409.5" x14ac:dyDescent="0.35">
      <c r="D123">
        <v>2</v>
      </c>
      <c r="E123" t="s">
        <v>165</v>
      </c>
      <c r="F123" s="26" t="s">
        <v>274</v>
      </c>
    </row>
    <row r="124" spans="3:6" ht="116" x14ac:dyDescent="0.35">
      <c r="D124">
        <v>3</v>
      </c>
      <c r="E124" s="26" t="s">
        <v>107</v>
      </c>
      <c r="F124" s="26" t="s">
        <v>271</v>
      </c>
    </row>
    <row r="125" spans="3:6" ht="217.5" x14ac:dyDescent="0.35">
      <c r="D125">
        <v>4</v>
      </c>
      <c r="E125" t="s">
        <v>121</v>
      </c>
      <c r="F125" s="26" t="s">
        <v>277</v>
      </c>
    </row>
    <row r="126" spans="3:6" ht="58" x14ac:dyDescent="0.35">
      <c r="D126">
        <v>5</v>
      </c>
      <c r="E126" t="s">
        <v>102</v>
      </c>
      <c r="F126" s="26" t="s">
        <v>234</v>
      </c>
    </row>
    <row r="127" spans="3:6" x14ac:dyDescent="0.35">
      <c r="C127" t="s">
        <v>278</v>
      </c>
    </row>
    <row r="128" spans="3:6" ht="409.5" x14ac:dyDescent="0.35">
      <c r="D128">
        <v>1</v>
      </c>
      <c r="E128" t="s">
        <v>92</v>
      </c>
      <c r="F128" s="26" t="s">
        <v>279</v>
      </c>
    </row>
    <row r="129" spans="3:6" ht="409.5" x14ac:dyDescent="0.35">
      <c r="D129">
        <v>2</v>
      </c>
      <c r="E129" t="s">
        <v>165</v>
      </c>
      <c r="F129" s="26" t="s">
        <v>224</v>
      </c>
    </row>
    <row r="130" spans="3:6" ht="116" x14ac:dyDescent="0.35">
      <c r="D130">
        <v>3</v>
      </c>
      <c r="E130" s="26" t="s">
        <v>107</v>
      </c>
      <c r="F130" s="26" t="s">
        <v>209</v>
      </c>
    </row>
    <row r="131" spans="3:6" ht="406" x14ac:dyDescent="0.35">
      <c r="D131">
        <v>4</v>
      </c>
      <c r="E131" t="s">
        <v>280</v>
      </c>
      <c r="F131" s="26" t="s">
        <v>281</v>
      </c>
    </row>
    <row r="132" spans="3:6" ht="58" x14ac:dyDescent="0.35">
      <c r="D132">
        <v>5</v>
      </c>
      <c r="E132" t="s">
        <v>102</v>
      </c>
      <c r="F132" s="26" t="s">
        <v>234</v>
      </c>
    </row>
    <row r="133" spans="3:6" x14ac:dyDescent="0.35">
      <c r="C133" t="s">
        <v>282</v>
      </c>
    </row>
    <row r="134" spans="3:6" ht="409.5" x14ac:dyDescent="0.35">
      <c r="D134">
        <v>1</v>
      </c>
      <c r="E134" t="s">
        <v>92</v>
      </c>
      <c r="F134" s="26" t="s">
        <v>269</v>
      </c>
    </row>
    <row r="135" spans="3:6" ht="409.5" x14ac:dyDescent="0.35">
      <c r="D135">
        <v>2</v>
      </c>
      <c r="E135" t="s">
        <v>165</v>
      </c>
      <c r="F135" s="26" t="s">
        <v>224</v>
      </c>
    </row>
    <row r="136" spans="3:6" ht="116" x14ac:dyDescent="0.35">
      <c r="D136">
        <v>3</v>
      </c>
      <c r="E136" s="26" t="s">
        <v>107</v>
      </c>
      <c r="F136" s="26" t="s">
        <v>271</v>
      </c>
    </row>
    <row r="137" spans="3:6" ht="87" x14ac:dyDescent="0.35">
      <c r="D137">
        <v>4</v>
      </c>
      <c r="E137" t="s">
        <v>108</v>
      </c>
      <c r="F137" s="26" t="s">
        <v>232</v>
      </c>
    </row>
    <row r="138" spans="3:6" ht="391.5" x14ac:dyDescent="0.35">
      <c r="D138">
        <v>5</v>
      </c>
      <c r="E138" t="s">
        <v>110</v>
      </c>
      <c r="F138" s="26" t="s">
        <v>233</v>
      </c>
    </row>
    <row r="139" spans="3:6" ht="409.5" x14ac:dyDescent="0.35">
      <c r="D139">
        <v>6</v>
      </c>
      <c r="E139" t="s">
        <v>131</v>
      </c>
      <c r="F139" s="26" t="s">
        <v>248</v>
      </c>
    </row>
    <row r="140" spans="3:6" ht="409.5" x14ac:dyDescent="0.35">
      <c r="D140">
        <v>7</v>
      </c>
      <c r="E140" t="s">
        <v>249</v>
      </c>
      <c r="F140" s="26" t="s">
        <v>250</v>
      </c>
    </row>
    <row r="141" spans="3:6" ht="58" x14ac:dyDescent="0.35">
      <c r="D141">
        <v>8</v>
      </c>
      <c r="E141" t="s">
        <v>102</v>
      </c>
      <c r="F141" s="26" t="s">
        <v>234</v>
      </c>
    </row>
    <row r="142" spans="3:6" x14ac:dyDescent="0.35">
      <c r="C142" t="s">
        <v>283</v>
      </c>
    </row>
    <row r="143" spans="3:6" ht="409.5" x14ac:dyDescent="0.35">
      <c r="D143">
        <v>1</v>
      </c>
      <c r="E143" t="s">
        <v>92</v>
      </c>
      <c r="F143" s="26" t="s">
        <v>269</v>
      </c>
    </row>
    <row r="144" spans="3:6" ht="409.5" x14ac:dyDescent="0.35">
      <c r="D144">
        <v>2</v>
      </c>
      <c r="E144" t="s">
        <v>165</v>
      </c>
      <c r="F144" s="26" t="s">
        <v>224</v>
      </c>
    </row>
    <row r="145" spans="3:6" ht="116" x14ac:dyDescent="0.35">
      <c r="D145">
        <v>3</v>
      </c>
      <c r="E145" s="26" t="s">
        <v>107</v>
      </c>
      <c r="F145" s="26" t="s">
        <v>209</v>
      </c>
    </row>
    <row r="146" spans="3:6" ht="87" x14ac:dyDescent="0.35">
      <c r="D146">
        <v>4</v>
      </c>
      <c r="E146" t="s">
        <v>108</v>
      </c>
      <c r="F146" s="26" t="s">
        <v>232</v>
      </c>
    </row>
    <row r="147" spans="3:6" ht="391.5" x14ac:dyDescent="0.35">
      <c r="D147">
        <v>5</v>
      </c>
      <c r="E147" t="s">
        <v>110</v>
      </c>
      <c r="F147" s="26" t="s">
        <v>233</v>
      </c>
    </row>
    <row r="148" spans="3:6" ht="409.5" x14ac:dyDescent="0.35">
      <c r="D148">
        <v>6</v>
      </c>
      <c r="E148" t="s">
        <v>131</v>
      </c>
      <c r="F148" s="26" t="s">
        <v>248</v>
      </c>
    </row>
    <row r="149" spans="3:6" ht="409.5" x14ac:dyDescent="0.35">
      <c r="D149">
        <v>7</v>
      </c>
      <c r="E149" t="s">
        <v>159</v>
      </c>
      <c r="F149" s="26" t="s">
        <v>253</v>
      </c>
    </row>
    <row r="150" spans="3:6" ht="58" x14ac:dyDescent="0.35">
      <c r="D150">
        <v>8</v>
      </c>
      <c r="E150" t="s">
        <v>102</v>
      </c>
      <c r="F150" s="26" t="s">
        <v>234</v>
      </c>
    </row>
    <row r="151" spans="3:6" x14ac:dyDescent="0.35">
      <c r="C151" t="s">
        <v>284</v>
      </c>
    </row>
    <row r="152" spans="3:6" ht="409.5" x14ac:dyDescent="0.35">
      <c r="D152">
        <v>1</v>
      </c>
      <c r="E152" t="s">
        <v>92</v>
      </c>
      <c r="F152" s="26" t="s">
        <v>285</v>
      </c>
    </row>
    <row r="153" spans="3:6" ht="409.5" x14ac:dyDescent="0.35">
      <c r="D153">
        <v>2</v>
      </c>
      <c r="E153" t="s">
        <v>165</v>
      </c>
      <c r="F153" s="26" t="s">
        <v>286</v>
      </c>
    </row>
    <row r="154" spans="3:6" ht="116" x14ac:dyDescent="0.35">
      <c r="D154">
        <v>3</v>
      </c>
      <c r="E154" s="26" t="s">
        <v>107</v>
      </c>
      <c r="F154" s="26" t="s">
        <v>209</v>
      </c>
    </row>
    <row r="155" spans="3:6" ht="409.5" x14ac:dyDescent="0.35">
      <c r="D155">
        <v>4</v>
      </c>
      <c r="E155" s="26" t="s">
        <v>153</v>
      </c>
      <c r="F155" s="26" t="s">
        <v>256</v>
      </c>
    </row>
    <row r="156" spans="3:6" ht="58" x14ac:dyDescent="0.35">
      <c r="D156">
        <v>5</v>
      </c>
      <c r="E156" t="s">
        <v>102</v>
      </c>
      <c r="F156" s="26" t="s">
        <v>234</v>
      </c>
    </row>
    <row r="157" spans="3:6" x14ac:dyDescent="0.35">
      <c r="C157" t="s">
        <v>287</v>
      </c>
    </row>
    <row r="158" spans="3:6" ht="409.5" x14ac:dyDescent="0.35">
      <c r="D158">
        <v>1</v>
      </c>
      <c r="E158" t="s">
        <v>92</v>
      </c>
      <c r="F158" s="26" t="s">
        <v>273</v>
      </c>
    </row>
    <row r="159" spans="3:6" ht="409.5" x14ac:dyDescent="0.35">
      <c r="D159">
        <v>2</v>
      </c>
      <c r="E159" t="s">
        <v>95</v>
      </c>
      <c r="F159" s="26" t="s">
        <v>286</v>
      </c>
    </row>
    <row r="160" spans="3:6" ht="116" x14ac:dyDescent="0.35">
      <c r="D160">
        <v>3</v>
      </c>
      <c r="E160" s="26" t="s">
        <v>107</v>
      </c>
      <c r="F160" s="26" t="s">
        <v>209</v>
      </c>
    </row>
    <row r="161" spans="3:6" ht="409.5" x14ac:dyDescent="0.35">
      <c r="D161">
        <v>4</v>
      </c>
      <c r="E161" s="26" t="s">
        <v>259</v>
      </c>
      <c r="F161" s="26" t="s">
        <v>288</v>
      </c>
    </row>
    <row r="162" spans="3:6" ht="58" x14ac:dyDescent="0.35">
      <c r="D162">
        <v>5</v>
      </c>
      <c r="E162" t="s">
        <v>102</v>
      </c>
      <c r="F162" s="26" t="s">
        <v>234</v>
      </c>
    </row>
    <row r="163" spans="3:6" x14ac:dyDescent="0.35">
      <c r="C163" t="s">
        <v>289</v>
      </c>
    </row>
    <row r="164" spans="3:6" ht="409.5" x14ac:dyDescent="0.35">
      <c r="D164">
        <v>1</v>
      </c>
      <c r="E164" t="s">
        <v>92</v>
      </c>
      <c r="F164" s="26" t="s">
        <v>290</v>
      </c>
    </row>
    <row r="165" spans="3:6" ht="409.5" x14ac:dyDescent="0.35">
      <c r="D165">
        <v>2</v>
      </c>
      <c r="E165" t="s">
        <v>165</v>
      </c>
      <c r="F165" s="26" t="s">
        <v>286</v>
      </c>
    </row>
    <row r="166" spans="3:6" ht="116" x14ac:dyDescent="0.35">
      <c r="D166">
        <v>3</v>
      </c>
      <c r="E166" s="26" t="s">
        <v>107</v>
      </c>
      <c r="F166" s="26" t="s">
        <v>271</v>
      </c>
    </row>
    <row r="167" spans="3:6" ht="409.5" x14ac:dyDescent="0.35">
      <c r="D167">
        <v>4</v>
      </c>
      <c r="E167" s="26" t="s">
        <v>189</v>
      </c>
      <c r="F167" s="26" t="s">
        <v>291</v>
      </c>
    </row>
    <row r="168" spans="3:6" ht="58" x14ac:dyDescent="0.35">
      <c r="D168">
        <v>5</v>
      </c>
      <c r="E168" t="s">
        <v>102</v>
      </c>
      <c r="F168" s="26" t="s">
        <v>234</v>
      </c>
    </row>
    <row r="169" spans="3:6" x14ac:dyDescent="0.35">
      <c r="C169" t="s">
        <v>292</v>
      </c>
    </row>
    <row r="170" spans="3:6" ht="409.5" x14ac:dyDescent="0.35">
      <c r="D170">
        <v>1</v>
      </c>
      <c r="E170" t="s">
        <v>92</v>
      </c>
      <c r="F170" s="26" t="s">
        <v>285</v>
      </c>
    </row>
    <row r="171" spans="3:6" ht="409.5" x14ac:dyDescent="0.35">
      <c r="D171">
        <v>2</v>
      </c>
      <c r="E171" t="s">
        <v>165</v>
      </c>
      <c r="F171" s="26" t="s">
        <v>293</v>
      </c>
    </row>
    <row r="172" spans="3:6" ht="116" x14ac:dyDescent="0.35">
      <c r="D172">
        <v>3</v>
      </c>
      <c r="E172" s="26" t="s">
        <v>107</v>
      </c>
      <c r="F172" s="26" t="s">
        <v>271</v>
      </c>
    </row>
    <row r="173" spans="3:6" ht="409.5" x14ac:dyDescent="0.35">
      <c r="D173">
        <v>4</v>
      </c>
      <c r="E173" s="26" t="s">
        <v>141</v>
      </c>
      <c r="F173" s="26" t="s">
        <v>294</v>
      </c>
    </row>
    <row r="174" spans="3:6" ht="409.5" x14ac:dyDescent="0.35">
      <c r="D174">
        <v>5</v>
      </c>
      <c r="E174" t="s">
        <v>155</v>
      </c>
      <c r="F174" s="26" t="s">
        <v>265</v>
      </c>
    </row>
    <row r="175" spans="3:6" ht="409.5" x14ac:dyDescent="0.35">
      <c r="D175">
        <v>6</v>
      </c>
      <c r="E175" t="s">
        <v>249</v>
      </c>
      <c r="F175" s="26" t="s">
        <v>295</v>
      </c>
    </row>
    <row r="176" spans="3:6" ht="58" x14ac:dyDescent="0.35">
      <c r="D176">
        <v>7</v>
      </c>
      <c r="E176" t="s">
        <v>102</v>
      </c>
      <c r="F176" s="26" t="s">
        <v>234</v>
      </c>
    </row>
    <row r="177" spans="3:6" x14ac:dyDescent="0.35">
      <c r="C177" t="s">
        <v>296</v>
      </c>
    </row>
    <row r="178" spans="3:6" ht="409.5" x14ac:dyDescent="0.35">
      <c r="D178">
        <v>1</v>
      </c>
      <c r="E178" t="s">
        <v>92</v>
      </c>
      <c r="F178" s="26" t="s">
        <v>285</v>
      </c>
    </row>
    <row r="179" spans="3:6" ht="409.5" x14ac:dyDescent="0.35">
      <c r="D179">
        <v>2</v>
      </c>
      <c r="E179" t="s">
        <v>165</v>
      </c>
      <c r="F179" s="26" t="s">
        <v>297</v>
      </c>
    </row>
    <row r="180" spans="3:6" ht="116" x14ac:dyDescent="0.35">
      <c r="D180">
        <v>3</v>
      </c>
      <c r="E180" s="26" t="s">
        <v>107</v>
      </c>
      <c r="F180" s="26" t="s">
        <v>271</v>
      </c>
    </row>
    <row r="181" spans="3:6" ht="409.5" x14ac:dyDescent="0.35">
      <c r="D181">
        <v>4</v>
      </c>
      <c r="E181" s="26" t="s">
        <v>141</v>
      </c>
      <c r="F181" s="26" t="s">
        <v>294</v>
      </c>
    </row>
    <row r="182" spans="3:6" ht="409.5" x14ac:dyDescent="0.35">
      <c r="D182">
        <v>5</v>
      </c>
      <c r="E182" t="s">
        <v>155</v>
      </c>
      <c r="F182" s="26" t="s">
        <v>265</v>
      </c>
    </row>
    <row r="183" spans="3:6" ht="409.5" x14ac:dyDescent="0.35">
      <c r="D183">
        <v>6</v>
      </c>
      <c r="E183" t="s">
        <v>159</v>
      </c>
      <c r="F183" s="26" t="s">
        <v>298</v>
      </c>
    </row>
    <row r="184" spans="3:6" ht="58" x14ac:dyDescent="0.35">
      <c r="D184">
        <v>7</v>
      </c>
      <c r="E184" t="s">
        <v>102</v>
      </c>
      <c r="F184" s="26" t="s">
        <v>234</v>
      </c>
    </row>
    <row r="185" spans="3:6" x14ac:dyDescent="0.35">
      <c r="C185" t="s">
        <v>299</v>
      </c>
    </row>
    <row r="186" spans="3:6" ht="348" x14ac:dyDescent="0.35">
      <c r="D186">
        <v>1</v>
      </c>
      <c r="E186" t="s">
        <v>92</v>
      </c>
      <c r="F186" s="26" t="s">
        <v>223</v>
      </c>
    </row>
    <row r="187" spans="3:6" ht="319" x14ac:dyDescent="0.35">
      <c r="D187">
        <v>2</v>
      </c>
      <c r="E187" t="s">
        <v>196</v>
      </c>
      <c r="F187" s="26" t="s">
        <v>300</v>
      </c>
    </row>
    <row r="188" spans="3:6" ht="58" x14ac:dyDescent="0.35">
      <c r="D188">
        <v>3</v>
      </c>
      <c r="E188" t="s">
        <v>102</v>
      </c>
      <c r="F188" s="26" t="s">
        <v>234</v>
      </c>
    </row>
    <row r="189" spans="3:6" x14ac:dyDescent="0.35">
      <c r="C189" t="s">
        <v>301</v>
      </c>
    </row>
    <row r="190" spans="3:6" ht="348" x14ac:dyDescent="0.35">
      <c r="D190">
        <v>1</v>
      </c>
      <c r="E190" t="s">
        <v>92</v>
      </c>
      <c r="F190" s="26" t="s">
        <v>223</v>
      </c>
    </row>
    <row r="191" spans="3:6" ht="409.5" x14ac:dyDescent="0.35">
      <c r="D191">
        <v>2</v>
      </c>
      <c r="E191" t="s">
        <v>196</v>
      </c>
      <c r="F191" s="26" t="s">
        <v>302</v>
      </c>
    </row>
    <row r="192" spans="3:6" ht="116" x14ac:dyDescent="0.35">
      <c r="D192">
        <v>3</v>
      </c>
      <c r="E192" t="s">
        <v>200</v>
      </c>
      <c r="F192" s="26" t="s">
        <v>303</v>
      </c>
    </row>
    <row r="193" spans="4:6" ht="58" x14ac:dyDescent="0.35">
      <c r="D193">
        <v>4</v>
      </c>
      <c r="E193" t="s">
        <v>102</v>
      </c>
      <c r="F193" s="26" t="s">
        <v>234</v>
      </c>
    </row>
  </sheetData>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L23"/>
  <sheetViews>
    <sheetView showGridLines="0" zoomScale="80" zoomScaleNormal="80" workbookViewId="0">
      <selection activeCell="B8" sqref="B8"/>
    </sheetView>
  </sheetViews>
  <sheetFormatPr baseColWidth="10" defaultColWidth="11.453125" defaultRowHeight="14.5" x14ac:dyDescent="0.35"/>
  <cols>
    <col min="1" max="1" width="5.453125" customWidth="1"/>
    <col min="2" max="2" width="54.1796875" customWidth="1"/>
    <col min="3" max="3" width="57.6328125" customWidth="1"/>
    <col min="4" max="4" width="19.81640625" customWidth="1"/>
    <col min="5" max="5" width="12.453125" customWidth="1"/>
    <col min="6" max="7" width="17.7265625" customWidth="1"/>
    <col min="10" max="10" width="16.1796875" customWidth="1"/>
    <col min="11" max="11" width="18.453125" customWidth="1"/>
    <col min="12" max="12" width="59.1796875" customWidth="1"/>
    <col min="13" max="13" width="3.81640625" customWidth="1"/>
    <col min="14" max="14" width="3.453125" customWidth="1"/>
    <col min="15" max="15" width="8.453125" customWidth="1"/>
    <col min="16" max="17" width="15.7265625" customWidth="1"/>
    <col min="18" max="18" width="8.453125" customWidth="1"/>
    <col min="19" max="20" width="15.7265625" customWidth="1"/>
    <col min="21" max="21" width="7.7265625" customWidth="1"/>
    <col min="22" max="22" width="15.453125" customWidth="1"/>
    <col min="23" max="23" width="62.1796875" customWidth="1"/>
  </cols>
  <sheetData>
    <row r="2" spans="2:12" s="31" customFormat="1" ht="15" x14ac:dyDescent="0.4">
      <c r="B2" s="57" t="s">
        <v>304</v>
      </c>
    </row>
    <row r="3" spans="2:12" s="31" customFormat="1" ht="15" x14ac:dyDescent="0.4">
      <c r="B3" s="58" t="s">
        <v>305</v>
      </c>
    </row>
    <row r="4" spans="2:12" s="31" customFormat="1" ht="16.5" customHeight="1" x14ac:dyDescent="0.4">
      <c r="B4" s="58" t="s">
        <v>306</v>
      </c>
      <c r="K4" s="59"/>
      <c r="L4" s="60"/>
    </row>
    <row r="5" spans="2:12" s="31" customFormat="1" ht="12" customHeight="1" x14ac:dyDescent="0.4">
      <c r="K5" s="61"/>
      <c r="L5" s="62"/>
    </row>
    <row r="8" spans="2:12" ht="15" customHeight="1" x14ac:dyDescent="0.35">
      <c r="B8" s="110" t="s">
        <v>307</v>
      </c>
      <c r="C8" s="110"/>
    </row>
    <row r="9" spans="2:12" ht="15" customHeight="1" x14ac:dyDescent="0.35">
      <c r="B9" s="63" t="s">
        <v>308</v>
      </c>
      <c r="C9" s="63" t="s">
        <v>308</v>
      </c>
    </row>
    <row r="10" spans="2:12" ht="15" x14ac:dyDescent="0.35">
      <c r="B10" s="64" t="s">
        <v>309</v>
      </c>
      <c r="C10" s="65" t="s">
        <v>310</v>
      </c>
    </row>
    <row r="11" spans="2:12" ht="30" x14ac:dyDescent="0.35">
      <c r="B11" s="64" t="s">
        <v>311</v>
      </c>
      <c r="C11" s="65" t="s">
        <v>312</v>
      </c>
    </row>
    <row r="12" spans="2:12" ht="15" x14ac:dyDescent="0.35">
      <c r="B12" s="64" t="s">
        <v>313</v>
      </c>
      <c r="C12" s="65" t="s">
        <v>314</v>
      </c>
    </row>
    <row r="13" spans="2:12" ht="81" customHeight="1" x14ac:dyDescent="0.35">
      <c r="B13" s="66" t="s">
        <v>315</v>
      </c>
      <c r="C13" s="65"/>
    </row>
    <row r="14" spans="2:12" ht="15" x14ac:dyDescent="0.35">
      <c r="B14" s="67" t="s">
        <v>316</v>
      </c>
      <c r="C14" s="68" t="s">
        <v>316</v>
      </c>
    </row>
    <row r="15" spans="2:12" ht="15" x14ac:dyDescent="0.35">
      <c r="B15" s="64" t="s">
        <v>317</v>
      </c>
      <c r="C15" s="65" t="s">
        <v>318</v>
      </c>
    </row>
    <row r="16" spans="2:12" ht="30" x14ac:dyDescent="0.35">
      <c r="B16" s="64" t="s">
        <v>319</v>
      </c>
      <c r="C16" s="65" t="s">
        <v>320</v>
      </c>
    </row>
    <row r="17" spans="2:3" ht="15" x14ac:dyDescent="0.35">
      <c r="B17" s="64" t="s">
        <v>313</v>
      </c>
      <c r="C17" s="65" t="s">
        <v>321</v>
      </c>
    </row>
    <row r="18" spans="2:3" ht="81" customHeight="1" x14ac:dyDescent="0.35">
      <c r="B18" s="69"/>
      <c r="C18" s="64"/>
    </row>
    <row r="19" spans="2:3" ht="15" x14ac:dyDescent="0.35">
      <c r="B19" s="67" t="s">
        <v>322</v>
      </c>
      <c r="C19" s="68" t="s">
        <v>322</v>
      </c>
    </row>
    <row r="20" spans="2:3" ht="15" x14ac:dyDescent="0.35">
      <c r="B20" s="64" t="s">
        <v>323</v>
      </c>
      <c r="C20" s="65" t="s">
        <v>324</v>
      </c>
    </row>
    <row r="21" spans="2:3" ht="30" x14ac:dyDescent="0.35">
      <c r="B21" s="64" t="s">
        <v>325</v>
      </c>
      <c r="C21" s="65" t="s">
        <v>326</v>
      </c>
    </row>
    <row r="22" spans="2:3" ht="15" x14ac:dyDescent="0.35">
      <c r="B22" s="64" t="s">
        <v>313</v>
      </c>
      <c r="C22" s="65" t="s">
        <v>314</v>
      </c>
    </row>
    <row r="23" spans="2:3" ht="81" customHeight="1" x14ac:dyDescent="0.35">
      <c r="B23" s="69"/>
      <c r="C23" s="64"/>
    </row>
  </sheetData>
  <mergeCells count="1">
    <mergeCell ref="B8:C8"/>
  </mergeCells>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1:K16"/>
  <sheetViews>
    <sheetView showGridLines="0" topLeftCell="A6" zoomScale="110" zoomScaleNormal="110" workbookViewId="0">
      <selection activeCell="M20" sqref="M20"/>
    </sheetView>
  </sheetViews>
  <sheetFormatPr baseColWidth="10" defaultColWidth="11.453125" defaultRowHeight="14.5" x14ac:dyDescent="0.35"/>
  <cols>
    <col min="1" max="1" width="3.453125" customWidth="1"/>
    <col min="2" max="2" width="2.453125" customWidth="1"/>
    <col min="5" max="5" width="14" customWidth="1"/>
    <col min="6" max="6" width="13.7265625" customWidth="1"/>
    <col min="7" max="7" width="13.26953125" customWidth="1"/>
    <col min="8" max="8" width="13.453125" customWidth="1"/>
    <col min="9" max="9" width="12.1796875" customWidth="1"/>
    <col min="15" max="15" width="9.81640625" customWidth="1"/>
    <col min="16" max="16" width="2.1796875" customWidth="1"/>
  </cols>
  <sheetData>
    <row r="1" spans="3:11" ht="41.25" customHeight="1" x14ac:dyDescent="0.35">
      <c r="C1" s="70" t="s">
        <v>327</v>
      </c>
    </row>
    <row r="3" spans="3:11" s="71" customFormat="1" ht="12" customHeight="1" x14ac:dyDescent="0.3"/>
    <row r="4" spans="3:11" s="71" customFormat="1" ht="13.5" customHeight="1" x14ac:dyDescent="0.3">
      <c r="H4" s="111" t="s">
        <v>328</v>
      </c>
      <c r="I4" s="111"/>
      <c r="J4" s="111"/>
      <c r="K4" s="111"/>
    </row>
    <row r="5" spans="3:11" s="71" customFormat="1" ht="13.5" x14ac:dyDescent="0.3">
      <c r="H5" s="111"/>
      <c r="I5" s="111"/>
      <c r="J5" s="111"/>
      <c r="K5" s="111"/>
    </row>
    <row r="6" spans="3:11" s="71" customFormat="1" ht="14" x14ac:dyDescent="0.3">
      <c r="H6" s="112" t="s">
        <v>329</v>
      </c>
      <c r="I6" s="112"/>
      <c r="J6" s="112"/>
      <c r="K6" s="112"/>
    </row>
    <row r="7" spans="3:11" s="71" customFormat="1" ht="99.75" customHeight="1" x14ac:dyDescent="0.3">
      <c r="C7" s="115" t="s">
        <v>330</v>
      </c>
      <c r="D7" s="115"/>
      <c r="E7" s="114" t="s">
        <v>331</v>
      </c>
      <c r="F7" s="114"/>
      <c r="G7" s="114"/>
      <c r="H7" s="114"/>
      <c r="I7" s="114"/>
      <c r="J7" s="115" t="s">
        <v>332</v>
      </c>
      <c r="K7" s="115"/>
    </row>
    <row r="8" spans="3:11" s="71" customFormat="1" ht="13.5" x14ac:dyDescent="0.3"/>
    <row r="9" spans="3:11" s="71" customFormat="1" ht="13.5" x14ac:dyDescent="0.3"/>
    <row r="10" spans="3:11" s="71" customFormat="1" ht="13.5" x14ac:dyDescent="0.3"/>
    <row r="11" spans="3:11" s="71" customFormat="1" ht="13.5" x14ac:dyDescent="0.3"/>
    <row r="12" spans="3:11" s="71" customFormat="1" ht="13.5" x14ac:dyDescent="0.3"/>
    <row r="13" spans="3:11" s="71" customFormat="1" ht="13.5" customHeight="1" x14ac:dyDescent="0.3">
      <c r="H13" s="111" t="s">
        <v>328</v>
      </c>
      <c r="I13" s="111"/>
      <c r="J13" s="111"/>
      <c r="K13" s="111"/>
    </row>
    <row r="14" spans="3:11" s="71" customFormat="1" ht="13.5" x14ac:dyDescent="0.3">
      <c r="H14" s="111"/>
      <c r="I14" s="111"/>
      <c r="J14" s="111"/>
      <c r="K14" s="111"/>
    </row>
    <row r="15" spans="3:11" s="71" customFormat="1" ht="14" x14ac:dyDescent="0.3">
      <c r="H15" s="112" t="s">
        <v>329</v>
      </c>
      <c r="I15" s="112"/>
      <c r="J15" s="112"/>
      <c r="K15" s="112"/>
    </row>
    <row r="16" spans="3:11" s="71" customFormat="1" ht="51.75" customHeight="1" x14ac:dyDescent="0.4">
      <c r="C16" s="113" t="s">
        <v>330</v>
      </c>
      <c r="D16" s="113"/>
      <c r="E16" s="114" t="s">
        <v>333</v>
      </c>
      <c r="F16" s="114"/>
      <c r="G16" s="114"/>
      <c r="H16" s="114"/>
      <c r="I16" s="114"/>
      <c r="J16" s="115" t="s">
        <v>332</v>
      </c>
      <c r="K16" s="115"/>
    </row>
  </sheetData>
  <mergeCells count="10">
    <mergeCell ref="H4:K5"/>
    <mergeCell ref="H6:K6"/>
    <mergeCell ref="C7:D7"/>
    <mergeCell ref="E7:I7"/>
    <mergeCell ref="J7:K7"/>
    <mergeCell ref="H13:K14"/>
    <mergeCell ref="H15:K15"/>
    <mergeCell ref="C16:D16"/>
    <mergeCell ref="E16:I16"/>
    <mergeCell ref="J16:K16"/>
  </mergeCells>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3</vt:i4>
      </vt:variant>
    </vt:vector>
  </HeadingPairs>
  <TitlesOfParts>
    <vt:vector size="13" baseType="lpstr">
      <vt:lpstr>Instrucciones</vt:lpstr>
      <vt:lpstr>Versionamiento</vt:lpstr>
      <vt:lpstr>ListadoCP DTA</vt:lpstr>
      <vt:lpstr>ListadoCP DPA-DTA</vt:lpstr>
      <vt:lpstr>ListadoCP DPA</vt:lpstr>
      <vt:lpstr>Casos de Prueba</vt:lpstr>
      <vt:lpstr>Devops</vt:lpstr>
      <vt:lpstr>Devops_Carga</vt:lpstr>
      <vt:lpstr>Firmas Conformidad</vt:lpstr>
      <vt:lpstr>Encabezado</vt:lpstr>
      <vt:lpstr>Instrucciones!Área_de_impresión</vt:lpstr>
      <vt:lpstr>Versionamiento!Área_de_impresión</vt:lpstr>
      <vt:lpstr>'Casos de Prueba'!Títulos_a_imprimir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PEHC819Q</dc:creator>
  <dc:description/>
  <cp:lastModifiedBy>Daniel Alejandro Robles Rodriguez</cp:lastModifiedBy>
  <cp:revision>0</cp:revision>
  <dcterms:created xsi:type="dcterms:W3CDTF">2010-09-30T14:54:59Z</dcterms:created>
  <dcterms:modified xsi:type="dcterms:W3CDTF">2026-06-12T23:37:30Z</dcterms:modified>
  <dc:language>es-MX</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0x010100F09E9EC11D07394E8148E22451318D79</vt:lpwstr>
  </property>
</Properties>
</file>