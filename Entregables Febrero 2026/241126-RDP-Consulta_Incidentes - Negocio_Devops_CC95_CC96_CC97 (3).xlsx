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aniel Robles\Documents\RDP Devops\RDP-Consulta_Incidnetes - Negocio\"/>
    </mc:Choice>
  </mc:AlternateContent>
  <xr:revisionPtr revIDLastSave="0" documentId="13_ncr:1_{92F68BBA-E196-4A1B-B42B-4E4B6EE391F3}" xr6:coauthVersionLast="47" xr6:coauthVersionMax="47" xr10:uidLastSave="{00000000-0000-0000-0000-000000000000}"/>
  <bookViews>
    <workbookView xWindow="-110" yWindow="-110" windowWidth="19420" windowHeight="10300" tabRatio="500" firstSheet="2" activeTab="3" xr2:uid="{00000000-000D-0000-FFFF-FFFF00000000}"/>
  </bookViews>
  <sheets>
    <sheet name="Instrucciones" sheetId="1" r:id="rId1"/>
    <sheet name="Versionamiento" sheetId="2" r:id="rId2"/>
    <sheet name="ListadoCP" sheetId="3" r:id="rId3"/>
    <sheet name="Casos de Prueba" sheetId="4" r:id="rId4"/>
    <sheet name="Devops" sheetId="5" r:id="rId5"/>
    <sheet name="Devops_Carga" sheetId="6" r:id="rId6"/>
    <sheet name="Firmas Conformidad" sheetId="7" r:id="rId7"/>
    <sheet name="Encabezado" sheetId="8" r:id="rId8"/>
  </sheets>
  <definedNames>
    <definedName name="_xlnm._FilterDatabase" localSheetId="3" hidden="1">'Casos de Prueba'!$O$20:$O$191</definedName>
    <definedName name="_xlnm.Print_Area" localSheetId="0">Instrucciones!$A$13:$N$30</definedName>
    <definedName name="_xlnm.Print_Area" localSheetId="1">Versionamiento!$A$12:$N$12</definedName>
    <definedName name="_xlnm.Print_Titles" localSheetId="3">'Casos de Prueba'!$1:$9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2" i="3" l="1"/>
  <c r="E39" i="5" l="1"/>
  <c r="G258"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F21" i="5"/>
  <c r="F22" i="5"/>
  <c r="F23" i="5"/>
  <c r="F24" i="5"/>
  <c r="F25" i="5"/>
  <c r="F27" i="5"/>
  <c r="F28" i="5"/>
  <c r="F29" i="5"/>
  <c r="F30" i="5"/>
  <c r="F31" i="5"/>
  <c r="F32" i="5"/>
  <c r="F34" i="5"/>
  <c r="F35" i="5"/>
  <c r="F36" i="5"/>
  <c r="F37" i="5"/>
  <c r="F38" i="5"/>
  <c r="F39" i="5"/>
  <c r="F41" i="5"/>
  <c r="F42" i="5"/>
  <c r="F43" i="5"/>
  <c r="F45" i="5"/>
  <c r="F46" i="5"/>
  <c r="F47" i="5"/>
  <c r="F49" i="5"/>
  <c r="F50" i="5"/>
  <c r="F51" i="5"/>
  <c r="F52" i="5"/>
  <c r="F53" i="5"/>
  <c r="F54" i="5"/>
  <c r="F56" i="5"/>
  <c r="F57" i="5"/>
  <c r="F58" i="5"/>
  <c r="F59" i="5"/>
  <c r="F60" i="5"/>
  <c r="F62" i="5"/>
  <c r="F63" i="5"/>
  <c r="F64" i="5"/>
  <c r="F65" i="5"/>
  <c r="F66" i="5"/>
  <c r="F68" i="5"/>
  <c r="F69" i="5"/>
  <c r="F70" i="5"/>
  <c r="F71" i="5"/>
  <c r="F72" i="5"/>
  <c r="F74" i="5"/>
  <c r="F75" i="5"/>
  <c r="F76" i="5"/>
  <c r="F77" i="5"/>
  <c r="F78" i="5"/>
  <c r="F79" i="5"/>
  <c r="F80" i="5"/>
  <c r="F81" i="5"/>
  <c r="F83" i="5"/>
  <c r="F84" i="5"/>
  <c r="F85" i="5"/>
  <c r="F86" i="5"/>
  <c r="F87" i="5"/>
  <c r="F88" i="5"/>
  <c r="F89" i="5"/>
  <c r="F90" i="5"/>
  <c r="F92" i="5"/>
  <c r="F93" i="5"/>
  <c r="F94" i="5"/>
  <c r="F95" i="5"/>
  <c r="F96" i="5"/>
  <c r="F98" i="5"/>
  <c r="F99" i="5"/>
  <c r="F100" i="5"/>
  <c r="F101" i="5"/>
  <c r="F102" i="5"/>
  <c r="F104" i="5"/>
  <c r="F105" i="5"/>
  <c r="F106" i="5"/>
  <c r="F107" i="5"/>
  <c r="F108" i="5"/>
  <c r="F109" i="5"/>
  <c r="F110" i="5"/>
  <c r="F112" i="5"/>
  <c r="F113" i="5"/>
  <c r="F114" i="5"/>
  <c r="F115" i="5"/>
  <c r="F116" i="5"/>
  <c r="F117" i="5"/>
  <c r="F118" i="5"/>
  <c r="F120" i="5"/>
  <c r="F121" i="5"/>
  <c r="F122" i="5"/>
  <c r="F123" i="5"/>
  <c r="F124" i="5"/>
  <c r="F125" i="5"/>
  <c r="F127" i="5"/>
  <c r="F128" i="5"/>
  <c r="F129" i="5"/>
  <c r="F130" i="5"/>
  <c r="F131" i="5"/>
  <c r="F133" i="5"/>
  <c r="F134" i="5"/>
  <c r="F135" i="5"/>
  <c r="F136" i="5"/>
  <c r="F137" i="5"/>
  <c r="F139" i="5"/>
  <c r="F140" i="5"/>
  <c r="F141" i="5"/>
  <c r="F142" i="5"/>
  <c r="F143" i="5"/>
  <c r="F145" i="5"/>
  <c r="F146" i="5"/>
  <c r="F147" i="5"/>
  <c r="F148" i="5"/>
  <c r="F149" i="5"/>
  <c r="F150" i="5"/>
  <c r="F151" i="5"/>
  <c r="F152" i="5"/>
  <c r="F154" i="5"/>
  <c r="F155" i="5"/>
  <c r="F156" i="5"/>
  <c r="F157" i="5"/>
  <c r="F158" i="5"/>
  <c r="F159" i="5"/>
  <c r="F160" i="5"/>
  <c r="F161" i="5"/>
  <c r="F163" i="5"/>
  <c r="F164" i="5"/>
  <c r="F165" i="5"/>
  <c r="F166" i="5"/>
  <c r="F167" i="5"/>
  <c r="F169" i="5"/>
  <c r="F170" i="5"/>
  <c r="F171" i="5"/>
  <c r="F172" i="5"/>
  <c r="F173" i="5"/>
  <c r="F175" i="5"/>
  <c r="F176" i="5"/>
  <c r="F177" i="5"/>
  <c r="F178" i="5"/>
  <c r="F179" i="5"/>
  <c r="F180" i="5"/>
  <c r="F181" i="5"/>
  <c r="F183" i="5"/>
  <c r="F184" i="5"/>
  <c r="F185" i="5"/>
  <c r="F186" i="5"/>
  <c r="F187" i="5"/>
  <c r="F188" i="5"/>
  <c r="F189" i="5"/>
  <c r="F191" i="5"/>
  <c r="F192" i="5"/>
  <c r="F193" i="5"/>
  <c r="F195" i="5"/>
  <c r="F196" i="5"/>
  <c r="F197" i="5"/>
  <c r="F198" i="5"/>
  <c r="F200" i="5"/>
  <c r="F201" i="5"/>
  <c r="F202" i="5"/>
  <c r="F203" i="5"/>
  <c r="F204" i="5"/>
  <c r="F205" i="5"/>
  <c r="F206" i="5"/>
  <c r="F208" i="5"/>
  <c r="F209" i="5"/>
  <c r="F210" i="5"/>
  <c r="F211" i="5"/>
  <c r="F212" i="5"/>
  <c r="F213" i="5"/>
  <c r="F214" i="5"/>
  <c r="F216" i="5"/>
  <c r="F217" i="5"/>
  <c r="F218" i="5"/>
  <c r="F219" i="5"/>
  <c r="F220" i="5"/>
  <c r="F221" i="5"/>
  <c r="F222" i="5"/>
  <c r="F224" i="5"/>
  <c r="F225" i="5"/>
  <c r="F226" i="5"/>
  <c r="F227" i="5"/>
  <c r="F228" i="5"/>
  <c r="F229" i="5"/>
  <c r="F230" i="5"/>
  <c r="F232" i="5"/>
  <c r="F233" i="5"/>
  <c r="F234" i="5"/>
  <c r="F235" i="5"/>
  <c r="F236" i="5"/>
  <c r="F237" i="5"/>
  <c r="F238" i="5"/>
  <c r="F240" i="5"/>
  <c r="F241" i="5"/>
  <c r="F242" i="5"/>
  <c r="F243" i="5"/>
  <c r="F244" i="5"/>
  <c r="F245" i="5"/>
  <c r="F246" i="5"/>
  <c r="F248" i="5"/>
  <c r="F249" i="5"/>
  <c r="F250" i="5"/>
  <c r="F251" i="5"/>
  <c r="F252" i="5"/>
  <c r="F254" i="5"/>
  <c r="F255" i="5"/>
  <c r="F256" i="5"/>
  <c r="F257" i="5"/>
  <c r="F258" i="5"/>
  <c r="E21" i="5"/>
  <c r="E22" i="5"/>
  <c r="E23" i="5"/>
  <c r="E24" i="5"/>
  <c r="E25" i="5"/>
  <c r="E27" i="5"/>
  <c r="E28" i="5"/>
  <c r="E29" i="5"/>
  <c r="E30" i="5"/>
  <c r="E31" i="5"/>
  <c r="E32" i="5"/>
  <c r="E34" i="5"/>
  <c r="E35" i="5"/>
  <c r="E36" i="5"/>
  <c r="E37" i="5"/>
  <c r="E38" i="5"/>
  <c r="E41" i="5"/>
  <c r="E42" i="5"/>
  <c r="E43" i="5"/>
  <c r="E45" i="5"/>
  <c r="E46" i="5"/>
  <c r="E47" i="5"/>
  <c r="E49" i="5"/>
  <c r="E50" i="5"/>
  <c r="E51" i="5"/>
  <c r="E52" i="5"/>
  <c r="E53" i="5"/>
  <c r="E54" i="5"/>
  <c r="E56" i="5"/>
  <c r="E57" i="5"/>
  <c r="E58" i="5"/>
  <c r="E59" i="5"/>
  <c r="E60" i="5"/>
  <c r="E62" i="5"/>
  <c r="E63" i="5"/>
  <c r="E64" i="5"/>
  <c r="E65" i="5"/>
  <c r="E66" i="5"/>
  <c r="E68" i="5"/>
  <c r="E69" i="5"/>
  <c r="E70" i="5"/>
  <c r="E71" i="5"/>
  <c r="E72" i="5"/>
  <c r="E74" i="5"/>
  <c r="E75" i="5"/>
  <c r="E76" i="5"/>
  <c r="E77" i="5"/>
  <c r="E78" i="5"/>
  <c r="E79" i="5"/>
  <c r="E80" i="5"/>
  <c r="E81" i="5"/>
  <c r="E83" i="5"/>
  <c r="E84" i="5"/>
  <c r="E85" i="5"/>
  <c r="E86" i="5"/>
  <c r="E87" i="5"/>
  <c r="E88" i="5"/>
  <c r="E89" i="5"/>
  <c r="E90" i="5"/>
  <c r="E92" i="5"/>
  <c r="E93" i="5"/>
  <c r="E94" i="5"/>
  <c r="E95" i="5"/>
  <c r="E96" i="5"/>
  <c r="E98" i="5"/>
  <c r="E99" i="5"/>
  <c r="E100" i="5"/>
  <c r="E101" i="5"/>
  <c r="E102" i="5"/>
  <c r="E104" i="5"/>
  <c r="E105" i="5"/>
  <c r="E106" i="5"/>
  <c r="E107" i="5"/>
  <c r="E108" i="5"/>
  <c r="E109" i="5"/>
  <c r="E110" i="5"/>
  <c r="E112" i="5"/>
  <c r="E113" i="5"/>
  <c r="E114" i="5"/>
  <c r="E115" i="5"/>
  <c r="E116" i="5"/>
  <c r="E117" i="5"/>
  <c r="E118" i="5"/>
  <c r="E120" i="5"/>
  <c r="E121" i="5"/>
  <c r="E122" i="5"/>
  <c r="E123" i="5"/>
  <c r="E124" i="5"/>
  <c r="E125" i="5"/>
  <c r="E127" i="5"/>
  <c r="E128" i="5"/>
  <c r="E129" i="5"/>
  <c r="E130" i="5"/>
  <c r="E131" i="5"/>
  <c r="E133" i="5"/>
  <c r="E134" i="5"/>
  <c r="E135" i="5"/>
  <c r="E136" i="5"/>
  <c r="E137" i="5"/>
  <c r="E139" i="5"/>
  <c r="E140" i="5"/>
  <c r="E141" i="5"/>
  <c r="E142" i="5"/>
  <c r="E143" i="5"/>
  <c r="E145" i="5"/>
  <c r="E146" i="5"/>
  <c r="E147" i="5"/>
  <c r="E148" i="5"/>
  <c r="E149" i="5"/>
  <c r="E150" i="5"/>
  <c r="E151" i="5"/>
  <c r="E152" i="5"/>
  <c r="E154" i="5"/>
  <c r="E155" i="5"/>
  <c r="E156" i="5"/>
  <c r="E157" i="5"/>
  <c r="E158" i="5"/>
  <c r="E159" i="5"/>
  <c r="E160" i="5"/>
  <c r="E161" i="5"/>
  <c r="E163" i="5"/>
  <c r="E164" i="5"/>
  <c r="E165" i="5"/>
  <c r="E166" i="5"/>
  <c r="E167" i="5"/>
  <c r="E169" i="5"/>
  <c r="E170" i="5"/>
  <c r="E171" i="5"/>
  <c r="E172" i="5"/>
  <c r="E173" i="5"/>
  <c r="E175" i="5"/>
  <c r="E176" i="5"/>
  <c r="E177" i="5"/>
  <c r="E178" i="5"/>
  <c r="E179" i="5"/>
  <c r="E180" i="5"/>
  <c r="E181" i="5"/>
  <c r="E183" i="5"/>
  <c r="E184" i="5"/>
  <c r="E185" i="5"/>
  <c r="E186" i="5"/>
  <c r="E187" i="5"/>
  <c r="E188" i="5"/>
  <c r="E189" i="5"/>
  <c r="E191" i="5"/>
  <c r="E192" i="5"/>
  <c r="E193" i="5"/>
  <c r="E195" i="5"/>
  <c r="E196" i="5"/>
  <c r="E197" i="5"/>
  <c r="E198" i="5"/>
  <c r="E200" i="5"/>
  <c r="E201" i="5"/>
  <c r="E202" i="5"/>
  <c r="E203" i="5"/>
  <c r="E204" i="5"/>
  <c r="E205" i="5"/>
  <c r="E206" i="5"/>
  <c r="E208" i="5"/>
  <c r="E209" i="5"/>
  <c r="E210" i="5"/>
  <c r="E211" i="5"/>
  <c r="E212" i="5"/>
  <c r="E213" i="5"/>
  <c r="E214" i="5"/>
  <c r="E216" i="5"/>
  <c r="E217" i="5"/>
  <c r="E218" i="5"/>
  <c r="E219" i="5"/>
  <c r="E220" i="5"/>
  <c r="E221" i="5"/>
  <c r="E222" i="5"/>
  <c r="E224" i="5"/>
  <c r="E225" i="5"/>
  <c r="E226" i="5"/>
  <c r="E227" i="5"/>
  <c r="E228" i="5"/>
  <c r="E229" i="5"/>
  <c r="E230" i="5"/>
  <c r="E232" i="5"/>
  <c r="E233" i="5"/>
  <c r="E234" i="5"/>
  <c r="E235" i="5"/>
  <c r="E236" i="5"/>
  <c r="E237" i="5"/>
  <c r="E238" i="5"/>
  <c r="E240" i="5"/>
  <c r="E241" i="5"/>
  <c r="E242" i="5"/>
  <c r="E243" i="5"/>
  <c r="E244" i="5"/>
  <c r="E245" i="5"/>
  <c r="E246" i="5"/>
  <c r="E248" i="5"/>
  <c r="E249" i="5"/>
  <c r="E250" i="5"/>
  <c r="E251" i="5"/>
  <c r="E252" i="5"/>
  <c r="E254" i="5"/>
  <c r="E255" i="5"/>
  <c r="E256" i="5"/>
  <c r="E257" i="5"/>
  <c r="E258" i="5"/>
  <c r="D261" i="5"/>
  <c r="D262" i="5"/>
  <c r="D263" i="5"/>
  <c r="D264" i="5"/>
  <c r="D240" i="5"/>
  <c r="D241" i="5"/>
  <c r="D242" i="5"/>
  <c r="D243" i="5"/>
  <c r="D244" i="5"/>
  <c r="D245" i="5"/>
  <c r="D246" i="5"/>
  <c r="D247" i="5"/>
  <c r="D248" i="5"/>
  <c r="D249" i="5"/>
  <c r="D250" i="5"/>
  <c r="D251" i="5"/>
  <c r="D252" i="5"/>
  <c r="D253" i="5"/>
  <c r="D254" i="5"/>
  <c r="D255" i="5"/>
  <c r="D256" i="5"/>
  <c r="D257" i="5"/>
  <c r="D258" i="5"/>
  <c r="D259" i="5"/>
  <c r="D26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267" i="5"/>
  <c r="D266" i="5"/>
  <c r="D265" i="5"/>
  <c r="G259" i="5" l="1"/>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B43" i="3"/>
  <c r="B47" i="3"/>
  <c r="B57" i="3"/>
  <c r="B53" i="3"/>
  <c r="B31" i="3"/>
  <c r="G20" i="5" l="1"/>
  <c r="F20" i="5"/>
  <c r="E20" i="5"/>
  <c r="D19" i="5"/>
  <c r="B19" i="3"/>
</calcChain>
</file>

<file path=xl/sharedStrings.xml><?xml version="1.0" encoding="utf-8"?>
<sst xmlns="http://schemas.openxmlformats.org/spreadsheetml/2006/main" count="1920" uniqueCount="456">
  <si>
    <r>
      <rPr>
        <b/>
        <i/>
        <sz val="10"/>
        <color rgb="FF1403EF"/>
        <rFont val="Montserrat"/>
      </rPr>
      <t xml:space="preserve">Objetivo: </t>
    </r>
    <r>
      <rPr>
        <i/>
        <sz val="10"/>
        <color rgb="FF1403EF"/>
        <rFont val="Montserrat"/>
      </rPr>
      <t>Identificar los insumos necesarios para pruebas de aceptación de usuario, a través de los casos de prueba, ambientes requeridos, especificación de los datos, cobertura de escenarios y atributos relacionados, a fin de contar con la integración de datos suficientes para la ejecución de las pruebas de la solución tecnológica con el usuario.</t>
    </r>
  </si>
  <si>
    <r>
      <rPr>
        <b/>
        <i/>
        <sz val="10"/>
        <color rgb="FF0000FF"/>
        <rFont val="Montserrat"/>
      </rPr>
      <t xml:space="preserve">Guía de Uso:
</t>
    </r>
    <r>
      <rPr>
        <i/>
        <sz val="10"/>
        <color rgb="FF0000FF"/>
        <rFont val="Montserrat"/>
      </rPr>
      <t xml:space="preserve">
1.- Las pestañas "Casos de Prueba" y "Ambientes Requeridos" serán llenadas por la Administración Central de Soluciones de Negocio (ACSN), en la Fase Análisis, Etapa Especificación Funcional.
2.- Las pestañas "Interfaz de Usuario" y "Cobertura" serán llenadas en la Fase Desarrollo por las áreas ténicas que deban participar.
En la primera también participará la ACSN en la Fase Pruebas, Etapa Pruebas Funcionales (AVL), por tema de Lineamientos Gráficos del SIAT, y para reflejar resultado de dichas pruebas.
3.- El documento está firmado por los responsables del llenado, incluyendo por el negocio cuando participa en la autorización.
4.- Si la pestaña "Casos de Prueba" incluye varias páginas, debe imprimirse sólo la página que contienen las firmas. Una vez firmado, debe digitalizarse y almacenarse en el repositorio como sustento junto con el archivo de Excel que corresponda a todo el documento.
5.- Si fuera necesario </t>
    </r>
    <r>
      <rPr>
        <b/>
        <i/>
        <sz val="10"/>
        <color rgb="FF0000FF"/>
        <rFont val="Montserrat"/>
      </rPr>
      <t>reservar</t>
    </r>
    <r>
      <rPr>
        <i/>
        <sz val="10"/>
        <color rgb="FF0000FF"/>
        <rFont val="Montserrat"/>
      </rPr>
      <t xml:space="preserve"> información generada en esta plantilla, se hará bajo lo estipulado en la Ley General de Transparencia y Acceso a la Información Pública vigente (LGTAIP), pudiendo consultar a la ACPPI para su aplicación. (Ver abajo "Nota acerca de Irformación Reservada").
6.- La aplicación de la sección de Firmas es opcional,dependiendo de las necesidades del consumidor, pero al contener temas de usuario de Negocio es importante la firma de éste.</t>
    </r>
  </si>
  <si>
    <r>
      <rPr>
        <b/>
        <i/>
        <sz val="10"/>
        <color rgb="FF0000FF"/>
        <rFont val="Montserrat"/>
      </rPr>
      <t xml:space="preserve">Nota acerca de Información Reservada
</t>
    </r>
    <r>
      <rPr>
        <i/>
        <sz val="10"/>
        <color rgb="FF0000FF"/>
        <rFont val="Montserrat"/>
      </rPr>
      <t xml:space="preserve">Es reponsabilidad de cada requisitador la identificación de la información que se genere en este formato y así determinar si se cuenta con causas que originen la reserva de la misma, apegándose estrictamente a lo señalado en los ordenamientos jurídicos vigentes en materia de Transparencia.
En caso de detectar información sensible (Reservada), se tendrá que indicar en la sección u hoja que lo amerite de este documento, en la parte inferior del texto, con la siguiente señalización:
[Área dueña de la Información </t>
    </r>
    <r>
      <rPr>
        <b/>
        <i/>
        <sz val="10"/>
        <color rgb="FF1403EF"/>
        <rFont val="Montserrat"/>
      </rPr>
      <t>XX</t>
    </r>
    <r>
      <rPr>
        <i/>
        <sz val="10"/>
        <color rgb="FF0000FF"/>
        <rFont val="Montserrat"/>
      </rPr>
      <t xml:space="preserve">, clasificada como Reservada con Fundamento Legal </t>
    </r>
    <r>
      <rPr>
        <b/>
        <i/>
        <sz val="10"/>
        <color rgb="FF0000FF"/>
        <rFont val="Montserrat"/>
      </rPr>
      <t>XX</t>
    </r>
    <r>
      <rPr>
        <i/>
        <sz val="10"/>
        <color rgb="FF0000FF"/>
        <rFont val="Montserrat"/>
      </rPr>
      <t xml:space="preserve">, Motivación </t>
    </r>
    <r>
      <rPr>
        <b/>
        <i/>
        <sz val="10"/>
        <color rgb="FF0000FF"/>
        <rFont val="Montserrat"/>
      </rPr>
      <t>XX</t>
    </r>
    <r>
      <rPr>
        <i/>
        <sz val="10"/>
        <color rgb="FF0000FF"/>
        <rFont val="Montserrat"/>
      </rPr>
      <t xml:space="preserve">, Fecha de clasificación </t>
    </r>
    <r>
      <rPr>
        <b/>
        <i/>
        <sz val="10"/>
        <color rgb="FF0000FF"/>
        <rFont val="Montserrat"/>
      </rPr>
      <t>XX</t>
    </r>
    <r>
      <rPr>
        <i/>
        <sz val="10"/>
        <color rgb="FF0000FF"/>
        <rFont val="Montserrat"/>
      </rPr>
      <t xml:space="preserve"> y Periodo de la reserva </t>
    </r>
    <r>
      <rPr>
        <b/>
        <i/>
        <sz val="10"/>
        <color rgb="FF0000FF"/>
        <rFont val="Montserrat"/>
      </rPr>
      <t>XX</t>
    </r>
    <r>
      <rPr>
        <i/>
        <sz val="10"/>
        <color rgb="FF0000FF"/>
        <rFont val="Montserrat"/>
      </rPr>
      <t xml:space="preserve">].
</t>
    </r>
    <r>
      <rPr>
        <b/>
        <i/>
        <sz val="10"/>
        <color rgb="FF0000FF"/>
        <rFont val="Montserrat"/>
      </rPr>
      <t>Ejemplo</t>
    </r>
    <r>
      <rPr>
        <i/>
        <sz val="10"/>
        <color rgb="FF0000FF"/>
        <rFont val="Montserrat"/>
      </rPr>
      <t>: "La información contenida en este documento pertenece a la Administración Central de Soluciones de Negocio, teniendo carácter de Reservada a partir del 01 de abril de 2018, con un periodo de reserva de 5 años, por tratarse de información que de revelarse puede causar un serio perjuicio a la recaudación de las contribuciones. Lo anterior tiene su fundamento en el artículo 113, fracción IV, de la Ley General de Transparencia y Acceso a la Información Pública."</t>
    </r>
  </si>
  <si>
    <t>Hoja</t>
  </si>
  <si>
    <t>Descripción</t>
  </si>
  <si>
    <t>Casos de Prueba</t>
  </si>
  <si>
    <t xml:space="preserve">Esta hoja se utiliza para la documentación detallada de los casos de pruebas que serán utilizados en la ejecución de pruebas. </t>
  </si>
  <si>
    <t>Registra varios casos de prueba, con la finalidad de agrupar en un solo documento una cantidad suficiente de casos que pueda ser aprovechada para la importación de casos de prueba en alguna herramienta automatizada, o bien, para obtener de ella la información de casos de prueba.
También se utiliza para especificar los elementos donde se emplearán los datos (Datos de Prueba)</t>
  </si>
  <si>
    <t>Criterios de Aceptación</t>
  </si>
  <si>
    <r>
      <rPr>
        <i/>
        <sz val="10"/>
        <color rgb="FF0000FF"/>
        <rFont val="Montserrat"/>
      </rPr>
      <t xml:space="preserve">• El documento es utilizado de acuerdo al formato establecido.
El documento cumple con el Marco Documental vigente.
• El documento no contiene faltas de ortografía.
• Cuando no se llene un renglón-columna, se deberá especificar el motivo por el cual no se registra la información, conteniendo al menos un "N/A". Ningún campo debe estar vacío.
</t>
    </r>
    <r>
      <rPr>
        <sz val="10"/>
        <color rgb="FF0000FF"/>
        <rFont val="Montserrat"/>
      </rPr>
      <t>●</t>
    </r>
    <r>
      <rPr>
        <i/>
        <sz val="10"/>
        <color rgb="FF0000FF"/>
        <rFont val="Montserrat"/>
      </rPr>
      <t xml:space="preserve">No se combinan celdas (exceptuando la sección de firmas)
</t>
    </r>
    <r>
      <rPr>
        <sz val="10"/>
        <color rgb="FF0000FF"/>
        <rFont val="Montserrat"/>
      </rPr>
      <t>●</t>
    </r>
    <r>
      <rPr>
        <i/>
        <sz val="10"/>
        <color rgb="FF0000FF"/>
        <rFont val="Montserrat"/>
      </rPr>
      <t xml:space="preserve">No incluye fórmulas en ningún renglón-columna
• El documento describe detalladamente paso a paso las actividades a seguir para la validación de requerimientos del sistema.
• El documento describe en cada paso una acción y una respuesta esperada que puede ser evaluada. 
El documento está firmado por los responsables del llenado, incluyendo por el negocio cuando participa en la autorización.
</t>
    </r>
  </si>
  <si>
    <t>Ambientes Requeridos</t>
  </si>
  <si>
    <t>Registra elementos de información sobre repositorios y ambientes necesarios para las pruebas y sus características, relacionadas con criterios que debe cubrir la información que se requiere para las pruebas; cantidad de datos requeridos para la ejecución de la prueba; datos o campos solicitados; condiciones que se deben cubrir para la extracción de datos y comentarios adicionales.</t>
  </si>
  <si>
    <t xml:space="preserve">* El documento es utilizado de acuerdo al formato establecido.
* El documento cumple con el Marco Documental vigente.
* El documento no contiene faltas de ortografía.
* Cuando no se llene un renglón-columna, se deberá especificar el motivo por el cual no se registra la información, conteniendo al menos un "N/A". Ningún campo debe estar vacío.
* El documento está firmado por los responsables del llenado, incluyendo por el negocio cuando participa en la autorización.
</t>
  </si>
  <si>
    <t>Interfaz de Usuario</t>
  </si>
  <si>
    <t>Esta hoja aplica por la naturaleza de la solución tecnológica integrada que haya sido requerida. Se utiliza para validar que se cumplan los criterios definidos para la Interfaz de Usuario, incluyendo la aplicación y verificación de los Lineamientos Gráficos del SIAT, cuando sea el caso.</t>
  </si>
  <si>
    <t>Se detallan los puntos a validar de interfaz de usuario (interfaz gráfica) de las aplicaciones, como encabezados, pie de página, colores, alineación, etiquetas, listas desplegables, áreas de búsqueda, etc, etc.</t>
  </si>
  <si>
    <t>• El documento es utilizado de acuerdo al formato establecido.
• El documento no contiene faltas de ortografía.
• Cuando no se llene un renglón-columna, se deberá especificar el motivo por el cual no se registra la información.
• Cada una de las características consideradas en esta pestaña estarán asociadas al contenido del artefacto "Especificación de Interacción de Usuario", en caso de ajustes o situaciones que expongan desviación al documento en comento, deberá ajustarse.
• Cada defecto detectado deberá registrarse en la herramienta correspondiente para su atención y cierre.</t>
  </si>
  <si>
    <t>Cobertura</t>
  </si>
  <si>
    <t>Esta hoja se utiliza para identificar y detallar la cobertura de la prueba basada en complejidad ciclomática, para asegurar que se diseñen tantos casos de prueba como sean necesarios para que cada condición se ejecute al menos una vez con un valor verdadero, y al menos una vez uno falso.</t>
  </si>
  <si>
    <t>• El documento es utilizado de acuerdo al formato establecido.
• El documento no contiene faltas de ortografía.
• Cuando no se llene un renglón-columna, se deberá especificar el motivo por el cual no se registra la información.
• El documento describe detalladamente los escenarios de prueba necesarios para que cada condición se ejecute al menos una vez con un valor verdadero y al menos una vez uno falso.</t>
  </si>
  <si>
    <t>Encabezado_Imagen</t>
  </si>
  <si>
    <r>
      <rPr>
        <sz val="10"/>
        <rFont val="Montserrat"/>
      </rPr>
      <t xml:space="preserve">En artefactos </t>
    </r>
    <r>
      <rPr>
        <b/>
        <sz val="10"/>
        <rFont val="Montserrat"/>
      </rPr>
      <t>tipo Excel</t>
    </r>
    <r>
      <rPr>
        <sz val="10"/>
        <rFont val="Montserrat"/>
      </rPr>
      <t xml:space="preserve">, la inserción del </t>
    </r>
    <r>
      <rPr>
        <b/>
        <sz val="10"/>
        <rFont val="Montserrat"/>
      </rPr>
      <t>Encabezado como imagen</t>
    </r>
    <r>
      <rPr>
        <sz val="10"/>
        <rFont val="Montserrat"/>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del Encabezado del artefacto.
Si ese fuera el caso, en esta hoja puede configurarse el Encabezado del artefacto y después insertarlo como imagen en cualquier otra sección del mismo, siguiendo las instrucciones allí descritas.</t>
    </r>
  </si>
  <si>
    <t>Firmas Conformidad_Imagen</t>
  </si>
  <si>
    <r>
      <rPr>
        <sz val="10"/>
        <rFont val="Montserrat"/>
      </rPr>
      <t xml:space="preserve">En artefactos </t>
    </r>
    <r>
      <rPr>
        <b/>
        <sz val="10"/>
        <rFont val="Montserrat"/>
      </rPr>
      <t>tipo</t>
    </r>
    <r>
      <rPr>
        <sz val="10"/>
        <rFont val="Montserrat"/>
      </rPr>
      <t xml:space="preserve"> </t>
    </r>
    <r>
      <rPr>
        <b/>
        <sz val="10"/>
        <rFont val="Montserrat"/>
      </rPr>
      <t>Excel</t>
    </r>
    <r>
      <rPr>
        <sz val="10"/>
        <rFont val="Montserrat"/>
      </rPr>
      <t>, la inserción de la</t>
    </r>
    <r>
      <rPr>
        <b/>
        <sz val="10"/>
        <rFont val="Montserrat"/>
      </rPr>
      <t xml:space="preserve"> Sección</t>
    </r>
    <r>
      <rPr>
        <sz val="10"/>
        <rFont val="Montserrat"/>
      </rPr>
      <t xml:space="preserve"> </t>
    </r>
    <r>
      <rPr>
        <b/>
        <sz val="10"/>
        <rFont val="Montserrat"/>
      </rPr>
      <t>FIRMAS DE CONFORMIDAD como imagen</t>
    </r>
    <r>
      <rPr>
        <sz val="10"/>
        <rFont val="Montserrat"/>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 la sección de firmas localizada en la parte inferior del artefacto.
Si ese fuera el caso, en esta hoja puede capturarse la información de las personas que participan en la elaboración y aprobación del artefacto, y después insertarla como imagen en cualquier otra sección del documento, siguiendo los pasos que allí se describen.
</t>
    </r>
  </si>
  <si>
    <t>Tabla de Versiones y Modificaciones</t>
  </si>
  <si>
    <t>En la tabla siguiente se deben listar las versiones y descripciones hechas a este documento, desde el momento de su creación y cada vez que se llene y/o actualice alguna de sus pestañas. La descripción debe incluir una síntesis del cambio hecho.</t>
  </si>
  <si>
    <t>Para la Versión, especificar un número entero consecutivo, iniciando con 1 para la creación del documento e incrementar en decimales conforme se actualice (1.1, 1.2, 1.3, Etc.). Al terminarlo, especificar la versión final para firma, en caso necesario.</t>
  </si>
  <si>
    <t>Para futuros proyectos donde este documento se reutilice, el versionamiento reiniciará en versión 2, incrementando las actualizaciones igualmente con decimales (2.1, 2.2, 2.3, etc.). Posteriores reutilizaciones iniciarían entonces con versión 3, 4, etc.</t>
  </si>
  <si>
    <t>Versión</t>
  </si>
  <si>
    <t>Descripción del Cambio</t>
  </si>
  <si>
    <t>Responsable de la Versión</t>
  </si>
  <si>
    <t>Fecha</t>
  </si>
  <si>
    <t>0.1</t>
  </si>
  <si>
    <t xml:space="preserve">Creación del documento. </t>
  </si>
  <si>
    <t xml:space="preserve">Alma Quetzabeth Torres González </t>
  </si>
  <si>
    <t>0.2</t>
  </si>
  <si>
    <t>Ajustes
Se agregar "Recuperar descargas Detalle de consulta de incidencias"</t>
  </si>
  <si>
    <t>1</t>
  </si>
  <si>
    <t>Versión aprobada para firma</t>
  </si>
  <si>
    <t>Alma Quetzabeth Torres González 
Mario Alberto Huerta Velázquez 
Roberto Benjamín Monroy Vargas</t>
  </si>
  <si>
    <t>Portal Consulta de Incidentes</t>
  </si>
  <si>
    <t>1.- Seguridad</t>
  </si>
  <si>
    <t>CP01/Autenticación</t>
  </si>
  <si>
    <t>CP02/Autenticación_Cer_Key_Incorrecto</t>
  </si>
  <si>
    <t>CP03/Autenticación_Contraseña_Incorrecto</t>
  </si>
  <si>
    <t xml:space="preserve">CP04/Inactividad </t>
  </si>
  <si>
    <t>CP05/Salir</t>
  </si>
  <si>
    <t xml:space="preserve">2.- CFDI - Consulta incidentes CFDI - Incidentes Servicio de Recepción </t>
  </si>
  <si>
    <t>CP06/FolioFiscalConsulta</t>
  </si>
  <si>
    <t>CP07/MsgErrorConsultaCFDIVacio</t>
  </si>
  <si>
    <t>CP08/MsgErrorConsultaCFDIFormatoIncorrecto</t>
  </si>
  <si>
    <t>CP09/MsgErrorConsultaCFDIRetenciones</t>
  </si>
  <si>
    <t>CP10/FolioFiscalExportarPDF</t>
  </si>
  <si>
    <t>CP11/FolioFiscalExportarJSON</t>
  </si>
  <si>
    <t>CP12/FechaConsulta</t>
  </si>
  <si>
    <t>CP13/FechaMsgErrorConsultaRangoFecha</t>
  </si>
  <si>
    <t xml:space="preserve">3.- CFDI RETENCIONES - Consulta incidentes CFDI - Incidentes Servicio de Recepción </t>
  </si>
  <si>
    <t>4.- Recuperar descargas Detalle de consulta de incidencias’</t>
  </si>
  <si>
    <t>Código del Aplicativo:</t>
  </si>
  <si>
    <t>ID de Requerimiento:</t>
  </si>
  <si>
    <t>Nombre de Requerimiento:</t>
  </si>
  <si>
    <t>Consulta de incidentes registrado en recepción</t>
  </si>
  <si>
    <t>[Fase: Análisis] [Etapa: Especificación Funcional] (ACSN)</t>
  </si>
  <si>
    <t>ID del Caso</t>
  </si>
  <si>
    <t>CP</t>
  </si>
  <si>
    <t xml:space="preserve">Nombre del Caso </t>
  </si>
  <si>
    <t xml:space="preserve">Paso </t>
  </si>
  <si>
    <t>Descripción de Paso</t>
  </si>
  <si>
    <t>Resultado Esperado</t>
  </si>
  <si>
    <t xml:space="preserve">Comentarios </t>
  </si>
  <si>
    <t>Perfil de usuario para su ejecución</t>
  </si>
  <si>
    <t>Datos de Prueba</t>
  </si>
  <si>
    <t>Resultado</t>
  </si>
  <si>
    <t>CP01</t>
  </si>
  <si>
    <t>/Autenticación</t>
  </si>
  <si>
    <t>POL_8211\Recepción_Consulta_Incidentes_CFDI</t>
  </si>
  <si>
    <t>Usuario abre explorador</t>
  </si>
  <si>
    <t xml:space="preserve">Contribuyente
</t>
  </si>
  <si>
    <t>e.firma vigentes</t>
  </si>
  <si>
    <t>Usuario ingresa a la URL correspondiente al Portal</t>
  </si>
  <si>
    <t>Se muestran los datos para ingresar:
Certificado (.cer)
Clave privada (.Key)
Contraseña de clave privada: 
Se muestra el campo RFC</t>
  </si>
  <si>
    <t xml:space="preserve">Se requiere que el usuario al ingresar al aplicativo cuente con una opción que le permita autenticarse mediante su e.firma para lo cual:
•	Se deberá visualizar el componente para el firmado electrónico, el cual debe apegarse a los lineamientos institucionales vigentes por el área de Seguridad del SAT. 
•	Se solicitarán los archivos del certificado, clave privada y contraseña vigentes.
•	Se mostrarán los mensajes de validación de los campos proporcionados por el empleado conforme a los lineamientos institucionales vigentes por el área de Seguridad del SAT. </t>
  </si>
  <si>
    <t>El Usuario de negocio debe tener asignado el rol</t>
  </si>
  <si>
    <t>Usuario da clic en buscar y selecciona el archivo correspondiente a su certificado</t>
  </si>
  <si>
    <t>Se muestra el dato en el  campo certificado y en el campo RFC el dato del RFC del empleado</t>
  </si>
  <si>
    <t>Usuario da clic en buscar y selecciona el archivo correspondiente a su clave privada</t>
  </si>
  <si>
    <t>Se muestra el dato en el campo clave privada</t>
  </si>
  <si>
    <t>Usuario ingresa su contraseña</t>
  </si>
  <si>
    <t>Se muestra oculto el dato en el campo contraseña</t>
  </si>
  <si>
    <t>Da clic en enviar</t>
  </si>
  <si>
    <t xml:space="preserve">En caso de que el empleado no cuente con los permisos asignados conforme a los roles establecidos, el aplicativo mostrará el mensaje: “El Usuario no cuenta con los privilegios de acceso” y no se va a permitir su acceso. </t>
  </si>
  <si>
    <t>CP02</t>
  </si>
  <si>
    <t>/Autenticación_Cer_Key_Incorrecto</t>
  </si>
  <si>
    <r>
      <rPr>
        <sz val="10"/>
        <rFont val="Montserrat"/>
      </rPr>
      <t xml:space="preserve">El Usuario de negocio debe tener asignado el rol
</t>
    </r>
    <r>
      <rPr>
        <b/>
        <sz val="10"/>
        <rFont val="Montserrat"/>
      </rPr>
      <t>Para  efectos de este caso de prueba se requiere un archivo .cer o un archivo .Key sean incorrectos.</t>
    </r>
  </si>
  <si>
    <t xml:space="preserve">El Usuario previamente se autenticó  y accedió al portal </t>
  </si>
  <si>
    <t>El sistema muestra mensaje: El certificado no corresponde con la llave privada. Y no permite el acceso al Portal de Incidentes</t>
  </si>
  <si>
    <t>CP03</t>
  </si>
  <si>
    <t>/Autenticación_Contraseña_Incorrecto</t>
  </si>
  <si>
    <r>
      <rPr>
        <sz val="10"/>
        <rFont val="Montserrat"/>
      </rPr>
      <t xml:space="preserve">El Usuario de negocio debe tener asignado el rol
</t>
    </r>
    <r>
      <rPr>
        <b/>
        <sz val="10"/>
        <rFont val="Montserrat"/>
      </rPr>
      <t>Para  efectos de este caso de prueba se requiere ingresar una contraseña incorrecta.</t>
    </r>
  </si>
  <si>
    <t>Usuario ingresa su contraseña incorrecta</t>
  </si>
  <si>
    <t>El sistema muestra mensaje: Certificado, clave privada o contraseña de clave privada inválidos, inténtelo nuevamente.</t>
  </si>
  <si>
    <t>CP04</t>
  </si>
  <si>
    <t xml:space="preserve">/Inactividad </t>
  </si>
  <si>
    <t xml:space="preserve">Usuario ingresa al Portal de Incidentes </t>
  </si>
  <si>
    <t>El sistema muestra las siguientes opciones:
- Consulta incidentes CFDI
- Consulta incidentes CFDI Retenciones
-Recuperar descargas Detalle de consulta de incidencias’</t>
  </si>
  <si>
    <t>El Usuario previamente se autenticó  y accedió al portal de Incidentes</t>
  </si>
  <si>
    <t xml:space="preserve">Contribuyente
RFC Autenticado
</t>
  </si>
  <si>
    <t>e.firma vigentes
El Usuario de negocio debe tener asignado el rol
Comprobante Fiscal CFDI versión 4.0</t>
  </si>
  <si>
    <t>Da clic en "Consulta incidentes CFDI"</t>
  </si>
  <si>
    <t xml:space="preserve">Dejar la sesión abierta </t>
  </si>
  <si>
    <t>CP05</t>
  </si>
  <si>
    <t>/Salir</t>
  </si>
  <si>
    <t>El Usuario previamente se autenticó  y accedió al portal de Cancelaciones</t>
  </si>
  <si>
    <t xml:space="preserve">RFC Autenticado
</t>
  </si>
  <si>
    <t>Comprobante Fiscal CFDI versión 4.0</t>
  </si>
  <si>
    <t>Cierra la sesión del RFC</t>
  </si>
  <si>
    <t>CP06</t>
  </si>
  <si>
    <t>/FolioFiscalConsulta</t>
  </si>
  <si>
    <r>
      <rPr>
        <sz val="10"/>
        <rFont val="Montserrat"/>
      </rPr>
      <t xml:space="preserve">e.firma vigentes
El Usuario de negocio debe tener asignado el rol
</t>
    </r>
    <r>
      <rPr>
        <b/>
        <sz val="10"/>
        <rFont val="Montserrat"/>
      </rPr>
      <t>Para este caso de prueba se requiere un Comprobante Fiscal CFDI versión 4.0</t>
    </r>
  </si>
  <si>
    <t>Selecciona en el campo "Tipo de Consulta":
Incidentes Servicio de Recepción</t>
  </si>
  <si>
    <t>Selecciona el campo Folio Fiscal e ingresa el UUID del comprobante del cual se desea conocer los incidentes registrados</t>
  </si>
  <si>
    <t>El sistema muestra los datos que se van ingresando</t>
  </si>
  <si>
    <t>Se da clic en el botón "Consultar Incidentes"</t>
  </si>
  <si>
    <t>Fin del caso</t>
  </si>
  <si>
    <t>CP07</t>
  </si>
  <si>
    <t>/MsgErrorConsultaCFDIVacio</t>
  </si>
  <si>
    <r>
      <rPr>
        <sz val="10"/>
        <rFont val="Montserrat"/>
      </rPr>
      <t xml:space="preserve">e.firma vigentes
El Usuario de negocio debe tener asignado el rol
</t>
    </r>
    <r>
      <rPr>
        <b/>
        <sz val="10"/>
        <rFont val="Montserrat"/>
      </rPr>
      <t>Para este caso de prueba no se ingresa un Comprobante Fiscal CFDI versión 4.0</t>
    </r>
  </si>
  <si>
    <t>Se da clic en el botón "Consultar Incidentes"
Nota: Para este caso de prueba no se ingresa el valor del Folio Fiscal</t>
  </si>
  <si>
    <t>CP08</t>
  </si>
  <si>
    <t>/MsgErrorConsultaCFDIFormatoIncorrecto</t>
  </si>
  <si>
    <r>
      <rPr>
        <sz val="10"/>
        <rFont val="Montserrat"/>
      </rPr>
      <t xml:space="preserve">e.firma vigentes
El Usuario de negocio debe tener asignado el rol
</t>
    </r>
    <r>
      <rPr>
        <b/>
        <sz val="10"/>
        <rFont val="Montserrat"/>
      </rPr>
      <t>Para este caso de prueba  se ingresa un Comprobante Fiscal CFDI versión 4.0 con formato incorrecto</t>
    </r>
  </si>
  <si>
    <t>Selecciona el campo Folio Fiscal e ingresa el UUID del comprobante el cual no cumple con la estructura  y selecciona la opción "Consultar Incidentes".</t>
  </si>
  <si>
    <t>CP09</t>
  </si>
  <si>
    <t>/MsgErrorConsultaCFDIRetenciones</t>
  </si>
  <si>
    <r>
      <rPr>
        <sz val="10"/>
        <rFont val="Montserrat"/>
      </rPr>
      <t xml:space="preserve">e.firma vigentes
El Usuario de negocio debe tener asignado el rol
</t>
    </r>
    <r>
      <rPr>
        <b/>
        <sz val="10"/>
        <rFont val="Montserrat"/>
      </rPr>
      <t>Para esta prueba se requiere un Comprobante Fiscal CFDI de Retenciones versión 2.0</t>
    </r>
  </si>
  <si>
    <r>
      <rPr>
        <sz val="10"/>
        <rFont val="Montserrat"/>
      </rPr>
      <t>Selecciona el campo Folio Fiscal e ingresa el UUID del comprobante y es de tipo</t>
    </r>
    <r>
      <rPr>
        <b/>
        <sz val="10"/>
        <rFont val="Montserrat"/>
      </rPr>
      <t xml:space="preserve"> CFDI de  Retenciones</t>
    </r>
    <r>
      <rPr>
        <sz val="10"/>
        <rFont val="Montserrat"/>
      </rPr>
      <t xml:space="preserve">  y selecciona la opción "Consultar Incidentes".</t>
    </r>
  </si>
  <si>
    <t>CP10</t>
  </si>
  <si>
    <t>/FolioFiscalExportarPDF</t>
  </si>
  <si>
    <r>
      <rPr>
        <sz val="10"/>
        <rFont val="Montserrat"/>
      </rPr>
      <t>Dar clic en el botón "</t>
    </r>
    <r>
      <rPr>
        <b/>
        <sz val="10"/>
        <rFont val="Montserrat"/>
      </rPr>
      <t>Exportar Detalle a PDF</t>
    </r>
    <r>
      <rPr>
        <sz val="10"/>
        <rFont val="Montserrat"/>
      </rPr>
      <t>"</t>
    </r>
  </si>
  <si>
    <t>CP11</t>
  </si>
  <si>
    <t>/FolioFiscalExportarJSON</t>
  </si>
  <si>
    <t>Dar clic en el botón "Exportar Resultados a JSON"</t>
  </si>
  <si>
    <t>CP12</t>
  </si>
  <si>
    <t>/FechaConsulta</t>
  </si>
  <si>
    <r>
      <rPr>
        <sz val="10"/>
        <rFont val="Montserrat"/>
      </rPr>
      <t xml:space="preserve">e.firma vigentes
El Usuario de negocio debe tener asignado el rol
</t>
    </r>
    <r>
      <rPr>
        <b/>
        <sz val="10"/>
        <rFont val="Montserrat"/>
      </rPr>
      <t>Para este caso de prueba se requiere uno o más comprobantes Fiscal CFDI versión 4.0</t>
    </r>
  </si>
  <si>
    <t xml:space="preserve">Importante mencionar que, el resultado se debe agrupar por tipo de error y presentarse de forma general, 
</t>
  </si>
  <si>
    <t>CP13</t>
  </si>
  <si>
    <t>/FechaMsgErrorConsultaRangoFecha</t>
  </si>
  <si>
    <r>
      <rPr>
        <sz val="10"/>
        <rFont val="Montserrat"/>
      </rPr>
      <t xml:space="preserve">e.firma vigentes
El Usuario de negocio debe tener asignado el rol.
</t>
    </r>
    <r>
      <rPr>
        <b/>
        <sz val="10"/>
        <rFont val="Montserrat"/>
      </rPr>
      <t>Comprobante Fiscal CFDI versión 4.0</t>
    </r>
  </si>
  <si>
    <r>
      <rPr>
        <sz val="10"/>
        <rFont val="Montserrat"/>
      </rPr>
      <t xml:space="preserve">Cuando se ingrese un rango de fechas mayor a un mes y se seleccione el botón “Consultar Incidentes”, el aplicativo deberá mostrar el siguiente mensaje de error: 
•	</t>
    </r>
    <r>
      <rPr>
        <b/>
        <sz val="10"/>
        <rFont val="Montserrat"/>
      </rPr>
      <t>“ERROR: La consulta no debe ser mayor a un mes”</t>
    </r>
    <r>
      <rPr>
        <sz val="10"/>
        <rFont val="Montserrat"/>
      </rPr>
      <t xml:space="preserve">.
</t>
    </r>
  </si>
  <si>
    <t>Importante mencionar que, el resultado se debe agrupar por tipo de error y presentarse de forma general, 
Campo "Versión del comprobante" por default tiene el valor 4.0 
Al seleccionar el botón para la consulta por periodo de fecha de emisión, se debe deshabilitar el campo correspondiente a la consulta de Folio Fiscal.
La consulta por fecha no deberá ser mayor a un mes. Por defecto, el valor que se mostrará en ambas fechas será del día en que el usuario de negocio ingresa al sistema.</t>
  </si>
  <si>
    <t>CP14</t>
  </si>
  <si>
    <t>CP15</t>
  </si>
  <si>
    <t>/FechaExportarPDF</t>
  </si>
  <si>
    <t>El orden de los registros es ordenada por el valor del campo “Fecha de registro del incidente” del más reciente a los más antiguos.</t>
  </si>
  <si>
    <t>CP16</t>
  </si>
  <si>
    <t>/FechaExportarJSON</t>
  </si>
  <si>
    <t xml:space="preserve">Importante mencionar que, el resultado se debe agrupar por tipo de error y presentarse de forma general, 
</t>
  </si>
  <si>
    <t>CP17</t>
  </si>
  <si>
    <t>/Retenciones/FolioFiscalConsulta</t>
  </si>
  <si>
    <t>POL_8211\Recepción_Consulta_Incidentes_CFDI_Retenciones</t>
  </si>
  <si>
    <t>Da clic en "Consulta Incidentes CFDI Retenciones"</t>
  </si>
  <si>
    <t>CP18</t>
  </si>
  <si>
    <t>/Retenciones/MsgErrorConsultaCFDIRetVacio</t>
  </si>
  <si>
    <t>Se da clic en el botón "Consultar Incidentes"
Nota: Para este caso de prueba no se ingresa el Folio Fiscal</t>
  </si>
  <si>
    <t>CP19</t>
  </si>
  <si>
    <t>/Retenciones/MsgErrorConsultaCFDIRetFormatoIncorrecto</t>
  </si>
  <si>
    <t>CP20</t>
  </si>
  <si>
    <t>/MsgErrorConsultaCFDIv4.0</t>
  </si>
  <si>
    <t>CP21</t>
  </si>
  <si>
    <t>/Retenciones/FolioFiscalExportarPDF</t>
  </si>
  <si>
    <t>CP22</t>
  </si>
  <si>
    <t>/Retenciones/FolioFiscalExportarJSON</t>
  </si>
  <si>
    <t>CP23</t>
  </si>
  <si>
    <t>/Retenciones/FechaConsulta</t>
  </si>
  <si>
    <t>CP24</t>
  </si>
  <si>
    <t>/Retenciones/FechaMsgErrorConsultaRangoFecha</t>
  </si>
  <si>
    <t>CP25</t>
  </si>
  <si>
    <t>CP26</t>
  </si>
  <si>
    <t>/Retenciones/FechaExportarPDF</t>
  </si>
  <si>
    <t>CP27</t>
  </si>
  <si>
    <t>/Retenciones/FechaExportarJSON</t>
  </si>
  <si>
    <t>/Recuperar descargas/Sin Peticiones</t>
  </si>
  <si>
    <t>/Recuperar descargas Detalle de consulta de incidencias/Descargar/Sin Peticiones</t>
  </si>
  <si>
    <t xml:space="preserve">e.firma vigentes
Firma Electrónica del Usuario.
El Usuario de negocio debe tener asignado el rol
</t>
  </si>
  <si>
    <t>Da clic en "Recuperar descargas Detalle de consulta de incidencias’"</t>
  </si>
  <si>
    <t>El sistema valida si hay peticiones pendientes. En caso de no existir peticiones en proceso deberá arrojar el siguiente mensaje: “No existen registros de descargas desde los últimos 3 días a la fecha.”</t>
  </si>
  <si>
    <t>/Recuperar descargas/Con Archivos</t>
  </si>
  <si>
    <t>/Recuperar descargas Detalle de consulta de incidencias/Descargar/Con Archivos</t>
  </si>
  <si>
    <t xml:space="preserve">Este paquete se generará únicamente para los registros de incidencias que superaron el límite de descarga de 100 registros.
</t>
  </si>
  <si>
    <t>Seleccionar registro y dar clic "Descargar Paquete"</t>
  </si>
  <si>
    <t>El sistema realiza la descarga de los archivos PDF o JASON</t>
  </si>
  <si>
    <t>Test Case</t>
  </si>
  <si>
    <t>Work Item type</t>
  </si>
  <si>
    <t>Title</t>
  </si>
  <si>
    <t>Step Action</t>
  </si>
  <si>
    <t>Step expected</t>
  </si>
  <si>
    <t>CP01-/Autenticación</t>
  </si>
  <si>
    <t xml:space="preserve">
</t>
  </si>
  <si>
    <t xml:space="preserve">Se muestran los datos para ingresar:
Certificado (.cer)
Clave privada (.Key)
Contraseña de clave privada: 
Se muestra el campo RFC
Se requiere que el usuario al ingresar al aplicativo cuente con una opción que le permita autenticarse mediante su e.firma para lo cual:
•	Se deberá visualizar el componente para el firmado electrónico, el cual debe apegarse a los lineamientos institucionales vigentes por el área de Seguridad del SAT. 
•	Se solicitarán los archivos del certificado, clave privada y contraseña vigentes.
•	Se mostrarán los mensajes de validación de los campos proporcionados por el empleado conforme a los lineamientos institucionales vigentes por el área de Seguridad del SAT. </t>
  </si>
  <si>
    <t xml:space="preserve">Se muestra el dato en el  campo certificado y en el campo RFC el dato del RFC del empleado
</t>
  </si>
  <si>
    <t xml:space="preserve">Se muestra el dato en el campo clave privada
</t>
  </si>
  <si>
    <t xml:space="preserve">Se muestra oculto el dato en el campo contraseña
</t>
  </si>
  <si>
    <t>CP02-/Autenticación_Cer_Key_Incorrecto</t>
  </si>
  <si>
    <t xml:space="preserve">Se muestran los datos para ingresar:
Certificado (.cer)
Clave privada (.Key)
Contraseña de clave privada: 
Se muestra el campo RFC
</t>
  </si>
  <si>
    <t xml:space="preserve">Se muestra el dato en el  campo certificado y en el campo RFC el dato del RFC del empleado
El Usuario previamente se autenticó  y accedió al portal </t>
  </si>
  <si>
    <t>CP03-/Autenticación_Contraseña_Incorrecto</t>
  </si>
  <si>
    <t xml:space="preserve">CP04-/Inactividad </t>
  </si>
  <si>
    <t>El sistema muestra las siguientes opciones:
- Consulta incidentes CFDI
- Consulta incidentes CFDI Retenciones
-Recuperar descargas Detalle de consulta de incidencias’
El Usuario previamente se autenticó  y accedió al portal de Incidentes</t>
  </si>
  <si>
    <t>CP05-/Salir</t>
  </si>
  <si>
    <t xml:space="preserve">Cierra la sesión del RFC
</t>
  </si>
  <si>
    <t>CP06-/FolioFiscalConsulta</t>
  </si>
  <si>
    <t xml:space="preserve">El sistema muestra los datos que se van ingresando
</t>
  </si>
  <si>
    <t>Cierra la sesión del RFC
Fin del caso</t>
  </si>
  <si>
    <t>CP07-/MsgErrorConsultaCFDIVacio</t>
  </si>
  <si>
    <t xml:space="preserve">El aplicativo muestra el siguiente mensaje
 “ERROR: Favor de ingresar el folio fiscal”.
</t>
  </si>
  <si>
    <t>CP08-/MsgErrorConsultaCFDIFormatoIncorrecto</t>
  </si>
  <si>
    <t xml:space="preserve">El aplicativo muestra el siguiente mensaje: 
•	“ERROR: El Folio Fiscal no cumple con el formato correcto, favor de ingresarlo nuevamente”.
</t>
  </si>
  <si>
    <t>CP09-/MsgErrorConsultaCFDIRetenciones</t>
  </si>
  <si>
    <t>Selecciona el campo Folio Fiscal e ingresa el UUID del comprobante y es de tipo CFDI de  Retenciones  y selecciona la opción "Consultar Incidentes".</t>
  </si>
  <si>
    <t xml:space="preserve">El aplicativo muestra el siguiente mensaje: 
“ERROR: El Folio Fiscal que desea consultar no se encuentra en la BD”.
Nota: Este mensaje de error aparece porque se quiere consultar un comprobante CFDI de Retenciones.
</t>
  </si>
  <si>
    <t>CP10-/FolioFiscalExportarPDF</t>
  </si>
  <si>
    <t>Dar clic en el botón "Exportar Detalle a PDF"</t>
  </si>
  <si>
    <t>CP11-/FolioFiscalExportarJSON</t>
  </si>
  <si>
    <t>CP12-/FechaConsulta</t>
  </si>
  <si>
    <t>CP13-/FechaMsgErrorConsultaRangoFecha</t>
  </si>
  <si>
    <t>Cuando se ingrese un rango de fechas mayor a un mes y se seleccione el botón “Consultar Incidentes”, el aplicativo deberá mostrar el siguiente mensaje de error: 
•	“ERROR: La consulta no debe ser mayor a un mes”.
Importante mencionar que, el resultado se debe agrupar por tipo de error y presentarse de forma general, 
Campo "Versión del comprobante" por default tiene el valor 4.0 
Al seleccionar el botón para la consulta por periodo de fecha de emisión, se debe deshabilitar el campo correspondiente a la consulta de Folio Fiscal.
La consulta por fecha no deberá ser mayor a un mes. Por defecto, el valor que se mostrará en ambas fechas será del día en que el usuario de negocio ingresa al sistema.</t>
  </si>
  <si>
    <t xml:space="preserve">El aplicativo muestra el siguiente mensaje: 
•	“El Folio Fiscal no cumple con el formato correcto, favor de ingresarlo nuevamente”.
</t>
  </si>
  <si>
    <t>Selecciona el campo Folio Fiscal e ingresa el UUID del comprobante y es de tipo CFDI ver 4.0  y selecciona la opción "Consultar Incidentes".</t>
  </si>
  <si>
    <t xml:space="preserve">Cuando se ingrese un rango de fechas mayor a un mes y se seleccione el botón “Consultar Incidentes”, el aplicativo deberá mostrar el siguiente mensaje de error: 
•	“ERROR: La consulta no debe ser mayor a un mes”.
Importante mencionar que, el resultado se debe agrupar por tipo de error y presentarse de forma general, 
</t>
  </si>
  <si>
    <t xml:space="preserve">El sistema valida si hay peticiones pendientes. En caso de no existir peticiones en proceso deberá arrojar el siguiente mensaje: “No existen registros de descargas desde los últimos 3 días a la fecha.”
</t>
  </si>
  <si>
    <t xml:space="preserve">El sistema realiza la descarga de los archivos PDF o JASON
</t>
  </si>
  <si>
    <t>El uso de la siguiente Sección de Firmas de Conformidad es opcional, dependiendo de la necesidad del consumidor de la información.</t>
  </si>
  <si>
    <t>Instrucciones:</t>
  </si>
  <si>
    <t>Registrar en la tabla la información de los participantes en la elaboración, revisión, aprobación, etc. del artefacto.</t>
  </si>
  <si>
    <t>FIRMAS DE CONFORMIDAD</t>
  </si>
  <si>
    <t>Autorizó</t>
  </si>
  <si>
    <r>
      <rPr>
        <b/>
        <sz val="10"/>
        <color rgb="FF000000"/>
        <rFont val="Montserrat"/>
      </rPr>
      <t>Nombre</t>
    </r>
    <r>
      <rPr>
        <sz val="10"/>
        <color rgb="FF000000"/>
        <rFont val="Montserrat"/>
      </rPr>
      <t>: Pedro López Bernal.</t>
    </r>
  </si>
  <si>
    <r>
      <rPr>
        <b/>
        <sz val="10"/>
        <color rgb="FF000000"/>
        <rFont val="Montserrat"/>
      </rPr>
      <t>Nombre</t>
    </r>
    <r>
      <rPr>
        <sz val="10"/>
        <color rgb="FF000000"/>
        <rFont val="Montserrat"/>
      </rPr>
      <t>: Diana Maribel Velazquez Barroso</t>
    </r>
  </si>
  <si>
    <r>
      <rPr>
        <b/>
        <sz val="10"/>
        <color rgb="FF000000"/>
        <rFont val="Montserrat"/>
      </rPr>
      <t>Puesto</t>
    </r>
    <r>
      <rPr>
        <sz val="10"/>
        <color rgb="FF000000"/>
        <rFont val="Montserrat"/>
      </rPr>
      <t>: Administrador de Gestión de Servicios y Trámites con Medios Electrónicos 3</t>
    </r>
  </si>
  <si>
    <r>
      <rPr>
        <b/>
        <sz val="10"/>
        <color rgb="FF000000"/>
        <rFont val="Montserrat"/>
      </rPr>
      <t>Puesto</t>
    </r>
    <r>
      <rPr>
        <sz val="10"/>
        <color rgb="FF000000"/>
        <rFont val="Montserrat"/>
      </rPr>
      <t xml:space="preserve">: Administradora de Soluciones de Negocio 3 </t>
    </r>
  </si>
  <si>
    <r>
      <rPr>
        <b/>
        <sz val="10"/>
        <color rgb="FF000000"/>
        <rFont val="Montserrat"/>
      </rPr>
      <t>Fecha</t>
    </r>
    <r>
      <rPr>
        <sz val="10"/>
        <color rgb="FF000000"/>
        <rFont val="Montserrat"/>
      </rPr>
      <t>:</t>
    </r>
  </si>
  <si>
    <t xml:space="preserve">Fecha: </t>
  </si>
  <si>
    <t>‍</t>
  </si>
  <si>
    <t>Revisó</t>
  </si>
  <si>
    <r>
      <rPr>
        <b/>
        <sz val="10"/>
        <color rgb="FF000000"/>
        <rFont val="Montserrat"/>
      </rPr>
      <t>Nombre</t>
    </r>
    <r>
      <rPr>
        <sz val="10"/>
        <color rgb="FF000000"/>
        <rFont val="Montserrat"/>
      </rPr>
      <t xml:space="preserve">: Mario Alberto Huerta Velazquez </t>
    </r>
  </si>
  <si>
    <r>
      <rPr>
        <b/>
        <sz val="10"/>
        <color rgb="FF000000"/>
        <rFont val="Montserrat"/>
      </rPr>
      <t xml:space="preserve">Nombre: </t>
    </r>
    <r>
      <rPr>
        <sz val="10"/>
        <color rgb="FF000000"/>
        <rFont val="Montserrat"/>
      </rPr>
      <t>Roberto Benjamín Monroy Vargas</t>
    </r>
  </si>
  <si>
    <r>
      <rPr>
        <b/>
        <sz val="10"/>
        <color rgb="FF000000"/>
        <rFont val="Montserrat"/>
      </rPr>
      <t>Puesto</t>
    </r>
    <r>
      <rPr>
        <sz val="10"/>
        <color rgb="FF000000"/>
        <rFont val="Montserrat"/>
      </rPr>
      <t>: Subadministrador de Gestión de Servicios y Trámites con Medios Electrónicos</t>
    </r>
  </si>
  <si>
    <r>
      <rPr>
        <b/>
        <sz val="10"/>
        <color rgb="FF000000"/>
        <rFont val="Montserrat"/>
      </rPr>
      <t>Puesto</t>
    </r>
    <r>
      <rPr>
        <sz val="10"/>
        <color rgb="FF000000"/>
        <rFont val="Montserrat"/>
      </rPr>
      <t>: Subadministrador de Soluciones de Negocio</t>
    </r>
  </si>
  <si>
    <r>
      <rPr>
        <b/>
        <sz val="10"/>
        <color rgb="FF000000"/>
        <rFont val="Montserrat"/>
      </rPr>
      <t>Fecha</t>
    </r>
    <r>
      <rPr>
        <sz val="10"/>
        <color rgb="FF000000"/>
        <rFont val="Montserrat"/>
      </rPr>
      <t xml:space="preserve">: </t>
    </r>
  </si>
  <si>
    <t>Elaboró</t>
  </si>
  <si>
    <r>
      <rPr>
        <b/>
        <sz val="10"/>
        <color rgb="FF000000"/>
        <rFont val="Montserrat"/>
      </rPr>
      <t xml:space="preserve">Nombre: </t>
    </r>
    <r>
      <rPr>
        <sz val="10"/>
        <color rgb="FF000000"/>
        <rFont val="Montserrat"/>
      </rPr>
      <t>Nadia Anahí Ortega Nava</t>
    </r>
    <r>
      <rPr>
        <b/>
        <sz val="10"/>
        <color rgb="FF000000"/>
        <rFont val="Montserrat"/>
      </rPr>
      <t xml:space="preserve"> </t>
    </r>
  </si>
  <si>
    <r>
      <rPr>
        <b/>
        <sz val="10"/>
        <color rgb="FF000000"/>
        <rFont val="Montserrat"/>
      </rPr>
      <t xml:space="preserve">Nombre: </t>
    </r>
    <r>
      <rPr>
        <sz val="10"/>
        <color rgb="FF000000"/>
        <rFont val="Montserrat"/>
      </rPr>
      <t>Alma Quetzabeth Torres González</t>
    </r>
    <r>
      <rPr>
        <b/>
        <sz val="10"/>
        <color rgb="FF000000"/>
        <rFont val="Montserrat"/>
      </rPr>
      <t xml:space="preserve"> </t>
    </r>
  </si>
  <si>
    <r>
      <rPr>
        <b/>
        <sz val="10"/>
        <color rgb="FF000000"/>
        <rFont val="Montserrat"/>
      </rPr>
      <t xml:space="preserve">Puesto: </t>
    </r>
    <r>
      <rPr>
        <sz val="10"/>
        <color rgb="FF000000"/>
        <rFont val="Montserrat"/>
      </rPr>
      <t>Jefe de Departamento de Gestión de Servicios y Trámites con Medios Electrónicos</t>
    </r>
  </si>
  <si>
    <r>
      <rPr>
        <b/>
        <sz val="10"/>
        <color rgb="FF000000"/>
        <rFont val="Montserrat"/>
      </rPr>
      <t xml:space="preserve">Puesto: </t>
    </r>
    <r>
      <rPr>
        <sz val="10"/>
        <color rgb="FF000000"/>
        <rFont val="Montserrat"/>
      </rPr>
      <t>Jefe de Departamento de Soluciones de Negocio</t>
    </r>
  </si>
  <si>
    <t>Tomar como referencia el siguiente Encabezado para edición:</t>
  </si>
  <si>
    <t>Administración General de Comunicaciones
y Tecnologías de la Información</t>
  </si>
  <si>
    <t>Marco Documental 7.0</t>
  </si>
  <si>
    <t>Fecha de aprobación
del Template:
01/11/2021</t>
  </si>
  <si>
    <r>
      <rPr>
        <b/>
        <sz val="11"/>
        <color rgb="FF000000"/>
        <rFont val="Montserrat"/>
      </rPr>
      <t xml:space="preserve">Requerimientos de Pruebas
</t>
    </r>
    <r>
      <rPr>
        <sz val="6"/>
        <color rgb="FF0000FF"/>
        <rFont val="Montserrat"/>
      </rPr>
      <t xml:space="preserve">Clave del Documento
</t>
    </r>
    <r>
      <rPr>
        <sz val="11"/>
        <color rgb="FF000000"/>
        <rFont val="Montserrat"/>
      </rPr>
      <t xml:space="preserve">XX_RDP_REQPRUEBAS.xlsx
</t>
    </r>
    <r>
      <rPr>
        <sz val="7"/>
        <color rgb="FF0000FF"/>
        <rFont val="Montserrat"/>
      </rPr>
      <t xml:space="preserve">[Nomenclatura del artefacto, punto, extensión del archivo actual]
Servicio Administración del Ciclo de Vida de Aplicaciones de TIC
</t>
    </r>
    <r>
      <rPr>
        <b/>
        <sz val="7"/>
        <color rgb="FF0000FF"/>
        <rFont val="Montserrat"/>
      </rPr>
      <t>Central Dueña</t>
    </r>
    <r>
      <rPr>
        <sz val="7"/>
        <color rgb="FF0000FF"/>
        <rFont val="Montserrat"/>
      </rPr>
      <t>:</t>
    </r>
    <r>
      <rPr>
        <b/>
        <sz val="7"/>
        <color rgb="FF0000FF"/>
        <rFont val="Montserrat"/>
      </rPr>
      <t xml:space="preserve"> Administración Central de Soluciones de Negocio (ACSN)
Central que Elabora: ACSN
Central Consumidora: ACDMA</t>
    </r>
  </si>
  <si>
    <t>Versión del template:
7.00</t>
  </si>
  <si>
    <r>
      <rPr>
        <b/>
        <sz val="11"/>
        <color rgb="FF000000"/>
        <rFont val="Montserrat"/>
      </rPr>
      <t xml:space="preserve">Requerimientos de Pruebas
</t>
    </r>
    <r>
      <rPr>
        <sz val="11"/>
        <color rgb="FF000000"/>
        <rFont val="Montserrat"/>
      </rPr>
      <t>RDP-Consulta_Incidentes_Negocio.xlsx</t>
    </r>
  </si>
  <si>
    <t>CP14/FechaExportarPDF</t>
  </si>
  <si>
    <t>CP15/FechaExportarJSON</t>
  </si>
  <si>
    <t>CP16/Retenciones/FolioFiscalConsulta</t>
  </si>
  <si>
    <t>CP17/Retenciones/MsgErrorConsultaCFDIRetVacio</t>
  </si>
  <si>
    <t>CP18/Retenciones/MsgErrorConsultaCFDIRetFormatoIncorrecto</t>
  </si>
  <si>
    <t>CP19/MsgErrorConsultaCFDIv4.0</t>
  </si>
  <si>
    <t>CP20/Retenciones/FolioFiscalExportarPDF</t>
  </si>
  <si>
    <t>CP21/Retenciones/FolioFiscalExportarJSON</t>
  </si>
  <si>
    <t>CP22/Retenciones/FechaConsulta</t>
  </si>
  <si>
    <t>CP23/Retenciones/FechaMsgErrorConsultaRangoFecha</t>
  </si>
  <si>
    <t>El sistema muestra las siguientes opciones:
- Consulta Incidentes CFDI
- Consulta Incidentes CFDI de Retenciones
-Recuperar descargas Detalle de consulta de incidencias’</t>
  </si>
  <si>
    <r>
      <t>Da clic en "</t>
    </r>
    <r>
      <rPr>
        <sz val="10"/>
        <color rgb="FFFF0000"/>
        <rFont val="Montserrat"/>
      </rPr>
      <t>Consulta Incidentes CFDI</t>
    </r>
    <r>
      <rPr>
        <sz val="10"/>
        <rFont val="Montserrat"/>
      </rPr>
      <t>"</t>
    </r>
  </si>
  <si>
    <r>
      <t xml:space="preserve">Da clic en </t>
    </r>
    <r>
      <rPr>
        <sz val="10"/>
        <color rgb="FF00B0F0"/>
        <rFont val="Montserrat"/>
      </rPr>
      <t xml:space="preserve"> </t>
    </r>
    <r>
      <rPr>
        <sz val="10"/>
        <color rgb="FFFF0000"/>
        <rFont val="Montserrat"/>
      </rPr>
      <t>Cerrar Sesion</t>
    </r>
  </si>
  <si>
    <r>
      <t xml:space="preserve">e.firma vigentes
Firma Electrónica del Usuario.
El Usuario de negocio debe tener asignado el rol
</t>
    </r>
    <r>
      <rPr>
        <b/>
        <sz val="10"/>
        <rFont val="Montserrat"/>
      </rPr>
      <t>Para este caso de prueba se requiere uno o más Comprobantes Fiscal CFDI versión 4.0</t>
    </r>
  </si>
  <si>
    <r>
      <t>Dar clic en el botón "</t>
    </r>
    <r>
      <rPr>
        <b/>
        <sz val="10"/>
        <rFont val="Montserrat"/>
      </rPr>
      <t>Exportar Detalle a PDF</t>
    </r>
    <r>
      <rPr>
        <sz val="10"/>
        <rFont val="Montserrat"/>
      </rPr>
      <t>"</t>
    </r>
  </si>
  <si>
    <r>
      <t xml:space="preserve">e.firma vigentes
Firma Electrónica del Usuario.
El Usuario de negocio debe tener asignado el rol
</t>
    </r>
    <r>
      <rPr>
        <b/>
        <sz val="10"/>
        <rFont val="Montserrat"/>
      </rPr>
      <t>Para este caso de prueba se requiere un Comprobante Fiscal CFDI Retenciones versión 2.0</t>
    </r>
  </si>
  <si>
    <r>
      <t xml:space="preserve">e.firma vigentes
Firma Electrónica del Usuario.
El Usuario de negocio debe tener asignado el rol
</t>
    </r>
    <r>
      <rPr>
        <b/>
        <sz val="10"/>
        <rFont val="Montserrat"/>
      </rPr>
      <t xml:space="preserve">
Comprobante Fiscal CFDI Retenciones versión 2.0</t>
    </r>
  </si>
  <si>
    <r>
      <t xml:space="preserve">El aplicativo muestra el siguiente mensaje
</t>
    </r>
    <r>
      <rPr>
        <b/>
        <sz val="10"/>
        <rFont val="Montserrat"/>
      </rPr>
      <t xml:space="preserve"> “ERROR: Favor de ingresar el folio fiscal”.</t>
    </r>
  </si>
  <si>
    <r>
      <t xml:space="preserve">El aplicativo muestra el siguiente mensaje: 
•	</t>
    </r>
    <r>
      <rPr>
        <b/>
        <sz val="10"/>
        <rFont val="Montserrat"/>
      </rPr>
      <t>“El Folio Fiscal no cumple con el formato correcto, favor de ingresarlo nuevamente”.</t>
    </r>
  </si>
  <si>
    <r>
      <t xml:space="preserve">e.firma vigentes
Firma Electrónica del Usuario.
El Usuario de negocio debe tener asignado el rol
</t>
    </r>
    <r>
      <rPr>
        <b/>
        <sz val="10"/>
        <rFont val="Montserrat"/>
      </rPr>
      <t>Para este caso de pruebas consultar un Comprobante Fiscal CFDI ver 4.0</t>
    </r>
  </si>
  <si>
    <r>
      <t xml:space="preserve">Selecciona el campo Folio Fiscal e ingresa el UUID del comprobante y es de tipo </t>
    </r>
    <r>
      <rPr>
        <b/>
        <sz val="10"/>
        <rFont val="Montserrat"/>
      </rPr>
      <t>CFDI ver 4.0</t>
    </r>
    <r>
      <rPr>
        <sz val="10"/>
        <rFont val="Montserrat"/>
      </rPr>
      <t xml:space="preserve">  y selecciona la opción "Consultar Incidentes".</t>
    </r>
  </si>
  <si>
    <r>
      <t xml:space="preserve">e.firma vigentes
Firma Electrónica del Usuario.
El Usuario de negocio debe tener asignado el rol
</t>
    </r>
    <r>
      <rPr>
        <b/>
        <sz val="10"/>
        <rFont val="Montserrat"/>
      </rPr>
      <t xml:space="preserve">
Para este caso de prueba se requiere un Comprobante Fiscal CFDI Retenciones versión 2.0</t>
    </r>
  </si>
  <si>
    <r>
      <t xml:space="preserve">e.firma vigentes
Firma Electrónica del Usuario.
El Usuario de negocio debe tener asignado el rol
</t>
    </r>
    <r>
      <rPr>
        <b/>
        <sz val="10"/>
        <rFont val="Montserrat"/>
      </rPr>
      <t>Para este caso de prueba se requiere uno o más comprobantes Fiscal CFDI Retenciones versión 2.0</t>
    </r>
  </si>
  <si>
    <r>
      <t xml:space="preserve">e.firma vigentes
Firma Electrónica del Usuario.
El Usuario de negocio debe tener asignado el rol
</t>
    </r>
    <r>
      <rPr>
        <b/>
        <sz val="10"/>
        <rFont val="Montserrat"/>
      </rPr>
      <t>Comprobante Fiscal CFDI Retenciones versión 2.0</t>
    </r>
  </si>
  <si>
    <r>
      <t xml:space="preserve">Cuando se ingrese un rango de fechas mayor a un mes y se seleccione el botón “Consultar Incidentes”, el aplicativo deberá mostrar el siguiente mensaje de error: 
•	</t>
    </r>
    <r>
      <rPr>
        <b/>
        <sz val="10"/>
        <rFont val="Montserrat"/>
      </rPr>
      <t>“ERROR: La consulta no debe ser mayor a un mes”</t>
    </r>
    <r>
      <rPr>
        <sz val="10"/>
        <rFont val="Montserrat"/>
      </rPr>
      <t xml:space="preserve">.
</t>
    </r>
  </si>
  <si>
    <r>
      <t xml:space="preserve">Importante mencionar que, el resultado se debe </t>
    </r>
    <r>
      <rPr>
        <b/>
        <sz val="10"/>
        <rFont val="Montserrat"/>
      </rPr>
      <t xml:space="preserve">agrupar por tipo de error </t>
    </r>
    <r>
      <rPr>
        <sz val="10"/>
        <rFont val="Montserrat"/>
      </rPr>
      <t xml:space="preserve">y presentarse de forma general, 
</t>
    </r>
  </si>
  <si>
    <t>Version por default 2.0</t>
  </si>
  <si>
    <r>
      <t xml:space="preserve">Importante mencionar que, el resultado se debe agrupar por tipo de error y presentarse de forma general, 
Campo "Versión del comprobante" por default tiene el valor </t>
    </r>
    <r>
      <rPr>
        <sz val="10"/>
        <color rgb="FFFF0000"/>
        <rFont val="Montserrat"/>
      </rPr>
      <t xml:space="preserve">2.0 </t>
    </r>
  </si>
  <si>
    <r>
      <t xml:space="preserve">El aplicativo muestra el siguiente mensaje
</t>
    </r>
    <r>
      <rPr>
        <b/>
        <sz val="10"/>
        <rFont val="Montserrat"/>
      </rPr>
      <t xml:space="preserve"> </t>
    </r>
    <r>
      <rPr>
        <b/>
        <sz val="10"/>
        <color rgb="FFFF0000"/>
        <rFont val="Montserrat"/>
      </rPr>
      <t>“ERROR: Favor de ingresar el folio fiscal”.</t>
    </r>
  </si>
  <si>
    <r>
      <t xml:space="preserve">El aplicativo muestra el siguiente mensaje: 
•	</t>
    </r>
    <r>
      <rPr>
        <b/>
        <sz val="10"/>
        <color rgb="FFFF0000"/>
        <rFont val="Montserrat"/>
      </rPr>
      <t>“ERROR: El Folio Fiscal no cumple con el formato correcto, favor de ingresarlo nuevamente”.</t>
    </r>
  </si>
  <si>
    <t>CP24/Retenciones/FechaExportarPDF</t>
  </si>
  <si>
    <t>CP25/Retenciones/FechaExportarJSON</t>
  </si>
  <si>
    <t>CP26/Recuperar descargas Detalle de consulta de incidencias/Sin Peticiones</t>
  </si>
  <si>
    <t>CP27/Recuperar descargas Detalle de consulta de incidencias/Descargar</t>
  </si>
  <si>
    <r>
      <t xml:space="preserve">Importante mencionar que, el resultado se debe </t>
    </r>
    <r>
      <rPr>
        <b/>
        <sz val="10"/>
        <rFont val="Montserrat"/>
      </rPr>
      <t xml:space="preserve">agrupar por tipo de error </t>
    </r>
    <r>
      <rPr>
        <sz val="10"/>
        <rFont val="Montserrat"/>
      </rPr>
      <t xml:space="preserve">y presentarse de forma general, 
</t>
    </r>
    <r>
      <rPr>
        <sz val="10"/>
        <color rgb="FFFF0000"/>
        <rFont val="Montserrat"/>
      </rPr>
      <t>Version por default 4.0</t>
    </r>
  </si>
  <si>
    <r>
      <t>El servicio inhabilita la sección de Fecha Inicial y Final de Recepción.
El sistema deberá mostrar en una tabla los resultados obtenidos de la consulta:
• RFC del PAC
• Nombre o Razón Social
• Evento
• Mensaje
• Total
• Detalle (</t>
    </r>
    <r>
      <rPr>
        <sz val="10"/>
        <color rgb="FFFF0000"/>
        <rFont val="Montserrat"/>
      </rPr>
      <t>Boton</t>
    </r>
    <r>
      <rPr>
        <sz val="10"/>
        <rFont val="Montserrat"/>
      </rPr>
      <t>)</t>
    </r>
  </si>
  <si>
    <r>
      <t>El sistema muestra el RFC del empleado autenticado con la opción Salir.
El sistema muestra las opciones:
.Tipo de consulta
Opción: Folio Fiscal*
.</t>
    </r>
    <r>
      <rPr>
        <sz val="10"/>
        <color rgb="FFFF0000"/>
        <rFont val="Montserrat"/>
      </rPr>
      <t>Folio Fiscal Digital</t>
    </r>
    <r>
      <rPr>
        <sz val="10"/>
        <rFont val="Montserrat"/>
      </rPr>
      <t xml:space="preserve">
Opción: Por Fechas
.Fecha Inicial de Recepción*
.Fecha Final de Recepción*
.Versión del comprobante </t>
    </r>
    <r>
      <rPr>
        <sz val="10"/>
        <color rgb="FFFF0000"/>
        <rFont val="Montserrat"/>
      </rPr>
      <t>(El valor es por default)</t>
    </r>
    <r>
      <rPr>
        <sz val="10"/>
        <rFont val="Montserrat"/>
      </rPr>
      <t xml:space="preserve">
</t>
    </r>
    <r>
      <rPr>
        <sz val="10"/>
        <color rgb="FFFF0000"/>
        <rFont val="Montserrat"/>
      </rPr>
      <t>.PAC</t>
    </r>
    <r>
      <rPr>
        <sz val="10"/>
        <rFont val="Montserrat"/>
      </rPr>
      <t xml:space="preserve">
Botón "Consultar Incidentes"</t>
    </r>
  </si>
  <si>
    <r>
      <t xml:space="preserve">El sistema muestra una subpantalla con la siguiente información:
•	RFC PAC: El RFC del </t>
    </r>
    <r>
      <rPr>
        <sz val="10"/>
        <color rgb="FFFF0000"/>
        <rFont val="Montserrat"/>
      </rPr>
      <t>Proveedor</t>
    </r>
    <r>
      <rPr>
        <sz val="10"/>
        <rFont val="Montserrat"/>
      </rPr>
      <t xml:space="preserve">.
•	Nombre o Razón Social: La razón social del </t>
    </r>
    <r>
      <rPr>
        <sz val="10"/>
        <color rgb="FFFF0000"/>
        <rFont val="Montserrat"/>
      </rPr>
      <t>Proveedor</t>
    </r>
    <r>
      <rPr>
        <sz val="10"/>
        <rFont val="Montserrat"/>
      </rPr>
      <t xml:space="preserve">.
•	Clave de evento: </t>
    </r>
    <r>
      <rPr>
        <sz val="10"/>
        <color rgb="FFFF0000"/>
        <rFont val="Montserrat"/>
      </rPr>
      <t>Clave del evento de incidencia de recepción</t>
    </r>
    <r>
      <rPr>
        <sz val="10"/>
        <rFont val="Montserrat"/>
      </rPr>
      <t xml:space="preserve">
•	Evento: </t>
    </r>
    <r>
      <rPr>
        <sz val="10"/>
        <color rgb="FFFF0000"/>
        <rFont val="Montserrat"/>
      </rPr>
      <t>Descripción del evento de incidencia de recepción</t>
    </r>
    <r>
      <rPr>
        <sz val="10"/>
        <rFont val="Montserrat"/>
      </rPr>
      <t>.
Tabla: (Registros de Incidentes)
o	UUID: Folio Fiscal de los comprobantes asociados al incidente
o	Fecha de registro del incidente: Fecha en que se recibió el incidente.* 
Botones:
.Exportar Detalle a PDF
.Exportar Resultados a JSON</t>
    </r>
  </si>
  <si>
    <r>
      <t>El campo Folio Fiscal se deshabilita.
El resultado de la consulta deberá mostrarse en una tabla con el título “Resultado de consulta” y la información:
•	RFC del PAC 
•	Nombre o Razón Social
•	Evento 
•	Mensaje
•	Total
•	Detalle</t>
    </r>
    <r>
      <rPr>
        <sz val="10"/>
        <color rgb="FFFF0000"/>
        <rFont val="Montserrat"/>
      </rPr>
      <t>(Boton)</t>
    </r>
    <r>
      <rPr>
        <sz val="10"/>
        <rFont val="Montserrat"/>
      </rPr>
      <t xml:space="preserve">
</t>
    </r>
  </si>
  <si>
    <r>
      <t xml:space="preserve">Si la autenticación es correcta, el aplicativo abre la página principal del Portal de Incidencias con las opciones:
- Consulta incidentes CFDI
- Consulta incidentes CFDI Retenciones
</t>
    </r>
    <r>
      <rPr>
        <sz val="10"/>
        <color rgb="FFFF0000"/>
        <rFont val="Montserrat"/>
      </rPr>
      <t>- Recuperar descargas Detalle de cosulta de incidencias</t>
    </r>
  </si>
  <si>
    <r>
      <t xml:space="preserve">Da clic en "Consulta incidentes CFDI </t>
    </r>
    <r>
      <rPr>
        <sz val="10"/>
        <color rgb="FFFF0000"/>
        <rFont val="Montserrat"/>
      </rPr>
      <t>Retenciones</t>
    </r>
    <r>
      <rPr>
        <sz val="10"/>
        <rFont val="Montserrat"/>
      </rPr>
      <t>"</t>
    </r>
  </si>
  <si>
    <r>
      <t xml:space="preserve">En caso de existir solicitudes de descarga en proceso, se visualizarán los registros de descarga con la siguiente estructura:
•	Descargar Paquete: </t>
    </r>
    <r>
      <rPr>
        <sz val="10"/>
        <color rgb="FFFF0000"/>
        <rFont val="Montserrat"/>
      </rPr>
      <t>Opción que permite la descarga solicitada.  Icono que representa la funcionalidad de descarga del paquete de archivos correspondiente.</t>
    </r>
    <r>
      <rPr>
        <sz val="10"/>
        <rFont val="Montserrat"/>
      </rPr>
      <t xml:space="preserve"> 
•	Folio de Descarga: Indica el número de folio que genera el sistema al realizar la descarga.
•	Evento: Indica la clave del evento del detalle de la solicitud de descarga.
•	RFC PAC: Indica el RFC del PAC del detalle de la solicitud de descarga.
•	Tipo Descarga: Indica el tipo de descarga solicitada la cual puede ser: PDF o JSON. 
•	Cantidad de Documentos: Indica el total de documentos que contiene el archivo.
•	Fecha de la Solicitud: Indica la fecha en la que se realizó la solicitud.
•	Estatus de solicitud: Indica si está en proceso o atendida.
•	Fecha de atención de solicitud: Indica la fecha en la que se pusieron a disposición los archivos para descarga</t>
    </r>
  </si>
  <si>
    <r>
      <t>El sistema muestra el RFC del empleado autenticado con la opción Salir.
El sistema muestra las opciones:
.Tipo de consulta
Opción: Folio Fiscal*</t>
    </r>
    <r>
      <rPr>
        <sz val="10"/>
        <color rgb="FFFF0000"/>
        <rFont val="Montserrat"/>
      </rPr>
      <t>Tooltip</t>
    </r>
    <r>
      <rPr>
        <sz val="10"/>
        <rFont val="Montserrat"/>
      </rPr>
      <t xml:space="preserve">
.</t>
    </r>
    <r>
      <rPr>
        <sz val="10"/>
        <color rgb="FFFF0000"/>
        <rFont val="Montserrat"/>
      </rPr>
      <t>Folio Fiscal Digital</t>
    </r>
    <r>
      <rPr>
        <sz val="10"/>
        <rFont val="Montserrat"/>
      </rPr>
      <t xml:space="preserve">
Opción: Por Fechas
.Fecha Inicial de Recepción*
.Fecha Final de Recepción*
.Versión del comprobante </t>
    </r>
    <r>
      <rPr>
        <sz val="10"/>
        <color rgb="FFFF0000"/>
        <rFont val="Montserrat"/>
      </rPr>
      <t>(El valor es por default)</t>
    </r>
    <r>
      <rPr>
        <sz val="10"/>
        <rFont val="Montserrat"/>
      </rPr>
      <t xml:space="preserve">
</t>
    </r>
    <r>
      <rPr>
        <sz val="10"/>
        <color rgb="FFFF0000"/>
        <rFont val="Montserrat"/>
      </rPr>
      <t>.PAC</t>
    </r>
    <r>
      <rPr>
        <sz val="10"/>
        <rFont val="Montserrat"/>
      </rPr>
      <t xml:space="preserve">
Botón "Consultar Incidentes"</t>
    </r>
  </si>
  <si>
    <t>Al seleccionar la opción por Folio Fiscal y al colocar el cursor en el tooltip “?” el sistema deberá mostrar el siguiente mensaje y el sistema aplicará lo que menciona el mismo:
"En esta opción sólo se podrán visualizar las incidencias de los comprobantes que fueron recibidos"</t>
  </si>
  <si>
    <r>
      <t xml:space="preserve">El aplicativo muestra el siguiente mensaje: 
</t>
    </r>
    <r>
      <rPr>
        <b/>
        <sz val="10"/>
        <color rgb="FFFF0000"/>
        <rFont val="Montserrat"/>
      </rPr>
      <t>“ERROR: El Folio Fiscal que desea consultar no se encuentra en la BD.”</t>
    </r>
    <r>
      <rPr>
        <b/>
        <sz val="10"/>
        <rFont val="Montserrat"/>
      </rPr>
      <t>.
Nota: Este mensaje de error aparece porque se quiere consultar un comprobante CFDI que no es de tipo Retenciones</t>
    </r>
  </si>
  <si>
    <r>
      <t xml:space="preserve">El aplicativo muestra el siguiente mensaje: 
</t>
    </r>
    <r>
      <rPr>
        <b/>
        <sz val="10"/>
        <color rgb="FFFF0000"/>
        <rFont val="Montserrat"/>
      </rPr>
      <t>“ERROR: El Folio Fiscal que desea consultar no se encuentra en la BD”.</t>
    </r>
    <r>
      <rPr>
        <b/>
        <sz val="10"/>
        <rFont val="Montserrat"/>
      </rPr>
      <t xml:space="preserve">
Nota: Este mensaje de error aparece porque se quiere consultar un comprobante CFDI de Retenciones.</t>
    </r>
  </si>
  <si>
    <t>/Lineamientos Gráficos/Encabezado</t>
  </si>
  <si>
    <t xml:space="preserve">
</t>
  </si>
  <si>
    <t>Usuario da clic en buscar y  en el explorador de documentos selecciona el archivo correspondiente a su certificado</t>
  </si>
  <si>
    <t>Se muestra el dato en el  campo certificado y en el campo RFC el dato del RFC del Contribuyente</t>
  </si>
  <si>
    <t>Usuario da clic en buscar y en el explorador de documentos selecciona el archivo correspondiente a su clave privada</t>
  </si>
  <si>
    <t>Si la autenticación es correcta, el aplicativo abre la página principal del Portal Privado Contribuyente CFDI .</t>
  </si>
  <si>
    <t xml:space="preserve">En caso de que el Contribuyente no cuente con los permisos, el aplicativo mostrará el mensaje: “El Usuario no cuenta con los privilegios de acceso” y no va a permitir su acceso. </t>
  </si>
  <si>
    <t>El usuario  valida que se muestren los lineamientos gŕaficos encabezado</t>
  </si>
  <si>
    <t xml:space="preserve">Logosimbolo horizontal "Gobierno de México"
Está compuesto por las palabras "Gobierno de
México" en tipografía institucional, junto al Escudo
Nacional.
En la versión horizontal, el Escudo Nacional debe
situarse a la izquierda de la frase "Gobierno
de México"
</t>
  </si>
  <si>
    <t>/Lineamientos Gráficos/Pie de página</t>
  </si>
  <si>
    <t>El usuario  valida que se muestren los lineamientos gŕaficos pie de página</t>
  </si>
  <si>
    <t>CP28</t>
  </si>
  <si>
    <t>CP29</t>
  </si>
  <si>
    <t xml:space="preserve">Encabezado con lo siguiente:
(Fondo color guinda)
El imagotipo de "Gobierno de México" -Alineado en parte superior izquierda
Link "Tramites" -Alineado a la derecha
Link "Gobierno" 
Link lupa "Buscador"
(Fondo color guinda obscuro)
"PORTAL EMPLEADOS" -Alineado a la izquierda
</t>
  </si>
  <si>
    <t xml:space="preserve">Pie de página con lo siguiente:
(Fondo color guinda)
El imagotipo de "Gobierno de México" - Alineado a la izquierda
Sección "Enlaces" de lado derecho del imagotipo 
Link "Participa"
Link "Marco Jurídico"
Link "Plataforma Nacional de Transparencia"
Link "Transparencia para el pueblo"
Link "Alerta"
Sección "¿Qué es gob?" del lado derecho de la sección "Enlaces"
Leyenda "Es el portal único de trámites, información y participación ciudadana." Link "Leer más"
Link "Portal de datos abiertos"
Link "Declaración de accesibilidad"
Link "Términos y Condiciones"
Link "Denuncia contra servidores públicos" - Alineado a la derecha
Sección "Síguenos en"
Enlace (Logo de Facebook)
Enlace (Logo de Twitter)
Enlace (Logo de Instagram)
Enlace (Logo de YouTube)
Enlace (Logo de una flor) "079 Comunícate, estamos para ayudarte"
</t>
  </si>
  <si>
    <r>
      <t xml:space="preserve">La sesión debe cerrarse de forma automática cuando esta se encuentre inactiva por el usuario y permanezca abierta en un plazo mayor a </t>
    </r>
    <r>
      <rPr>
        <sz val="10"/>
        <color rgb="FFFF0000"/>
        <rFont val="Montserrat"/>
      </rPr>
      <t>10 minutos</t>
    </r>
    <r>
      <rPr>
        <sz val="10"/>
        <rFont val="Montserrat"/>
      </rPr>
      <t xml:space="preserve">
Se muestra el siguiente mensaje: 
</t>
    </r>
    <r>
      <rPr>
        <b/>
        <sz val="10"/>
        <color rgb="FFFF0000"/>
        <rFont val="Montserrat"/>
      </rPr>
      <t>"Ha salido de la sesión. Se recomienda que cierre el navegador para completar la terminación de esta sesión"</t>
    </r>
  </si>
  <si>
    <t>Al seleccionar este botón se debe generar una petición de descarga para los registros de incidentes que se muestran en la ventana ‘Detalle de Consulta’.
Al seleccionar el botón ‘Exportar Detalle a PDF’ se debe mostrar que el PDF se encuentra en proceso de descarga.</t>
  </si>
  <si>
    <t>Al seleccionar este botón se debe generar una petición de descarga para los registros de incidentes que se muestran en la ventana ‘Detalle de Consulta’ en formato JSON.
Al seleccionar el botón ‘Exportar Detalle a JSON se debe mostrar que el JSON se encuentra en proceso de descarga.</t>
  </si>
  <si>
    <r>
      <t xml:space="preserve">Al seleccionar este botón se debe generar una petición de descarga para los registros de incidentes que se muestran en la ventana ‘Detalle de Consulta’ en formato JSON.
A.	</t>
    </r>
    <r>
      <rPr>
        <b/>
        <sz val="10"/>
        <rFont val="Noto Sans"/>
        <family val="2"/>
      </rPr>
      <t xml:space="preserve">Máximo 100 registros de incidencias. </t>
    </r>
    <r>
      <rPr>
        <sz val="10"/>
        <rFont val="Noto Sans"/>
        <family val="2"/>
      </rPr>
      <t xml:space="preserve">
Al seleccionar el botón ‘Exportar Detalle a PDF se debe mostrar que el PDF se encuentra en proceso de descarga.</t>
    </r>
  </si>
  <si>
    <r>
      <t xml:space="preserve">Al seleccionar este botón se debe generar una petición de descarga para los registros de incidentes que se muestran en la ventana ‘Detalle de Consulta’ en formato JSON.
A.	</t>
    </r>
    <r>
      <rPr>
        <b/>
        <sz val="10"/>
        <rFont val="Noto Sans"/>
        <family val="2"/>
      </rPr>
      <t xml:space="preserve">Máximo 100 registros de incidencias. </t>
    </r>
    <r>
      <rPr>
        <sz val="10"/>
        <rFont val="Noto Sans"/>
        <family val="2"/>
      </rPr>
      <t xml:space="preserve">
Al seleccionar el botón ‘Exportar Detalle a JSON se debe mostrar que el JSON se encuentra en proceso de descarga.</t>
    </r>
  </si>
  <si>
    <r>
      <rPr>
        <sz val="10"/>
        <color theme="3"/>
        <rFont val="Noto Sans"/>
        <family val="2"/>
      </rPr>
      <t xml:space="preserve">Al seleccionar este botón se debe generar una petición de descarga para los registros de incidentes que se muestran en la ventana ‘Detalle de Consulta’.
</t>
    </r>
    <r>
      <rPr>
        <b/>
        <sz val="10"/>
        <color theme="3"/>
        <rFont val="Noto Sans"/>
        <family val="2"/>
      </rPr>
      <t>A.	Máximo 100 registros de incidencias.</t>
    </r>
    <r>
      <rPr>
        <sz val="10"/>
        <color theme="3"/>
        <rFont val="Noto Sans"/>
        <family val="2"/>
      </rPr>
      <t xml:space="preserve">
Al seleccionar el botón ‘Exportar Detalle a PDF’ se debe mostrar que el PDF se encuentra en proceso de descarga.</t>
    </r>
  </si>
  <si>
    <r>
      <rPr>
        <sz val="10"/>
        <color theme="3"/>
        <rFont val="Noto Sans"/>
        <family val="2"/>
      </rPr>
      <t xml:space="preserve">Al seleccionar este botón se debe generar una petición de descarga para los registros de incidentes que se muestran en la ventana ‘Detalle de Consulta’ en formato JSON.
</t>
    </r>
    <r>
      <rPr>
        <b/>
        <sz val="10"/>
        <color theme="3"/>
        <rFont val="Noto Sans"/>
        <family val="2"/>
      </rPr>
      <t>•Máximo 100 registros de incidencias.</t>
    </r>
    <r>
      <rPr>
        <sz val="10"/>
        <color theme="3"/>
        <rFont val="Noto Sans"/>
        <family val="2"/>
      </rPr>
      <t xml:space="preserve"> 
Al seleccionar el botón ‘Exportar Detalle a JSON se debe mostrar que el JSON se encuentra en proceso de descarga.</t>
    </r>
  </si>
  <si>
    <t>/Retenciones/FechaExportarPDFmas100Registros</t>
  </si>
  <si>
    <r>
      <rPr>
        <sz val="10"/>
        <rFont val="Noto Sans"/>
        <family val="2"/>
        <charset val="1"/>
      </rPr>
      <t>Dar clic en el botón "</t>
    </r>
    <r>
      <rPr>
        <b/>
        <sz val="10"/>
        <rFont val="Noto Sans"/>
        <family val="2"/>
        <charset val="1"/>
      </rPr>
      <t>Exportar Detalle a PDF</t>
    </r>
    <r>
      <rPr>
        <sz val="10"/>
        <rFont val="Noto Sans"/>
        <family val="2"/>
        <charset val="1"/>
      </rPr>
      <t>"</t>
    </r>
  </si>
  <si>
    <r>
      <t xml:space="preserve">Al seleccionar este botón se debe generar una petición de descarga para los registros de incidentes que se muestran en la ventana ‘Detalle de Consulta’.
•	</t>
    </r>
    <r>
      <rPr>
        <b/>
        <sz val="10"/>
        <color rgb="FFFF0000"/>
        <rFont val="Montserrat"/>
      </rPr>
      <t>Mas de 100 registros de incidencias</t>
    </r>
    <r>
      <rPr>
        <sz val="10"/>
        <color rgb="FFFF0000"/>
        <rFont val="Montserrat"/>
      </rPr>
      <t xml:space="preserve">
</t>
    </r>
    <r>
      <rPr>
        <sz val="10"/>
        <color theme="1"/>
        <rFont val="Montserrat"/>
      </rPr>
      <t xml:space="preserve">Al seleccionar el botón ‘Exportar Detalle a PDF’ el sistema cierra la pantalla modal y genera la descarga con la totalidad de registros de incidencias de manera asíncrona, mostrando en pantalla un mensaje con el número de ‘Folio de Descarga’ conforme a las siguientes características:
	Letras mayúsculas.
	Números.
	Guiones.
	Longitud de 32 caracteres (sin contar el guion)
</t>
    </r>
    <r>
      <rPr>
        <sz val="10"/>
        <rFont val="Montserrat"/>
      </rPr>
      <t>El folio de descarga se proporciona mediante el siguiente mensaje: 
¡Descarga realizada con éxito!
La descarga del Detalle de la Consulta (PDF) se encuentra en proceso y podrás obtener el resultado con el folio de descarga: xxxxxxxx-xxxx-xxxx-xxxx-xxxxxxxxxxxx, en la opción: 
Recuperar descargas ‘Detalle de consulta de incidencias’.
Importante: el tiempo máximo para atender la solicitud es de 48 horas a partir de este momento.</t>
    </r>
  </si>
  <si>
    <t>/Retenciones/FechaExportarJSONmas100Registros</t>
  </si>
  <si>
    <r>
      <t xml:space="preserve">Al seleccionar este botón se debe generar una petición de descarga para los registros de incidentes que se muestran en la ventana ‘Detalle de Consulta’ en formato JSON.
</t>
    </r>
    <r>
      <rPr>
        <b/>
        <sz val="10"/>
        <rFont val="Noto Sans"/>
        <family val="2"/>
      </rPr>
      <t xml:space="preserve">B.	Más de 100 registros de incidencias.
</t>
    </r>
    <r>
      <rPr>
        <sz val="10"/>
        <rFont val="Noto Sans"/>
        <family val="2"/>
        <charset val="1"/>
      </rPr>
      <t xml:space="preserve"> Al seleccionar el botón ‘Exportar Detalle a JSON’ el sistema cierra la pantalla modal y genera la descarga con la totalidad de registros de incidencias de manera asíncrona, mostrando en pantalla un mensaje con el número de ‘Folio de Descarga’ conforme a las siguientes características:
•	Letras mayúsculas.
•	Números.
•	Guiones.
•	Longitud de 32 caracteres (sin contar el guion).
El folio de descarga se proporciona mediante el siguiente mensaje: 
¡Descarga realizada con éxito!
La descarga del Detalle de la Consulta (JSON) se encuentra en proceso y podrás obtener el resultado con el folio de descarga: xxxxxxxx-xxxx-xxxx-xxxx-xxxxxxxxxxxx, en la opción: 
Recuperar descargas ‘Detalle de consulta de incidencias’.
Importante: el tiempo máximo para atender la solicitud es de 48 horas a partir de este momento.</t>
    </r>
  </si>
  <si>
    <t>CP30</t>
  </si>
  <si>
    <t>/FechaExportarPDFmas100Registros</t>
  </si>
  <si>
    <t>CP31</t>
  </si>
  <si>
    <t>/FechaExportarJSONmas100Registros</t>
  </si>
  <si>
    <t>CP32</t>
  </si>
  <si>
    <t>CP33</t>
  </si>
  <si>
    <t>5.- Recuperar descargas Detalle de consulta de incidencias’</t>
  </si>
  <si>
    <t>CP28/Retenciones/FechaExportarPDFmas100Registros</t>
  </si>
  <si>
    <t>CP29/Retenciones/FechaExportarJSONmas100Registros</t>
  </si>
  <si>
    <t>CP30/FechaExportarPDFmas100Registros</t>
  </si>
  <si>
    <t>CP31/FechaExportarJSONmas100Registros</t>
  </si>
  <si>
    <t>6.- Lineamientos grfaficos’</t>
  </si>
  <si>
    <t>CP32/Lineamientos Gráficos/Encabezado</t>
  </si>
  <si>
    <t>CP33/Lineamientos Gráficos/Pie de página</t>
  </si>
  <si>
    <r>
      <t xml:space="preserve">Selecciona el registro y dar clic en el </t>
    </r>
    <r>
      <rPr>
        <sz val="10"/>
        <color rgb="FFFF0000"/>
        <rFont val="Montserrat"/>
      </rPr>
      <t>boton</t>
    </r>
    <r>
      <rPr>
        <sz val="10"/>
        <rFont val="Montserrat"/>
      </rPr>
      <t xml:space="preserve"> de "Ver detalle"</t>
    </r>
  </si>
  <si>
    <r>
      <t xml:space="preserve">De los resultados, se selecciona un registro y se da clic en el </t>
    </r>
    <r>
      <rPr>
        <sz val="10"/>
        <color rgb="FFFF0000"/>
        <rFont val="Montserrat"/>
      </rPr>
      <t>boton</t>
    </r>
    <r>
      <rPr>
        <sz val="10"/>
        <rFont val="Montserrat"/>
      </rPr>
      <t xml:space="preserve"> de "Ver detalle".</t>
    </r>
  </si>
  <si>
    <r>
      <rPr>
        <sz val="10"/>
        <color rgb="FFFF0000"/>
        <rFont val="Montserrat"/>
      </rPr>
      <t xml:space="preserve">Si el total de incidencias es mayor a 100 registros, al dar clic en el botón   (Ver detalle), el sistema va a mostrar únicamente los primeros 100 en la pantalla y el siguiente mensaje en la pantalla modal:
¡Aviso!
El resultado Detalle de Consulta contiene mas de 100 registros de incidentes.
Solo se muestran los primeros 100
Importante: La descarga total de los registros se puede realizar mediante los botones 
"Exportar Detalle a PDF" o "Exportar resultados a JSON"
</t>
    </r>
    <r>
      <rPr>
        <sz val="10"/>
        <rFont val="Montserrat"/>
      </rPr>
      <t xml:space="preserve">
El orden de los registros es ordenada por el valor del campo “Fecha de registro del incidente” del más reciente a los más antiguos.</t>
    </r>
  </si>
  <si>
    <t xml:space="preserve">Usuario ingresa a la URL correspondiente del Portal de incidentes .
-Selecciona la opción por e.firma
</t>
  </si>
  <si>
    <t>Si la autenticación es correcta, el aplicativo abre la página principal del Portal de Incidentes.</t>
  </si>
  <si>
    <t xml:space="preserve">Usuario ingresa a la URL correspondiente del Portal de Incidentes.
-Selecciona la opción por e.firma
</t>
  </si>
  <si>
    <t xml:space="preserve">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t>
  </si>
  <si>
    <r>
      <t xml:space="preserve">El sistema muestra el RFC del empleado autenticado con la opción Salir.
El sistema muestra las opciones:
</t>
    </r>
    <r>
      <rPr>
        <b/>
        <sz val="10"/>
        <color rgb="FF000000"/>
        <rFont val="Montserrat"/>
      </rPr>
      <t>Tipo de consulta</t>
    </r>
    <r>
      <rPr>
        <sz val="10"/>
        <color rgb="FF000000"/>
        <rFont val="Montserrat"/>
      </rPr>
      <t xml:space="preserve">
Opciones inhabilitadas
</t>
    </r>
    <r>
      <rPr>
        <b/>
        <sz val="10"/>
        <color rgb="FF000000"/>
        <rFont val="Montserrat"/>
      </rPr>
      <t>Folio Fiscal</t>
    </r>
    <r>
      <rPr>
        <sz val="10"/>
        <color rgb="FF000000"/>
        <rFont val="Montserrat"/>
      </rPr>
      <t xml:space="preserve">
</t>
    </r>
    <r>
      <rPr>
        <b/>
        <sz val="10"/>
        <color rgb="FF000000"/>
        <rFont val="Montserrat"/>
      </rPr>
      <t>Por Fechas</t>
    </r>
    <r>
      <rPr>
        <sz val="10"/>
        <color rgb="FF000000"/>
        <rFont val="Montserrat"/>
      </rPr>
      <t xml:space="preserve">
Fecha Inicial de Recepción*
Fecha Final de Recepción*
</t>
    </r>
    <r>
      <rPr>
        <b/>
        <sz val="10"/>
        <color rgb="FF000000"/>
        <rFont val="Montserrat"/>
      </rPr>
      <t>Versión del comprobante</t>
    </r>
    <r>
      <rPr>
        <sz val="10"/>
        <color rgb="FF000000"/>
        <rFont val="Montserrat"/>
      </rPr>
      <t xml:space="preserve"> (Valor es por default 4.0)
</t>
    </r>
    <r>
      <rPr>
        <b/>
        <sz val="10"/>
        <color rgb="FF000000"/>
        <rFont val="Montserrat"/>
      </rPr>
      <t xml:space="preserve">PAC </t>
    </r>
    <r>
      <rPr>
        <sz val="10"/>
        <color rgb="FF000000"/>
        <rFont val="Montserrat"/>
      </rPr>
      <t xml:space="preserve">
Botón "Consultar Incidentes"</t>
    </r>
  </si>
  <si>
    <t>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t>
  </si>
  <si>
    <r>
      <t xml:space="preserve">El sistema muestra las opciones:
Los campos marcados con (*) son obligatorios
Tipo de consulta: Incidentes Servicio de Recepción
Opción: Folio Fiscal
Textbox: Folio Fiscal Digital*
</t>
    </r>
    <r>
      <rPr>
        <b/>
        <sz val="10"/>
        <color rgb="FF000000"/>
        <rFont val="Montserrat"/>
      </rPr>
      <t>Opción: Por Fechas</t>
    </r>
    <r>
      <rPr>
        <sz val="10"/>
        <color rgb="FF000000"/>
        <rFont val="Montserrat"/>
      </rPr>
      <t xml:space="preserve">
Tooltip
Checkbox (Comprobantes Rechazados).
</t>
    </r>
    <r>
      <rPr>
        <b/>
        <sz val="10"/>
        <color rgb="FF000000"/>
        <rFont val="Montserrat"/>
      </rPr>
      <t xml:space="preserve">Fecha Inicial de Recepción*
Fecha Final de Recepción*
PAC 
</t>
    </r>
    <r>
      <rPr>
        <sz val="10"/>
        <color rgb="FF000000"/>
        <rFont val="Montserrat"/>
      </rPr>
      <t xml:space="preserve">
Botón "Consultar Incidentes"</t>
    </r>
  </si>
  <si>
    <r>
      <t xml:space="preserve">Seleccionar la opcion Por Fechas y agregar los valores:
</t>
    </r>
    <r>
      <rPr>
        <b/>
        <sz val="10"/>
        <rFont val="Montserrat"/>
      </rPr>
      <t xml:space="preserve">Campo Fecha Inicial de Recepción*
Campo Fecha Final de Recepción.*
PAC
</t>
    </r>
    <r>
      <rPr>
        <sz val="10"/>
        <rFont val="Montserrat"/>
      </rPr>
      <t xml:space="preserve">Los campos marcados con (*) son obligatorios
Dar clic en el botón "Consultar Incidentes".
</t>
    </r>
  </si>
  <si>
    <t>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2.0</t>
  </si>
  <si>
    <r>
      <t xml:space="preserve">El sistema muestra el RFC del empleado autenticado con la opción Salir.
El sistema muestra las opciones:
</t>
    </r>
    <r>
      <rPr>
        <b/>
        <sz val="10"/>
        <color rgb="FF000000"/>
        <rFont val="Montserrat"/>
      </rPr>
      <t>Tipo de consulta</t>
    </r>
    <r>
      <rPr>
        <sz val="10"/>
        <color rgb="FF000000"/>
        <rFont val="Montserrat"/>
      </rPr>
      <t xml:space="preserve">
Opciones inhabilitadas
</t>
    </r>
    <r>
      <rPr>
        <b/>
        <sz val="10"/>
        <color rgb="FF000000"/>
        <rFont val="Montserrat"/>
      </rPr>
      <t>Folio Fiscal</t>
    </r>
    <r>
      <rPr>
        <sz val="10"/>
        <color rgb="FF000000"/>
        <rFont val="Montserrat"/>
      </rPr>
      <t xml:space="preserve">
</t>
    </r>
    <r>
      <rPr>
        <b/>
        <sz val="10"/>
        <color rgb="FF000000"/>
        <rFont val="Montserrat"/>
      </rPr>
      <t>Por Fechas</t>
    </r>
    <r>
      <rPr>
        <sz val="10"/>
        <color rgb="FF000000"/>
        <rFont val="Montserrat"/>
      </rPr>
      <t xml:space="preserve">
Fecha Inicial de Recepción*
Fecha Final de Recepción*
</t>
    </r>
    <r>
      <rPr>
        <b/>
        <sz val="10"/>
        <color rgb="FF000000"/>
        <rFont val="Montserrat"/>
      </rPr>
      <t>Versión del comprobante</t>
    </r>
    <r>
      <rPr>
        <sz val="10"/>
        <color rgb="FF000000"/>
        <rFont val="Montserrat"/>
      </rPr>
      <t xml:space="preserve"> (Valor es por default 2.0)
</t>
    </r>
    <r>
      <rPr>
        <b/>
        <sz val="10"/>
        <color rgb="FF000000"/>
        <rFont val="Montserrat"/>
      </rPr>
      <t xml:space="preserve">PAC </t>
    </r>
    <r>
      <rPr>
        <sz val="10"/>
        <color rgb="FF000000"/>
        <rFont val="Montserrat"/>
      </rPr>
      <t xml:space="preserve">
Botón "Consultar Incidentes"</t>
    </r>
  </si>
  <si>
    <r>
      <t xml:space="preserve">El sistema muestra las opciones:
Los campos marcados con (*) son obligatorios
Tipo de consulta: Incidentes Servicio de Recepción
</t>
    </r>
    <r>
      <rPr>
        <b/>
        <sz val="10"/>
        <color rgb="FF000000"/>
        <rFont val="Montserrat"/>
      </rPr>
      <t>Opción: Folio Fiscal</t>
    </r>
    <r>
      <rPr>
        <sz val="10"/>
        <color rgb="FF000000"/>
        <rFont val="Montserrat"/>
      </rPr>
      <t xml:space="preserve">
Textbox: Folio Fiscal Digital*
Opción: Por Fechas
Tooltip
Checkbox (Comprobantes Rechazados).
Fecha Inicial de Recepción*
Fecha Final de Recepción*
PAC </t>
    </r>
    <r>
      <rPr>
        <b/>
        <sz val="10"/>
        <color rgb="FF000000"/>
        <rFont val="Montserrat"/>
      </rPr>
      <t xml:space="preserve">
</t>
    </r>
    <r>
      <rPr>
        <sz val="10"/>
        <color rgb="FF000000"/>
        <rFont val="Montserrat"/>
      </rPr>
      <t xml:space="preserve">
Botón "Consultar Incidentes"</t>
    </r>
  </si>
  <si>
    <r>
      <t xml:space="preserve">El sistema muestra las opciones:
Los campos marcados con (*) son obligatorios
Tipo de consulta: Incidentes Servicio de Recepción
</t>
    </r>
    <r>
      <rPr>
        <b/>
        <sz val="10"/>
        <color rgb="FF000000"/>
        <rFont val="Montserrat"/>
      </rPr>
      <t>Opción: Folio Fiscal</t>
    </r>
    <r>
      <rPr>
        <sz val="10"/>
        <color rgb="FF000000"/>
        <rFont val="Montserrat"/>
      </rPr>
      <t xml:space="preserve">
Textbox: Folio Fiscal Digital*
Opción: Por Fechas
Tooltip
Checkbox (Comprobantes Rechazados).
Fecha Inicial de Recepción*
Fecha Final de Recepción*
PAC 
Botón "Consultar Incidentes"</t>
    </r>
  </si>
  <si>
    <t xml:space="preserve">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t>
  </si>
  <si>
    <t xml:space="preserve">
Al seleccionar la opción por Folio Fiscal y al colocar el cursor en el tooltip “?” el sistema deberá mostrar el siguiente mensaje y el sistema aplicará lo que menciona el mismo:
"En esta opción sólo se podrán visualizar las incidencias de los comprobantes que fueron recibidos"
</t>
  </si>
  <si>
    <r>
      <t xml:space="preserve">El sistema muestra el RFC del empleado autenticado con la opción Salir.
El sistema muestra las opciones:
</t>
    </r>
    <r>
      <rPr>
        <b/>
        <sz val="10"/>
        <color rgb="FF000000"/>
        <rFont val="Montserrat"/>
      </rPr>
      <t xml:space="preserve">Tipo de consulta
</t>
    </r>
    <r>
      <rPr>
        <sz val="10"/>
        <color rgb="FF000000"/>
        <rFont val="Montserrat"/>
      </rPr>
      <t xml:space="preserve">Lista desplegable
(Opciones inhabilitadas)
</t>
    </r>
    <r>
      <rPr>
        <b/>
        <sz val="10"/>
        <color rgb="FF000000"/>
        <rFont val="Montserrat"/>
      </rPr>
      <t>Folio Fiscal</t>
    </r>
    <r>
      <rPr>
        <sz val="10"/>
        <color rgb="FF000000"/>
        <rFont val="Montserrat"/>
      </rPr>
      <t xml:space="preserve">
</t>
    </r>
    <r>
      <rPr>
        <b/>
        <sz val="10"/>
        <color rgb="FF000000"/>
        <rFont val="Montserrat"/>
      </rPr>
      <t>Por Fechas</t>
    </r>
    <r>
      <rPr>
        <sz val="10"/>
        <color rgb="FF000000"/>
        <rFont val="Montserrat"/>
      </rPr>
      <t xml:space="preserve">
Fecha Inicial de Recepción*
Fecha Final de Recepción*
</t>
    </r>
    <r>
      <rPr>
        <b/>
        <sz val="10"/>
        <color rgb="FF000000"/>
        <rFont val="Montserrat"/>
      </rPr>
      <t>Versión del comprobante</t>
    </r>
    <r>
      <rPr>
        <sz val="10"/>
        <color rgb="FF000000"/>
        <rFont val="Montserrat"/>
      </rPr>
      <t xml:space="preserve"> (Valor es por default 4.0)
</t>
    </r>
    <r>
      <rPr>
        <b/>
        <sz val="10"/>
        <color rgb="FF000000"/>
        <rFont val="Montserrat"/>
      </rPr>
      <t xml:space="preserve">PAC </t>
    </r>
    <r>
      <rPr>
        <sz val="10"/>
        <color rgb="FF000000"/>
        <rFont val="Montserrat"/>
      </rPr>
      <t xml:space="preserve">
Botón "Consultar Incidentes"</t>
    </r>
  </si>
  <si>
    <r>
      <t xml:space="preserve">El sistema muestra las opciones:
Los campos marcados con (*) son obligatorios
Tipo de consulta: Incidentes Servicio de Recepción
</t>
    </r>
    <r>
      <rPr>
        <b/>
        <sz val="10"/>
        <color rgb="FF000000"/>
        <rFont val="Montserrat"/>
      </rPr>
      <t>Opción: Folio Fiscal</t>
    </r>
    <r>
      <rPr>
        <sz val="10"/>
        <color rgb="FF000000"/>
        <rFont val="Montserrat"/>
      </rPr>
      <t xml:space="preserve">
Tooltip
Textbox: Folio Fiscal Digital*
Opción: Por Fechas
Tooltip
Checkbox (Comprobantes Rechazados).
Fecha Inicial de Recepción*
Fecha Final de Recepción*
Versión del comprobante</t>
    </r>
    <r>
      <rPr>
        <b/>
        <sz val="10"/>
        <color rgb="FF000000"/>
        <rFont val="Montserrat"/>
      </rPr>
      <t xml:space="preserve"> </t>
    </r>
    <r>
      <rPr>
        <sz val="10"/>
        <color rgb="FF000000"/>
        <rFont val="Montserrat"/>
      </rPr>
      <t>(Valor es por default 2.0)</t>
    </r>
    <r>
      <rPr>
        <b/>
        <sz val="10"/>
        <color rgb="FF000000"/>
        <rFont val="Montserrat"/>
      </rPr>
      <t xml:space="preserve">
</t>
    </r>
    <r>
      <rPr>
        <sz val="10"/>
        <color rgb="FF000000"/>
        <rFont val="Montserrat"/>
      </rPr>
      <t>PAC</t>
    </r>
    <r>
      <rPr>
        <b/>
        <sz val="10"/>
        <color rgb="FF000000"/>
        <rFont val="Montserrat"/>
      </rPr>
      <t xml:space="preserve"> 
</t>
    </r>
    <r>
      <rPr>
        <sz val="10"/>
        <color rgb="FF000000"/>
        <rFont val="Montserrat"/>
      </rPr>
      <t xml:space="preserve">
Botón "Consultar Incidentes"</t>
    </r>
  </si>
  <si>
    <t xml:space="preserve">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t>
  </si>
  <si>
    <t>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t>
  </si>
  <si>
    <r>
      <t xml:space="preserve">Seleccionar la opcion Por Fechas y agregar los valores:
</t>
    </r>
    <r>
      <rPr>
        <b/>
        <sz val="10"/>
        <rFont val="Montserrat"/>
      </rPr>
      <t xml:space="preserve">Campo Fecha Inicial de Recepción*
Campo Fecha Final de Recepción.*
PAC
</t>
    </r>
    <r>
      <rPr>
        <sz val="10"/>
        <rFont val="Montserrat"/>
      </rPr>
      <t xml:space="preserve">Los campos marcados con (*) son obligatorios
Dar clic en el botón "Consultar Incidentes".
Nota: Para este caso de prueba se debe seleccionar un rango mayor a un mes
</t>
    </r>
  </si>
  <si>
    <t>/FechaConsulta/SinPAC</t>
  </si>
  <si>
    <t>CP34</t>
  </si>
  <si>
    <t>CP35</t>
  </si>
  <si>
    <t>/Retenciones/FechaConsulta/SinPAC</t>
  </si>
  <si>
    <t/>
  </si>
  <si>
    <t xml:space="preserve">Si la autenticación es correcta, el aplicativo abre la página principal del Portal de Incidencias con las opciones:
- Consulta incidentes CFDI
- Consulta incidentes CFDI Retenciones
- Recuperar descargas Detalle de cosulta de incidencias
En caso de que el empleado no cuente con los permisos asignados conforme a los roles establecidos, el aplicativo mostrará el mensaje: “El Usuario no cuenta con los privilegios de acceso” y no se va a permitir su acceso. </t>
  </si>
  <si>
    <t xml:space="preserve">El sistema muestra mensaje: El certificado no corresponde con la llave privada. Y no permite el acceso al Portal de Incidentes
</t>
  </si>
  <si>
    <t xml:space="preserve">El sistema muestra mensaje: Certificado, clave privada o contraseña de clave privada inválidos, inténtelo nuevamente.
</t>
  </si>
  <si>
    <t xml:space="preserve">El sistema muestra el RFC del empleado autenticado con la opción Salir.
El sistema muestra las opciones:
.Tipo de consulta
Opción: Folio Fiscal*
.Folio Fiscal Digital
Opción: Por Fechas
.Fecha Inicial de Recepción*
.Fecha Final de Recepción*
.Versión del comprobante (El valor es por default)
.PAC
Botón "Consultar Incidentes"
</t>
  </si>
  <si>
    <t xml:space="preserve">La sesión debe cerrarse de forma automática cuando esta se encuentre inactiva por el usuario y permanezca abierta en un plazo mayor a 10 minutos
Se muestra el siguiente mensaje: 
"Ha salido de la sesión. Se recomienda que cierre el navegador para completar la terminación de esta sesión"
</t>
  </si>
  <si>
    <t>El sistema muestra las siguientes opciones:
- Consulta Incidentes CFDI
- Consulta Incidentes CFDI de Retenciones
-Recuperar descargas Detalle de consulta de incidencias’
El Usuario previamente se autenticó  y accedió al portal de Cancelaciones</t>
  </si>
  <si>
    <t>Da clic en "Consulta Incidentes CFDI"</t>
  </si>
  <si>
    <t xml:space="preserve">El sistema muestra el RFC del empleado autenticado con la opción Salir.
El sistema muestra las opciones:
.Tipo de consulta
Opción: Folio Fiscal*Tooltip
.Folio Fiscal Digital
Opción: Por Fechas
.Fecha Inicial de Recepción*
.Fecha Final de Recepción*
.Versión del comprobante (El valor es por default)
.PAC
Botón "Consultar Incidentes"
</t>
  </si>
  <si>
    <t>Da clic en  Cerrar Sesion</t>
  </si>
  <si>
    <t xml:space="preserve">El sistema muestra el RFC del empleado autenticado con la opción Salir.
El sistema muestra las opciones:
Tipo de consulta
Lista desplegable
(Opciones inhabilitadas)
Folio Fiscal
Por Fechas
Fecha Inicial de Recepción*
Fecha Final de Recepción*
Versión del comprobante (Valor es por default 4.0)
PAC 
Botón "Consultar Incidentes"
</t>
  </si>
  <si>
    <t>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t>
  </si>
  <si>
    <t xml:space="preserve">El servicio inhabilita la sección de Fecha Inicial y Final de Recepción.
El sistema deberá mostrar en una tabla los resultados obtenidos de la consulta:
• RFC del PAC
• Nombre o Razón Social
• Evento
• Mensaje
• Total
• Detalle (Boton)
</t>
  </si>
  <si>
    <t xml:space="preserve">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t>
  </si>
  <si>
    <t>Selecciona el registro y dar clic en el boton de "Ver detalle"</t>
  </si>
  <si>
    <t xml:space="preserve">El sistema muestra una subpantalla con la siguiente información:
•	RFC PAC: El RFC del Proveedor.
•	Nombre o Razón Social: La razón social del Proveedor.
•	Clave de evento: Clave del evento de incidencia de recepción
•	Evento: Descripción del evento de incidencia de recepción.
Tabla: (Registros de Incidentes)
o	UUID: Folio Fiscal de los comprobantes asociados al incidente
o	Fecha de registro del incidente: Fecha en que se recibió el incidente.* 
Botones:
.Exportar Detalle a PDF
.Exportar Resultados a JSON
</t>
  </si>
  <si>
    <t xml:space="preserve">Al seleccionar este botón se debe generar una petición de descarga para los registros de incidentes que se muestran en la ventana ‘Detalle de Consulta’.
Al seleccionar el botón ‘Exportar Detalle a PDF’ se debe mostrar que el PDF se encuentra en proceso de descarga.
</t>
  </si>
  <si>
    <t xml:space="preserve">Al seleccionar este botón se debe generar una petición de descarga para los registros de incidentes que se muestran en la ventana ‘Detalle de Consulta’ en formato JSON.
Al seleccionar el botón ‘Exportar Detalle a JSON se debe mostrar que el JSON se encuentra en proceso de descarga.
</t>
  </si>
  <si>
    <t>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t>
  </si>
  <si>
    <t xml:space="preserve">Seleccionar la opcion Por Fechas y agregar los valores:
Campo Fecha Inicial de Recepción*
Campo Fecha Final de Recepción.*
PAC
Los campos marcados con (*) son obligatorios
Dar clic en el botón "Consultar Incidentes".
</t>
  </si>
  <si>
    <t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t>
  </si>
  <si>
    <t xml:space="preserve">Seleccionar la opcion Por Fechas y agregar los valores:
Campo Fecha Inicial de Recepción*
Campo Fecha Final de Recepción.*
PAC
Los campos marcados con (*) son obligatorios
Dar clic en el botón "Consultar Incidentes".
Nota: Para este caso de prueba se debe seleccionar un rango mayor a un mes
</t>
  </si>
  <si>
    <t>CP14-/FechaExportarPDF</t>
  </si>
  <si>
    <t>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Version por default 4.0</t>
  </si>
  <si>
    <t>De los resultados, se selecciona un registro y se da clic en el boton de "Ver detalle".</t>
  </si>
  <si>
    <t>El sistema muestra una subpantalla con la siguiente información:
•	RFC PAC: El RFC del Proveedor.
•	Nombre o Razón Social: La razón social del Proveedor.
•	Clave de evento: Clave del evento de incidencia de recepción
•	Evento: Descripción del evento de incidencia de recepción.
Tabla: (Registros de Incidentes)
o	UUID: Folio Fiscal de los comprobantes asociados al incidente
o	Fecha de registro del incidente: Fecha en que se recibió el incidente.* 
Botones:
.Exportar Detalle a PDF
.Exportar Resultados a JSON
El orden de los registros es ordenada por el valor del campo “Fecha de registro del incidente” del más reciente a los más antiguos.</t>
  </si>
  <si>
    <t xml:space="preserve">Al seleccionar este botón se debe generar una petición de descarga para los registros de incidentes que se muestran en la ventana ‘Detalle de Consulta’ en formato JSON.
A.	Máximo 100 registros de incidencias. 
Al seleccionar el botón ‘Exportar Detalle a PDF se debe mostrar que el PDF se encuentra en proceso de descarga.
</t>
  </si>
  <si>
    <t>CP15-/FechaExportarJSON</t>
  </si>
  <si>
    <t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t>
  </si>
  <si>
    <t xml:space="preserve">Al seleccionar este botón se debe generar una petición de descarga para los registros de incidentes que se muestran en la ventana ‘Detalle de Consulta’ en formato JSON.
A.	Máximo 100 registros de incidencias. 
Al seleccionar el botón ‘Exportar Detalle a JSON se debe mostrar que el JSON se encuentra en proceso de descarga.
</t>
  </si>
  <si>
    <t>CP16-/Retenciones/FolioFiscalConsulta</t>
  </si>
  <si>
    <t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2.0)
PAC 
Botón "Consultar Incidentes"
</t>
  </si>
  <si>
    <t>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t>
  </si>
  <si>
    <t>CP17-/Retenciones/MsgErrorConsultaCFDIRetVacio</t>
  </si>
  <si>
    <t>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t>
  </si>
  <si>
    <t>CP18-/Retenciones/MsgErrorConsultaCFDIRetFormatoIncorrecto</t>
  </si>
  <si>
    <t>CP19-/MsgErrorConsultaCFDIv4.0</t>
  </si>
  <si>
    <t xml:space="preserve">El aplicativo muestra el siguiente mensaje: 
“ERROR: El Folio Fiscal que desea consultar no se encuentra en la BD.”.
Nota: Este mensaje de error aparece porque se quiere consultar un comprobante CFDI que no es de tipo Retenciones
</t>
  </si>
  <si>
    <t>CP20-/Retenciones/FolioFiscalExportarPDF</t>
  </si>
  <si>
    <t xml:space="preserve">Al seleccionar este botón se debe generar una petición de descarga para los registros de incidentes que se muestran en la ventana ‘Detalle de Consulta’.
A.	Máximo 100 registros de incidencias.
Al seleccionar el botón ‘Exportar Detalle a PDF’ se debe mostrar que el PDF se encuentra en proceso de descarga.
</t>
  </si>
  <si>
    <t>CP21-/Retenciones/FolioFiscalExportarJSON</t>
  </si>
  <si>
    <t>El sistema muestra el RFC del empleado autenticado con la opción Salir.
El sistema muestra las opciones:
Tipo de consulta
Opciones inhabilitadas
Folio Fiscal
Por Fechas
Fecha Inicial de Recepción*
Fecha Final de Recepción*
Versión del comprobante (Valor es por default 2.0)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t>
  </si>
  <si>
    <t>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t>
  </si>
  <si>
    <t>El servicio inhabilita la sección de Fecha Inicial y Final de Recepción.
El sistema deberá mostrar en una tabla los resultados obtenidos de la consulta:
• RFC del PAC
• Nombre o Razón Social
• Evento
• Mensaje
• Total
• Detalle (Boton)
Version por default 2.0</t>
  </si>
  <si>
    <t xml:space="preserve">Al seleccionar este botón se debe generar una petición de descarga para los registros de incidentes que se muestran en la ventana ‘Detalle de Consulta’ en formato JSON.
•Máximo 100 registros de incidencias. 
Al seleccionar el botón ‘Exportar Detalle a JSON se debe mostrar que el JSON se encuentra en proceso de descarga.
</t>
  </si>
  <si>
    <t>CP22-/Retenciones/FechaConsulta</t>
  </si>
  <si>
    <t>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2.0</t>
  </si>
  <si>
    <t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Campo "Versión del comprobante" por default tiene el valor 2.0 </t>
  </si>
  <si>
    <t>CP23-/Retenciones/FechaMsgErrorConsultaRangoFecha</t>
  </si>
  <si>
    <t>Da clic en "Consulta incidentes CFDI Retenciones"</t>
  </si>
  <si>
    <t xml:space="preserve">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t>
  </si>
  <si>
    <t>CP24-/Retenciones/FechaExportarPDF</t>
  </si>
  <si>
    <t>CP25-/Retenciones/FechaExportarJSON</t>
  </si>
  <si>
    <t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4.0)
PAC 
Botón "Consultar Incidentes"
</t>
  </si>
  <si>
    <t>CP26-/Recuperar descargas/Sin Peticiones</t>
  </si>
  <si>
    <t>CP27-/Recuperar descargas/Con Archivos</t>
  </si>
  <si>
    <t xml:space="preserve">En caso de existir solicitudes de descarga en proceso, se visualizarán los registros de descarga con la siguiente estructura:
•	Descargar Paquete: Opción que permite la descarga solicitada.  Icono que representa la funcionalidad de descarga del paquete de archivos correspondiente. 
•	Folio de Descarga: Indica el número de folio que genera el sistema al realizar la descarga.
•	Evento: Indica la clave del evento del detalle de la solicitud de descarga.
•	RFC PAC: Indica el RFC del PAC del detalle de la solicitud de descarga.
•	Tipo Descarga: Indica el tipo de descarga solicitada la cual puede ser: PDF o JSON. 
•	Cantidad de Documentos: Indica el total de documentos que contiene el archivo.
•	Fecha de la Solicitud: Indica la fecha en la que se realizó la solicitud.
•	Estatus de solicitud: Indica si está en proceso o atendida.
•	Fecha de atención de solicitud: Indica la fecha en la que se pusieron a disposición los archivos para descarga
Este paquete se generará únicamente para los registros de incidencias que superaron el límite de descarga de 100 registros.
</t>
  </si>
  <si>
    <t>CP28-/Retenciones/FechaExportarPDFmas100Registros</t>
  </si>
  <si>
    <t>El sistema muestra una subpantalla con la siguiente información:
•	RFC PAC: El RFC del Proveedor.
•	Nombre o Razón Social: La razón social del Proveedor.
•	Clave de evento: Clave del evento de incidencia de recepción
•	Evento: Descripción del evento de incidencia de recepción.
Tabla: (Registros de Incidentes)
o	UUID: Folio Fiscal de los comprobantes asociados al incidente
o	Fecha de registro del incidente: Fecha en que se recibió el incidente.* 
Botones:
.Exportar Detalle a PDF
.Exportar Resultados a JSON
Si el total de incidencias es mayor a 100 registros, al dar clic en el botón   (Ver detalle), el sistema va a mostrar únicamente los primeros 100 en la pantalla y el siguiente mensaje en la pantalla modal:
¡Aviso!
El resultado Detalle de Consulta contiene mas de 100 registros de incidentes.
Solo se muestran los primeros 100
Importante: La descarga total de los registros se puede realizar mediante los botones 
"Exportar Detalle a PDF" o "Exportar resultados a JSON"
El orden de los registros es ordenada por el valor del campo “Fecha de registro del incidente” del más reciente a los más antiguos.</t>
  </si>
  <si>
    <t xml:space="preserve">Al seleccionar este botón se debe generar una petición de descarga para los registros de incidentes que se muestran en la ventana ‘Detalle de Consulta’.
•	Mas de 100 registros de incidencias
Al seleccionar el botón ‘Exportar Detalle a PDF’ el sistema cierra la pantalla modal y genera la descarga con la totalidad de registros de incidencias de manera asíncrona, mostrando en pantalla un mensaje con el número de ‘Folio de Descarga’ conforme a las siguientes características:
	Letras mayúsculas.
	Números.
	Guiones.
	Longitud de 32 caracteres (sin contar el guion)
El folio de descarga se proporciona mediante el siguiente mensaje: 
¡Descarga realizada con éxito!
La descarga del Detalle de la Consulta (PDF) se encuentra en proceso y podrás obtener el resultado con el folio de descarga: xxxxxxxx-xxxx-xxxx-xxxx-xxxxxxxxxxxx, en la opción: 
Recuperar descargas ‘Detalle de consulta de incidencias’.
Importante: el tiempo máximo para atender la solicitud es de 48 horas a partir de este momento.
</t>
  </si>
  <si>
    <t>CP29-/Retenciones/FechaExportarJSONmas100Registros</t>
  </si>
  <si>
    <t xml:space="preserve">Al seleccionar este botón se debe generar una petición de descarga para los registros de incidentes que se muestran en la ventana ‘Detalle de Consulta’ en formato JSON.
B.	Más de 100 registros de incidencias.
 Al seleccionar el botón ‘Exportar Detalle a JSON’ el sistema cierra la pantalla modal y genera la descarga con la totalidad de registros de incidencias de manera asíncrona, mostrando en pantalla un mensaje con el número de ‘Folio de Descarga’ conforme a las siguientes características:
•	Letras mayúsculas.
•	Números.
•	Guiones.
•	Longitud de 32 caracteres (sin contar el guion).
El folio de descarga se proporciona mediante el siguiente mensaje: 
¡Descarga realizada con éxito!
La descarga del Detalle de la Consulta (JSON) se encuentra en proceso y podrás obtener el resultado con el folio de descarga: xxxxxxxx-xxxx-xxxx-xxxx-xxxxxxxxxxxx, en la opción: 
Recuperar descargas ‘Detalle de consulta de incidencias’.
Importante: el tiempo máximo para atender la solicitud es de 48 horas a partir de este momento.
</t>
  </si>
  <si>
    <t>CP30-/FechaExportarPDFmas100Registros</t>
  </si>
  <si>
    <t>CP31-/FechaExportarJSONmas100Registros</t>
  </si>
  <si>
    <t>CP32-/Lineamientos Gráficos/Encabezado</t>
  </si>
  <si>
    <t xml:space="preserve">Se muestran los datos para ingresar:
Certificado (.cer)
Clave privada (.Key)
Contraseña de clave privada: 
Se muestra el campo RFC
</t>
  </si>
  <si>
    <t xml:space="preserve">Se muestra el dato en el  campo certificado y en el campo RFC el dato del RFC del Contribuyente
</t>
  </si>
  <si>
    <t xml:space="preserve">Si la autenticación es correcta, el aplicativo abre la página principal del Portal Privado Contribuyente CFDI .
En caso de que el Contribuyente no cuente con los permisos, el aplicativo mostrará el mensaje: “El Usuario no cuenta con los privilegios de acceso” y no va a permitir su acceso. </t>
  </si>
  <si>
    <t xml:space="preserve">Encabezado con lo siguiente:
(Fondo color guinda)
El imagotipo de "Gobierno de México" -Alineado en parte superior izquierda
Link "Tramites" -Alineado a la derecha
Link "Gobierno" 
Link lupa "Buscador"
(Fondo color guinda obscuro)
"PORTAL EMPLEADOS" -Alineado a la izquierda
Logosimbolo horizontal "Gobierno de México"
Está compuesto por las palabras "Gobierno de
México" en tipografía institucional, junto al Escudo
Nacional.
En la versión horizontal, el Escudo Nacional debe
situarse a la izquierda de la frase "Gobierno
de México"
</t>
  </si>
  <si>
    <t>CP33-/Lineamientos Gráficos/Pie de página</t>
  </si>
  <si>
    <t xml:space="preserve">Si la autenticación es correcta, el aplicativo abre la página principal del Portal de Incidentes.
</t>
  </si>
  <si>
    <t xml:space="preserve">Pie de página con lo siguiente:
(Fondo color guinda)
El imagotipo de "Gobierno de México" - Alineado a la izquierda
Sección "Enlaces" de lado derecho del imagotipo 
Link "Participa"
Link "Marco Jurídico"
Link "Plataforma Nacional de Transparencia"
Link "Transparencia para el pueblo"
Link "Alerta"
Sección "¿Qué es gob?" del lado derecho de la sección "Enlaces"
Leyenda "Es el portal único de trámites, información y participación ciudadana." Link "Leer más"
Link "Portal de datos abiertos"
Link "Declaración de accesibilidad"
Link "Términos y Condiciones"
Link "Denuncia contra servidores públicos" - Alineado a la derecha
Sección "Síguenos en"
Enlace (Logo de Facebook)
Enlace (Logo de Twitter)
Enlace (Logo de Instagram)
Enlace (Logo de YouTube)
Enlace (Logo de una flor) "079 Comunícate, estamos para ayudarte"
</t>
  </si>
  <si>
    <t>CP34-/FechaConsulta/SinPAC</t>
  </si>
  <si>
    <t>CP35-/Retenciones/FechaConsulta/SinPAC</t>
  </si>
  <si>
    <r>
      <t xml:space="preserve">Seleccionar la opcion Por Fechas y agregar los valores:
</t>
    </r>
    <r>
      <rPr>
        <b/>
        <sz val="10"/>
        <rFont val="Montserrat"/>
      </rPr>
      <t xml:space="preserve">Campo Fecha Inicial de Recepción*
Campo Fecha Final de Recepción.*
</t>
    </r>
    <r>
      <rPr>
        <sz val="10"/>
        <rFont val="Montserrat"/>
      </rPr>
      <t>PAC</t>
    </r>
    <r>
      <rPr>
        <b/>
        <sz val="10"/>
        <rFont val="Montserrat"/>
      </rPr>
      <t xml:space="preserve">
</t>
    </r>
    <r>
      <rPr>
        <sz val="10"/>
        <rFont val="Montserrat"/>
      </rPr>
      <t xml:space="preserve">Los campos marcados con (*) son obligatorios
Dar clic en el botón "Consultar Incidentes".
</t>
    </r>
  </si>
  <si>
    <r>
      <t xml:space="preserve">El sistema muestra las opciones:
Los campos marcados con (*) son obligatorios
Tipo de consulta: Incidentes Servicio de Recepción
Opción: Folio Fiscal
Textbox: Folio Fiscal Digital*
</t>
    </r>
    <r>
      <rPr>
        <b/>
        <sz val="10"/>
        <color rgb="FF000000"/>
        <rFont val="Montserrat"/>
      </rPr>
      <t>Opción: Por Fechas</t>
    </r>
    <r>
      <rPr>
        <sz val="10"/>
        <color rgb="FF000000"/>
        <rFont val="Montserrat"/>
      </rPr>
      <t xml:space="preserve">
Tooltip
Checkbox (Comprobantes Rechazados).
</t>
    </r>
    <r>
      <rPr>
        <b/>
        <sz val="10"/>
        <color rgb="FF000000"/>
        <rFont val="Montserrat"/>
      </rPr>
      <t xml:space="preserve">Fecha Inicial de Recepción*
Fecha Final de Recepción*
</t>
    </r>
    <r>
      <rPr>
        <sz val="10"/>
        <color rgb="FF000000"/>
        <rFont val="Montserrat"/>
      </rPr>
      <t xml:space="preserve">PAC </t>
    </r>
    <r>
      <rPr>
        <b/>
        <sz val="10"/>
        <color rgb="FF000000"/>
        <rFont val="Montserrat"/>
      </rPr>
      <t xml:space="preserve">
</t>
    </r>
    <r>
      <rPr>
        <sz val="10"/>
        <color rgb="FF000000"/>
        <rFont val="Montserrat"/>
      </rPr>
      <t xml:space="preserve">
Botón "Consultar Incidentes"</t>
    </r>
  </si>
  <si>
    <r>
      <t xml:space="preserve">El sistema muestra las opciones:
Los campos marcados con (*) son obligatorios
Tipo de consulta: Incidentes Servicio de Recepción
Opción: Folio Fiscal
Textbox: Folio Fiscal Digital*
</t>
    </r>
    <r>
      <rPr>
        <b/>
        <sz val="10"/>
        <color rgb="FF000000"/>
        <rFont val="Montserrat"/>
      </rPr>
      <t>Opción: Por Fechas</t>
    </r>
    <r>
      <rPr>
        <sz val="10"/>
        <color rgb="FF000000"/>
        <rFont val="Montserrat"/>
      </rPr>
      <t xml:space="preserve">
Tooltip
Checkbox (Comprobantes Rechazados).
</t>
    </r>
    <r>
      <rPr>
        <b/>
        <sz val="10"/>
        <color rgb="FF000000"/>
        <rFont val="Montserrat"/>
      </rPr>
      <t xml:space="preserve">Fecha Inicial de Recepción*
Fecha Final de Recepción*
</t>
    </r>
    <r>
      <rPr>
        <sz val="10"/>
        <color rgb="FF000000"/>
        <rFont val="Montserrat"/>
      </rPr>
      <t>Versión del comprobante (Valor es por default 2.0)</t>
    </r>
    <r>
      <rPr>
        <b/>
        <sz val="10"/>
        <color rgb="FF000000"/>
        <rFont val="Montserrat"/>
      </rPr>
      <t xml:space="preserve">
</t>
    </r>
    <r>
      <rPr>
        <sz val="10"/>
        <color rgb="FF000000"/>
        <rFont val="Montserrat"/>
      </rPr>
      <t xml:space="preserve">PAC </t>
    </r>
    <r>
      <rPr>
        <b/>
        <sz val="10"/>
        <color rgb="FF000000"/>
        <rFont val="Montserrat"/>
      </rPr>
      <t xml:space="preserve">
</t>
    </r>
    <r>
      <rPr>
        <sz val="10"/>
        <color rgb="FF000000"/>
        <rFont val="Montserrat"/>
      </rPr>
      <t xml:space="preserve">
Botón "Consultar Incidentes"</t>
    </r>
  </si>
  <si>
    <r>
      <t xml:space="preserve">El sistema muestra las opciones:
Los campos marcados con (*) son obligatorios
Tipo de consulta: Incidentes Servicio de Recepción
Opción: Folio Fiscal
Textbox: Folio Fiscal Digital*
</t>
    </r>
    <r>
      <rPr>
        <b/>
        <sz val="10"/>
        <color rgb="FF000000"/>
        <rFont val="Montserrat"/>
      </rPr>
      <t>Opción: Por Fechas</t>
    </r>
    <r>
      <rPr>
        <sz val="10"/>
        <color rgb="FF000000"/>
        <rFont val="Montserrat"/>
      </rPr>
      <t xml:space="preserve">
Tooltip
Checkbox (Comprobantes Rechazados).
</t>
    </r>
    <r>
      <rPr>
        <b/>
        <sz val="10"/>
        <color rgb="FF000000"/>
        <rFont val="Montserrat"/>
      </rPr>
      <t xml:space="preserve">Fecha Inicial de Recepción*
Fecha Final de Recepción*
</t>
    </r>
    <r>
      <rPr>
        <sz val="10"/>
        <color rgb="FF000000"/>
        <rFont val="Montserrat"/>
      </rPr>
      <t>Versión del comprobante (Valor es por default 2.0)</t>
    </r>
    <r>
      <rPr>
        <b/>
        <sz val="10"/>
        <color rgb="FF000000"/>
        <rFont val="Montserrat"/>
      </rPr>
      <t xml:space="preserve">
PAC 
</t>
    </r>
    <r>
      <rPr>
        <sz val="10"/>
        <color rgb="FF000000"/>
        <rFont val="Montserrat"/>
      </rPr>
      <t xml:space="preserve">
Botón "Consultar Incidentes"</t>
    </r>
  </si>
  <si>
    <t>7.- Sin PAC</t>
  </si>
  <si>
    <t>CP34/FechaConsulta/SinPAC</t>
  </si>
  <si>
    <t>CP35/Retenciones/FechaConsulta/SinPAC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</si>
</sst>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_-;_-@_-"/>
    <numFmt numFmtId="165" formatCode="dd/mm/yyyy;@"/>
  </numFmts>
  <fonts count="48" x14ac:knownFonts="1">
    <font>
      <sz val="11"/>
      <color rgb="FF000000"/>
      <name val="Calibri"/>
      <family val="2"/>
      <charset val="1"/>
    </font>
    <font>
      <sz val="10"/>
      <name val="Arial"/>
      <family val="2"/>
      <charset val="1"/>
    </font>
    <font>
      <b/>
      <sz val="12"/>
      <name val="Arial"/>
      <family val="2"/>
      <charset val="1"/>
    </font>
    <font>
      <sz val="10"/>
      <name val="Verdana"/>
      <family val="2"/>
      <charset val="1"/>
    </font>
    <font>
      <sz val="8"/>
      <name val="Arial"/>
      <family val="2"/>
      <charset val="1"/>
    </font>
    <font>
      <sz val="10"/>
      <name val="Montserrat"/>
    </font>
    <font>
      <sz val="10"/>
      <color rgb="FF0070C0"/>
      <name val="Montserrat"/>
    </font>
    <font>
      <b/>
      <i/>
      <sz val="10"/>
      <color rgb="FF1403EF"/>
      <name val="Montserrat"/>
    </font>
    <font>
      <i/>
      <sz val="10"/>
      <color rgb="FF1403EF"/>
      <name val="Montserrat"/>
    </font>
    <font>
      <sz val="10"/>
      <color rgb="FF1403EF"/>
      <name val="Montserrat"/>
    </font>
    <font>
      <b/>
      <i/>
      <sz val="10"/>
      <color rgb="FF0000FF"/>
      <name val="Montserrat"/>
    </font>
    <font>
      <i/>
      <sz val="10"/>
      <color rgb="FF0000FF"/>
      <name val="Montserrat"/>
    </font>
    <font>
      <b/>
      <sz val="10"/>
      <name val="Montserrat"/>
    </font>
    <font>
      <b/>
      <sz val="10"/>
      <color rgb="FF002060"/>
      <name val="Montserrat"/>
    </font>
    <font>
      <sz val="10"/>
      <color rgb="FF0000FF"/>
      <name val="Montserrat"/>
    </font>
    <font>
      <b/>
      <sz val="10"/>
      <color rgb="FF000000"/>
      <name val="Montserrat"/>
    </font>
    <font>
      <sz val="10"/>
      <color rgb="FF000000"/>
      <name val="Montserrat"/>
    </font>
    <font>
      <b/>
      <sz val="10"/>
      <color rgb="FF0000FF"/>
      <name val="Montserrat"/>
    </font>
    <font>
      <b/>
      <i/>
      <sz val="10"/>
      <color rgb="FF000000"/>
      <name val="Montserrat"/>
    </font>
    <font>
      <sz val="10"/>
      <color rgb="FF000000"/>
      <name val="Times New Roman"/>
      <family val="1"/>
      <charset val="1"/>
    </font>
    <font>
      <b/>
      <i/>
      <sz val="9"/>
      <color rgb="FF1403EF"/>
      <name val="Verdana"/>
      <family val="2"/>
      <charset val="1"/>
    </font>
    <font>
      <b/>
      <sz val="8"/>
      <color rgb="FF000000"/>
      <name val="Montserrat"/>
    </font>
    <font>
      <b/>
      <sz val="9"/>
      <color rgb="FF376B48"/>
      <name val="Montserrat"/>
    </font>
    <font>
      <sz val="9"/>
      <color rgb="FF000000"/>
      <name val="Montserrat"/>
    </font>
    <font>
      <b/>
      <sz val="11"/>
      <color rgb="FF000000"/>
      <name val="Montserrat"/>
    </font>
    <font>
      <sz val="6"/>
      <color rgb="FF0000FF"/>
      <name val="Montserrat"/>
    </font>
    <font>
      <sz val="11"/>
      <color rgb="FF000000"/>
      <name val="Montserrat"/>
    </font>
    <font>
      <sz val="7"/>
      <color rgb="FF0000FF"/>
      <name val="Montserrat"/>
    </font>
    <font>
      <b/>
      <sz val="7"/>
      <color rgb="FF0000FF"/>
      <name val="Montserrat"/>
    </font>
    <font>
      <sz val="11"/>
      <color rgb="FF000000"/>
      <name val="Calibri"/>
      <family val="2"/>
      <charset val="1"/>
    </font>
    <font>
      <sz val="10"/>
      <name val="Montserrat"/>
    </font>
    <font>
      <b/>
      <sz val="10"/>
      <name val="Montserrat"/>
    </font>
    <font>
      <sz val="8"/>
      <name val="Calibri"/>
      <family val="2"/>
      <charset val="1"/>
    </font>
    <font>
      <sz val="10"/>
      <color rgb="FFFF0000"/>
      <name val="Montserrat"/>
    </font>
    <font>
      <sz val="10"/>
      <color rgb="FF00B0F0"/>
      <name val="Montserrat"/>
    </font>
    <font>
      <b/>
      <sz val="10"/>
      <color theme="1"/>
      <name val="Montserrat"/>
    </font>
    <font>
      <b/>
      <sz val="10"/>
      <color rgb="FFFF0000"/>
      <name val="Montserrat"/>
    </font>
    <font>
      <sz val="10"/>
      <color rgb="FF00B050"/>
      <name val="Montserrat"/>
    </font>
    <font>
      <sz val="10"/>
      <name val="Noto Sans"/>
      <family val="2"/>
      <charset val="1"/>
    </font>
    <font>
      <sz val="11"/>
      <name val="Calibri"/>
      <family val="2"/>
      <charset val="1"/>
    </font>
    <font>
      <sz val="10"/>
      <color theme="1"/>
      <name val="Montserrat"/>
    </font>
    <font>
      <sz val="10"/>
      <color rgb="FFFF0000"/>
      <name val="Noto Sans"/>
      <family val="2"/>
    </font>
    <font>
      <sz val="10"/>
      <name val="Noto Sans"/>
      <family val="2"/>
    </font>
    <font>
      <b/>
      <sz val="10"/>
      <name val="Noto Sans"/>
      <family val="2"/>
    </font>
    <font>
      <sz val="10"/>
      <color theme="3"/>
      <name val="Noto Sans"/>
      <family val="2"/>
    </font>
    <font>
      <b/>
      <sz val="10"/>
      <color theme="3"/>
      <name val="Noto Sans"/>
      <family val="2"/>
    </font>
    <font>
      <b/>
      <sz val="10"/>
      <name val="Noto Sans"/>
      <family val="2"/>
      <charset val="1"/>
    </font>
    <font>
      <b/>
      <sz val="10"/>
      <color rgb="FF000000"/>
      <name val="Noto Sans"/>
      <family val="2"/>
      <charset val="1"/>
    </font>
  </fonts>
  <fills count="12">
    <fill>
      <patternFill patternType="none"/>
    </fill>
    <fill>
      <patternFill patternType="gray125"/>
    </fill>
    <fill>
      <patternFill patternType="solid">
        <fgColor rgb="FF969696"/>
        <bgColor rgb="FF808080"/>
      </patternFill>
    </fill>
    <fill>
      <patternFill patternType="solid">
        <fgColor rgb="FFC0C0C0"/>
        <bgColor rgb="FFBFBFBF"/>
      </patternFill>
    </fill>
    <fill>
      <patternFill patternType="solid">
        <fgColor rgb="FFD9D9D9"/>
        <bgColor rgb="FFDCE6F2"/>
      </patternFill>
    </fill>
    <fill>
      <patternFill patternType="solid">
        <fgColor rgb="FFF2F2F2"/>
        <bgColor rgb="FFFFFFFF"/>
      </patternFill>
    </fill>
    <fill>
      <patternFill patternType="solid">
        <fgColor rgb="FFDCE6F2"/>
        <bgColor rgb="FFD9D9D9"/>
      </patternFill>
    </fill>
    <fill>
      <patternFill patternType="solid">
        <fgColor rgb="FFC6D9F1"/>
        <bgColor rgb="FFD9D9D9"/>
      </patternFill>
    </fill>
    <fill>
      <patternFill patternType="solid">
        <fgColor rgb="FFFFFFFF"/>
        <bgColor rgb="FFF2F2F2"/>
      </patternFill>
    </fill>
    <fill>
      <patternFill patternType="solid">
        <fgColor rgb="FFBFBFBF"/>
        <bgColor rgb="FFC0C0C0"/>
      </patternFill>
    </fill>
    <fill>
      <patternFill patternType="solid">
        <fgColor theme="0" tint="-4.9989318521683403E-2"/>
        <bgColor indexed="64"/>
      </patternFill>
    </fill>
    <fill>
      <patternFill patternType="solid">
        <fgColor theme="4" tint="0.79998168889431442"/>
        <bgColor indexed="64"/>
      </patternFill>
    </fill>
  </fills>
  <borders count="25">
    <border>
      <left/>
      <right/>
      <top/>
      <bottom/>
      <diagonal/>
    </border>
    <border>
      <left/>
      <right/>
      <top style="medium">
        <color auto="1"/>
      </top>
      <bottom style="medium">
        <color auto="1"/>
      </bottom>
      <diagonal/>
    </border>
    <border>
      <left/>
      <right/>
      <top style="thin">
        <color auto="1"/>
      </top>
      <bottom style="thin">
        <color auto="1"/>
      </bottom>
      <diagonal/>
    </border>
    <border>
      <left style="thin">
        <color rgb="FF2C1CFC"/>
      </left>
      <right style="thin">
        <color rgb="FF2C1CFC"/>
      </right>
      <top style="thin">
        <color rgb="FF2C1CFC"/>
      </top>
      <bottom style="thin">
        <color rgb="FF2C1CFC"/>
      </bottom>
      <diagonal/>
    </border>
    <border>
      <left style="thin">
        <color rgb="FF2C1CFC"/>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diagonal/>
    </border>
    <border>
      <left/>
      <right/>
      <top style="thin">
        <color auto="1"/>
      </top>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s>
  <cellStyleXfs count="14">
    <xf numFmtId="0" fontId="0" fillId="0" borderId="0"/>
    <xf numFmtId="0" fontId="1" fillId="0" borderId="0"/>
    <xf numFmtId="164" fontId="29" fillId="0" borderId="0" applyBorder="0" applyProtection="0"/>
    <xf numFmtId="164" fontId="29" fillId="0" borderId="0" applyBorder="0" applyProtection="0"/>
    <xf numFmtId="0" fontId="2" fillId="0" borderId="1" applyProtection="0"/>
    <xf numFmtId="0" fontId="2" fillId="0" borderId="2">
      <alignment horizontal="left" vertical="center"/>
    </xf>
    <xf numFmtId="164" fontId="29" fillId="0" borderId="0" applyBorder="0" applyProtection="0"/>
    <xf numFmtId="0" fontId="3" fillId="0" borderId="0"/>
    <xf numFmtId="0" fontId="4" fillId="0" borderId="0"/>
    <xf numFmtId="0" fontId="3" fillId="0" borderId="0"/>
    <xf numFmtId="0" fontId="3" fillId="0" borderId="0"/>
    <xf numFmtId="0" fontId="29" fillId="0" borderId="0"/>
    <xf numFmtId="9" fontId="29" fillId="0" borderId="0" applyBorder="0" applyProtection="0"/>
    <xf numFmtId="9" fontId="29" fillId="0" borderId="0" applyBorder="0" applyProtection="0"/>
  </cellStyleXfs>
  <cellXfs count="143">
    <xf numFmtId="0" fontId="0" fillId="0" borderId="0" xfId="0"/>
    <xf numFmtId="0" fontId="5" fillId="0" borderId="14" xfId="0" applyFont="1" applyBorder="1" applyAlignment="1">
      <alignment horizontal="left" vertical="center" wrapText="1"/>
    </xf>
    <xf numFmtId="0" fontId="3" fillId="0" borderId="0" xfId="9" applyAlignment="1">
      <alignment wrapText="1"/>
    </xf>
    <xf numFmtId="0" fontId="5" fillId="0" borderId="0" xfId="9" applyFont="1" applyAlignment="1">
      <alignment wrapText="1"/>
    </xf>
    <xf numFmtId="0" fontId="6" fillId="0" borderId="0" xfId="9" applyFont="1" applyAlignment="1">
      <alignment horizontal="center" vertical="center" wrapText="1"/>
    </xf>
    <xf numFmtId="0" fontId="5" fillId="0" borderId="0" xfId="9" applyFont="1" applyAlignment="1">
      <alignment horizontal="center" vertical="center" wrapText="1"/>
    </xf>
    <xf numFmtId="0" fontId="5" fillId="0" borderId="4" xfId="9" applyFont="1" applyBorder="1" applyAlignment="1">
      <alignment wrapText="1"/>
    </xf>
    <xf numFmtId="0" fontId="9" fillId="0" borderId="0" xfId="7" applyFont="1" applyAlignment="1">
      <alignment horizontal="left" wrapText="1"/>
    </xf>
    <xf numFmtId="0" fontId="11" fillId="0" borderId="0" xfId="9" applyFont="1" applyAlignment="1">
      <alignment horizontal="left" vertical="center" wrapText="1"/>
    </xf>
    <xf numFmtId="0" fontId="12" fillId="0" borderId="0" xfId="9" applyFont="1" applyAlignment="1">
      <alignment wrapText="1"/>
    </xf>
    <xf numFmtId="0" fontId="5" fillId="0" borderId="0" xfId="9" applyFont="1" applyAlignment="1">
      <alignment vertical="center" wrapText="1"/>
    </xf>
    <xf numFmtId="0" fontId="13" fillId="0" borderId="0" xfId="9" applyFont="1" applyAlignment="1">
      <alignment horizontal="center" vertical="center" wrapText="1"/>
    </xf>
    <xf numFmtId="0" fontId="14" fillId="0" borderId="0" xfId="0" applyFont="1" applyAlignment="1">
      <alignment vertical="center" wrapText="1"/>
    </xf>
    <xf numFmtId="0" fontId="15" fillId="5" borderId="14" xfId="0" applyFont="1" applyFill="1" applyBorder="1" applyAlignment="1">
      <alignment horizontal="center" vertical="center"/>
    </xf>
    <xf numFmtId="49" fontId="16" fillId="0" borderId="14" xfId="0" applyNumberFormat="1" applyFont="1" applyBorder="1" applyAlignment="1">
      <alignment horizontal="center" vertical="center"/>
    </xf>
    <xf numFmtId="0" fontId="16" fillId="0" borderId="14" xfId="0" applyFont="1" applyBorder="1" applyAlignment="1">
      <alignment horizontal="left" vertical="center" wrapText="1"/>
    </xf>
    <xf numFmtId="165" fontId="5" fillId="0" borderId="14" xfId="0" applyNumberFormat="1" applyFont="1" applyBorder="1" applyAlignment="1">
      <alignment horizontal="center" vertical="center"/>
    </xf>
    <xf numFmtId="0" fontId="12" fillId="4" borderId="14" xfId="0" applyFont="1" applyFill="1" applyBorder="1" applyAlignment="1">
      <alignment horizontal="center" vertical="center" wrapText="1"/>
    </xf>
    <xf numFmtId="0" fontId="12" fillId="5" borderId="16" xfId="0" applyFont="1" applyFill="1" applyBorder="1" applyAlignment="1">
      <alignment horizontal="center" vertical="center" wrapText="1"/>
    </xf>
    <xf numFmtId="0" fontId="16" fillId="0" borderId="16" xfId="0" applyFont="1" applyBorder="1"/>
    <xf numFmtId="0" fontId="12" fillId="6" borderId="14" xfId="0" applyFont="1" applyFill="1" applyBorder="1" applyAlignment="1">
      <alignment wrapText="1"/>
    </xf>
    <xf numFmtId="0" fontId="5" fillId="0" borderId="14" xfId="0" applyFont="1" applyBorder="1" applyAlignment="1">
      <alignment vertical="center" wrapText="1"/>
    </xf>
    <xf numFmtId="0" fontId="5" fillId="0" borderId="0" xfId="0" applyFont="1" applyAlignment="1">
      <alignment vertical="center" wrapText="1"/>
    </xf>
    <xf numFmtId="0" fontId="5" fillId="0" borderId="14" xfId="0" applyFont="1" applyBorder="1" applyAlignment="1">
      <alignment wrapText="1"/>
    </xf>
    <xf numFmtId="0" fontId="12" fillId="0" borderId="0" xfId="0" applyFont="1" applyAlignment="1">
      <alignment vertical="center" wrapText="1"/>
    </xf>
    <xf numFmtId="0" fontId="12" fillId="6" borderId="14" xfId="0" applyFont="1" applyFill="1" applyBorder="1" applyAlignment="1">
      <alignment vertical="center" wrapText="1"/>
    </xf>
    <xf numFmtId="0" fontId="0" fillId="0" borderId="0" xfId="0" applyAlignment="1">
      <alignment wrapText="1"/>
    </xf>
    <xf numFmtId="0" fontId="16" fillId="0" borderId="0" xfId="0" applyFont="1" applyAlignment="1">
      <alignment wrapText="1"/>
    </xf>
    <xf numFmtId="0" fontId="9" fillId="0" borderId="0" xfId="0" applyFont="1" applyAlignment="1">
      <alignment vertical="center" wrapText="1"/>
    </xf>
    <xf numFmtId="0" fontId="16" fillId="0" borderId="0" xfId="0" applyFont="1" applyAlignment="1">
      <alignment horizontal="center" vertical="center" wrapText="1"/>
    </xf>
    <xf numFmtId="0" fontId="6" fillId="0" borderId="0" xfId="0" applyFont="1" applyAlignment="1">
      <alignment horizontal="justify" vertical="center" wrapText="1"/>
    </xf>
    <xf numFmtId="0" fontId="16" fillId="0" borderId="0" xfId="0" applyFont="1"/>
    <xf numFmtId="0" fontId="12" fillId="9" borderId="5" xfId="0" applyFont="1" applyFill="1" applyBorder="1" applyAlignment="1">
      <alignment horizontal="center" vertical="center" wrapText="1"/>
    </xf>
    <xf numFmtId="0" fontId="12" fillId="8" borderId="5" xfId="0" applyFont="1" applyFill="1" applyBorder="1" applyAlignment="1">
      <alignment horizontal="center" vertical="center" wrapText="1"/>
    </xf>
    <xf numFmtId="0" fontId="12" fillId="9" borderId="18" xfId="0" applyFont="1" applyFill="1" applyBorder="1" applyAlignment="1">
      <alignment horizontal="center" vertical="center" wrapText="1"/>
    </xf>
    <xf numFmtId="0" fontId="15" fillId="0" borderId="5" xfId="0" applyFont="1" applyBorder="1" applyAlignment="1">
      <alignment horizontal="center" vertical="center" wrapText="1"/>
    </xf>
    <xf numFmtId="0" fontId="5" fillId="0" borderId="0" xfId="0" applyFont="1" applyAlignment="1">
      <alignment wrapText="1"/>
    </xf>
    <xf numFmtId="0" fontId="12" fillId="5" borderId="14" xfId="0" applyFont="1" applyFill="1" applyBorder="1" applyAlignment="1">
      <alignment horizontal="center" vertical="center" wrapText="1"/>
    </xf>
    <xf numFmtId="0" fontId="12" fillId="5" borderId="14" xfId="0" applyFont="1" applyFill="1" applyBorder="1" applyAlignment="1">
      <alignment vertical="center" wrapText="1"/>
    </xf>
    <xf numFmtId="0" fontId="15" fillId="5" borderId="14" xfId="0" applyFont="1" applyFill="1" applyBorder="1" applyAlignment="1">
      <alignment horizontal="center" vertical="center" wrapText="1"/>
    </xf>
    <xf numFmtId="0" fontId="5" fillId="0" borderId="19" xfId="0" applyFont="1" applyBorder="1" applyAlignment="1">
      <alignment horizontal="left" vertical="center" wrapText="1"/>
    </xf>
    <xf numFmtId="0" fontId="5" fillId="0" borderId="19" xfId="0" applyFont="1" applyBorder="1" applyAlignment="1">
      <alignment vertical="center" wrapText="1"/>
    </xf>
    <xf numFmtId="0" fontId="5" fillId="0" borderId="19" xfId="0" applyFont="1" applyBorder="1" applyAlignment="1">
      <alignment horizontal="center" vertical="center" wrapText="1"/>
    </xf>
    <xf numFmtId="0" fontId="5" fillId="0" borderId="19" xfId="0" applyFont="1" applyBorder="1" applyAlignment="1">
      <alignment horizontal="justify" vertical="center" wrapText="1"/>
    </xf>
    <xf numFmtId="0" fontId="5" fillId="0" borderId="14" xfId="0" applyFont="1" applyBorder="1" applyAlignment="1">
      <alignment horizontal="center" vertical="center" wrapText="1"/>
    </xf>
    <xf numFmtId="0" fontId="5" fillId="0" borderId="14" xfId="0" applyFont="1" applyBorder="1" applyAlignment="1">
      <alignment horizontal="justify" vertical="center" wrapText="1"/>
    </xf>
    <xf numFmtId="0" fontId="12" fillId="0" borderId="14" xfId="0" applyFont="1" applyBorder="1" applyAlignment="1">
      <alignment vertical="center" wrapText="1"/>
    </xf>
    <xf numFmtId="0" fontId="12" fillId="5" borderId="14" xfId="0" applyFont="1" applyFill="1" applyBorder="1" applyAlignment="1">
      <alignment horizontal="left" vertical="center" wrapText="1"/>
    </xf>
    <xf numFmtId="0" fontId="1" fillId="0" borderId="0" xfId="0" applyFont="1" applyAlignment="1">
      <alignment wrapText="1"/>
    </xf>
    <xf numFmtId="0" fontId="1" fillId="0" borderId="14" xfId="0" applyFont="1" applyBorder="1" applyAlignment="1">
      <alignment wrapText="1"/>
    </xf>
    <xf numFmtId="0" fontId="5" fillId="0" borderId="20" xfId="0" applyFont="1" applyBorder="1" applyAlignment="1">
      <alignment horizontal="center" vertical="center" wrapText="1"/>
    </xf>
    <xf numFmtId="0" fontId="5" fillId="0" borderId="20" xfId="0" applyFont="1" applyBorder="1" applyAlignment="1">
      <alignment horizontal="justify" vertical="center" wrapText="1"/>
    </xf>
    <xf numFmtId="0" fontId="5" fillId="0" borderId="20" xfId="0" applyFont="1" applyBorder="1" applyAlignment="1">
      <alignment vertical="center" wrapText="1"/>
    </xf>
    <xf numFmtId="0" fontId="5" fillId="8" borderId="14" xfId="0" applyFont="1" applyFill="1" applyBorder="1" applyAlignment="1">
      <alignment horizontal="justify" vertical="center" wrapText="1"/>
    </xf>
    <xf numFmtId="0" fontId="5" fillId="0" borderId="21" xfId="0" applyFont="1" applyBorder="1" applyAlignment="1">
      <alignment vertical="center" wrapText="1"/>
    </xf>
    <xf numFmtId="0" fontId="11" fillId="0" borderId="0" xfId="11" applyFont="1"/>
    <xf numFmtId="0" fontId="8" fillId="0" borderId="0" xfId="11" applyFont="1" applyAlignment="1">
      <alignment vertical="center"/>
    </xf>
    <xf numFmtId="0" fontId="18" fillId="0" borderId="0" xfId="0" applyFont="1" applyAlignment="1">
      <alignment vertical="center"/>
    </xf>
    <xf numFmtId="0" fontId="7" fillId="0" borderId="0" xfId="0" applyFont="1" applyAlignment="1">
      <alignment horizontal="center" vertical="center"/>
    </xf>
    <xf numFmtId="0" fontId="15" fillId="0" borderId="0" xfId="0" applyFont="1" applyAlignment="1">
      <alignment horizontal="right" vertical="center"/>
    </xf>
    <xf numFmtId="0" fontId="16" fillId="0" borderId="0" xfId="0" applyFont="1" applyAlignment="1">
      <alignment horizontal="left" vertical="center"/>
    </xf>
    <xf numFmtId="0" fontId="15" fillId="0" borderId="23" xfId="0" applyFont="1" applyBorder="1" applyAlignment="1">
      <alignment horizontal="justify" vertical="center" wrapText="1"/>
    </xf>
    <xf numFmtId="0" fontId="15" fillId="0" borderId="24" xfId="0" applyFont="1" applyBorder="1" applyAlignment="1">
      <alignment horizontal="justify" vertical="center" wrapText="1"/>
    </xf>
    <xf numFmtId="0" fontId="19" fillId="0" borderId="23" xfId="0" applyFont="1" applyBorder="1" applyAlignment="1">
      <alignment horizontal="justify" vertical="center" wrapText="1"/>
    </xf>
    <xf numFmtId="0" fontId="15" fillId="4" borderId="23" xfId="0" applyFont="1" applyFill="1" applyBorder="1" applyAlignment="1">
      <alignment horizontal="center" vertical="center" wrapText="1"/>
    </xf>
    <xf numFmtId="0" fontId="15" fillId="4" borderId="24" xfId="0" applyFont="1" applyFill="1" applyBorder="1" applyAlignment="1">
      <alignment horizontal="center" vertical="center" wrapText="1"/>
    </xf>
    <xf numFmtId="0" fontId="16" fillId="0" borderId="22" xfId="0" applyFont="1" applyBorder="1" applyAlignment="1">
      <alignment horizontal="justify" vertical="center" wrapText="1"/>
    </xf>
    <xf numFmtId="0" fontId="15" fillId="0" borderId="22" xfId="0" applyFont="1" applyBorder="1" applyAlignment="1">
      <alignment horizontal="justify" vertical="center" wrapText="1"/>
    </xf>
    <xf numFmtId="0" fontId="16" fillId="0" borderId="23" xfId="0" applyFont="1" applyBorder="1" applyAlignment="1">
      <alignment horizontal="justify" vertical="center" wrapText="1"/>
    </xf>
    <xf numFmtId="0" fontId="20" fillId="0" borderId="0" xfId="0" applyFont="1" applyAlignment="1">
      <alignment vertical="center"/>
    </xf>
    <xf numFmtId="0" fontId="3" fillId="0" borderId="0" xfId="7"/>
    <xf numFmtId="0" fontId="30" fillId="0" borderId="14" xfId="0" applyFont="1" applyBorder="1" applyAlignment="1">
      <alignment horizontal="left" vertical="center" wrapText="1"/>
    </xf>
    <xf numFmtId="0" fontId="30" fillId="0" borderId="14" xfId="0" applyFont="1" applyBorder="1" applyAlignment="1">
      <alignment vertical="center" wrapText="1"/>
    </xf>
    <xf numFmtId="0" fontId="30" fillId="0" borderId="14" xfId="0" applyFont="1" applyBorder="1" applyAlignment="1">
      <alignment horizontal="justify" vertical="center" wrapText="1"/>
    </xf>
    <xf numFmtId="0" fontId="30" fillId="0" borderId="20" xfId="0" applyFont="1" applyBorder="1" applyAlignment="1">
      <alignment horizontal="justify" vertical="center" wrapText="1"/>
    </xf>
    <xf numFmtId="0" fontId="31" fillId="10" borderId="14" xfId="0" applyFont="1" applyFill="1" applyBorder="1" applyAlignment="1">
      <alignment horizontal="center" vertical="center" wrapText="1"/>
    </xf>
    <xf numFmtId="0" fontId="31" fillId="10" borderId="14" xfId="0" applyFont="1" applyFill="1" applyBorder="1" applyAlignment="1">
      <alignment horizontal="left" vertical="center" wrapText="1"/>
    </xf>
    <xf numFmtId="0" fontId="31" fillId="10" borderId="14" xfId="0" applyFont="1" applyFill="1" applyBorder="1" applyAlignment="1">
      <alignment vertical="center" wrapText="1"/>
    </xf>
    <xf numFmtId="0" fontId="35" fillId="10" borderId="14" xfId="0" applyFont="1" applyFill="1" applyBorder="1" applyAlignment="1">
      <alignment horizontal="center" vertical="center" wrapText="1"/>
    </xf>
    <xf numFmtId="0" fontId="30" fillId="0" borderId="0" xfId="0" applyFont="1" applyAlignment="1">
      <alignment vertical="center" wrapText="1"/>
    </xf>
    <xf numFmtId="0" fontId="30" fillId="0" borderId="14" xfId="0" applyFont="1" applyBorder="1" applyAlignment="1">
      <alignment horizontal="center" vertical="center" wrapText="1"/>
    </xf>
    <xf numFmtId="0" fontId="30" fillId="0" borderId="19" xfId="0" applyFont="1" applyBorder="1" applyAlignment="1">
      <alignment horizontal="left" vertical="center" wrapText="1"/>
    </xf>
    <xf numFmtId="0" fontId="30" fillId="0" borderId="19" xfId="0" applyFont="1" applyBorder="1" applyAlignment="1">
      <alignment vertical="center" wrapText="1"/>
    </xf>
    <xf numFmtId="0" fontId="30" fillId="0" borderId="19" xfId="0" applyFont="1" applyBorder="1" applyAlignment="1">
      <alignment horizontal="center" vertical="center" wrapText="1"/>
    </xf>
    <xf numFmtId="0" fontId="30" fillId="0" borderId="19" xfId="0" applyFont="1" applyBorder="1" applyAlignment="1">
      <alignment horizontal="justify" vertical="center" wrapText="1"/>
    </xf>
    <xf numFmtId="0" fontId="31" fillId="0" borderId="14" xfId="0" applyFont="1" applyBorder="1" applyAlignment="1">
      <alignment horizontal="justify" vertical="center" wrapText="1"/>
    </xf>
    <xf numFmtId="0" fontId="31" fillId="0" borderId="0" xfId="0" applyFont="1" applyAlignment="1">
      <alignment vertical="center" wrapText="1"/>
    </xf>
    <xf numFmtId="0" fontId="31" fillId="11" borderId="14" xfId="0" applyFont="1" applyFill="1" applyBorder="1" applyAlignment="1">
      <alignment vertical="center" wrapText="1"/>
    </xf>
    <xf numFmtId="0" fontId="33" fillId="0" borderId="14" xfId="0" applyFont="1" applyBorder="1" applyAlignment="1">
      <alignment horizontal="justify" vertical="center" wrapText="1"/>
    </xf>
    <xf numFmtId="0" fontId="33" fillId="0" borderId="14" xfId="0" applyFont="1" applyBorder="1" applyAlignment="1">
      <alignment horizontal="left" vertical="center" wrapText="1"/>
    </xf>
    <xf numFmtId="0" fontId="37" fillId="0" borderId="14" xfId="0" applyFont="1" applyBorder="1" applyAlignment="1">
      <alignment horizontal="justify" vertical="center" wrapText="1"/>
    </xf>
    <xf numFmtId="0" fontId="33" fillId="0" borderId="20" xfId="0" applyFont="1" applyBorder="1" applyAlignment="1">
      <alignment horizontal="justify" vertical="center" wrapText="1"/>
    </xf>
    <xf numFmtId="0" fontId="38" fillId="0" borderId="14" xfId="0" applyFont="1" applyBorder="1" applyAlignment="1">
      <alignment horizontal="left" vertical="center" wrapText="1"/>
    </xf>
    <xf numFmtId="0" fontId="38" fillId="0" borderId="14" xfId="0" applyFont="1" applyBorder="1" applyAlignment="1">
      <alignment horizontal="justify" vertical="center" wrapText="1"/>
    </xf>
    <xf numFmtId="0" fontId="38" fillId="0" borderId="14" xfId="0" applyFont="1" applyBorder="1" applyAlignment="1">
      <alignment horizontal="center" vertical="center" wrapText="1"/>
    </xf>
    <xf numFmtId="0" fontId="38" fillId="0" borderId="14" xfId="0" applyFont="1" applyBorder="1" applyAlignment="1">
      <alignment vertical="center" wrapText="1"/>
    </xf>
    <xf numFmtId="0" fontId="39" fillId="0" borderId="0" xfId="0" applyFont="1" applyAlignment="1">
      <alignment wrapText="1"/>
    </xf>
    <xf numFmtId="0" fontId="41" fillId="0" borderId="0" xfId="0" applyFont="1" applyAlignment="1">
      <alignment vertical="center" wrapText="1"/>
    </xf>
    <xf numFmtId="0" fontId="42" fillId="0" borderId="0" xfId="0" applyFont="1" applyAlignment="1">
      <alignment vertical="center" wrapText="1"/>
    </xf>
    <xf numFmtId="0" fontId="44" fillId="0" borderId="0" xfId="0" applyFont="1" applyAlignment="1">
      <alignment vertical="center" wrapText="1"/>
    </xf>
    <xf numFmtId="0" fontId="46" fillId="5" borderId="14" xfId="0" applyFont="1" applyFill="1" applyBorder="1" applyAlignment="1">
      <alignment horizontal="center" vertical="center" wrapText="1"/>
    </xf>
    <xf numFmtId="0" fontId="46" fillId="5" borderId="14" xfId="0" applyFont="1" applyFill="1" applyBorder="1" applyAlignment="1">
      <alignment vertical="center" wrapText="1"/>
    </xf>
    <xf numFmtId="0" fontId="47" fillId="5" borderId="14" xfId="0" applyFont="1" applyFill="1" applyBorder="1" applyAlignment="1">
      <alignment horizontal="center" vertical="center" wrapText="1"/>
    </xf>
    <xf numFmtId="0" fontId="41" fillId="0" borderId="14" xfId="0" applyFont="1" applyBorder="1" applyAlignment="1">
      <alignment horizontal="justify" vertical="center" wrapText="1"/>
    </xf>
    <xf numFmtId="0" fontId="38" fillId="0" borderId="0" xfId="0" applyFont="1" applyAlignment="1">
      <alignment vertical="center" wrapText="1"/>
    </xf>
    <xf numFmtId="0" fontId="16" fillId="0" borderId="20" xfId="0" applyFont="1" applyBorder="1" applyAlignment="1">
      <alignment horizontal="justify" vertical="center" wrapText="1"/>
    </xf>
    <xf numFmtId="0" fontId="16" fillId="0" borderId="14" xfId="0" applyFont="1" applyBorder="1" applyAlignment="1">
      <alignment horizontal="justify" vertical="center" wrapText="1"/>
    </xf>
    <xf numFmtId="0" fontId="38" fillId="0" borderId="0" xfId="0" applyFont="1" applyAlignment="1">
      <alignment horizontal="left" vertical="center" wrapText="1"/>
    </xf>
    <xf numFmtId="0" fontId="38" fillId="0" borderId="0" xfId="0" applyFont="1" applyAlignment="1">
      <alignment horizontal="center" vertical="center" wrapText="1"/>
    </xf>
    <xf numFmtId="0" fontId="38" fillId="0" borderId="0" xfId="0" applyFont="1" applyAlignment="1">
      <alignment horizontal="justify" vertical="center" wrapText="1"/>
    </xf>
    <xf numFmtId="0" fontId="30" fillId="0" borderId="0" xfId="0" applyFont="1" applyAlignment="1">
      <alignment horizontal="justify" vertical="center" wrapText="1"/>
    </xf>
    <xf numFmtId="0" fontId="12" fillId="7" borderId="14" xfId="8" applyFont="1" applyFill="1" applyBorder="1" applyAlignment="1">
      <alignment horizontal="center" vertical="center"/>
    </xf>
    <xf numFmtId="0" fontId="16" fillId="0" borderId="14" xfId="0" applyFont="1" applyBorder="1" applyAlignment="1">
      <alignment vertical="center" wrapText="1"/>
    </xf>
    <xf numFmtId="0" fontId="17" fillId="8" borderId="17" xfId="0" applyFont="1" applyFill="1" applyBorder="1" applyAlignment="1">
      <alignment horizontal="left" vertical="center" wrapText="1"/>
    </xf>
    <xf numFmtId="0" fontId="15" fillId="0" borderId="0" xfId="0" applyFont="1" applyAlignment="1">
      <alignment horizontal="center" wrapText="1"/>
    </xf>
    <xf numFmtId="0" fontId="9" fillId="0" borderId="14" xfId="0" applyFont="1" applyBorder="1" applyAlignment="1">
      <alignment horizontal="center" vertical="center" wrapText="1"/>
    </xf>
    <xf numFmtId="0" fontId="5" fillId="0" borderId="14" xfId="0" applyFont="1" applyBorder="1" applyAlignment="1">
      <alignment horizontal="left" vertical="center" wrapText="1"/>
    </xf>
    <xf numFmtId="0" fontId="13" fillId="3" borderId="6" xfId="9" applyFont="1" applyFill="1" applyBorder="1" applyAlignment="1">
      <alignment horizontal="center" vertical="center" wrapText="1"/>
    </xf>
    <xf numFmtId="0" fontId="5" fillId="0" borderId="7" xfId="9" applyFont="1" applyBorder="1" applyAlignment="1">
      <alignment horizontal="justify" vertical="center" wrapText="1"/>
    </xf>
    <xf numFmtId="0" fontId="12" fillId="2" borderId="13" xfId="9" applyFont="1" applyFill="1" applyBorder="1" applyAlignment="1">
      <alignment horizontal="center" vertical="center" wrapText="1"/>
    </xf>
    <xf numFmtId="0" fontId="12" fillId="2" borderId="7" xfId="9" applyFont="1" applyFill="1" applyBorder="1" applyAlignment="1">
      <alignment horizontal="center" vertical="center" wrapText="1"/>
    </xf>
    <xf numFmtId="0" fontId="12" fillId="2" borderId="6" xfId="9" applyFont="1" applyFill="1" applyBorder="1" applyAlignment="1">
      <alignment horizontal="center" vertical="center" wrapText="1"/>
    </xf>
    <xf numFmtId="0" fontId="5" fillId="0" borderId="15" xfId="9" applyFont="1" applyBorder="1" applyAlignment="1">
      <alignment horizontal="justify" vertical="center" wrapText="1"/>
    </xf>
    <xf numFmtId="0" fontId="12" fillId="3" borderId="14" xfId="9" applyFont="1" applyFill="1" applyBorder="1" applyAlignment="1">
      <alignment horizontal="center" vertical="center" wrapText="1"/>
    </xf>
    <xf numFmtId="0" fontId="11" fillId="0" borderId="11" xfId="9" applyFont="1" applyBorder="1" applyAlignment="1">
      <alignment horizontal="left" vertical="center" wrapText="1"/>
    </xf>
    <xf numFmtId="0" fontId="5" fillId="0" borderId="8" xfId="9" applyFont="1" applyBorder="1" applyAlignment="1">
      <alignment horizontal="justify" vertical="center" wrapText="1"/>
    </xf>
    <xf numFmtId="0" fontId="5" fillId="0" borderId="9" xfId="9" applyFont="1" applyBorder="1" applyAlignment="1">
      <alignment horizontal="justify" vertical="center" wrapText="1"/>
    </xf>
    <xf numFmtId="0" fontId="13" fillId="3" borderId="12" xfId="9" applyFont="1" applyFill="1" applyBorder="1" applyAlignment="1">
      <alignment horizontal="center" vertical="center" wrapText="1"/>
    </xf>
    <xf numFmtId="0" fontId="12" fillId="3" borderId="10" xfId="9" applyFont="1" applyFill="1" applyBorder="1" applyAlignment="1">
      <alignment horizontal="center" vertical="center" wrapText="1"/>
    </xf>
    <xf numFmtId="0" fontId="7" fillId="0" borderId="3" xfId="7" applyFont="1" applyBorder="1" applyAlignment="1">
      <alignment horizontal="left" vertical="center" wrapText="1"/>
    </xf>
    <xf numFmtId="0" fontId="10" fillId="0" borderId="5" xfId="9" applyFont="1" applyBorder="1" applyAlignment="1">
      <alignment horizontal="left" vertical="center" wrapText="1"/>
    </xf>
    <xf numFmtId="0" fontId="10" fillId="0" borderId="5" xfId="9" applyFont="1" applyBorder="1" applyAlignment="1">
      <alignment horizontal="justify" vertical="center" wrapText="1"/>
    </xf>
    <xf numFmtId="0" fontId="12" fillId="4" borderId="5" xfId="9" applyFont="1" applyFill="1" applyBorder="1" applyAlignment="1">
      <alignment horizontal="center" vertical="center" wrapText="1"/>
    </xf>
    <xf numFmtId="0" fontId="14" fillId="0" borderId="0" xfId="0" applyFont="1" applyAlignment="1">
      <alignment horizontal="justify" vertical="center" wrapText="1"/>
    </xf>
    <xf numFmtId="0" fontId="15" fillId="9" borderId="22"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21" fillId="0" borderId="0" xfId="7" applyFont="1" applyAlignment="1">
      <alignment horizontal="right" vertical="center" wrapText="1"/>
    </xf>
    <xf numFmtId="0" fontId="22" fillId="0" borderId="0" xfId="7" applyFont="1" applyAlignment="1">
      <alignment horizontal="right" vertical="top"/>
    </xf>
    <xf numFmtId="0" fontId="23" fillId="0" borderId="14" xfId="7" applyFont="1" applyBorder="1" applyAlignment="1">
      <alignment horizontal="center" wrapText="1"/>
    </xf>
    <xf numFmtId="0" fontId="24" fillId="0" borderId="14" xfId="7" applyFont="1" applyBorder="1" applyAlignment="1">
      <alignment horizontal="center" vertical="center" wrapText="1"/>
    </xf>
    <xf numFmtId="0" fontId="23" fillId="0" borderId="14" xfId="7" applyFont="1" applyBorder="1" applyAlignment="1">
      <alignment horizontal="center" vertical="center" wrapText="1"/>
    </xf>
    <xf numFmtId="0" fontId="12" fillId="10" borderId="14" xfId="0" applyFont="1" applyFill="1" applyBorder="1" applyAlignment="1">
      <alignment horizontal="center" vertical="center" wrapText="1"/>
    </xf>
    <xf numFmtId="0" fontId="12" fillId="10" borderId="14" xfId="0" applyFont="1" applyFill="1" applyBorder="1" applyAlignment="1">
      <alignment horizontal="left" vertical="center" wrapText="1"/>
    </xf>
  </cellXfs>
  <cellStyles count="14">
    <cellStyle name=" 1" xfId="1" xr:uid="{00000000-0005-0000-0000-000006000000}"/>
    <cellStyle name="Comma 2" xfId="2" xr:uid="{00000000-0005-0000-0000-000007000000}"/>
    <cellStyle name="Comma 2 2" xfId="3" xr:uid="{00000000-0005-0000-0000-000008000000}"/>
    <cellStyle name="Header1" xfId="4" xr:uid="{00000000-0005-0000-0000-000009000000}"/>
    <cellStyle name="Header2" xfId="5" xr:uid="{00000000-0005-0000-0000-00000A000000}"/>
    <cellStyle name="Millares 2" xfId="6" xr:uid="{00000000-0005-0000-0000-00000B000000}"/>
    <cellStyle name="Normal" xfId="0" builtinId="0"/>
    <cellStyle name="Normal 2" xfId="7" xr:uid="{00000000-0005-0000-0000-00000C000000}"/>
    <cellStyle name="Normal 2 2" xfId="8" xr:uid="{00000000-0005-0000-0000-00000D000000}"/>
    <cellStyle name="Normal 3" xfId="9" xr:uid="{00000000-0005-0000-0000-00000E000000}"/>
    <cellStyle name="Normal 3 2" xfId="10" xr:uid="{00000000-0005-0000-0000-00000F000000}"/>
    <cellStyle name="Normal 4 2" xfId="11" xr:uid="{00000000-0005-0000-0000-000010000000}"/>
    <cellStyle name="Percent 2" xfId="12" xr:uid="{00000000-0005-0000-0000-000011000000}"/>
    <cellStyle name="Porcentual 2" xfId="13" xr:uid="{00000000-0005-0000-0000-000012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CE6F2"/>
      <rgbColor rgb="FF660066"/>
      <rgbColor rgb="FFFF8080"/>
      <rgbColor rgb="FF0070C0"/>
      <rgbColor rgb="FFC6D9F1"/>
      <rgbColor rgb="FF000080"/>
      <rgbColor rgb="FFFF00FF"/>
      <rgbColor rgb="FFFFFF00"/>
      <rgbColor rgb="FF00FFFF"/>
      <rgbColor rgb="FF800080"/>
      <rgbColor rgb="FF800000"/>
      <rgbColor rgb="FF008080"/>
      <rgbColor rgb="FF1403EF"/>
      <rgbColor rgb="FF00CCFF"/>
      <rgbColor rgb="FFCCFFFF"/>
      <rgbColor rgb="FFD9D9D9"/>
      <rgbColor rgb="FFFFFF99"/>
      <rgbColor rgb="FFBFBFBF"/>
      <rgbColor rgb="FFFF99CC"/>
      <rgbColor rgb="FFCC99FF"/>
      <rgbColor rgb="FFFFCC99"/>
      <rgbColor rgb="FF3366FF"/>
      <rgbColor rgb="FF33CCCC"/>
      <rgbColor rgb="FF99CC00"/>
      <rgbColor rgb="FFFFCC00"/>
      <rgbColor rgb="FFFF9900"/>
      <rgbColor rgb="FFFF6600"/>
      <rgbColor rgb="FF666699"/>
      <rgbColor rgb="FF969696"/>
      <rgbColor rgb="FF002060"/>
      <rgbColor rgb="FF376B48"/>
      <rgbColor rgb="FF003300"/>
      <rgbColor rgb="FF333300"/>
      <rgbColor rgb="FF993300"/>
      <rgbColor rgb="FF993366"/>
      <rgbColor rgb="FF2C1CF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wmf"/><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257040</xdr:colOff>
      <xdr:row>0</xdr:row>
      <xdr:rowOff>57240</xdr:rowOff>
    </xdr:from>
    <xdr:to>
      <xdr:col>12</xdr:col>
      <xdr:colOff>551520</xdr:colOff>
      <xdr:row>12</xdr:row>
      <xdr:rowOff>9000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t="7653"/>
        <a:stretch/>
      </xdr:blipFill>
      <xdr:spPr>
        <a:xfrm>
          <a:off x="1687680" y="57240"/>
          <a:ext cx="9886320" cy="20473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6</xdr:col>
      <xdr:colOff>44640</xdr:colOff>
      <xdr:row>9</xdr:row>
      <xdr:rowOff>34920</xdr:rowOff>
    </xdr:to>
    <xdr:pic>
      <xdr:nvPicPr>
        <xdr:cNvPr id="2" name="Imagen 2">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430640" y="171360"/>
          <a:ext cx="10407240" cy="14065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371880</xdr:colOff>
      <xdr:row>7</xdr:row>
      <xdr:rowOff>122400</xdr:rowOff>
    </xdr:to>
    <xdr:pic>
      <xdr:nvPicPr>
        <xdr:cNvPr id="2" name="Imagen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10282320" cy="138924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15120</xdr:colOff>
      <xdr:row>0</xdr:row>
      <xdr:rowOff>0</xdr:rowOff>
    </xdr:from>
    <xdr:to>
      <xdr:col>4</xdr:col>
      <xdr:colOff>1037880</xdr:colOff>
      <xdr:row>7</xdr:row>
      <xdr:rowOff>104040</xdr:rowOff>
    </xdr:to>
    <xdr:pic>
      <xdr:nvPicPr>
        <xdr:cNvPr id="3" name="Imagen 3">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15120" y="0"/>
          <a:ext cx="10124280" cy="1370880"/>
        </a:xfrm>
        <a:prstGeom prst="rect">
          <a:avLst/>
        </a:prstGeom>
        <a:ln w="0">
          <a:noFill/>
        </a:ln>
      </xdr:spPr>
    </xdr:pic>
    <xdr:clientData/>
  </xdr:twoCellAnchor>
  <xdr:twoCellAnchor editAs="oneCell">
    <xdr:from>
      <xdr:col>0</xdr:col>
      <xdr:colOff>1951181</xdr:colOff>
      <xdr:row>258</xdr:row>
      <xdr:rowOff>138559</xdr:rowOff>
    </xdr:from>
    <xdr:to>
      <xdr:col>4</xdr:col>
      <xdr:colOff>2621676</xdr:colOff>
      <xdr:row>293</xdr:row>
      <xdr:rowOff>5492</xdr:rowOff>
    </xdr:to>
    <xdr:pic>
      <xdr:nvPicPr>
        <xdr:cNvPr id="4" name="Imagen 2">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2"/>
        <a:stretch/>
      </xdr:blipFill>
      <xdr:spPr>
        <a:xfrm>
          <a:off x="1951181" y="460929195"/>
          <a:ext cx="7817131" cy="6413206"/>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28440</xdr:colOff>
      <xdr:row>1</xdr:row>
      <xdr:rowOff>171360</xdr:rowOff>
    </xdr:from>
    <xdr:to>
      <xdr:col>7</xdr:col>
      <xdr:colOff>104040</xdr:colOff>
      <xdr:row>5</xdr:row>
      <xdr:rowOff>104040</xdr:rowOff>
    </xdr:to>
    <xdr:pic>
      <xdr:nvPicPr>
        <xdr:cNvPr id="5" name="Imagen 1">
          <a:extLst>
            <a:ext uri="{FF2B5EF4-FFF2-40B4-BE49-F238E27FC236}">
              <a16:creationId xmlns:a16="http://schemas.microsoft.com/office/drawing/2014/main" id="{00000000-0008-0000-0700-000005000000}"/>
            </a:ext>
          </a:extLst>
        </xdr:cNvPr>
        <xdr:cNvPicPr/>
      </xdr:nvPicPr>
      <xdr:blipFill>
        <a:blip xmlns:r="http://schemas.openxmlformats.org/officeDocument/2006/relationships" r:embed="rId1"/>
        <a:stretch/>
      </xdr:blipFill>
      <xdr:spPr>
        <a:xfrm>
          <a:off x="555480" y="695160"/>
          <a:ext cx="5757120" cy="609120"/>
        </a:xfrm>
        <a:prstGeom prst="rect">
          <a:avLst/>
        </a:prstGeom>
        <a:ln w="0">
          <a:noFill/>
        </a:ln>
      </xdr:spPr>
    </xdr:pic>
    <xdr:clientData/>
  </xdr:twoCellAnchor>
  <xdr:twoCellAnchor editAs="oneCell">
    <xdr:from>
      <xdr:col>2</xdr:col>
      <xdr:colOff>28440</xdr:colOff>
      <xdr:row>11</xdr:row>
      <xdr:rowOff>0</xdr:rowOff>
    </xdr:from>
    <xdr:to>
      <xdr:col>7</xdr:col>
      <xdr:colOff>104040</xdr:colOff>
      <xdr:row>14</xdr:row>
      <xdr:rowOff>113760</xdr:rowOff>
    </xdr:to>
    <xdr:pic>
      <xdr:nvPicPr>
        <xdr:cNvPr id="6" name="Imagen 2">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1"/>
        <a:stretch/>
      </xdr:blipFill>
      <xdr:spPr>
        <a:xfrm>
          <a:off x="555480" y="3324240"/>
          <a:ext cx="5757120" cy="62820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AMJ51"/>
  <sheetViews>
    <sheetView showGridLines="0" topLeftCell="A7" zoomScaleNormal="100" workbookViewId="0">
      <selection activeCell="B17" sqref="B17:N17"/>
    </sheetView>
  </sheetViews>
  <sheetFormatPr baseColWidth="10" defaultColWidth="10.26953125" defaultRowHeight="14.5" x14ac:dyDescent="0.35"/>
  <cols>
    <col min="1" max="1" width="5.81640625" style="2" customWidth="1"/>
    <col min="2" max="2" width="10.26953125" style="2"/>
    <col min="3" max="3" width="15.453125" style="2" customWidth="1"/>
    <col min="4" max="1024" width="10.26953125" style="2"/>
  </cols>
  <sheetData>
    <row r="11" spans="2:15" s="3" customFormat="1" ht="15" x14ac:dyDescent="0.4"/>
    <row r="12" spans="2:15" s="3" customFormat="1" ht="15" x14ac:dyDescent="0.4"/>
    <row r="13" spans="2:15" s="3" customFormat="1" ht="12" customHeight="1" x14ac:dyDescent="0.4">
      <c r="B13" s="4"/>
      <c r="C13" s="4"/>
      <c r="D13" s="4"/>
      <c r="E13" s="5"/>
      <c r="F13" s="5"/>
      <c r="G13" s="5"/>
      <c r="H13" s="5"/>
      <c r="I13" s="5"/>
      <c r="J13" s="5"/>
      <c r="K13" s="5"/>
      <c r="L13" s="5"/>
      <c r="M13" s="5"/>
      <c r="N13" s="5"/>
    </row>
    <row r="14" spans="2:15" s="3" customFormat="1" ht="12" customHeight="1" x14ac:dyDescent="0.4">
      <c r="B14" s="4"/>
      <c r="C14" s="4"/>
      <c r="D14" s="4"/>
      <c r="E14" s="5"/>
      <c r="F14" s="5"/>
      <c r="G14" s="5"/>
      <c r="H14" s="5"/>
      <c r="I14" s="5"/>
      <c r="J14" s="5"/>
      <c r="K14" s="5"/>
      <c r="L14" s="5"/>
      <c r="M14" s="5"/>
      <c r="N14" s="5"/>
    </row>
    <row r="15" spans="2:15" s="3" customFormat="1" ht="47.25" customHeight="1" x14ac:dyDescent="0.4">
      <c r="B15" s="129" t="s">
        <v>0</v>
      </c>
      <c r="C15" s="129"/>
      <c r="D15" s="129"/>
      <c r="E15" s="129"/>
      <c r="F15" s="129"/>
      <c r="G15" s="129"/>
      <c r="H15" s="129"/>
      <c r="I15" s="129"/>
      <c r="J15" s="129"/>
      <c r="K15" s="129"/>
      <c r="L15" s="129"/>
      <c r="M15" s="129"/>
      <c r="N15" s="129"/>
      <c r="O15" s="6"/>
    </row>
    <row r="16" spans="2:15" s="3" customFormat="1" ht="18.75" customHeight="1" x14ac:dyDescent="0.4">
      <c r="B16" s="7"/>
      <c r="C16" s="7"/>
      <c r="D16" s="7"/>
      <c r="E16" s="7"/>
      <c r="F16" s="7"/>
      <c r="G16" s="7"/>
      <c r="H16" s="7"/>
      <c r="I16" s="7"/>
      <c r="J16" s="7"/>
      <c r="K16" s="7"/>
      <c r="L16" s="7"/>
      <c r="M16" s="7"/>
      <c r="N16" s="7"/>
    </row>
    <row r="17" spans="2:15" s="3" customFormat="1" ht="299.25" customHeight="1" x14ac:dyDescent="0.4">
      <c r="B17" s="130" t="s">
        <v>1</v>
      </c>
      <c r="C17" s="130"/>
      <c r="D17" s="130"/>
      <c r="E17" s="130"/>
      <c r="F17" s="130"/>
      <c r="G17" s="130"/>
      <c r="H17" s="130"/>
      <c r="I17" s="130"/>
      <c r="J17" s="130"/>
      <c r="K17" s="130"/>
      <c r="L17" s="130"/>
      <c r="M17" s="130"/>
      <c r="N17" s="130"/>
    </row>
    <row r="18" spans="2:15" s="3" customFormat="1" ht="225.75" customHeight="1" x14ac:dyDescent="0.4">
      <c r="B18" s="131" t="s">
        <v>2</v>
      </c>
      <c r="C18" s="131"/>
      <c r="D18" s="131"/>
      <c r="E18" s="131"/>
      <c r="F18" s="131"/>
      <c r="G18" s="131"/>
      <c r="H18" s="131"/>
      <c r="I18" s="131"/>
      <c r="J18" s="131"/>
      <c r="K18" s="131"/>
      <c r="L18" s="131"/>
      <c r="M18" s="131"/>
      <c r="N18" s="131"/>
    </row>
    <row r="19" spans="2:15" s="3" customFormat="1" ht="17.25" customHeight="1" x14ac:dyDescent="0.4">
      <c r="B19" s="8"/>
      <c r="C19" s="8"/>
      <c r="D19" s="8"/>
      <c r="E19" s="8"/>
      <c r="F19" s="8"/>
      <c r="G19" s="8"/>
      <c r="H19" s="8"/>
      <c r="I19" s="8"/>
      <c r="J19" s="8"/>
      <c r="K19" s="8"/>
      <c r="L19" s="8"/>
      <c r="M19" s="8"/>
      <c r="N19" s="8"/>
    </row>
    <row r="20" spans="2:15" s="3" customFormat="1" ht="18" customHeight="1" x14ac:dyDescent="0.4">
      <c r="B20" s="121" t="s">
        <v>3</v>
      </c>
      <c r="C20" s="121"/>
      <c r="D20" s="120" t="s">
        <v>4</v>
      </c>
      <c r="E20" s="120"/>
      <c r="F20" s="120"/>
      <c r="G20" s="120"/>
      <c r="H20" s="120"/>
      <c r="I20" s="120"/>
      <c r="J20" s="120"/>
      <c r="K20" s="120"/>
      <c r="L20" s="120"/>
      <c r="M20" s="120"/>
      <c r="N20" s="120"/>
      <c r="O20" s="9"/>
    </row>
    <row r="21" spans="2:15" s="3" customFormat="1" ht="28.5" customHeight="1" x14ac:dyDescent="0.4">
      <c r="B21" s="117" t="s">
        <v>5</v>
      </c>
      <c r="C21" s="117"/>
      <c r="D21" s="125" t="s">
        <v>6</v>
      </c>
      <c r="E21" s="125"/>
      <c r="F21" s="125"/>
      <c r="G21" s="125"/>
      <c r="H21" s="125"/>
      <c r="I21" s="125"/>
      <c r="J21" s="125"/>
      <c r="K21" s="125"/>
      <c r="L21" s="125"/>
      <c r="M21" s="125"/>
      <c r="N21" s="125"/>
      <c r="O21" s="10"/>
    </row>
    <row r="22" spans="2:15" s="3" customFormat="1" ht="78" customHeight="1" x14ac:dyDescent="0.4">
      <c r="B22" s="117"/>
      <c r="C22" s="117"/>
      <c r="D22" s="126" t="s">
        <v>7</v>
      </c>
      <c r="E22" s="126"/>
      <c r="F22" s="126"/>
      <c r="G22" s="126"/>
      <c r="H22" s="126"/>
      <c r="I22" s="126"/>
      <c r="J22" s="126"/>
      <c r="K22" s="126"/>
      <c r="L22" s="126"/>
      <c r="M22" s="126"/>
      <c r="N22" s="126"/>
      <c r="O22" s="10"/>
    </row>
    <row r="23" spans="2:15" s="3" customFormat="1" ht="12.75" customHeight="1" x14ac:dyDescent="0.4">
      <c r="B23" s="117"/>
      <c r="C23" s="117"/>
      <c r="D23" s="128" t="s">
        <v>8</v>
      </c>
      <c r="E23" s="128"/>
      <c r="F23" s="128"/>
      <c r="G23" s="128"/>
      <c r="H23" s="128"/>
      <c r="I23" s="128"/>
      <c r="J23" s="128"/>
      <c r="K23" s="128"/>
      <c r="L23" s="128"/>
      <c r="M23" s="128"/>
      <c r="N23" s="128"/>
    </row>
    <row r="24" spans="2:15" s="3" customFormat="1" ht="176.25" customHeight="1" x14ac:dyDescent="0.4">
      <c r="B24" s="117"/>
      <c r="C24" s="117"/>
      <c r="D24" s="124" t="s">
        <v>9</v>
      </c>
      <c r="E24" s="124"/>
      <c r="F24" s="124"/>
      <c r="G24" s="124"/>
      <c r="H24" s="124"/>
      <c r="I24" s="124"/>
      <c r="J24" s="124"/>
      <c r="K24" s="124"/>
      <c r="L24" s="124"/>
      <c r="M24" s="124"/>
      <c r="N24" s="124"/>
      <c r="O24" s="10"/>
    </row>
    <row r="25" spans="2:15" s="3" customFormat="1" ht="12.75" customHeight="1" x14ac:dyDescent="0.4">
      <c r="B25" s="11"/>
      <c r="C25" s="11"/>
      <c r="D25" s="8"/>
      <c r="E25" s="8"/>
      <c r="F25" s="8"/>
      <c r="G25" s="8"/>
      <c r="H25" s="8"/>
      <c r="I25" s="8"/>
      <c r="J25" s="8"/>
      <c r="K25" s="8"/>
      <c r="L25" s="8"/>
      <c r="M25" s="8"/>
      <c r="N25" s="8"/>
      <c r="O25" s="10"/>
    </row>
    <row r="26" spans="2:15" s="3" customFormat="1" ht="18" customHeight="1" x14ac:dyDescent="0.4">
      <c r="B26" s="121" t="s">
        <v>3</v>
      </c>
      <c r="C26" s="121"/>
      <c r="D26" s="120" t="s">
        <v>4</v>
      </c>
      <c r="E26" s="120"/>
      <c r="F26" s="120"/>
      <c r="G26" s="120"/>
      <c r="H26" s="120"/>
      <c r="I26" s="120"/>
      <c r="J26" s="120"/>
      <c r="K26" s="120"/>
      <c r="L26" s="120"/>
      <c r="M26" s="120"/>
      <c r="N26" s="120"/>
      <c r="O26" s="9"/>
    </row>
    <row r="27" spans="2:15" s="3" customFormat="1" ht="63.75" customHeight="1" x14ac:dyDescent="0.4">
      <c r="B27" s="127" t="s">
        <v>10</v>
      </c>
      <c r="C27" s="127"/>
      <c r="D27" s="126" t="s">
        <v>11</v>
      </c>
      <c r="E27" s="126"/>
      <c r="F27" s="126"/>
      <c r="G27" s="126"/>
      <c r="H27" s="126"/>
      <c r="I27" s="126"/>
      <c r="J27" s="126"/>
      <c r="K27" s="126"/>
      <c r="L27" s="126"/>
      <c r="M27" s="126"/>
      <c r="N27" s="126"/>
      <c r="O27" s="10"/>
    </row>
    <row r="28" spans="2:15" s="3" customFormat="1" ht="12.75" customHeight="1" x14ac:dyDescent="0.4">
      <c r="B28" s="127"/>
      <c r="C28" s="127"/>
      <c r="D28" s="128" t="s">
        <v>8</v>
      </c>
      <c r="E28" s="128"/>
      <c r="F28" s="128"/>
      <c r="G28" s="128"/>
      <c r="H28" s="128"/>
      <c r="I28" s="128"/>
      <c r="J28" s="128"/>
      <c r="K28" s="128"/>
      <c r="L28" s="128"/>
      <c r="M28" s="128"/>
      <c r="N28" s="128"/>
    </row>
    <row r="29" spans="2:15" s="3" customFormat="1" ht="101.25" customHeight="1" x14ac:dyDescent="0.4">
      <c r="B29" s="127"/>
      <c r="C29" s="127"/>
      <c r="D29" s="124" t="s">
        <v>12</v>
      </c>
      <c r="E29" s="124"/>
      <c r="F29" s="124"/>
      <c r="G29" s="124"/>
      <c r="H29" s="124"/>
      <c r="I29" s="124"/>
      <c r="J29" s="124"/>
      <c r="K29" s="124"/>
      <c r="L29" s="124"/>
      <c r="M29" s="124"/>
      <c r="N29" s="124"/>
      <c r="O29" s="10"/>
    </row>
    <row r="30" spans="2:15" s="3" customFormat="1" ht="15" customHeight="1" x14ac:dyDescent="0.4">
      <c r="B30" s="11"/>
      <c r="C30" s="11"/>
      <c r="D30" s="8"/>
      <c r="E30" s="8"/>
      <c r="F30" s="8"/>
      <c r="G30" s="8"/>
      <c r="H30" s="8"/>
      <c r="I30" s="8"/>
      <c r="J30" s="8"/>
      <c r="K30" s="8"/>
      <c r="L30" s="8"/>
      <c r="M30" s="8"/>
      <c r="N30" s="8"/>
      <c r="O30" s="10"/>
    </row>
    <row r="31" spans="2:15" s="3" customFormat="1" ht="18" customHeight="1" x14ac:dyDescent="0.4">
      <c r="B31" s="119" t="s">
        <v>3</v>
      </c>
      <c r="C31" s="119"/>
      <c r="D31" s="120" t="s">
        <v>4</v>
      </c>
      <c r="E31" s="120"/>
      <c r="F31" s="120"/>
      <c r="G31" s="120"/>
      <c r="H31" s="120"/>
      <c r="I31" s="120"/>
      <c r="J31" s="120"/>
      <c r="K31" s="120"/>
      <c r="L31" s="120"/>
      <c r="M31" s="120"/>
      <c r="N31" s="120"/>
      <c r="O31" s="9"/>
    </row>
    <row r="32" spans="2:15" s="3" customFormat="1" ht="44.25" customHeight="1" x14ac:dyDescent="0.4">
      <c r="B32" s="117" t="s">
        <v>13</v>
      </c>
      <c r="C32" s="117"/>
      <c r="D32" s="125" t="s">
        <v>14</v>
      </c>
      <c r="E32" s="125"/>
      <c r="F32" s="125"/>
      <c r="G32" s="125"/>
      <c r="H32" s="125"/>
      <c r="I32" s="125"/>
      <c r="J32" s="125"/>
      <c r="K32" s="125"/>
      <c r="L32" s="125"/>
      <c r="M32" s="125"/>
      <c r="N32" s="125"/>
      <c r="O32" s="10"/>
    </row>
    <row r="33" spans="2:15" s="3" customFormat="1" ht="42" customHeight="1" x14ac:dyDescent="0.4">
      <c r="B33" s="117"/>
      <c r="C33" s="117"/>
      <c r="D33" s="126" t="s">
        <v>15</v>
      </c>
      <c r="E33" s="126"/>
      <c r="F33" s="126"/>
      <c r="G33" s="126"/>
      <c r="H33" s="126"/>
      <c r="I33" s="126"/>
      <c r="J33" s="126"/>
      <c r="K33" s="126"/>
      <c r="L33" s="126"/>
      <c r="M33" s="126"/>
      <c r="N33" s="126"/>
      <c r="O33" s="10"/>
    </row>
    <row r="34" spans="2:15" s="3" customFormat="1" ht="12.75" customHeight="1" x14ac:dyDescent="0.4">
      <c r="B34" s="117"/>
      <c r="C34" s="117"/>
      <c r="D34" s="123" t="s">
        <v>8</v>
      </c>
      <c r="E34" s="123"/>
      <c r="F34" s="123"/>
      <c r="G34" s="123"/>
      <c r="H34" s="123"/>
      <c r="I34" s="123"/>
      <c r="J34" s="123"/>
      <c r="K34" s="123"/>
      <c r="L34" s="123"/>
      <c r="M34" s="123"/>
      <c r="N34" s="123"/>
    </row>
    <row r="35" spans="2:15" s="3" customFormat="1" ht="115.5" customHeight="1" x14ac:dyDescent="0.4">
      <c r="B35" s="117"/>
      <c r="C35" s="117"/>
      <c r="D35" s="124" t="s">
        <v>16</v>
      </c>
      <c r="E35" s="124"/>
      <c r="F35" s="124"/>
      <c r="G35" s="124"/>
      <c r="H35" s="124"/>
      <c r="I35" s="124"/>
      <c r="J35" s="124"/>
      <c r="K35" s="124"/>
      <c r="L35" s="124"/>
      <c r="M35" s="124"/>
      <c r="N35" s="124"/>
      <c r="O35" s="10"/>
    </row>
    <row r="36" spans="2:15" s="3" customFormat="1" ht="15" x14ac:dyDescent="0.4"/>
    <row r="37" spans="2:15" s="3" customFormat="1" ht="18" customHeight="1" x14ac:dyDescent="0.4">
      <c r="B37" s="121" t="s">
        <v>3</v>
      </c>
      <c r="C37" s="121"/>
      <c r="D37" s="120" t="s">
        <v>4</v>
      </c>
      <c r="E37" s="120"/>
      <c r="F37" s="120"/>
      <c r="G37" s="120"/>
      <c r="H37" s="120"/>
      <c r="I37" s="120"/>
      <c r="J37" s="120"/>
      <c r="K37" s="120"/>
      <c r="L37" s="120"/>
      <c r="M37" s="120"/>
      <c r="N37" s="120"/>
      <c r="O37" s="9"/>
    </row>
    <row r="38" spans="2:15" s="3" customFormat="1" ht="24.75" customHeight="1" x14ac:dyDescent="0.4">
      <c r="B38" s="117" t="s">
        <v>17</v>
      </c>
      <c r="C38" s="117"/>
      <c r="D38" s="122" t="s">
        <v>18</v>
      </c>
      <c r="E38" s="122"/>
      <c r="F38" s="122"/>
      <c r="G38" s="122"/>
      <c r="H38" s="122"/>
      <c r="I38" s="122"/>
      <c r="J38" s="122"/>
      <c r="K38" s="122"/>
      <c r="L38" s="122"/>
      <c r="M38" s="122"/>
      <c r="N38" s="122"/>
      <c r="O38" s="10"/>
    </row>
    <row r="39" spans="2:15" s="3" customFormat="1" ht="41.25" customHeight="1" x14ac:dyDescent="0.4">
      <c r="B39" s="117"/>
      <c r="C39" s="117"/>
      <c r="D39" s="122"/>
      <c r="E39" s="122"/>
      <c r="F39" s="122"/>
      <c r="G39" s="122"/>
      <c r="H39" s="122"/>
      <c r="I39" s="122"/>
      <c r="J39" s="122"/>
      <c r="K39" s="122"/>
      <c r="L39" s="122"/>
      <c r="M39" s="122"/>
      <c r="N39" s="122"/>
      <c r="O39" s="10"/>
    </row>
    <row r="40" spans="2:15" s="3" customFormat="1" ht="12.75" customHeight="1" x14ac:dyDescent="0.4">
      <c r="B40" s="117"/>
      <c r="C40" s="117"/>
      <c r="D40" s="123" t="s">
        <v>8</v>
      </c>
      <c r="E40" s="123"/>
      <c r="F40" s="123"/>
      <c r="G40" s="123"/>
      <c r="H40" s="123"/>
      <c r="I40" s="123"/>
      <c r="J40" s="123"/>
      <c r="K40" s="123"/>
      <c r="L40" s="123"/>
      <c r="M40" s="123"/>
      <c r="N40" s="123"/>
    </row>
    <row r="41" spans="2:15" s="3" customFormat="1" ht="78" customHeight="1" x14ac:dyDescent="0.4">
      <c r="B41" s="117"/>
      <c r="C41" s="117"/>
      <c r="D41" s="124" t="s">
        <v>19</v>
      </c>
      <c r="E41" s="124"/>
      <c r="F41" s="124"/>
      <c r="G41" s="124"/>
      <c r="H41" s="124"/>
      <c r="I41" s="124"/>
      <c r="J41" s="124"/>
      <c r="K41" s="124"/>
      <c r="L41" s="124"/>
      <c r="M41" s="124"/>
      <c r="N41" s="124"/>
      <c r="O41" s="10"/>
    </row>
    <row r="42" spans="2:15" s="3" customFormat="1" ht="15" x14ac:dyDescent="0.4"/>
    <row r="43" spans="2:15" s="3" customFormat="1" ht="15" customHeight="1" x14ac:dyDescent="0.4">
      <c r="B43" s="119" t="s">
        <v>3</v>
      </c>
      <c r="C43" s="119"/>
      <c r="D43" s="120" t="s">
        <v>4</v>
      </c>
      <c r="E43" s="120"/>
      <c r="F43" s="120"/>
      <c r="G43" s="120"/>
      <c r="H43" s="120"/>
      <c r="I43" s="120"/>
      <c r="J43" s="120"/>
      <c r="K43" s="120"/>
      <c r="L43" s="120"/>
      <c r="M43" s="120"/>
      <c r="N43" s="120"/>
    </row>
    <row r="44" spans="2:15" s="3" customFormat="1" ht="120.75" customHeight="1" x14ac:dyDescent="0.4">
      <c r="B44" s="117" t="s">
        <v>20</v>
      </c>
      <c r="C44" s="117"/>
      <c r="D44" s="118" t="s">
        <v>21</v>
      </c>
      <c r="E44" s="118"/>
      <c r="F44" s="118"/>
      <c r="G44" s="118"/>
      <c r="H44" s="118"/>
      <c r="I44" s="118"/>
      <c r="J44" s="118"/>
      <c r="K44" s="118"/>
      <c r="L44" s="118"/>
      <c r="M44" s="118"/>
      <c r="N44" s="118"/>
    </row>
    <row r="45" spans="2:15" s="3" customFormat="1" ht="15" x14ac:dyDescent="0.4">
      <c r="B45" s="8"/>
      <c r="C45" s="8"/>
      <c r="D45" s="8"/>
      <c r="E45" s="8"/>
      <c r="F45" s="8"/>
      <c r="G45" s="8"/>
      <c r="H45" s="8"/>
      <c r="I45" s="8"/>
      <c r="J45" s="8"/>
      <c r="K45" s="8"/>
      <c r="L45" s="8"/>
      <c r="M45" s="8"/>
      <c r="N45" s="8"/>
    </row>
    <row r="46" spans="2:15" s="3" customFormat="1" ht="15" customHeight="1" x14ac:dyDescent="0.4">
      <c r="B46" s="119" t="s">
        <v>3</v>
      </c>
      <c r="C46" s="119"/>
      <c r="D46" s="120" t="s">
        <v>4</v>
      </c>
      <c r="E46" s="120"/>
      <c r="F46" s="120"/>
      <c r="G46" s="120"/>
      <c r="H46" s="120"/>
      <c r="I46" s="120"/>
      <c r="J46" s="120"/>
      <c r="K46" s="120"/>
      <c r="L46" s="120"/>
      <c r="M46" s="120"/>
      <c r="N46" s="120"/>
    </row>
    <row r="47" spans="2:15" s="3" customFormat="1" ht="155.25" customHeight="1" x14ac:dyDescent="0.4">
      <c r="B47" s="117" t="s">
        <v>22</v>
      </c>
      <c r="C47" s="117"/>
      <c r="D47" s="118" t="s">
        <v>23</v>
      </c>
      <c r="E47" s="118"/>
      <c r="F47" s="118"/>
      <c r="G47" s="118"/>
      <c r="H47" s="118"/>
      <c r="I47" s="118"/>
      <c r="J47" s="118"/>
      <c r="K47" s="118"/>
      <c r="L47" s="118"/>
      <c r="M47" s="118"/>
      <c r="N47" s="118"/>
    </row>
    <row r="48" spans="2:15" s="3" customFormat="1" ht="15" x14ac:dyDescent="0.4"/>
    <row r="49" s="3" customFormat="1" ht="15" x14ac:dyDescent="0.4"/>
    <row r="50" s="3" customFormat="1" ht="15" x14ac:dyDescent="0.4"/>
    <row r="51" s="3" customFormat="1" ht="15" x14ac:dyDescent="0.4"/>
  </sheetData>
  <mergeCells count="37">
    <mergeCell ref="B15:N15"/>
    <mergeCell ref="B17:N17"/>
    <mergeCell ref="B18:N18"/>
    <mergeCell ref="B20:C20"/>
    <mergeCell ref="D20:N20"/>
    <mergeCell ref="B21:C24"/>
    <mergeCell ref="D21:N21"/>
    <mergeCell ref="D22:N22"/>
    <mergeCell ref="D23:N23"/>
    <mergeCell ref="D24:N24"/>
    <mergeCell ref="B26:C26"/>
    <mergeCell ref="D26:N26"/>
    <mergeCell ref="B27:C29"/>
    <mergeCell ref="D27:N27"/>
    <mergeCell ref="D28:N28"/>
    <mergeCell ref="D29:N29"/>
    <mergeCell ref="B31:C31"/>
    <mergeCell ref="D31:N31"/>
    <mergeCell ref="B32:C35"/>
    <mergeCell ref="D32:N32"/>
    <mergeCell ref="D33:N33"/>
    <mergeCell ref="D34:N34"/>
    <mergeCell ref="D35:N35"/>
    <mergeCell ref="B37:C37"/>
    <mergeCell ref="D37:N37"/>
    <mergeCell ref="B38:C41"/>
    <mergeCell ref="D38:N39"/>
    <mergeCell ref="D40:N40"/>
    <mergeCell ref="D41:N41"/>
    <mergeCell ref="B47:C47"/>
    <mergeCell ref="D47:N47"/>
    <mergeCell ref="B43:C43"/>
    <mergeCell ref="D43:N43"/>
    <mergeCell ref="B44:C44"/>
    <mergeCell ref="D44:N44"/>
    <mergeCell ref="B46:C46"/>
    <mergeCell ref="D46:N46"/>
  </mergeCells>
  <printOptions horizontalCentered="1"/>
  <pageMargins left="0.74791666666666701" right="0.74791666666666701" top="0.98402777777777795" bottom="0.98402777777777795" header="0.511811023622047" footer="0.51180555555555596"/>
  <pageSetup scale="60" orientation="portrait" horizontalDpi="300" verticalDpi="300"/>
  <headerFooter>
    <oddFooter>&amp;R&amp;"Montserrat,Normal"&amp;10Pagina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2:AMJ22"/>
  <sheetViews>
    <sheetView showGridLines="0" topLeftCell="A12" zoomScaleNormal="100" workbookViewId="0">
      <selection activeCell="D16" sqref="D16"/>
    </sheetView>
  </sheetViews>
  <sheetFormatPr baseColWidth="10" defaultColWidth="10.26953125" defaultRowHeight="14.5" x14ac:dyDescent="0.35"/>
  <cols>
    <col min="1" max="1" width="5.81640625" style="2" customWidth="1"/>
    <col min="2" max="2" width="10.26953125" style="2"/>
    <col min="3" max="3" width="13.81640625" style="2" customWidth="1"/>
    <col min="4" max="4" width="45.81640625" style="2" customWidth="1"/>
    <col min="5" max="5" width="42.453125" style="2" customWidth="1"/>
    <col min="6" max="6" width="14.453125" style="2" customWidth="1"/>
    <col min="7" max="9" width="10.26953125" style="2"/>
    <col min="10" max="10" width="39" style="2" customWidth="1"/>
    <col min="11" max="1024" width="10.26953125" style="2"/>
  </cols>
  <sheetData>
    <row r="12" spans="2:14" s="3" customFormat="1" ht="23.25" customHeight="1" x14ac:dyDescent="0.4">
      <c r="B12" s="132" t="s">
        <v>24</v>
      </c>
      <c r="C12" s="132"/>
      <c r="D12" s="132"/>
      <c r="E12" s="132"/>
      <c r="F12" s="132"/>
      <c r="G12" s="132"/>
    </row>
    <row r="13" spans="2:14" s="3" customFormat="1" ht="33.75" customHeight="1" x14ac:dyDescent="0.4">
      <c r="B13" s="133" t="s">
        <v>25</v>
      </c>
      <c r="C13" s="133"/>
      <c r="D13" s="133"/>
      <c r="E13" s="133"/>
      <c r="F13" s="133"/>
      <c r="G13" s="133"/>
      <c r="H13" s="12"/>
      <c r="I13" s="12"/>
      <c r="J13" s="12"/>
      <c r="K13" s="12"/>
      <c r="L13" s="12"/>
      <c r="M13" s="12"/>
      <c r="N13" s="12"/>
    </row>
    <row r="14" spans="2:14" s="3" customFormat="1" ht="45.75" customHeight="1" x14ac:dyDescent="0.4">
      <c r="B14" s="133" t="s">
        <v>26</v>
      </c>
      <c r="C14" s="133"/>
      <c r="D14" s="133"/>
      <c r="E14" s="133"/>
      <c r="F14" s="133"/>
      <c r="G14" s="133"/>
      <c r="H14" s="12"/>
      <c r="I14" s="12"/>
      <c r="J14" s="12"/>
      <c r="K14" s="12"/>
      <c r="L14" s="12"/>
      <c r="M14" s="12"/>
      <c r="N14" s="12"/>
    </row>
    <row r="15" spans="2:14" s="3" customFormat="1" ht="25.5" customHeight="1" x14ac:dyDescent="0.4">
      <c r="B15" s="133" t="s">
        <v>27</v>
      </c>
      <c r="C15" s="133"/>
      <c r="D15" s="133"/>
      <c r="E15" s="133"/>
      <c r="F15" s="133"/>
      <c r="G15" s="133"/>
      <c r="H15" s="12"/>
      <c r="I15" s="12"/>
      <c r="J15" s="12"/>
      <c r="K15" s="12"/>
      <c r="L15" s="12"/>
      <c r="M15" s="12"/>
      <c r="N15" s="12"/>
    </row>
    <row r="16" spans="2:14" s="3" customFormat="1" ht="15" x14ac:dyDescent="0.4"/>
    <row r="19" spans="3:6" ht="15" x14ac:dyDescent="0.35">
      <c r="C19" s="13" t="s">
        <v>28</v>
      </c>
      <c r="D19" s="13" t="s">
        <v>29</v>
      </c>
      <c r="E19" s="13" t="s">
        <v>30</v>
      </c>
      <c r="F19" s="13" t="s">
        <v>31</v>
      </c>
    </row>
    <row r="20" spans="3:6" ht="15" x14ac:dyDescent="0.35">
      <c r="C20" s="14" t="s">
        <v>32</v>
      </c>
      <c r="D20" s="15" t="s">
        <v>33</v>
      </c>
      <c r="E20" s="1" t="s">
        <v>34</v>
      </c>
      <c r="F20" s="16">
        <v>45604</v>
      </c>
    </row>
    <row r="21" spans="3:6" ht="45" x14ac:dyDescent="0.35">
      <c r="C21" s="14" t="s">
        <v>35</v>
      </c>
      <c r="D21" s="15" t="s">
        <v>36</v>
      </c>
      <c r="E21" s="1" t="s">
        <v>34</v>
      </c>
      <c r="F21" s="16">
        <v>45607</v>
      </c>
    </row>
    <row r="22" spans="3:6" ht="45" x14ac:dyDescent="0.35">
      <c r="C22" s="14" t="s">
        <v>37</v>
      </c>
      <c r="D22" s="15" t="s">
        <v>38</v>
      </c>
      <c r="E22" s="1" t="s">
        <v>39</v>
      </c>
      <c r="F22" s="16"/>
    </row>
  </sheetData>
  <mergeCells count="4">
    <mergeCell ref="B12:G12"/>
    <mergeCell ref="B13:G13"/>
    <mergeCell ref="B14:G14"/>
    <mergeCell ref="B15:G15"/>
  </mergeCells>
  <printOptions horizontalCentered="1"/>
  <pageMargins left="0.74791666666666701" right="0.74791666666666701" top="0.98402777777777795" bottom="0.98402777777777795" header="0.511811023622047" footer="0.51180555555555596"/>
  <pageSetup scale="60" orientation="landscape" horizontalDpi="300" verticalDpi="300"/>
  <headerFooter>
    <oddFooter>&amp;R&amp;"Montserrat,Normal"&amp;10Pagina &amp;P de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0:C62"/>
  <sheetViews>
    <sheetView showGridLines="0" zoomScale="90" zoomScaleNormal="90" workbookViewId="0">
      <selection activeCell="B63" sqref="B63"/>
    </sheetView>
  </sheetViews>
  <sheetFormatPr baseColWidth="10" defaultColWidth="10.54296875" defaultRowHeight="14.5" x14ac:dyDescent="0.35"/>
  <cols>
    <col min="2" max="2" width="100.90625" customWidth="1"/>
    <col min="4" max="4" width="60.453125" customWidth="1"/>
  </cols>
  <sheetData>
    <row r="10" spans="2:3" ht="15" x14ac:dyDescent="0.35">
      <c r="B10" s="17" t="s">
        <v>40</v>
      </c>
    </row>
    <row r="11" spans="2:3" ht="15" x14ac:dyDescent="0.35">
      <c r="B11" s="18" t="s">
        <v>5</v>
      </c>
    </row>
    <row r="12" spans="2:3" ht="15" x14ac:dyDescent="0.4">
      <c r="B12" s="19"/>
    </row>
    <row r="13" spans="2:3" ht="15" x14ac:dyDescent="0.4">
      <c r="B13" s="20" t="s">
        <v>41</v>
      </c>
    </row>
    <row r="14" spans="2:3" ht="15" x14ac:dyDescent="0.35">
      <c r="B14" s="21" t="s">
        <v>42</v>
      </c>
    </row>
    <row r="15" spans="2:3" ht="15" x14ac:dyDescent="0.35">
      <c r="B15" s="21" t="s">
        <v>43</v>
      </c>
      <c r="C15" s="22"/>
    </row>
    <row r="16" spans="2:3" ht="15" x14ac:dyDescent="0.35">
      <c r="B16" s="21" t="s">
        <v>44</v>
      </c>
      <c r="C16" s="22"/>
    </row>
    <row r="17" spans="2:3" ht="15" x14ac:dyDescent="0.4">
      <c r="B17" s="23" t="s">
        <v>45</v>
      </c>
      <c r="C17" s="22"/>
    </row>
    <row r="18" spans="2:3" ht="15" x14ac:dyDescent="0.4">
      <c r="B18" s="23" t="s">
        <v>46</v>
      </c>
      <c r="C18" s="22"/>
    </row>
    <row r="19" spans="2:3" ht="15" x14ac:dyDescent="0.35">
      <c r="B19" s="24">
        <f>COUNTA(B14:B18)</f>
        <v>5</v>
      </c>
      <c r="C19" s="22"/>
    </row>
    <row r="20" spans="2:3" ht="15" x14ac:dyDescent="0.35">
      <c r="B20" s="25" t="s">
        <v>47</v>
      </c>
      <c r="C20" s="22"/>
    </row>
    <row r="21" spans="2:3" ht="15" x14ac:dyDescent="0.35">
      <c r="B21" s="21" t="s">
        <v>48</v>
      </c>
      <c r="C21" s="22"/>
    </row>
    <row r="22" spans="2:3" ht="15" x14ac:dyDescent="0.35">
      <c r="B22" s="21" t="s">
        <v>49</v>
      </c>
      <c r="C22" s="24"/>
    </row>
    <row r="23" spans="2:3" ht="15" x14ac:dyDescent="0.35">
      <c r="B23" s="21" t="s">
        <v>50</v>
      </c>
      <c r="C23" s="22"/>
    </row>
    <row r="24" spans="2:3" ht="15" x14ac:dyDescent="0.35">
      <c r="B24" s="21" t="s">
        <v>51</v>
      </c>
      <c r="C24" s="22"/>
    </row>
    <row r="25" spans="2:3" ht="15" x14ac:dyDescent="0.35">
      <c r="B25" s="21" t="s">
        <v>52</v>
      </c>
      <c r="C25" s="22"/>
    </row>
    <row r="26" spans="2:3" ht="15" x14ac:dyDescent="0.35">
      <c r="B26" s="21" t="s">
        <v>53</v>
      </c>
    </row>
    <row r="27" spans="2:3" ht="15" x14ac:dyDescent="0.35">
      <c r="B27" s="21" t="s">
        <v>54</v>
      </c>
    </row>
    <row r="28" spans="2:3" ht="15" x14ac:dyDescent="0.35">
      <c r="B28" s="72" t="s">
        <v>55</v>
      </c>
    </row>
    <row r="29" spans="2:3" ht="15" x14ac:dyDescent="0.35">
      <c r="B29" s="72" t="s">
        <v>262</v>
      </c>
    </row>
    <row r="30" spans="2:3" ht="15" x14ac:dyDescent="0.35">
      <c r="B30" s="72" t="s">
        <v>263</v>
      </c>
    </row>
    <row r="31" spans="2:3" ht="15" x14ac:dyDescent="0.35">
      <c r="B31" s="86">
        <f>COUNTA(B21:B30)</f>
        <v>10</v>
      </c>
    </row>
    <row r="32" spans="2:3" ht="15" x14ac:dyDescent="0.35">
      <c r="B32" s="87" t="s">
        <v>56</v>
      </c>
    </row>
    <row r="33" spans="2:2" ht="15" x14ac:dyDescent="0.35">
      <c r="B33" s="72" t="s">
        <v>264</v>
      </c>
    </row>
    <row r="34" spans="2:2" ht="15" x14ac:dyDescent="0.35">
      <c r="B34" s="72" t="s">
        <v>265</v>
      </c>
    </row>
    <row r="35" spans="2:2" ht="15" x14ac:dyDescent="0.35">
      <c r="B35" s="72" t="s">
        <v>266</v>
      </c>
    </row>
    <row r="36" spans="2:2" ht="15" x14ac:dyDescent="0.35">
      <c r="B36" s="72" t="s">
        <v>267</v>
      </c>
    </row>
    <row r="37" spans="2:2" ht="15" x14ac:dyDescent="0.35">
      <c r="B37" s="72" t="s">
        <v>268</v>
      </c>
    </row>
    <row r="38" spans="2:2" ht="15" x14ac:dyDescent="0.35">
      <c r="B38" s="72" t="s">
        <v>269</v>
      </c>
    </row>
    <row r="39" spans="2:2" ht="15" x14ac:dyDescent="0.35">
      <c r="B39" s="72" t="s">
        <v>270</v>
      </c>
    </row>
    <row r="40" spans="2:2" ht="15" x14ac:dyDescent="0.35">
      <c r="B40" s="72" t="s">
        <v>271</v>
      </c>
    </row>
    <row r="41" spans="2:2" ht="15" x14ac:dyDescent="0.35">
      <c r="B41" s="72" t="s">
        <v>292</v>
      </c>
    </row>
    <row r="42" spans="2:2" ht="15" x14ac:dyDescent="0.35">
      <c r="B42" s="72" t="s">
        <v>293</v>
      </c>
    </row>
    <row r="43" spans="2:2" ht="15" x14ac:dyDescent="0.35">
      <c r="B43" s="86">
        <f>COUNTA(B33:B42)</f>
        <v>10</v>
      </c>
    </row>
    <row r="44" spans="2:2" ht="15" x14ac:dyDescent="0.35">
      <c r="B44" s="87" t="s">
        <v>57</v>
      </c>
    </row>
    <row r="45" spans="2:2" ht="15" x14ac:dyDescent="0.35">
      <c r="B45" s="72" t="s">
        <v>294</v>
      </c>
    </row>
    <row r="46" spans="2:2" ht="15" x14ac:dyDescent="0.35">
      <c r="B46" s="72" t="s">
        <v>295</v>
      </c>
    </row>
    <row r="47" spans="2:2" ht="15" x14ac:dyDescent="0.35">
      <c r="B47" s="86">
        <f>COUNTA(B45:B46)</f>
        <v>2</v>
      </c>
    </row>
    <row r="48" spans="2:2" ht="15" x14ac:dyDescent="0.35">
      <c r="B48" s="25" t="s">
        <v>341</v>
      </c>
    </row>
    <row r="49" spans="2:2" ht="15" x14ac:dyDescent="0.35">
      <c r="B49" s="21" t="s">
        <v>342</v>
      </c>
    </row>
    <row r="50" spans="2:2" ht="15" x14ac:dyDescent="0.35">
      <c r="B50" s="21" t="s">
        <v>343</v>
      </c>
    </row>
    <row r="51" spans="2:2" ht="15" x14ac:dyDescent="0.35">
      <c r="B51" s="21" t="s">
        <v>344</v>
      </c>
    </row>
    <row r="52" spans="2:2" ht="15" x14ac:dyDescent="0.35">
      <c r="B52" s="21" t="s">
        <v>345</v>
      </c>
    </row>
    <row r="53" spans="2:2" ht="15" x14ac:dyDescent="0.35">
      <c r="B53" s="86">
        <f>COUNTA(B49:B52)</f>
        <v>4</v>
      </c>
    </row>
    <row r="54" spans="2:2" ht="15" x14ac:dyDescent="0.35">
      <c r="B54" s="25" t="s">
        <v>346</v>
      </c>
    </row>
    <row r="55" spans="2:2" ht="15" x14ac:dyDescent="0.35">
      <c r="B55" s="21" t="s">
        <v>347</v>
      </c>
    </row>
    <row r="56" spans="2:2" ht="15" x14ac:dyDescent="0.35">
      <c r="B56" s="21" t="s">
        <v>348</v>
      </c>
    </row>
    <row r="57" spans="2:2" ht="15" x14ac:dyDescent="0.35">
      <c r="B57" s="86">
        <f>COUNTA(B55:B56)</f>
        <v>2</v>
      </c>
    </row>
    <row r="59" spans="2:2" ht="15" x14ac:dyDescent="0.35">
      <c r="B59" s="25" t="s">
        <v>453</v>
      </c>
    </row>
    <row r="60" spans="2:2" ht="15" x14ac:dyDescent="0.35">
      <c r="B60" s="21" t="s">
        <v>454</v>
      </c>
    </row>
    <row r="61" spans="2:2" ht="15" x14ac:dyDescent="0.35">
      <c r="B61" s="21" t="s">
        <v>455</v>
      </c>
    </row>
    <row r="62" spans="2:2" ht="15" x14ac:dyDescent="0.35">
      <c r="B62" s="86">
        <f>COUNTA(B60:B61)</f>
        <v>2</v>
      </c>
    </row>
  </sheetData>
  <pageMargins left="0.7" right="0.7" top="0.75" bottom="0.75" header="0.511811023622047" footer="0.511811023622047"/>
  <pageSetup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0:AMJ1053"/>
  <sheetViews>
    <sheetView showGridLines="0" tabSelected="1" zoomScale="55" zoomScaleNormal="55" workbookViewId="0">
      <selection activeCell="F209" sqref="F209"/>
    </sheetView>
  </sheetViews>
  <sheetFormatPr baseColWidth="10" defaultColWidth="10.26953125" defaultRowHeight="14.5" x14ac:dyDescent="0.35"/>
  <cols>
    <col min="1" max="1" width="29.26953125" style="26" customWidth="1"/>
    <col min="2" max="2" width="10.08984375" style="26" customWidth="1"/>
    <col min="3" max="3" width="49.81640625" style="26" customWidth="1"/>
    <col min="4" max="4" width="13.1796875" style="26" customWidth="1"/>
    <col min="5" max="5" width="44.26953125" style="26" customWidth="1"/>
    <col min="6" max="6" width="31.1796875" style="26" customWidth="1"/>
    <col min="7" max="7" width="28.453125" style="26" customWidth="1"/>
    <col min="8" max="8" width="26.26953125" style="26" customWidth="1"/>
    <col min="9" max="9" width="29.54296875" style="26" customWidth="1"/>
    <col min="10" max="10" width="14.6328125" style="26" customWidth="1"/>
    <col min="11" max="1024" width="10.26953125" style="26"/>
  </cols>
  <sheetData>
    <row r="10" spans="1:8" s="27" customFormat="1" ht="25.5" customHeight="1" x14ac:dyDescent="0.4">
      <c r="D10" s="114" t="s">
        <v>5</v>
      </c>
      <c r="E10" s="114"/>
    </row>
    <row r="11" spans="1:8" s="27" customFormat="1" ht="25.5" customHeight="1" x14ac:dyDescent="0.4"/>
    <row r="12" spans="1:8" s="27" customFormat="1" ht="24" customHeight="1" x14ac:dyDescent="0.4">
      <c r="A12" s="111" t="s">
        <v>58</v>
      </c>
      <c r="B12" s="111"/>
      <c r="C12" s="115"/>
      <c r="D12" s="115"/>
      <c r="E12" s="28"/>
      <c r="F12" s="28"/>
      <c r="G12" s="28"/>
    </row>
    <row r="13" spans="1:8" s="27" customFormat="1" ht="23.25" customHeight="1" x14ac:dyDescent="0.4">
      <c r="A13" s="111" t="s">
        <v>59</v>
      </c>
      <c r="B13" s="111"/>
      <c r="C13" s="116">
        <v>8211</v>
      </c>
      <c r="D13" s="116"/>
      <c r="E13" s="28"/>
      <c r="F13" s="28"/>
      <c r="G13" s="28"/>
    </row>
    <row r="14" spans="1:8" s="27" customFormat="1" ht="28.5" customHeight="1" x14ac:dyDescent="0.4">
      <c r="A14" s="111" t="s">
        <v>60</v>
      </c>
      <c r="B14" s="111"/>
      <c r="C14" s="112" t="s">
        <v>61</v>
      </c>
      <c r="D14" s="112"/>
      <c r="E14" s="28"/>
      <c r="F14" s="28"/>
      <c r="G14" s="28"/>
      <c r="H14" s="29"/>
    </row>
    <row r="15" spans="1:8" s="27" customFormat="1" ht="30" customHeight="1" x14ac:dyDescent="0.4">
      <c r="A15" s="113" t="s">
        <v>62</v>
      </c>
      <c r="B15" s="113"/>
      <c r="C15" s="113"/>
      <c r="D15" s="30"/>
      <c r="E15" s="30"/>
      <c r="F15" s="30"/>
      <c r="G15" s="30"/>
    </row>
    <row r="16" spans="1:8" s="31" customFormat="1" ht="13.5" customHeight="1" x14ac:dyDescent="0.4"/>
    <row r="17" spans="1:10" s="36" customFormat="1" ht="59.25" customHeight="1" x14ac:dyDescent="0.4">
      <c r="A17" s="32" t="s">
        <v>63</v>
      </c>
      <c r="B17" s="32" t="s">
        <v>64</v>
      </c>
      <c r="C17" s="33" t="s">
        <v>65</v>
      </c>
      <c r="D17" s="33" t="s">
        <v>66</v>
      </c>
      <c r="E17" s="33" t="s">
        <v>67</v>
      </c>
      <c r="F17" s="33" t="s">
        <v>68</v>
      </c>
      <c r="G17" s="33" t="s">
        <v>69</v>
      </c>
      <c r="H17" s="34" t="s">
        <v>70</v>
      </c>
      <c r="I17" s="34" t="s">
        <v>71</v>
      </c>
      <c r="J17" s="35" t="s">
        <v>72</v>
      </c>
    </row>
    <row r="18" spans="1:10" s="36" customFormat="1" ht="15" customHeight="1" x14ac:dyDescent="0.4">
      <c r="A18" s="37"/>
      <c r="B18" s="37" t="s">
        <v>73</v>
      </c>
      <c r="C18" s="38" t="s">
        <v>74</v>
      </c>
      <c r="D18" s="38"/>
      <c r="E18" s="38"/>
      <c r="F18" s="37"/>
      <c r="G18" s="37"/>
      <c r="H18" s="37"/>
      <c r="I18" s="39"/>
      <c r="J18" s="39"/>
    </row>
    <row r="19" spans="1:10" s="22" customFormat="1" ht="30" x14ac:dyDescent="0.35">
      <c r="A19" s="40" t="s">
        <v>75</v>
      </c>
      <c r="B19" s="40"/>
      <c r="C19" s="41" t="s">
        <v>74</v>
      </c>
      <c r="D19" s="42">
        <v>1</v>
      </c>
      <c r="E19" s="43" t="s">
        <v>76</v>
      </c>
      <c r="F19" s="43"/>
      <c r="G19" s="43"/>
      <c r="H19" s="42" t="s">
        <v>77</v>
      </c>
      <c r="I19" s="41" t="s">
        <v>78</v>
      </c>
      <c r="J19" s="43"/>
    </row>
    <row r="20" spans="1:10" s="22" customFormat="1" ht="330" x14ac:dyDescent="0.35">
      <c r="A20" s="1" t="s">
        <v>75</v>
      </c>
      <c r="B20" s="1"/>
      <c r="C20" s="21" t="s">
        <v>74</v>
      </c>
      <c r="D20" s="44">
        <v>2</v>
      </c>
      <c r="E20" s="45" t="s">
        <v>79</v>
      </c>
      <c r="F20" s="45" t="s">
        <v>80</v>
      </c>
      <c r="G20" s="45" t="s">
        <v>81</v>
      </c>
      <c r="H20" s="44"/>
      <c r="I20" s="46" t="s">
        <v>82</v>
      </c>
      <c r="J20" s="45"/>
    </row>
    <row r="21" spans="1:10" s="22" customFormat="1" ht="45" x14ac:dyDescent="0.35">
      <c r="A21" s="1" t="s">
        <v>75</v>
      </c>
      <c r="B21" s="1"/>
      <c r="C21" s="21" t="s">
        <v>74</v>
      </c>
      <c r="D21" s="44">
        <v>3</v>
      </c>
      <c r="E21" s="45" t="s">
        <v>83</v>
      </c>
      <c r="F21" s="45" t="s">
        <v>84</v>
      </c>
      <c r="G21" s="45"/>
      <c r="H21" s="44"/>
      <c r="I21" s="21"/>
      <c r="J21" s="45"/>
    </row>
    <row r="22" spans="1:10" s="22" customFormat="1" ht="30" x14ac:dyDescent="0.35">
      <c r="A22" s="1" t="s">
        <v>75</v>
      </c>
      <c r="B22" s="1"/>
      <c r="C22" s="21" t="s">
        <v>74</v>
      </c>
      <c r="D22" s="44">
        <v>4</v>
      </c>
      <c r="E22" s="45" t="s">
        <v>85</v>
      </c>
      <c r="F22" s="45" t="s">
        <v>86</v>
      </c>
      <c r="G22" s="45"/>
      <c r="H22" s="44"/>
      <c r="I22" s="21"/>
      <c r="J22" s="45"/>
    </row>
    <row r="23" spans="1:10" s="22" customFormat="1" ht="30" x14ac:dyDescent="0.35">
      <c r="A23" s="1" t="s">
        <v>75</v>
      </c>
      <c r="B23" s="1"/>
      <c r="C23" s="21" t="s">
        <v>74</v>
      </c>
      <c r="D23" s="44">
        <v>5</v>
      </c>
      <c r="E23" s="45" t="s">
        <v>87</v>
      </c>
      <c r="F23" s="45" t="s">
        <v>88</v>
      </c>
      <c r="G23" s="45"/>
      <c r="H23" s="44"/>
      <c r="I23" s="21"/>
      <c r="J23" s="45"/>
    </row>
    <row r="24" spans="1:10" s="22" customFormat="1" ht="135" x14ac:dyDescent="0.35">
      <c r="A24" s="1" t="s">
        <v>75</v>
      </c>
      <c r="B24" s="1"/>
      <c r="C24" s="21" t="s">
        <v>74</v>
      </c>
      <c r="D24" s="44">
        <v>6</v>
      </c>
      <c r="E24" s="45" t="s">
        <v>89</v>
      </c>
      <c r="F24" s="73" t="s">
        <v>301</v>
      </c>
      <c r="G24" s="45" t="s">
        <v>90</v>
      </c>
      <c r="H24" s="44"/>
      <c r="I24" s="21"/>
      <c r="J24" s="45"/>
    </row>
    <row r="25" spans="1:10" s="22" customFormat="1" ht="15" customHeight="1" x14ac:dyDescent="0.35">
      <c r="A25" s="37"/>
      <c r="B25" s="37" t="s">
        <v>91</v>
      </c>
      <c r="C25" s="47" t="s">
        <v>92</v>
      </c>
      <c r="D25" s="38"/>
      <c r="E25" s="38"/>
      <c r="F25" s="37"/>
      <c r="G25" s="37"/>
      <c r="H25" s="37"/>
      <c r="I25" s="39"/>
      <c r="J25" s="39"/>
    </row>
    <row r="26" spans="1:10" s="22" customFormat="1" ht="30" x14ac:dyDescent="0.35">
      <c r="A26" s="1" t="s">
        <v>75</v>
      </c>
      <c r="B26" s="1"/>
      <c r="C26" s="21" t="s">
        <v>92</v>
      </c>
      <c r="D26" s="44">
        <v>1</v>
      </c>
      <c r="E26" s="45" t="s">
        <v>76</v>
      </c>
      <c r="F26" s="45"/>
      <c r="G26" s="45"/>
      <c r="H26" s="44" t="s">
        <v>77</v>
      </c>
      <c r="I26" s="21" t="s">
        <v>78</v>
      </c>
      <c r="J26" s="45"/>
    </row>
    <row r="27" spans="1:10" s="22" customFormat="1" ht="90" x14ac:dyDescent="0.35">
      <c r="A27" s="1" t="s">
        <v>75</v>
      </c>
      <c r="B27" s="1"/>
      <c r="C27" s="21" t="s">
        <v>92</v>
      </c>
      <c r="D27" s="44">
        <v>2</v>
      </c>
      <c r="E27" s="45" t="s">
        <v>79</v>
      </c>
      <c r="F27" s="45" t="s">
        <v>80</v>
      </c>
      <c r="G27" s="45"/>
      <c r="H27" s="44"/>
      <c r="I27" s="21" t="s">
        <v>93</v>
      </c>
      <c r="J27" s="45"/>
    </row>
    <row r="28" spans="1:10" s="22" customFormat="1" ht="45" x14ac:dyDescent="0.35">
      <c r="A28" s="1" t="s">
        <v>75</v>
      </c>
      <c r="B28" s="1"/>
      <c r="C28" s="21" t="s">
        <v>92</v>
      </c>
      <c r="D28" s="44">
        <v>3</v>
      </c>
      <c r="E28" s="45" t="s">
        <v>83</v>
      </c>
      <c r="F28" s="45" t="s">
        <v>84</v>
      </c>
      <c r="G28" s="45" t="s">
        <v>94</v>
      </c>
      <c r="H28" s="44"/>
      <c r="I28" s="21"/>
      <c r="J28" s="45"/>
    </row>
    <row r="29" spans="1:10" s="22" customFormat="1" ht="30" x14ac:dyDescent="0.35">
      <c r="A29" s="1" t="s">
        <v>75</v>
      </c>
      <c r="B29" s="1"/>
      <c r="C29" s="21" t="s">
        <v>92</v>
      </c>
      <c r="D29" s="44">
        <v>4</v>
      </c>
      <c r="E29" s="45" t="s">
        <v>85</v>
      </c>
      <c r="F29" s="45" t="s">
        <v>86</v>
      </c>
      <c r="G29" s="45"/>
      <c r="H29" s="44"/>
      <c r="I29" s="21"/>
      <c r="J29" s="45"/>
    </row>
    <row r="30" spans="1:10" s="22" customFormat="1" ht="30" x14ac:dyDescent="0.35">
      <c r="A30" s="1" t="s">
        <v>75</v>
      </c>
      <c r="B30" s="1"/>
      <c r="C30" s="21" t="s">
        <v>92</v>
      </c>
      <c r="D30" s="44">
        <v>5</v>
      </c>
      <c r="E30" s="45" t="s">
        <v>87</v>
      </c>
      <c r="F30" s="45" t="s">
        <v>88</v>
      </c>
      <c r="H30" s="44"/>
      <c r="I30" s="21"/>
      <c r="J30" s="45"/>
    </row>
    <row r="31" spans="1:10" s="22" customFormat="1" ht="60" x14ac:dyDescent="0.35">
      <c r="A31" s="1" t="s">
        <v>75</v>
      </c>
      <c r="B31" s="1"/>
      <c r="C31" s="21" t="s">
        <v>92</v>
      </c>
      <c r="D31" s="44">
        <v>6</v>
      </c>
      <c r="E31" s="45" t="s">
        <v>89</v>
      </c>
      <c r="F31" s="45" t="s">
        <v>95</v>
      </c>
      <c r="G31" s="45"/>
      <c r="H31" s="44"/>
      <c r="I31" s="21"/>
      <c r="J31" s="45"/>
    </row>
    <row r="32" spans="1:10" s="22" customFormat="1" ht="15" customHeight="1" x14ac:dyDescent="0.35">
      <c r="A32" s="37"/>
      <c r="B32" s="37" t="s">
        <v>96</v>
      </c>
      <c r="C32" s="38" t="s">
        <v>97</v>
      </c>
      <c r="D32" s="38"/>
      <c r="E32" s="38"/>
      <c r="F32" s="37"/>
      <c r="G32" s="37"/>
      <c r="H32" s="37"/>
      <c r="I32" s="39"/>
      <c r="J32" s="39"/>
    </row>
    <row r="33" spans="1:15" s="22" customFormat="1" ht="30" x14ac:dyDescent="0.35">
      <c r="A33" s="1" t="s">
        <v>75</v>
      </c>
      <c r="B33" s="1"/>
      <c r="C33" s="21" t="s">
        <v>97</v>
      </c>
      <c r="D33" s="44">
        <v>1</v>
      </c>
      <c r="E33" s="45" t="s">
        <v>76</v>
      </c>
      <c r="F33" s="45"/>
      <c r="G33" s="45"/>
      <c r="H33" s="44" t="s">
        <v>77</v>
      </c>
      <c r="I33" s="21" t="s">
        <v>78</v>
      </c>
      <c r="J33" s="45"/>
    </row>
    <row r="34" spans="1:15" s="22" customFormat="1" ht="105" x14ac:dyDescent="0.35">
      <c r="A34" s="1" t="s">
        <v>75</v>
      </c>
      <c r="B34" s="1"/>
      <c r="C34" s="21" t="s">
        <v>97</v>
      </c>
      <c r="D34" s="44">
        <v>2</v>
      </c>
      <c r="E34" s="45" t="s">
        <v>79</v>
      </c>
      <c r="F34" s="45" t="s">
        <v>80</v>
      </c>
      <c r="G34" s="45"/>
      <c r="H34" s="44"/>
      <c r="I34" s="21" t="s">
        <v>98</v>
      </c>
      <c r="J34" s="45"/>
    </row>
    <row r="35" spans="1:15" s="22" customFormat="1" ht="45" x14ac:dyDescent="0.35">
      <c r="A35" s="1" t="s">
        <v>75</v>
      </c>
      <c r="B35" s="1"/>
      <c r="C35" s="21" t="s">
        <v>97</v>
      </c>
      <c r="D35" s="44">
        <v>3</v>
      </c>
      <c r="E35" s="45" t="s">
        <v>83</v>
      </c>
      <c r="F35" s="73" t="s">
        <v>84</v>
      </c>
      <c r="G35" s="45"/>
      <c r="H35" s="44"/>
      <c r="I35" s="21"/>
      <c r="J35" s="45"/>
    </row>
    <row r="36" spans="1:15" s="22" customFormat="1" ht="30" x14ac:dyDescent="0.35">
      <c r="A36" s="1" t="s">
        <v>75</v>
      </c>
      <c r="B36" s="1"/>
      <c r="C36" s="21" t="s">
        <v>97</v>
      </c>
      <c r="D36" s="44">
        <v>4</v>
      </c>
      <c r="E36" s="45" t="s">
        <v>85</v>
      </c>
      <c r="F36" s="45" t="s">
        <v>86</v>
      </c>
      <c r="G36" s="45"/>
      <c r="H36" s="44"/>
      <c r="I36" s="21"/>
      <c r="J36" s="45"/>
    </row>
    <row r="37" spans="1:15" s="22" customFormat="1" ht="30" x14ac:dyDescent="0.35">
      <c r="A37" s="1" t="s">
        <v>75</v>
      </c>
      <c r="B37" s="1"/>
      <c r="C37" s="21" t="s">
        <v>97</v>
      </c>
      <c r="D37" s="44">
        <v>5</v>
      </c>
      <c r="E37" s="45" t="s">
        <v>99</v>
      </c>
      <c r="F37" s="45" t="s">
        <v>88</v>
      </c>
      <c r="G37" s="45"/>
      <c r="H37" s="44"/>
      <c r="I37" s="21"/>
      <c r="J37" s="45"/>
    </row>
    <row r="38" spans="1:15" s="22" customFormat="1" ht="75" x14ac:dyDescent="0.35">
      <c r="A38" s="1" t="s">
        <v>75</v>
      </c>
      <c r="B38" s="1"/>
      <c r="C38" s="21" t="s">
        <v>97</v>
      </c>
      <c r="D38" s="44">
        <v>6</v>
      </c>
      <c r="E38" s="45" t="s">
        <v>89</v>
      </c>
      <c r="F38" s="45" t="s">
        <v>100</v>
      </c>
      <c r="G38" s="45"/>
      <c r="H38" s="44"/>
      <c r="I38" s="21"/>
      <c r="J38" s="45"/>
    </row>
    <row r="39" spans="1:15" s="48" customFormat="1" ht="15" customHeight="1" x14ac:dyDescent="0.25">
      <c r="A39" s="37"/>
      <c r="B39" s="37" t="s">
        <v>101</v>
      </c>
      <c r="C39" s="38" t="s">
        <v>102</v>
      </c>
      <c r="D39" s="38"/>
      <c r="E39" s="38"/>
      <c r="F39" s="37"/>
      <c r="G39" s="37"/>
      <c r="H39" s="37"/>
      <c r="I39" s="39"/>
      <c r="J39" s="39"/>
      <c r="K39" s="22"/>
      <c r="L39" s="22"/>
      <c r="M39" s="22"/>
      <c r="O39" s="22"/>
    </row>
    <row r="40" spans="1:15" s="48" customFormat="1" ht="105" x14ac:dyDescent="0.25">
      <c r="A40" s="1" t="s">
        <v>75</v>
      </c>
      <c r="B40" s="1"/>
      <c r="C40" s="21" t="s">
        <v>102</v>
      </c>
      <c r="D40" s="44">
        <v>1</v>
      </c>
      <c r="E40" s="45" t="s">
        <v>103</v>
      </c>
      <c r="F40" s="73" t="s">
        <v>104</v>
      </c>
      <c r="G40" s="45" t="s">
        <v>105</v>
      </c>
      <c r="H40" s="21" t="s">
        <v>106</v>
      </c>
      <c r="I40" s="21" t="s">
        <v>107</v>
      </c>
      <c r="J40" s="49"/>
      <c r="K40" s="22"/>
      <c r="L40" s="22"/>
      <c r="M40" s="22"/>
      <c r="O40" s="22"/>
    </row>
    <row r="41" spans="1:15" s="48" customFormat="1" ht="255" x14ac:dyDescent="0.25">
      <c r="A41" s="1" t="s">
        <v>75</v>
      </c>
      <c r="B41" s="1"/>
      <c r="C41" s="21" t="s">
        <v>102</v>
      </c>
      <c r="D41" s="44">
        <v>2</v>
      </c>
      <c r="E41" s="45" t="s">
        <v>108</v>
      </c>
      <c r="F41" s="74" t="s">
        <v>298</v>
      </c>
      <c r="G41" s="45"/>
      <c r="H41" s="21"/>
      <c r="I41" s="21"/>
      <c r="J41" s="49"/>
      <c r="K41" s="22"/>
      <c r="L41" s="22"/>
      <c r="M41" s="22"/>
      <c r="O41" s="22"/>
    </row>
    <row r="42" spans="1:15" s="48" customFormat="1" ht="165" x14ac:dyDescent="0.25">
      <c r="A42" s="1" t="s">
        <v>75</v>
      </c>
      <c r="B42" s="1"/>
      <c r="C42" s="21" t="s">
        <v>102</v>
      </c>
      <c r="D42" s="44">
        <v>3</v>
      </c>
      <c r="E42" s="1" t="s">
        <v>109</v>
      </c>
      <c r="F42" s="1" t="s">
        <v>323</v>
      </c>
      <c r="G42" s="89"/>
      <c r="H42" s="1"/>
      <c r="I42" s="1"/>
      <c r="J42" s="49"/>
      <c r="K42" s="22"/>
      <c r="L42" s="22"/>
      <c r="M42" s="22"/>
      <c r="O42" s="22"/>
    </row>
    <row r="43" spans="1:15" s="48" customFormat="1" ht="15" customHeight="1" x14ac:dyDescent="0.25">
      <c r="A43" s="37"/>
      <c r="B43" s="37" t="s">
        <v>110</v>
      </c>
      <c r="C43" s="38" t="s">
        <v>111</v>
      </c>
      <c r="D43" s="38"/>
      <c r="E43" s="38"/>
      <c r="F43" s="37"/>
      <c r="G43" s="37"/>
      <c r="H43" s="37"/>
      <c r="I43" s="39"/>
      <c r="J43" s="39"/>
      <c r="K43" s="22"/>
      <c r="L43" s="22"/>
      <c r="M43" s="22"/>
      <c r="O43" s="22"/>
    </row>
    <row r="44" spans="1:15" s="48" customFormat="1" ht="105" x14ac:dyDescent="0.25">
      <c r="A44" s="1" t="s">
        <v>75</v>
      </c>
      <c r="B44" s="1"/>
      <c r="C44" s="21" t="s">
        <v>111</v>
      </c>
      <c r="D44" s="44">
        <v>1</v>
      </c>
      <c r="E44" s="45" t="s">
        <v>103</v>
      </c>
      <c r="F44" s="73" t="s">
        <v>272</v>
      </c>
      <c r="G44" s="45" t="s">
        <v>112</v>
      </c>
      <c r="H44" s="21" t="s">
        <v>113</v>
      </c>
      <c r="I44" s="21" t="s">
        <v>114</v>
      </c>
      <c r="J44" s="49"/>
      <c r="K44" s="22"/>
      <c r="L44" s="22"/>
      <c r="M44" s="22"/>
      <c r="O44" s="22"/>
    </row>
    <row r="45" spans="1:15" s="48" customFormat="1" ht="255" x14ac:dyDescent="0.25">
      <c r="A45" s="1" t="s">
        <v>75</v>
      </c>
      <c r="B45" s="1"/>
      <c r="C45" s="21" t="s">
        <v>111</v>
      </c>
      <c r="D45" s="50">
        <v>2</v>
      </c>
      <c r="E45" s="74" t="s">
        <v>273</v>
      </c>
      <c r="F45" s="74" t="s">
        <v>304</v>
      </c>
      <c r="G45" s="91"/>
      <c r="H45" s="52"/>
      <c r="I45" s="52"/>
      <c r="J45" s="49"/>
      <c r="K45" s="22"/>
      <c r="L45" s="22"/>
      <c r="M45" s="22"/>
      <c r="O45" s="22"/>
    </row>
    <row r="46" spans="1:15" s="48" customFormat="1" ht="30" x14ac:dyDescent="0.25">
      <c r="A46" s="1" t="s">
        <v>75</v>
      </c>
      <c r="B46" s="1"/>
      <c r="C46" s="21" t="s">
        <v>111</v>
      </c>
      <c r="D46" s="44">
        <v>3</v>
      </c>
      <c r="E46" s="73" t="s">
        <v>274</v>
      </c>
      <c r="F46" s="73" t="s">
        <v>115</v>
      </c>
      <c r="G46" s="1"/>
      <c r="H46" s="1"/>
      <c r="I46" s="1"/>
      <c r="J46" s="49"/>
      <c r="K46" s="22"/>
      <c r="L46" s="22"/>
      <c r="M46" s="22"/>
      <c r="O46" s="22"/>
    </row>
    <row r="47" spans="1:15" s="22" customFormat="1" ht="15" customHeight="1" x14ac:dyDescent="0.35">
      <c r="A47" s="37"/>
      <c r="B47" s="37" t="s">
        <v>116</v>
      </c>
      <c r="C47" s="38" t="s">
        <v>117</v>
      </c>
      <c r="D47" s="38"/>
      <c r="E47" s="38"/>
      <c r="F47" s="37"/>
      <c r="G47" s="37"/>
      <c r="H47" s="37"/>
      <c r="I47" s="39"/>
      <c r="J47" s="39"/>
    </row>
    <row r="48" spans="1:15" s="22" customFormat="1" ht="120" x14ac:dyDescent="0.35">
      <c r="A48" s="1" t="s">
        <v>75</v>
      </c>
      <c r="B48" s="1"/>
      <c r="C48" s="21" t="s">
        <v>117</v>
      </c>
      <c r="D48" s="44">
        <v>1</v>
      </c>
      <c r="E48" s="45" t="s">
        <v>103</v>
      </c>
      <c r="F48" s="73" t="s">
        <v>104</v>
      </c>
      <c r="G48" s="45" t="s">
        <v>105</v>
      </c>
      <c r="H48" s="21" t="s">
        <v>106</v>
      </c>
      <c r="I48" s="21" t="s">
        <v>118</v>
      </c>
      <c r="J48" s="53"/>
    </row>
    <row r="49" spans="1:10" s="22" customFormat="1" ht="255" x14ac:dyDescent="0.35">
      <c r="A49" s="1" t="s">
        <v>75</v>
      </c>
      <c r="B49" s="1"/>
      <c r="C49" s="21" t="s">
        <v>117</v>
      </c>
      <c r="D49" s="44">
        <v>2</v>
      </c>
      <c r="E49" s="45" t="s">
        <v>108</v>
      </c>
      <c r="F49" s="105" t="s">
        <v>366</v>
      </c>
      <c r="G49" s="88"/>
      <c r="H49" s="21"/>
      <c r="I49" s="21"/>
      <c r="J49" s="45"/>
    </row>
    <row r="50" spans="1:10" s="22" customFormat="1" ht="270" x14ac:dyDescent="0.35">
      <c r="A50" s="1" t="s">
        <v>75</v>
      </c>
      <c r="B50" s="1"/>
      <c r="C50" s="21" t="s">
        <v>117</v>
      </c>
      <c r="D50" s="44">
        <v>3</v>
      </c>
      <c r="E50" s="45" t="s">
        <v>119</v>
      </c>
      <c r="F50" s="106" t="s">
        <v>362</v>
      </c>
      <c r="G50" s="88" t="s">
        <v>364</v>
      </c>
      <c r="H50" s="44"/>
      <c r="I50" s="21"/>
      <c r="J50" s="45"/>
    </row>
    <row r="51" spans="1:10" s="22" customFormat="1" ht="45" x14ac:dyDescent="0.35">
      <c r="A51" s="1" t="s">
        <v>75</v>
      </c>
      <c r="B51" s="1"/>
      <c r="C51" s="21" t="s">
        <v>117</v>
      </c>
      <c r="D51" s="44">
        <v>4</v>
      </c>
      <c r="E51" s="45" t="s">
        <v>120</v>
      </c>
      <c r="F51" s="45" t="s">
        <v>121</v>
      </c>
      <c r="G51" s="45"/>
      <c r="H51" s="44"/>
      <c r="I51" s="44"/>
      <c r="J51" s="45"/>
    </row>
    <row r="52" spans="1:10" s="22" customFormat="1" ht="180" x14ac:dyDescent="0.35">
      <c r="A52" s="1" t="s">
        <v>75</v>
      </c>
      <c r="B52" s="1"/>
      <c r="C52" s="21" t="s">
        <v>117</v>
      </c>
      <c r="D52" s="44">
        <v>5</v>
      </c>
      <c r="E52" s="45" t="s">
        <v>122</v>
      </c>
      <c r="F52" s="73" t="s">
        <v>297</v>
      </c>
      <c r="G52" s="45"/>
      <c r="H52" s="44"/>
      <c r="I52" s="44"/>
      <c r="J52" s="45"/>
    </row>
    <row r="53" spans="1:10" s="22" customFormat="1" ht="30" x14ac:dyDescent="0.35">
      <c r="A53" s="1" t="s">
        <v>75</v>
      </c>
      <c r="B53" s="1"/>
      <c r="C53" s="21" t="s">
        <v>117</v>
      </c>
      <c r="D53" s="44">
        <v>6</v>
      </c>
      <c r="E53" s="73" t="s">
        <v>274</v>
      </c>
      <c r="F53" s="45" t="s">
        <v>115</v>
      </c>
      <c r="G53" s="44" t="s">
        <v>123</v>
      </c>
      <c r="H53" s="44"/>
      <c r="I53" s="44"/>
      <c r="J53" s="51"/>
    </row>
    <row r="54" spans="1:10" s="22" customFormat="1" ht="15" customHeight="1" x14ac:dyDescent="0.35">
      <c r="A54" s="37"/>
      <c r="B54" s="37" t="s">
        <v>124</v>
      </c>
      <c r="C54" s="38" t="s">
        <v>125</v>
      </c>
      <c r="D54" s="38"/>
      <c r="E54" s="38"/>
      <c r="F54" s="37"/>
      <c r="G54" s="37"/>
      <c r="H54" s="37"/>
      <c r="I54" s="39"/>
      <c r="J54" s="39"/>
    </row>
    <row r="55" spans="1:10" s="22" customFormat="1" ht="120" x14ac:dyDescent="0.35">
      <c r="A55" s="1" t="s">
        <v>75</v>
      </c>
      <c r="B55" s="1"/>
      <c r="C55" s="21" t="s">
        <v>125</v>
      </c>
      <c r="D55" s="44">
        <v>1</v>
      </c>
      <c r="E55" s="45" t="s">
        <v>103</v>
      </c>
      <c r="F55" s="45" t="s">
        <v>104</v>
      </c>
      <c r="G55" s="45" t="s">
        <v>105</v>
      </c>
      <c r="H55" s="21" t="s">
        <v>106</v>
      </c>
      <c r="I55" s="54" t="s">
        <v>126</v>
      </c>
      <c r="J55" s="45"/>
    </row>
    <row r="56" spans="1:10" s="22" customFormat="1" ht="255" x14ac:dyDescent="0.35">
      <c r="A56" s="1" t="s">
        <v>75</v>
      </c>
      <c r="B56" s="1"/>
      <c r="C56" s="21" t="s">
        <v>125</v>
      </c>
      <c r="D56" s="44">
        <v>2</v>
      </c>
      <c r="E56" s="45" t="s">
        <v>108</v>
      </c>
      <c r="F56" s="105" t="s">
        <v>366</v>
      </c>
      <c r="G56" s="88"/>
      <c r="H56" s="21"/>
      <c r="I56" s="54"/>
      <c r="J56" s="45"/>
    </row>
    <row r="57" spans="1:10" s="22" customFormat="1" ht="270" x14ac:dyDescent="0.35">
      <c r="A57" s="1" t="s">
        <v>75</v>
      </c>
      <c r="B57" s="1"/>
      <c r="C57" s="21" t="s">
        <v>125</v>
      </c>
      <c r="D57" s="44">
        <v>3</v>
      </c>
      <c r="E57" s="45" t="s">
        <v>119</v>
      </c>
      <c r="F57" s="106" t="s">
        <v>363</v>
      </c>
      <c r="G57" s="88" t="s">
        <v>364</v>
      </c>
      <c r="H57" s="44"/>
      <c r="I57" s="21"/>
      <c r="J57" s="43"/>
    </row>
    <row r="58" spans="1:10" s="22" customFormat="1" ht="60" x14ac:dyDescent="0.35">
      <c r="A58" s="1" t="s">
        <v>75</v>
      </c>
      <c r="B58" s="1"/>
      <c r="C58" s="21" t="s">
        <v>125</v>
      </c>
      <c r="D58" s="44">
        <v>4</v>
      </c>
      <c r="E58" s="45" t="s">
        <v>127</v>
      </c>
      <c r="F58" s="73" t="s">
        <v>290</v>
      </c>
      <c r="G58" s="45"/>
      <c r="H58" s="44"/>
      <c r="I58" s="44"/>
      <c r="J58" s="45"/>
    </row>
    <row r="59" spans="1:10" s="22" customFormat="1" ht="30" x14ac:dyDescent="0.35">
      <c r="A59" s="1" t="s">
        <v>75</v>
      </c>
      <c r="B59" s="1"/>
      <c r="C59" s="21" t="s">
        <v>125</v>
      </c>
      <c r="D59" s="44">
        <v>5</v>
      </c>
      <c r="E59" s="73" t="s">
        <v>274</v>
      </c>
      <c r="F59" s="45" t="s">
        <v>115</v>
      </c>
      <c r="G59" s="44" t="s">
        <v>123</v>
      </c>
      <c r="H59" s="44"/>
      <c r="I59" s="44"/>
      <c r="J59" s="45"/>
    </row>
    <row r="60" spans="1:10" s="22" customFormat="1" ht="15" customHeight="1" x14ac:dyDescent="0.35">
      <c r="A60" s="37"/>
      <c r="B60" s="37" t="s">
        <v>128</v>
      </c>
      <c r="C60" s="38" t="s">
        <v>129</v>
      </c>
      <c r="D60" s="38"/>
      <c r="E60" s="38"/>
      <c r="F60" s="37"/>
      <c r="G60" s="37"/>
      <c r="H60" s="37"/>
      <c r="I60" s="39"/>
      <c r="J60" s="39"/>
    </row>
    <row r="61" spans="1:10" s="22" customFormat="1" ht="135" x14ac:dyDescent="0.35">
      <c r="A61" s="1" t="s">
        <v>75</v>
      </c>
      <c r="B61" s="1"/>
      <c r="C61" s="21" t="s">
        <v>129</v>
      </c>
      <c r="D61" s="44">
        <v>1</v>
      </c>
      <c r="E61" s="45" t="s">
        <v>103</v>
      </c>
      <c r="F61" s="45" t="s">
        <v>104</v>
      </c>
      <c r="G61" s="45" t="s">
        <v>105</v>
      </c>
      <c r="H61" s="21" t="s">
        <v>106</v>
      </c>
      <c r="I61" s="21" t="s">
        <v>130</v>
      </c>
      <c r="J61" s="45"/>
    </row>
    <row r="62" spans="1:10" s="22" customFormat="1" ht="255" x14ac:dyDescent="0.35">
      <c r="A62" s="1" t="s">
        <v>75</v>
      </c>
      <c r="B62" s="1"/>
      <c r="C62" s="21" t="s">
        <v>129</v>
      </c>
      <c r="D62" s="44">
        <v>2</v>
      </c>
      <c r="E62" s="45" t="s">
        <v>108</v>
      </c>
      <c r="F62" s="105" t="s">
        <v>366</v>
      </c>
      <c r="H62" s="21"/>
      <c r="I62" s="21"/>
      <c r="J62" s="45"/>
    </row>
    <row r="63" spans="1:10" s="22" customFormat="1" ht="270" x14ac:dyDescent="0.35">
      <c r="A63" s="1" t="s">
        <v>75</v>
      </c>
      <c r="B63" s="1"/>
      <c r="C63" s="21" t="s">
        <v>129</v>
      </c>
      <c r="D63" s="44">
        <v>3</v>
      </c>
      <c r="E63" s="45" t="s">
        <v>119</v>
      </c>
      <c r="F63" s="106" t="s">
        <v>363</v>
      </c>
      <c r="G63" s="88" t="s">
        <v>364</v>
      </c>
      <c r="H63" s="44"/>
      <c r="I63" s="21"/>
      <c r="J63" s="45"/>
    </row>
    <row r="64" spans="1:10" s="22" customFormat="1" ht="90" x14ac:dyDescent="0.35">
      <c r="A64" s="1" t="s">
        <v>75</v>
      </c>
      <c r="B64" s="1"/>
      <c r="C64" s="21" t="s">
        <v>129</v>
      </c>
      <c r="D64" s="44">
        <v>4</v>
      </c>
      <c r="E64" s="45" t="s">
        <v>131</v>
      </c>
      <c r="F64" s="73" t="s">
        <v>291</v>
      </c>
      <c r="H64" s="44"/>
      <c r="I64" s="44"/>
      <c r="J64" s="45"/>
    </row>
    <row r="65" spans="1:10" s="22" customFormat="1" ht="30" x14ac:dyDescent="0.35">
      <c r="A65" s="1" t="s">
        <v>75</v>
      </c>
      <c r="B65" s="1"/>
      <c r="C65" s="21" t="s">
        <v>129</v>
      </c>
      <c r="D65" s="44">
        <v>5</v>
      </c>
      <c r="E65" s="73" t="s">
        <v>274</v>
      </c>
      <c r="F65" s="45" t="s">
        <v>115</v>
      </c>
      <c r="G65" s="44" t="s">
        <v>123</v>
      </c>
      <c r="H65" s="44"/>
      <c r="I65" s="44"/>
      <c r="J65" s="45"/>
    </row>
    <row r="66" spans="1:10" s="22" customFormat="1" ht="15" customHeight="1" x14ac:dyDescent="0.35">
      <c r="A66" s="37"/>
      <c r="B66" s="37" t="s">
        <v>132</v>
      </c>
      <c r="C66" s="38" t="s">
        <v>133</v>
      </c>
      <c r="D66" s="38"/>
      <c r="E66" s="38"/>
      <c r="F66" s="37"/>
      <c r="G66" s="37"/>
      <c r="H66" s="37"/>
      <c r="I66" s="39"/>
      <c r="J66" s="39"/>
    </row>
    <row r="67" spans="1:10" s="22" customFormat="1" ht="135" x14ac:dyDescent="0.35">
      <c r="A67" s="1" t="s">
        <v>75</v>
      </c>
      <c r="B67" s="1"/>
      <c r="C67" s="21" t="s">
        <v>133</v>
      </c>
      <c r="D67" s="44">
        <v>1</v>
      </c>
      <c r="E67" s="45" t="s">
        <v>103</v>
      </c>
      <c r="F67" s="45" t="s">
        <v>104</v>
      </c>
      <c r="G67" s="45" t="s">
        <v>105</v>
      </c>
      <c r="H67" s="21" t="s">
        <v>106</v>
      </c>
      <c r="I67" s="21" t="s">
        <v>134</v>
      </c>
      <c r="J67" s="45"/>
    </row>
    <row r="68" spans="1:10" s="22" customFormat="1" ht="255" x14ac:dyDescent="0.35">
      <c r="A68" s="1" t="s">
        <v>75</v>
      </c>
      <c r="B68" s="1"/>
      <c r="C68" s="21" t="s">
        <v>133</v>
      </c>
      <c r="D68" s="44">
        <v>2</v>
      </c>
      <c r="E68" s="45" t="s">
        <v>108</v>
      </c>
      <c r="F68" s="105" t="s">
        <v>366</v>
      </c>
      <c r="G68" s="88"/>
      <c r="H68" s="21"/>
      <c r="I68" s="21"/>
      <c r="J68" s="45"/>
    </row>
    <row r="69" spans="1:10" s="22" customFormat="1" ht="270" x14ac:dyDescent="0.35">
      <c r="A69" s="1" t="s">
        <v>75</v>
      </c>
      <c r="B69" s="1"/>
      <c r="C69" s="21" t="s">
        <v>133</v>
      </c>
      <c r="D69" s="44">
        <v>3</v>
      </c>
      <c r="E69" s="45" t="s">
        <v>119</v>
      </c>
      <c r="F69" s="106" t="s">
        <v>363</v>
      </c>
      <c r="G69" s="88" t="s">
        <v>365</v>
      </c>
      <c r="H69" s="44"/>
      <c r="I69" s="21"/>
      <c r="J69" s="45"/>
    </row>
    <row r="70" spans="1:10" s="22" customFormat="1" ht="150" x14ac:dyDescent="0.35">
      <c r="A70" s="1" t="s">
        <v>75</v>
      </c>
      <c r="B70" s="1"/>
      <c r="C70" s="21" t="s">
        <v>133</v>
      </c>
      <c r="D70" s="44">
        <v>4</v>
      </c>
      <c r="E70" s="45" t="s">
        <v>135</v>
      </c>
      <c r="F70" s="73" t="s">
        <v>307</v>
      </c>
      <c r="H70" s="44"/>
      <c r="I70" s="44"/>
      <c r="J70" s="45"/>
    </row>
    <row r="71" spans="1:10" s="22" customFormat="1" ht="30" x14ac:dyDescent="0.35">
      <c r="A71" s="1" t="s">
        <v>75</v>
      </c>
      <c r="B71" s="1"/>
      <c r="C71" s="21" t="s">
        <v>133</v>
      </c>
      <c r="D71" s="44">
        <v>5</v>
      </c>
      <c r="E71" s="73" t="s">
        <v>274</v>
      </c>
      <c r="F71" s="45" t="s">
        <v>115</v>
      </c>
      <c r="G71" s="44" t="s">
        <v>123</v>
      </c>
      <c r="H71" s="44"/>
      <c r="I71" s="44"/>
      <c r="J71" s="45"/>
    </row>
    <row r="72" spans="1:10" s="22" customFormat="1" ht="15" customHeight="1" x14ac:dyDescent="0.35">
      <c r="A72" s="37"/>
      <c r="B72" s="37" t="s">
        <v>136</v>
      </c>
      <c r="C72" s="38" t="s">
        <v>137</v>
      </c>
      <c r="D72" s="38"/>
      <c r="E72" s="38"/>
      <c r="F72" s="37"/>
      <c r="G72" s="37"/>
      <c r="H72" s="37"/>
      <c r="I72" s="39"/>
      <c r="J72" s="39"/>
    </row>
    <row r="73" spans="1:10" s="22" customFormat="1" ht="120" x14ac:dyDescent="0.35">
      <c r="A73" s="1" t="s">
        <v>75</v>
      </c>
      <c r="B73" s="1"/>
      <c r="C73" s="21" t="s">
        <v>137</v>
      </c>
      <c r="D73" s="44">
        <v>1</v>
      </c>
      <c r="E73" s="45" t="s">
        <v>103</v>
      </c>
      <c r="F73" s="45" t="s">
        <v>104</v>
      </c>
      <c r="G73" s="45" t="s">
        <v>105</v>
      </c>
      <c r="H73" s="21" t="s">
        <v>106</v>
      </c>
      <c r="I73" s="21" t="s">
        <v>118</v>
      </c>
      <c r="J73" s="45"/>
    </row>
    <row r="74" spans="1:10" s="22" customFormat="1" ht="255" x14ac:dyDescent="0.35">
      <c r="A74" s="1" t="s">
        <v>75</v>
      </c>
      <c r="B74" s="1"/>
      <c r="C74" s="21" t="s">
        <v>137</v>
      </c>
      <c r="D74" s="44">
        <v>2</v>
      </c>
      <c r="E74" s="45" t="s">
        <v>108</v>
      </c>
      <c r="F74" s="105" t="s">
        <v>366</v>
      </c>
      <c r="G74" s="88"/>
      <c r="H74" s="21"/>
      <c r="I74" s="21"/>
      <c r="J74" s="45"/>
    </row>
    <row r="75" spans="1:10" s="22" customFormat="1" ht="270" x14ac:dyDescent="0.35">
      <c r="A75" s="1" t="s">
        <v>75</v>
      </c>
      <c r="B75" s="1"/>
      <c r="C75" s="21" t="s">
        <v>137</v>
      </c>
      <c r="D75" s="44">
        <v>3</v>
      </c>
      <c r="E75" s="45" t="s">
        <v>119</v>
      </c>
      <c r="F75" s="106" t="s">
        <v>363</v>
      </c>
      <c r="G75" s="88" t="s">
        <v>364</v>
      </c>
      <c r="H75" s="44"/>
      <c r="I75" s="21"/>
      <c r="J75" s="45"/>
    </row>
    <row r="76" spans="1:10" s="22" customFormat="1" ht="142.5" customHeight="1" x14ac:dyDescent="0.35">
      <c r="A76" s="1" t="s">
        <v>75</v>
      </c>
      <c r="B76" s="1"/>
      <c r="C76" s="21" t="s">
        <v>137</v>
      </c>
      <c r="D76" s="44">
        <v>4</v>
      </c>
      <c r="E76" s="45" t="s">
        <v>120</v>
      </c>
      <c r="F76" s="45" t="s">
        <v>121</v>
      </c>
      <c r="G76" s="45"/>
      <c r="H76" s="44"/>
      <c r="I76" s="44"/>
      <c r="J76" s="45"/>
    </row>
    <row r="77" spans="1:10" s="22" customFormat="1" ht="225.75" customHeight="1" x14ac:dyDescent="0.35">
      <c r="A77" s="1" t="s">
        <v>75</v>
      </c>
      <c r="B77" s="1"/>
      <c r="C77" s="21" t="s">
        <v>137</v>
      </c>
      <c r="D77" s="44">
        <v>5</v>
      </c>
      <c r="E77" s="45" t="s">
        <v>122</v>
      </c>
      <c r="F77" s="73" t="s">
        <v>297</v>
      </c>
      <c r="G77" s="45"/>
      <c r="H77" s="44"/>
      <c r="I77" s="44"/>
      <c r="J77" s="45"/>
    </row>
    <row r="78" spans="1:10" s="22" customFormat="1" ht="337.5" customHeight="1" x14ac:dyDescent="0.35">
      <c r="A78" s="1" t="s">
        <v>75</v>
      </c>
      <c r="B78" s="1"/>
      <c r="C78" s="21" t="s">
        <v>137</v>
      </c>
      <c r="D78" s="44">
        <v>6</v>
      </c>
      <c r="E78" s="45" t="s">
        <v>349</v>
      </c>
      <c r="F78" s="79" t="s">
        <v>299</v>
      </c>
      <c r="G78" s="90"/>
      <c r="H78" s="44"/>
      <c r="I78" s="44"/>
      <c r="J78" s="45"/>
    </row>
    <row r="79" spans="1:10" s="22" customFormat="1" ht="409.5" customHeight="1" x14ac:dyDescent="0.35">
      <c r="A79" s="1" t="s">
        <v>75</v>
      </c>
      <c r="B79" s="1"/>
      <c r="C79" s="21" t="s">
        <v>137</v>
      </c>
      <c r="D79" s="44">
        <v>7</v>
      </c>
      <c r="E79" s="45" t="s">
        <v>138</v>
      </c>
      <c r="F79" s="97" t="s">
        <v>324</v>
      </c>
      <c r="G79" s="45"/>
      <c r="H79" s="44"/>
      <c r="I79" s="44"/>
      <c r="J79" s="45"/>
    </row>
    <row r="80" spans="1:10" s="22" customFormat="1" ht="69" customHeight="1" x14ac:dyDescent="0.35">
      <c r="A80" s="1" t="s">
        <v>75</v>
      </c>
      <c r="B80" s="1"/>
      <c r="C80" s="21" t="s">
        <v>137</v>
      </c>
      <c r="D80" s="44">
        <v>8</v>
      </c>
      <c r="E80" s="73" t="s">
        <v>274</v>
      </c>
      <c r="F80" s="45" t="s">
        <v>115</v>
      </c>
      <c r="G80" s="44" t="s">
        <v>123</v>
      </c>
      <c r="H80" s="44"/>
      <c r="I80" s="44"/>
      <c r="J80" s="45"/>
    </row>
    <row r="81" spans="1:10" s="22" customFormat="1" ht="37" customHeight="1" x14ac:dyDescent="0.35">
      <c r="A81" s="37"/>
      <c r="B81" s="37" t="s">
        <v>139</v>
      </c>
      <c r="C81" s="38" t="s">
        <v>140</v>
      </c>
      <c r="D81" s="38"/>
      <c r="E81" s="38"/>
      <c r="F81" s="37"/>
      <c r="G81" s="37"/>
      <c r="H81" s="37"/>
      <c r="I81" s="39"/>
      <c r="J81" s="39"/>
    </row>
    <row r="82" spans="1:10" s="22" customFormat="1" ht="120" x14ac:dyDescent="0.35">
      <c r="A82" s="1" t="s">
        <v>75</v>
      </c>
      <c r="B82" s="1"/>
      <c r="C82" s="21" t="s">
        <v>140</v>
      </c>
      <c r="D82" s="44">
        <v>1</v>
      </c>
      <c r="E82" s="45" t="s">
        <v>103</v>
      </c>
      <c r="F82" s="45" t="s">
        <v>104</v>
      </c>
      <c r="G82" s="45" t="s">
        <v>105</v>
      </c>
      <c r="H82" s="21" t="s">
        <v>106</v>
      </c>
      <c r="I82" s="21" t="s">
        <v>118</v>
      </c>
      <c r="J82" s="45"/>
    </row>
    <row r="83" spans="1:10" s="22" customFormat="1" ht="93.75" customHeight="1" x14ac:dyDescent="0.35">
      <c r="A83" s="1" t="s">
        <v>75</v>
      </c>
      <c r="B83" s="1"/>
      <c r="C83" s="21" t="s">
        <v>140</v>
      </c>
      <c r="D83" s="44">
        <v>2</v>
      </c>
      <c r="E83" s="45" t="s">
        <v>108</v>
      </c>
      <c r="F83" s="105" t="s">
        <v>366</v>
      </c>
      <c r="G83" s="88"/>
      <c r="H83" s="21"/>
      <c r="I83" s="21"/>
      <c r="J83" s="45"/>
    </row>
    <row r="84" spans="1:10" s="22" customFormat="1" ht="93.75" customHeight="1" x14ac:dyDescent="0.35">
      <c r="A84" s="1" t="s">
        <v>75</v>
      </c>
      <c r="B84" s="1"/>
      <c r="C84" s="21" t="s">
        <v>140</v>
      </c>
      <c r="D84" s="44">
        <v>3</v>
      </c>
      <c r="E84" s="45" t="s">
        <v>119</v>
      </c>
      <c r="F84" s="106" t="s">
        <v>363</v>
      </c>
      <c r="G84" s="88" t="s">
        <v>364</v>
      </c>
      <c r="H84" s="44"/>
      <c r="I84" s="21"/>
      <c r="J84" s="45"/>
    </row>
    <row r="85" spans="1:10" s="22" customFormat="1" ht="93.75" customHeight="1" x14ac:dyDescent="0.35">
      <c r="A85" s="1" t="s">
        <v>75</v>
      </c>
      <c r="B85" s="1"/>
      <c r="C85" s="21" t="s">
        <v>140</v>
      </c>
      <c r="D85" s="44">
        <v>4</v>
      </c>
      <c r="E85" s="45" t="s">
        <v>120</v>
      </c>
      <c r="F85" s="45" t="s">
        <v>121</v>
      </c>
      <c r="G85" s="45"/>
      <c r="H85" s="44"/>
      <c r="I85" s="44"/>
      <c r="J85" s="45"/>
    </row>
    <row r="86" spans="1:10" s="22" customFormat="1" ht="93.75" customHeight="1" x14ac:dyDescent="0.35">
      <c r="A86" s="1" t="s">
        <v>75</v>
      </c>
      <c r="B86" s="1"/>
      <c r="C86" s="21" t="s">
        <v>140</v>
      </c>
      <c r="D86" s="44">
        <v>5</v>
      </c>
      <c r="E86" s="45" t="s">
        <v>122</v>
      </c>
      <c r="F86" s="45" t="s">
        <v>297</v>
      </c>
      <c r="G86" s="45"/>
      <c r="H86" s="44"/>
      <c r="I86" s="44"/>
      <c r="J86" s="45"/>
    </row>
    <row r="87" spans="1:10" s="22" customFormat="1" ht="315" x14ac:dyDescent="0.35">
      <c r="A87" s="1" t="s">
        <v>75</v>
      </c>
      <c r="B87" s="1"/>
      <c r="C87" s="21" t="s">
        <v>140</v>
      </c>
      <c r="D87" s="44">
        <v>6</v>
      </c>
      <c r="E87" s="45" t="s">
        <v>349</v>
      </c>
      <c r="F87" s="79" t="s">
        <v>299</v>
      </c>
      <c r="G87" s="45"/>
      <c r="H87" s="44"/>
      <c r="I87" s="44"/>
      <c r="J87" s="45"/>
    </row>
    <row r="88" spans="1:10" s="22" customFormat="1" ht="409.5" customHeight="1" x14ac:dyDescent="0.35">
      <c r="A88" s="1" t="s">
        <v>75</v>
      </c>
      <c r="B88" s="1"/>
      <c r="C88" s="21" t="s">
        <v>140</v>
      </c>
      <c r="D88" s="44">
        <v>7</v>
      </c>
      <c r="E88" s="45" t="s">
        <v>141</v>
      </c>
      <c r="F88" s="97" t="s">
        <v>325</v>
      </c>
      <c r="G88" s="45"/>
      <c r="H88" s="44"/>
      <c r="I88" s="44"/>
      <c r="J88" s="45"/>
    </row>
    <row r="89" spans="1:10" s="22" customFormat="1" ht="93.75" customHeight="1" x14ac:dyDescent="0.35">
      <c r="A89" s="1" t="s">
        <v>75</v>
      </c>
      <c r="B89" s="1"/>
      <c r="C89" s="21" t="s">
        <v>140</v>
      </c>
      <c r="D89" s="44">
        <v>8</v>
      </c>
      <c r="E89" s="73" t="s">
        <v>274</v>
      </c>
      <c r="F89" s="45" t="s">
        <v>115</v>
      </c>
      <c r="G89" s="44" t="s">
        <v>123</v>
      </c>
      <c r="H89" s="44"/>
      <c r="I89" s="44"/>
      <c r="J89" s="45"/>
    </row>
    <row r="90" spans="1:10" s="22" customFormat="1" ht="15" x14ac:dyDescent="0.35">
      <c r="A90" s="37"/>
      <c r="B90" s="37" t="s">
        <v>142</v>
      </c>
      <c r="C90" s="47" t="s">
        <v>143</v>
      </c>
      <c r="D90" s="38"/>
      <c r="E90" s="38"/>
      <c r="F90" s="37"/>
      <c r="G90" s="37"/>
      <c r="H90" s="37"/>
      <c r="I90" s="39"/>
      <c r="J90" s="39"/>
    </row>
    <row r="91" spans="1:10" s="22" customFormat="1" ht="135" x14ac:dyDescent="0.35">
      <c r="A91" s="1" t="s">
        <v>75</v>
      </c>
      <c r="B91" s="1"/>
      <c r="C91" s="21" t="s">
        <v>143</v>
      </c>
      <c r="D91" s="44">
        <v>1</v>
      </c>
      <c r="E91" s="45" t="s">
        <v>103</v>
      </c>
      <c r="F91" s="45" t="s">
        <v>104</v>
      </c>
      <c r="G91" s="45" t="s">
        <v>105</v>
      </c>
      <c r="H91" s="21" t="s">
        <v>106</v>
      </c>
      <c r="I91" s="21" t="s">
        <v>144</v>
      </c>
      <c r="J91" s="45"/>
    </row>
    <row r="92" spans="1:10" s="22" customFormat="1" ht="255" x14ac:dyDescent="0.35">
      <c r="A92" s="1" t="s">
        <v>75</v>
      </c>
      <c r="B92" s="1"/>
      <c r="C92" s="21" t="s">
        <v>143</v>
      </c>
      <c r="D92" s="44">
        <v>2</v>
      </c>
      <c r="E92" s="45" t="s">
        <v>108</v>
      </c>
      <c r="F92" s="105" t="s">
        <v>366</v>
      </c>
      <c r="G92" s="88"/>
      <c r="H92" s="21"/>
      <c r="I92" s="21"/>
      <c r="J92" s="45"/>
    </row>
    <row r="93" spans="1:10" s="22" customFormat="1" ht="285" x14ac:dyDescent="0.35">
      <c r="A93" s="1" t="s">
        <v>75</v>
      </c>
      <c r="B93" s="1"/>
      <c r="C93" s="21" t="s">
        <v>143</v>
      </c>
      <c r="D93" s="44">
        <v>3</v>
      </c>
      <c r="E93" s="45" t="s">
        <v>119</v>
      </c>
      <c r="F93" s="106" t="s">
        <v>358</v>
      </c>
      <c r="G93" s="88" t="s">
        <v>357</v>
      </c>
      <c r="H93" s="44"/>
      <c r="I93" s="21"/>
      <c r="J93" s="45"/>
    </row>
    <row r="94" spans="1:10" s="22" customFormat="1" ht="225" x14ac:dyDescent="0.35">
      <c r="A94" s="1" t="s">
        <v>75</v>
      </c>
      <c r="B94" s="1"/>
      <c r="C94" s="21" t="s">
        <v>143</v>
      </c>
      <c r="D94" s="44">
        <v>4</v>
      </c>
      <c r="E94" s="45" t="s">
        <v>359</v>
      </c>
      <c r="F94" s="73" t="s">
        <v>300</v>
      </c>
      <c r="G94" s="45" t="s">
        <v>145</v>
      </c>
      <c r="H94" s="44"/>
      <c r="I94" s="21"/>
      <c r="J94" s="45"/>
    </row>
    <row r="95" spans="1:10" s="22" customFormat="1" ht="30" x14ac:dyDescent="0.35">
      <c r="A95" s="1" t="s">
        <v>75</v>
      </c>
      <c r="B95" s="1"/>
      <c r="C95" s="21" t="s">
        <v>143</v>
      </c>
      <c r="D95" s="44">
        <v>5</v>
      </c>
      <c r="E95" s="73" t="s">
        <v>274</v>
      </c>
      <c r="F95" s="45" t="s">
        <v>115</v>
      </c>
      <c r="G95" s="44" t="s">
        <v>123</v>
      </c>
      <c r="H95" s="44"/>
      <c r="I95" s="21"/>
      <c r="J95" s="45"/>
    </row>
    <row r="96" spans="1:10" s="22" customFormat="1" ht="15" customHeight="1" x14ac:dyDescent="0.35">
      <c r="A96" s="37"/>
      <c r="B96" s="37" t="s">
        <v>146</v>
      </c>
      <c r="C96" s="47" t="s">
        <v>147</v>
      </c>
      <c r="D96" s="38"/>
      <c r="E96" s="38"/>
      <c r="F96" s="37"/>
      <c r="G96" s="37"/>
      <c r="H96" s="37"/>
      <c r="I96" s="39"/>
      <c r="J96" s="39"/>
    </row>
    <row r="97" spans="1:10" s="22" customFormat="1" ht="105" x14ac:dyDescent="0.35">
      <c r="A97" s="1" t="s">
        <v>75</v>
      </c>
      <c r="B97" s="1"/>
      <c r="C97" s="21" t="s">
        <v>147</v>
      </c>
      <c r="D97" s="44">
        <v>1</v>
      </c>
      <c r="E97" s="45" t="s">
        <v>103</v>
      </c>
      <c r="F97" s="45" t="s">
        <v>104</v>
      </c>
      <c r="G97" s="45" t="s">
        <v>105</v>
      </c>
      <c r="H97" s="21" t="s">
        <v>106</v>
      </c>
      <c r="I97" s="21" t="s">
        <v>148</v>
      </c>
      <c r="J97" s="45"/>
    </row>
    <row r="98" spans="1:10" s="22" customFormat="1" ht="255" x14ac:dyDescent="0.35">
      <c r="A98" s="1" t="s">
        <v>75</v>
      </c>
      <c r="B98" s="1"/>
      <c r="C98" s="21" t="s">
        <v>147</v>
      </c>
      <c r="D98" s="44">
        <v>2</v>
      </c>
      <c r="E98" s="45" t="s">
        <v>108</v>
      </c>
      <c r="F98" s="105" t="s">
        <v>366</v>
      </c>
      <c r="G98" s="88"/>
      <c r="H98" s="21"/>
      <c r="I98" s="21"/>
      <c r="J98" s="45"/>
    </row>
    <row r="99" spans="1:10" s="22" customFormat="1" ht="285" x14ac:dyDescent="0.35">
      <c r="A99" s="1" t="s">
        <v>75</v>
      </c>
      <c r="B99" s="1"/>
      <c r="C99" s="21" t="s">
        <v>147</v>
      </c>
      <c r="D99" s="44">
        <v>3</v>
      </c>
      <c r="E99" s="45" t="s">
        <v>119</v>
      </c>
      <c r="F99" s="106" t="s">
        <v>358</v>
      </c>
      <c r="G99" s="88" t="s">
        <v>357</v>
      </c>
      <c r="H99" s="44"/>
      <c r="I99" s="21"/>
      <c r="J99" s="45"/>
    </row>
    <row r="100" spans="1:10" s="22" customFormat="1" ht="360" x14ac:dyDescent="0.35">
      <c r="A100" s="1" t="s">
        <v>75</v>
      </c>
      <c r="B100" s="1"/>
      <c r="C100" s="21" t="s">
        <v>147</v>
      </c>
      <c r="D100" s="44">
        <v>4</v>
      </c>
      <c r="E100" s="45" t="s">
        <v>370</v>
      </c>
      <c r="F100" s="45" t="s">
        <v>149</v>
      </c>
      <c r="G100" s="45" t="s">
        <v>150</v>
      </c>
      <c r="H100" s="45"/>
      <c r="I100" s="21"/>
      <c r="J100" s="45"/>
    </row>
    <row r="101" spans="1:10" s="22" customFormat="1" ht="30" x14ac:dyDescent="0.35">
      <c r="A101" s="1" t="s">
        <v>75</v>
      </c>
      <c r="B101" s="1"/>
      <c r="C101" s="21" t="s">
        <v>147</v>
      </c>
      <c r="D101" s="44">
        <v>5</v>
      </c>
      <c r="E101" s="73" t="s">
        <v>274</v>
      </c>
      <c r="F101" s="45" t="s">
        <v>115</v>
      </c>
      <c r="G101" s="44" t="s">
        <v>123</v>
      </c>
      <c r="H101" s="44"/>
      <c r="I101" s="21"/>
      <c r="J101" s="45"/>
    </row>
    <row r="102" spans="1:10" s="79" customFormat="1" ht="15" customHeight="1" x14ac:dyDescent="0.35">
      <c r="A102" s="75"/>
      <c r="B102" s="75" t="s">
        <v>151</v>
      </c>
      <c r="C102" s="76" t="s">
        <v>153</v>
      </c>
      <c r="D102" s="77"/>
      <c r="E102" s="77"/>
      <c r="F102" s="75"/>
      <c r="G102" s="75"/>
      <c r="H102" s="75"/>
      <c r="I102" s="78"/>
      <c r="J102" s="78"/>
    </row>
    <row r="103" spans="1:10" s="79" customFormat="1" ht="150" x14ac:dyDescent="0.35">
      <c r="A103" s="71" t="s">
        <v>75</v>
      </c>
      <c r="B103" s="71"/>
      <c r="C103" s="72" t="s">
        <v>153</v>
      </c>
      <c r="D103" s="80">
        <v>1</v>
      </c>
      <c r="E103" s="73" t="s">
        <v>103</v>
      </c>
      <c r="F103" s="73" t="s">
        <v>104</v>
      </c>
      <c r="G103" s="73" t="s">
        <v>105</v>
      </c>
      <c r="H103" s="72" t="s">
        <v>106</v>
      </c>
      <c r="I103" s="72" t="s">
        <v>275</v>
      </c>
      <c r="J103" s="73"/>
    </row>
    <row r="104" spans="1:10" s="79" customFormat="1" ht="255" x14ac:dyDescent="0.35">
      <c r="A104" s="71" t="s">
        <v>75</v>
      </c>
      <c r="B104" s="71"/>
      <c r="C104" s="72" t="s">
        <v>153</v>
      </c>
      <c r="D104" s="80">
        <v>2</v>
      </c>
      <c r="E104" s="45" t="s">
        <v>108</v>
      </c>
      <c r="F104" s="105" t="s">
        <v>366</v>
      </c>
      <c r="G104" s="88"/>
      <c r="H104" s="72"/>
      <c r="I104" s="72"/>
      <c r="J104" s="73"/>
    </row>
    <row r="105" spans="1:10" s="79" customFormat="1" ht="285" x14ac:dyDescent="0.35">
      <c r="A105" s="71" t="s">
        <v>75</v>
      </c>
      <c r="B105" s="71"/>
      <c r="C105" s="72" t="s">
        <v>153</v>
      </c>
      <c r="D105" s="80">
        <v>3</v>
      </c>
      <c r="E105" s="73" t="s">
        <v>119</v>
      </c>
      <c r="F105" s="106" t="s">
        <v>358</v>
      </c>
      <c r="G105" s="88" t="s">
        <v>357</v>
      </c>
      <c r="H105" s="80"/>
      <c r="I105" s="72"/>
      <c r="J105" s="73"/>
    </row>
    <row r="106" spans="1:10" s="79" customFormat="1" ht="225" x14ac:dyDescent="0.35">
      <c r="A106" s="71" t="s">
        <v>75</v>
      </c>
      <c r="B106" s="71"/>
      <c r="C106" s="72" t="s">
        <v>153</v>
      </c>
      <c r="D106" s="80">
        <v>4</v>
      </c>
      <c r="E106" s="45" t="s">
        <v>359</v>
      </c>
      <c r="F106" s="73" t="s">
        <v>300</v>
      </c>
      <c r="G106" s="73" t="s">
        <v>296</v>
      </c>
      <c r="H106" s="80"/>
      <c r="I106" s="72"/>
      <c r="J106" s="73"/>
    </row>
    <row r="107" spans="1:10" s="79" customFormat="1" ht="409.5" customHeight="1" x14ac:dyDescent="0.35">
      <c r="A107" s="71" t="s">
        <v>75</v>
      </c>
      <c r="B107" s="71"/>
      <c r="C107" s="72" t="s">
        <v>153</v>
      </c>
      <c r="D107" s="80">
        <v>5</v>
      </c>
      <c r="E107" s="45" t="s">
        <v>350</v>
      </c>
      <c r="F107" s="79" t="s">
        <v>299</v>
      </c>
      <c r="G107" s="73" t="s">
        <v>154</v>
      </c>
      <c r="H107" s="80"/>
      <c r="I107" s="72"/>
      <c r="J107" s="73"/>
    </row>
    <row r="108" spans="1:10" s="79" customFormat="1" ht="188.5" x14ac:dyDescent="0.35">
      <c r="A108" s="71" t="s">
        <v>75</v>
      </c>
      <c r="B108" s="71"/>
      <c r="C108" s="72" t="s">
        <v>153</v>
      </c>
      <c r="D108" s="80">
        <v>6</v>
      </c>
      <c r="E108" s="73" t="s">
        <v>276</v>
      </c>
      <c r="F108" s="98" t="s">
        <v>326</v>
      </c>
      <c r="G108" s="73"/>
      <c r="H108" s="80"/>
      <c r="I108" s="72"/>
      <c r="J108" s="73"/>
    </row>
    <row r="109" spans="1:10" s="79" customFormat="1" ht="30" x14ac:dyDescent="0.35">
      <c r="A109" s="71" t="s">
        <v>75</v>
      </c>
      <c r="B109" s="71"/>
      <c r="C109" s="72" t="s">
        <v>153</v>
      </c>
      <c r="D109" s="80">
        <v>7</v>
      </c>
      <c r="E109" s="73" t="s">
        <v>274</v>
      </c>
      <c r="F109" s="73" t="s">
        <v>115</v>
      </c>
      <c r="G109" s="80" t="s">
        <v>123</v>
      </c>
      <c r="H109" s="80"/>
      <c r="I109" s="72"/>
      <c r="J109" s="73"/>
    </row>
    <row r="110" spans="1:10" s="79" customFormat="1" ht="15" customHeight="1" x14ac:dyDescent="0.35">
      <c r="A110" s="75"/>
      <c r="B110" s="75" t="s">
        <v>152</v>
      </c>
      <c r="C110" s="76" t="s">
        <v>156</v>
      </c>
      <c r="D110" s="77"/>
      <c r="E110" s="77"/>
      <c r="F110" s="75"/>
      <c r="G110" s="75"/>
      <c r="H110" s="75"/>
      <c r="I110" s="78"/>
      <c r="J110" s="78"/>
    </row>
    <row r="111" spans="1:10" s="79" customFormat="1" ht="150" x14ac:dyDescent="0.35">
      <c r="A111" s="71" t="s">
        <v>75</v>
      </c>
      <c r="B111" s="71"/>
      <c r="C111" s="72" t="s">
        <v>156</v>
      </c>
      <c r="D111" s="80">
        <v>1</v>
      </c>
      <c r="E111" s="73" t="s">
        <v>103</v>
      </c>
      <c r="F111" s="73" t="s">
        <v>104</v>
      </c>
      <c r="G111" s="73" t="s">
        <v>105</v>
      </c>
      <c r="H111" s="72" t="s">
        <v>106</v>
      </c>
      <c r="I111" s="72" t="s">
        <v>275</v>
      </c>
      <c r="J111" s="73"/>
    </row>
    <row r="112" spans="1:10" s="79" customFormat="1" ht="255" x14ac:dyDescent="0.35">
      <c r="A112" s="71" t="s">
        <v>75</v>
      </c>
      <c r="B112" s="71"/>
      <c r="C112" s="72" t="s">
        <v>156</v>
      </c>
      <c r="D112" s="80">
        <v>2</v>
      </c>
      <c r="E112" s="73" t="s">
        <v>108</v>
      </c>
      <c r="F112" s="105" t="s">
        <v>366</v>
      </c>
      <c r="G112" s="88"/>
      <c r="H112" s="72"/>
      <c r="I112" s="72"/>
      <c r="J112" s="73"/>
    </row>
    <row r="113" spans="1:10" s="79" customFormat="1" ht="285" x14ac:dyDescent="0.35">
      <c r="A113" s="71" t="s">
        <v>75</v>
      </c>
      <c r="B113" s="71"/>
      <c r="C113" s="72" t="s">
        <v>156</v>
      </c>
      <c r="D113" s="80">
        <v>3</v>
      </c>
      <c r="E113" s="73" t="s">
        <v>119</v>
      </c>
      <c r="F113" s="106" t="s">
        <v>358</v>
      </c>
      <c r="G113" s="88" t="s">
        <v>357</v>
      </c>
      <c r="H113" s="80"/>
      <c r="I113" s="72"/>
      <c r="J113" s="73"/>
    </row>
    <row r="114" spans="1:10" s="79" customFormat="1" ht="225" x14ac:dyDescent="0.35">
      <c r="A114" s="71" t="s">
        <v>75</v>
      </c>
      <c r="B114" s="71"/>
      <c r="C114" s="72" t="s">
        <v>156</v>
      </c>
      <c r="D114" s="80">
        <v>4</v>
      </c>
      <c r="E114" s="45" t="s">
        <v>359</v>
      </c>
      <c r="F114" s="73" t="s">
        <v>300</v>
      </c>
      <c r="G114" s="73" t="s">
        <v>157</v>
      </c>
      <c r="H114" s="80"/>
      <c r="I114" s="72"/>
      <c r="J114" s="73"/>
    </row>
    <row r="115" spans="1:10" s="79" customFormat="1" ht="315" x14ac:dyDescent="0.35">
      <c r="A115" s="71" t="s">
        <v>75</v>
      </c>
      <c r="B115" s="71"/>
      <c r="C115" s="72" t="s">
        <v>156</v>
      </c>
      <c r="D115" s="80">
        <v>5</v>
      </c>
      <c r="E115" s="45" t="s">
        <v>350</v>
      </c>
      <c r="F115" s="79" t="s">
        <v>299</v>
      </c>
      <c r="G115" s="73" t="s">
        <v>154</v>
      </c>
      <c r="H115" s="80"/>
      <c r="I115" s="72"/>
      <c r="J115" s="73"/>
    </row>
    <row r="116" spans="1:10" s="79" customFormat="1" ht="188.5" x14ac:dyDescent="0.35">
      <c r="A116" s="71" t="s">
        <v>75</v>
      </c>
      <c r="B116" s="71"/>
      <c r="C116" s="72" t="s">
        <v>156</v>
      </c>
      <c r="D116" s="80">
        <v>6</v>
      </c>
      <c r="E116" s="73" t="s">
        <v>141</v>
      </c>
      <c r="F116" s="98" t="s">
        <v>327</v>
      </c>
      <c r="G116" s="73"/>
      <c r="H116" s="80"/>
      <c r="I116" s="72"/>
      <c r="J116" s="73"/>
    </row>
    <row r="117" spans="1:10" s="79" customFormat="1" ht="30" x14ac:dyDescent="0.35">
      <c r="A117" s="71" t="s">
        <v>75</v>
      </c>
      <c r="B117" s="71"/>
      <c r="C117" s="72" t="s">
        <v>156</v>
      </c>
      <c r="D117" s="80">
        <v>7</v>
      </c>
      <c r="E117" s="73" t="s">
        <v>274</v>
      </c>
      <c r="F117" s="73" t="s">
        <v>115</v>
      </c>
      <c r="G117" s="80" t="s">
        <v>123</v>
      </c>
      <c r="H117" s="80"/>
      <c r="I117" s="72"/>
      <c r="J117" s="73"/>
    </row>
    <row r="118" spans="1:10" s="79" customFormat="1" ht="15" customHeight="1" x14ac:dyDescent="0.35">
      <c r="A118" s="75"/>
      <c r="B118" s="75" t="s">
        <v>155</v>
      </c>
      <c r="C118" s="76" t="s">
        <v>159</v>
      </c>
      <c r="D118" s="77"/>
      <c r="E118" s="77"/>
      <c r="F118" s="75"/>
      <c r="G118" s="75"/>
      <c r="H118" s="75"/>
      <c r="I118" s="78"/>
      <c r="J118" s="78"/>
    </row>
    <row r="119" spans="1:10" s="79" customFormat="1" ht="150" x14ac:dyDescent="0.35">
      <c r="A119" s="71" t="s">
        <v>160</v>
      </c>
      <c r="B119" s="71"/>
      <c r="C119" s="72" t="s">
        <v>159</v>
      </c>
      <c r="D119" s="80">
        <v>1</v>
      </c>
      <c r="E119" s="73" t="s">
        <v>103</v>
      </c>
      <c r="F119" s="73" t="s">
        <v>104</v>
      </c>
      <c r="G119" s="73" t="s">
        <v>105</v>
      </c>
      <c r="H119" s="72" t="s">
        <v>106</v>
      </c>
      <c r="I119" s="72" t="s">
        <v>277</v>
      </c>
      <c r="J119" s="73"/>
    </row>
    <row r="120" spans="1:10" s="79" customFormat="1" ht="240" x14ac:dyDescent="0.35">
      <c r="A120" s="71" t="s">
        <v>160</v>
      </c>
      <c r="B120" s="71"/>
      <c r="C120" s="72" t="s">
        <v>159</v>
      </c>
      <c r="D120" s="80">
        <v>2</v>
      </c>
      <c r="E120" s="73" t="s">
        <v>161</v>
      </c>
      <c r="F120" s="105" t="s">
        <v>361</v>
      </c>
      <c r="G120" s="88"/>
      <c r="H120" s="72"/>
      <c r="I120" s="72"/>
      <c r="J120" s="73"/>
    </row>
    <row r="121" spans="1:10" s="79" customFormat="1" ht="315" x14ac:dyDescent="0.35">
      <c r="A121" s="71" t="s">
        <v>160</v>
      </c>
      <c r="B121" s="71"/>
      <c r="C121" s="72" t="s">
        <v>159</v>
      </c>
      <c r="D121" s="80">
        <v>3</v>
      </c>
      <c r="E121" s="73" t="s">
        <v>119</v>
      </c>
      <c r="F121" s="106" t="s">
        <v>367</v>
      </c>
      <c r="G121" s="88" t="s">
        <v>368</v>
      </c>
      <c r="H121" s="80"/>
      <c r="I121" s="72"/>
      <c r="J121" s="73"/>
    </row>
    <row r="122" spans="1:10" s="79" customFormat="1" ht="45" x14ac:dyDescent="0.35">
      <c r="A122" s="71" t="s">
        <v>160</v>
      </c>
      <c r="B122" s="71"/>
      <c r="C122" s="72" t="s">
        <v>159</v>
      </c>
      <c r="D122" s="80">
        <v>4</v>
      </c>
      <c r="E122" s="73" t="s">
        <v>120</v>
      </c>
      <c r="F122" s="73" t="s">
        <v>121</v>
      </c>
      <c r="G122" s="73"/>
      <c r="H122" s="80"/>
      <c r="I122" s="80"/>
      <c r="J122" s="73"/>
    </row>
    <row r="123" spans="1:10" s="79" customFormat="1" ht="180" x14ac:dyDescent="0.35">
      <c r="A123" s="71" t="s">
        <v>160</v>
      </c>
      <c r="B123" s="71"/>
      <c r="C123" s="72" t="s">
        <v>159</v>
      </c>
      <c r="D123" s="80">
        <v>5</v>
      </c>
      <c r="E123" s="73" t="s">
        <v>122</v>
      </c>
      <c r="F123" s="73" t="s">
        <v>297</v>
      </c>
      <c r="G123" s="73"/>
      <c r="H123" s="80"/>
      <c r="I123" s="80"/>
      <c r="J123" s="73"/>
    </row>
    <row r="124" spans="1:10" s="79" customFormat="1" ht="45" x14ac:dyDescent="0.35">
      <c r="A124" s="71" t="s">
        <v>160</v>
      </c>
      <c r="B124" s="71"/>
      <c r="C124" s="72" t="s">
        <v>159</v>
      </c>
      <c r="D124" s="80">
        <v>6</v>
      </c>
      <c r="E124" s="73" t="s">
        <v>274</v>
      </c>
      <c r="F124" s="73" t="s">
        <v>115</v>
      </c>
      <c r="G124" s="80" t="s">
        <v>123</v>
      </c>
      <c r="H124" s="80"/>
      <c r="I124" s="80"/>
      <c r="J124" s="73"/>
    </row>
    <row r="125" spans="1:10" s="79" customFormat="1" ht="15" customHeight="1" x14ac:dyDescent="0.35">
      <c r="A125" s="75"/>
      <c r="B125" s="75" t="s">
        <v>158</v>
      </c>
      <c r="C125" s="76" t="s">
        <v>163</v>
      </c>
      <c r="D125" s="77"/>
      <c r="E125" s="77"/>
      <c r="F125" s="75"/>
      <c r="G125" s="75"/>
      <c r="H125" s="75"/>
      <c r="I125" s="78"/>
      <c r="J125" s="78"/>
    </row>
    <row r="126" spans="1:10" s="79" customFormat="1" ht="120" x14ac:dyDescent="0.35">
      <c r="A126" s="81" t="s">
        <v>160</v>
      </c>
      <c r="B126" s="71"/>
      <c r="C126" s="82" t="s">
        <v>163</v>
      </c>
      <c r="D126" s="83">
        <v>1</v>
      </c>
      <c r="E126" s="73" t="s">
        <v>103</v>
      </c>
      <c r="F126" s="73" t="s">
        <v>104</v>
      </c>
      <c r="G126" s="84" t="s">
        <v>105</v>
      </c>
      <c r="H126" s="82" t="s">
        <v>106</v>
      </c>
      <c r="I126" s="82" t="s">
        <v>278</v>
      </c>
      <c r="J126" s="73"/>
    </row>
    <row r="127" spans="1:10" s="79" customFormat="1" ht="240" x14ac:dyDescent="0.35">
      <c r="A127" s="71" t="s">
        <v>160</v>
      </c>
      <c r="B127" s="71"/>
      <c r="C127" s="82" t="s">
        <v>163</v>
      </c>
      <c r="D127" s="80">
        <v>2</v>
      </c>
      <c r="E127" s="73" t="s">
        <v>161</v>
      </c>
      <c r="F127" s="105" t="s">
        <v>361</v>
      </c>
      <c r="G127" s="88"/>
      <c r="H127" s="72"/>
      <c r="I127" s="72"/>
      <c r="J127" s="73"/>
    </row>
    <row r="128" spans="1:10" s="79" customFormat="1" ht="315" x14ac:dyDescent="0.35">
      <c r="A128" s="71" t="s">
        <v>160</v>
      </c>
      <c r="B128" s="71"/>
      <c r="C128" s="82" t="s">
        <v>163</v>
      </c>
      <c r="D128" s="80">
        <v>3</v>
      </c>
      <c r="E128" s="73" t="s">
        <v>119</v>
      </c>
      <c r="F128" s="106" t="s">
        <v>367</v>
      </c>
      <c r="G128" s="88" t="s">
        <v>369</v>
      </c>
      <c r="H128" s="80"/>
      <c r="I128" s="72"/>
      <c r="J128" s="73"/>
    </row>
    <row r="129" spans="1:10" s="79" customFormat="1" ht="60" x14ac:dyDescent="0.35">
      <c r="A129" s="71" t="s">
        <v>160</v>
      </c>
      <c r="B129" s="71"/>
      <c r="C129" s="82" t="s">
        <v>163</v>
      </c>
      <c r="D129" s="80">
        <v>4</v>
      </c>
      <c r="E129" s="73" t="s">
        <v>164</v>
      </c>
      <c r="F129" s="73" t="s">
        <v>279</v>
      </c>
      <c r="G129" s="73"/>
      <c r="H129" s="80"/>
      <c r="I129" s="80"/>
      <c r="J129" s="73"/>
    </row>
    <row r="130" spans="1:10" s="79" customFormat="1" ht="45" x14ac:dyDescent="0.35">
      <c r="A130" s="71" t="s">
        <v>160</v>
      </c>
      <c r="B130" s="71"/>
      <c r="C130" s="82" t="s">
        <v>163</v>
      </c>
      <c r="D130" s="80">
        <v>5</v>
      </c>
      <c r="E130" s="73" t="s">
        <v>274</v>
      </c>
      <c r="F130" s="73" t="s">
        <v>115</v>
      </c>
      <c r="G130" s="80" t="s">
        <v>123</v>
      </c>
      <c r="H130" s="80"/>
      <c r="I130" s="80"/>
      <c r="J130" s="73"/>
    </row>
    <row r="131" spans="1:10" s="79" customFormat="1" ht="15" customHeight="1" x14ac:dyDescent="0.35">
      <c r="A131" s="75"/>
      <c r="B131" s="75" t="s">
        <v>162</v>
      </c>
      <c r="C131" s="76" t="s">
        <v>166</v>
      </c>
      <c r="D131" s="77"/>
      <c r="E131" s="77"/>
      <c r="F131" s="75"/>
      <c r="G131" s="75"/>
      <c r="H131" s="75"/>
      <c r="I131" s="78"/>
      <c r="J131" s="78"/>
    </row>
    <row r="132" spans="1:10" s="79" customFormat="1" ht="150" x14ac:dyDescent="0.35">
      <c r="A132" s="71" t="s">
        <v>160</v>
      </c>
      <c r="B132" s="71"/>
      <c r="C132" s="72" t="s">
        <v>166</v>
      </c>
      <c r="D132" s="80">
        <v>1</v>
      </c>
      <c r="E132" s="73" t="s">
        <v>103</v>
      </c>
      <c r="F132" s="73" t="s">
        <v>104</v>
      </c>
      <c r="G132" s="73" t="s">
        <v>105</v>
      </c>
      <c r="H132" s="72" t="s">
        <v>106</v>
      </c>
      <c r="I132" s="72" t="s">
        <v>277</v>
      </c>
      <c r="J132" s="73"/>
    </row>
    <row r="133" spans="1:10" s="79" customFormat="1" ht="240" x14ac:dyDescent="0.35">
      <c r="A133" s="71" t="s">
        <v>160</v>
      </c>
      <c r="B133" s="71"/>
      <c r="C133" s="72" t="s">
        <v>166</v>
      </c>
      <c r="D133" s="80">
        <v>2</v>
      </c>
      <c r="E133" s="73" t="s">
        <v>161</v>
      </c>
      <c r="F133" s="105" t="s">
        <v>361</v>
      </c>
      <c r="G133" s="88"/>
      <c r="H133" s="72"/>
      <c r="I133" s="72"/>
      <c r="J133" s="73"/>
    </row>
    <row r="134" spans="1:10" s="79" customFormat="1" ht="315" x14ac:dyDescent="0.35">
      <c r="A134" s="71" t="s">
        <v>160</v>
      </c>
      <c r="B134" s="71"/>
      <c r="C134" s="72" t="s">
        <v>166</v>
      </c>
      <c r="D134" s="80">
        <v>3</v>
      </c>
      <c r="E134" s="73" t="s">
        <v>119</v>
      </c>
      <c r="F134" s="106" t="s">
        <v>367</v>
      </c>
      <c r="G134" s="88" t="s">
        <v>369</v>
      </c>
      <c r="H134" s="80"/>
      <c r="I134" s="72"/>
      <c r="J134" s="73"/>
    </row>
    <row r="135" spans="1:10" s="79" customFormat="1" ht="75" x14ac:dyDescent="0.35">
      <c r="A135" s="71" t="s">
        <v>160</v>
      </c>
      <c r="B135" s="71"/>
      <c r="C135" s="72" t="s">
        <v>166</v>
      </c>
      <c r="D135" s="80">
        <v>4</v>
      </c>
      <c r="E135" s="73" t="s">
        <v>131</v>
      </c>
      <c r="F135" s="73" t="s">
        <v>280</v>
      </c>
      <c r="H135" s="80"/>
      <c r="I135" s="80"/>
      <c r="J135" s="73"/>
    </row>
    <row r="136" spans="1:10" s="79" customFormat="1" ht="45" x14ac:dyDescent="0.35">
      <c r="A136" s="71" t="s">
        <v>160</v>
      </c>
      <c r="B136" s="71"/>
      <c r="C136" s="72" t="s">
        <v>166</v>
      </c>
      <c r="D136" s="80">
        <v>5</v>
      </c>
      <c r="E136" s="73" t="s">
        <v>274</v>
      </c>
      <c r="F136" s="73" t="s">
        <v>115</v>
      </c>
      <c r="G136" s="80" t="s">
        <v>123</v>
      </c>
      <c r="H136" s="80"/>
      <c r="I136" s="80"/>
      <c r="J136" s="73"/>
    </row>
    <row r="137" spans="1:10" s="79" customFormat="1" ht="15" customHeight="1" x14ac:dyDescent="0.35">
      <c r="A137" s="75"/>
      <c r="B137" s="75" t="s">
        <v>165</v>
      </c>
      <c r="C137" s="76" t="s">
        <v>168</v>
      </c>
      <c r="D137" s="77"/>
      <c r="E137" s="77"/>
      <c r="F137" s="75"/>
      <c r="G137" s="75"/>
      <c r="H137" s="75"/>
      <c r="I137" s="78"/>
      <c r="J137" s="78"/>
    </row>
    <row r="138" spans="1:10" s="79" customFormat="1" ht="135" x14ac:dyDescent="0.35">
      <c r="A138" s="71" t="s">
        <v>75</v>
      </c>
      <c r="B138" s="71"/>
      <c r="C138" s="72" t="s">
        <v>168</v>
      </c>
      <c r="D138" s="80">
        <v>1</v>
      </c>
      <c r="E138" s="73" t="s">
        <v>103</v>
      </c>
      <c r="F138" s="73" t="s">
        <v>104</v>
      </c>
      <c r="G138" s="73" t="s">
        <v>105</v>
      </c>
      <c r="H138" s="72" t="s">
        <v>106</v>
      </c>
      <c r="I138" s="72" t="s">
        <v>281</v>
      </c>
      <c r="J138" s="73"/>
    </row>
    <row r="139" spans="1:10" s="79" customFormat="1" ht="240" x14ac:dyDescent="0.35">
      <c r="A139" s="71" t="s">
        <v>75</v>
      </c>
      <c r="B139" s="71"/>
      <c r="C139" s="72" t="s">
        <v>168</v>
      </c>
      <c r="D139" s="80">
        <v>2</v>
      </c>
      <c r="E139" s="73" t="s">
        <v>161</v>
      </c>
      <c r="F139" s="105" t="s">
        <v>361</v>
      </c>
      <c r="G139" s="88"/>
      <c r="H139" s="72"/>
      <c r="I139" s="72"/>
      <c r="J139" s="73"/>
    </row>
    <row r="140" spans="1:10" s="79" customFormat="1" ht="315" x14ac:dyDescent="0.35">
      <c r="A140" s="71" t="s">
        <v>75</v>
      </c>
      <c r="B140" s="71"/>
      <c r="C140" s="72" t="s">
        <v>168</v>
      </c>
      <c r="D140" s="80">
        <v>3</v>
      </c>
      <c r="E140" s="73" t="s">
        <v>119</v>
      </c>
      <c r="F140" s="106" t="s">
        <v>367</v>
      </c>
      <c r="G140" s="88" t="s">
        <v>369</v>
      </c>
      <c r="H140" s="80"/>
      <c r="I140" s="72"/>
      <c r="J140" s="73"/>
    </row>
    <row r="141" spans="1:10" s="79" customFormat="1" ht="165" x14ac:dyDescent="0.35">
      <c r="A141" s="71" t="s">
        <v>75</v>
      </c>
      <c r="B141" s="71"/>
      <c r="C141" s="72" t="s">
        <v>168</v>
      </c>
      <c r="D141" s="80">
        <v>4</v>
      </c>
      <c r="E141" s="73" t="s">
        <v>282</v>
      </c>
      <c r="F141" s="73" t="s">
        <v>306</v>
      </c>
      <c r="H141" s="80"/>
      <c r="I141" s="80"/>
      <c r="J141" s="73"/>
    </row>
    <row r="142" spans="1:10" s="79" customFormat="1" ht="30" x14ac:dyDescent="0.35">
      <c r="A142" s="71" t="s">
        <v>75</v>
      </c>
      <c r="B142" s="71"/>
      <c r="C142" s="72" t="s">
        <v>168</v>
      </c>
      <c r="D142" s="80">
        <v>5</v>
      </c>
      <c r="E142" s="73" t="s">
        <v>274</v>
      </c>
      <c r="F142" s="73" t="s">
        <v>115</v>
      </c>
      <c r="G142" s="80" t="s">
        <v>123</v>
      </c>
      <c r="H142" s="80"/>
      <c r="I142" s="80"/>
      <c r="J142" s="73"/>
    </row>
    <row r="143" spans="1:10" s="79" customFormat="1" ht="15" customHeight="1" x14ac:dyDescent="0.35">
      <c r="A143" s="75"/>
      <c r="B143" s="75" t="s">
        <v>167</v>
      </c>
      <c r="C143" s="76" t="s">
        <v>170</v>
      </c>
      <c r="D143" s="77"/>
      <c r="E143" s="77"/>
      <c r="F143" s="75"/>
      <c r="G143" s="75"/>
      <c r="H143" s="75"/>
      <c r="I143" s="78"/>
      <c r="J143" s="78"/>
    </row>
    <row r="144" spans="1:10" s="79" customFormat="1" ht="150" x14ac:dyDescent="0.35">
      <c r="A144" s="71" t="s">
        <v>160</v>
      </c>
      <c r="B144" s="71"/>
      <c r="C144" s="72" t="s">
        <v>170</v>
      </c>
      <c r="D144" s="80">
        <v>1</v>
      </c>
      <c r="E144" s="73" t="s">
        <v>103</v>
      </c>
      <c r="F144" s="73" t="s">
        <v>104</v>
      </c>
      <c r="G144" s="73" t="s">
        <v>105</v>
      </c>
      <c r="H144" s="72" t="s">
        <v>106</v>
      </c>
      <c r="I144" s="72" t="s">
        <v>277</v>
      </c>
      <c r="J144" s="73"/>
    </row>
    <row r="145" spans="1:10" s="79" customFormat="1" ht="240" x14ac:dyDescent="0.35">
      <c r="A145" s="71" t="s">
        <v>160</v>
      </c>
      <c r="B145" s="71"/>
      <c r="C145" s="72" t="s">
        <v>170</v>
      </c>
      <c r="D145" s="80">
        <v>2</v>
      </c>
      <c r="E145" s="73" t="s">
        <v>161</v>
      </c>
      <c r="F145" s="105" t="s">
        <v>361</v>
      </c>
      <c r="G145" s="88"/>
      <c r="H145" s="72"/>
      <c r="I145" s="72"/>
      <c r="J145" s="73"/>
    </row>
    <row r="146" spans="1:10" s="79" customFormat="1" ht="315" x14ac:dyDescent="0.35">
      <c r="A146" s="71" t="s">
        <v>160</v>
      </c>
      <c r="B146" s="71"/>
      <c r="C146" s="72" t="s">
        <v>170</v>
      </c>
      <c r="D146" s="80">
        <v>3</v>
      </c>
      <c r="E146" s="73" t="s">
        <v>119</v>
      </c>
      <c r="F146" s="106" t="s">
        <v>367</v>
      </c>
      <c r="G146" s="88" t="s">
        <v>369</v>
      </c>
      <c r="H146" s="80"/>
      <c r="I146" s="72"/>
      <c r="J146" s="73"/>
    </row>
    <row r="147" spans="1:10" s="79" customFormat="1" ht="45" x14ac:dyDescent="0.35">
      <c r="A147" s="71" t="s">
        <v>160</v>
      </c>
      <c r="B147" s="71"/>
      <c r="C147" s="72" t="s">
        <v>170</v>
      </c>
      <c r="D147" s="80">
        <v>4</v>
      </c>
      <c r="E147" s="73" t="s">
        <v>120</v>
      </c>
      <c r="F147" s="73" t="s">
        <v>121</v>
      </c>
      <c r="G147" s="73"/>
      <c r="H147" s="80"/>
      <c r="I147" s="80"/>
      <c r="J147" s="73"/>
    </row>
    <row r="148" spans="1:10" s="79" customFormat="1" ht="180" x14ac:dyDescent="0.35">
      <c r="A148" s="71" t="s">
        <v>160</v>
      </c>
      <c r="B148" s="71"/>
      <c r="C148" s="72" t="s">
        <v>170</v>
      </c>
      <c r="D148" s="80">
        <v>5</v>
      </c>
      <c r="E148" s="73" t="s">
        <v>122</v>
      </c>
      <c r="F148" s="73" t="s">
        <v>297</v>
      </c>
      <c r="G148" s="73"/>
      <c r="H148" s="80"/>
      <c r="I148" s="80"/>
      <c r="J148" s="73"/>
    </row>
    <row r="149" spans="1:10" s="79" customFormat="1" ht="315" x14ac:dyDescent="0.35">
      <c r="A149" s="71" t="s">
        <v>160</v>
      </c>
      <c r="B149" s="71"/>
      <c r="C149" s="72" t="s">
        <v>170</v>
      </c>
      <c r="D149" s="80">
        <v>6</v>
      </c>
      <c r="E149" s="45" t="s">
        <v>349</v>
      </c>
      <c r="F149" s="79" t="s">
        <v>299</v>
      </c>
      <c r="G149" s="73"/>
      <c r="H149" s="80"/>
      <c r="I149" s="80"/>
      <c r="J149" s="73"/>
    </row>
    <row r="150" spans="1:10" s="79" customFormat="1" ht="174" x14ac:dyDescent="0.35">
      <c r="A150" s="71" t="s">
        <v>160</v>
      </c>
      <c r="B150" s="71"/>
      <c r="C150" s="72" t="s">
        <v>170</v>
      </c>
      <c r="D150" s="80">
        <v>7</v>
      </c>
      <c r="E150" s="73" t="s">
        <v>276</v>
      </c>
      <c r="F150" s="99" t="s">
        <v>328</v>
      </c>
      <c r="G150" s="73"/>
      <c r="H150" s="80"/>
      <c r="I150" s="80"/>
      <c r="J150" s="73"/>
    </row>
    <row r="151" spans="1:10" s="79" customFormat="1" ht="45" x14ac:dyDescent="0.35">
      <c r="A151" s="71" t="s">
        <v>160</v>
      </c>
      <c r="B151" s="71"/>
      <c r="C151" s="72" t="s">
        <v>170</v>
      </c>
      <c r="D151" s="80">
        <v>8</v>
      </c>
      <c r="E151" s="73" t="s">
        <v>274</v>
      </c>
      <c r="F151" s="73" t="s">
        <v>115</v>
      </c>
      <c r="G151" s="80" t="s">
        <v>123</v>
      </c>
      <c r="H151" s="80"/>
      <c r="I151" s="80"/>
      <c r="J151" s="73"/>
    </row>
    <row r="152" spans="1:10" s="79" customFormat="1" ht="15" customHeight="1" x14ac:dyDescent="0.35">
      <c r="A152" s="75"/>
      <c r="B152" s="75" t="s">
        <v>169</v>
      </c>
      <c r="C152" s="76" t="s">
        <v>172</v>
      </c>
      <c r="D152" s="77"/>
      <c r="E152" s="77"/>
      <c r="F152" s="75"/>
      <c r="G152" s="75"/>
      <c r="H152" s="75"/>
      <c r="I152" s="78"/>
      <c r="J152" s="78"/>
    </row>
    <row r="153" spans="1:10" s="79" customFormat="1" ht="150" x14ac:dyDescent="0.35">
      <c r="A153" s="71" t="s">
        <v>160</v>
      </c>
      <c r="B153" s="71"/>
      <c r="C153" s="72" t="s">
        <v>172</v>
      </c>
      <c r="D153" s="80">
        <v>1</v>
      </c>
      <c r="E153" s="73" t="s">
        <v>103</v>
      </c>
      <c r="F153" s="73" t="s">
        <v>104</v>
      </c>
      <c r="G153" s="73" t="s">
        <v>105</v>
      </c>
      <c r="H153" s="72" t="s">
        <v>106</v>
      </c>
      <c r="I153" s="72" t="s">
        <v>283</v>
      </c>
      <c r="J153" s="73"/>
    </row>
    <row r="154" spans="1:10" s="79" customFormat="1" ht="240" x14ac:dyDescent="0.35">
      <c r="A154" s="71" t="s">
        <v>160</v>
      </c>
      <c r="B154" s="71"/>
      <c r="C154" s="72" t="s">
        <v>172</v>
      </c>
      <c r="D154" s="80">
        <v>2</v>
      </c>
      <c r="E154" s="73" t="s">
        <v>161</v>
      </c>
      <c r="F154" s="105" t="s">
        <v>361</v>
      </c>
      <c r="G154" s="88" t="s">
        <v>305</v>
      </c>
      <c r="H154" s="72"/>
      <c r="I154" s="72"/>
      <c r="J154" s="73"/>
    </row>
    <row r="155" spans="1:10" s="79" customFormat="1" ht="315" x14ac:dyDescent="0.35">
      <c r="A155" s="71" t="s">
        <v>160</v>
      </c>
      <c r="B155" s="71"/>
      <c r="C155" s="72" t="s">
        <v>172</v>
      </c>
      <c r="D155" s="80">
        <v>3</v>
      </c>
      <c r="E155" s="73" t="s">
        <v>119</v>
      </c>
      <c r="F155" s="106" t="s">
        <v>367</v>
      </c>
      <c r="G155" s="88" t="s">
        <v>305</v>
      </c>
      <c r="H155" s="80"/>
      <c r="I155" s="72"/>
      <c r="J155" s="73"/>
    </row>
    <row r="156" spans="1:10" s="79" customFormat="1" ht="45" x14ac:dyDescent="0.35">
      <c r="A156" s="71" t="s">
        <v>160</v>
      </c>
      <c r="B156" s="71"/>
      <c r="C156" s="72" t="s">
        <v>172</v>
      </c>
      <c r="D156" s="80">
        <v>4</v>
      </c>
      <c r="E156" s="73" t="s">
        <v>120</v>
      </c>
      <c r="F156" s="73" t="s">
        <v>121</v>
      </c>
      <c r="G156" s="73"/>
      <c r="H156" s="80"/>
      <c r="I156" s="80"/>
      <c r="J156" s="73"/>
    </row>
    <row r="157" spans="1:10" s="79" customFormat="1" ht="180" x14ac:dyDescent="0.35">
      <c r="A157" s="71" t="s">
        <v>160</v>
      </c>
      <c r="B157" s="71"/>
      <c r="C157" s="72" t="s">
        <v>172</v>
      </c>
      <c r="D157" s="80">
        <v>5</v>
      </c>
      <c r="E157" s="73" t="s">
        <v>122</v>
      </c>
      <c r="F157" s="73" t="s">
        <v>297</v>
      </c>
      <c r="G157" s="88" t="s">
        <v>288</v>
      </c>
      <c r="H157" s="80"/>
      <c r="I157" s="80"/>
      <c r="J157" s="73"/>
    </row>
    <row r="158" spans="1:10" s="79" customFormat="1" ht="315" x14ac:dyDescent="0.35">
      <c r="A158" s="71" t="s">
        <v>160</v>
      </c>
      <c r="B158" s="71"/>
      <c r="C158" s="72" t="s">
        <v>172</v>
      </c>
      <c r="D158" s="80">
        <v>6</v>
      </c>
      <c r="E158" s="45" t="s">
        <v>349</v>
      </c>
      <c r="F158" s="79" t="s">
        <v>299</v>
      </c>
      <c r="G158" s="73"/>
      <c r="H158" s="80"/>
      <c r="I158" s="80"/>
      <c r="J158" s="73"/>
    </row>
    <row r="159" spans="1:10" s="79" customFormat="1" ht="188.5" x14ac:dyDescent="0.35">
      <c r="A159" s="71" t="s">
        <v>160</v>
      </c>
      <c r="B159" s="71"/>
      <c r="C159" s="72" t="s">
        <v>172</v>
      </c>
      <c r="D159" s="80">
        <v>7</v>
      </c>
      <c r="E159" s="73" t="s">
        <v>141</v>
      </c>
      <c r="F159" s="99" t="s">
        <v>329</v>
      </c>
      <c r="G159" s="73"/>
      <c r="H159" s="80"/>
      <c r="I159" s="80"/>
      <c r="J159" s="73"/>
    </row>
    <row r="160" spans="1:10" s="79" customFormat="1" ht="45" x14ac:dyDescent="0.35">
      <c r="A160" s="71" t="s">
        <v>160</v>
      </c>
      <c r="B160" s="71"/>
      <c r="C160" s="72" t="s">
        <v>172</v>
      </c>
      <c r="D160" s="80">
        <v>8</v>
      </c>
      <c r="E160" s="73" t="s">
        <v>274</v>
      </c>
      <c r="F160" s="73" t="s">
        <v>115</v>
      </c>
      <c r="G160" s="80" t="s">
        <v>123</v>
      </c>
      <c r="H160" s="80"/>
      <c r="I160" s="80"/>
      <c r="J160" s="73"/>
    </row>
    <row r="161" spans="1:10" s="79" customFormat="1" ht="15" customHeight="1" x14ac:dyDescent="0.35">
      <c r="A161" s="75"/>
      <c r="B161" s="75" t="s">
        <v>171</v>
      </c>
      <c r="C161" s="76" t="s">
        <v>174</v>
      </c>
      <c r="D161" s="77"/>
      <c r="E161" s="77"/>
      <c r="F161" s="75"/>
      <c r="G161" s="75"/>
      <c r="H161" s="75"/>
      <c r="I161" s="78"/>
      <c r="J161" s="78"/>
    </row>
    <row r="162" spans="1:10" s="79" customFormat="1" ht="150" x14ac:dyDescent="0.35">
      <c r="A162" s="71" t="s">
        <v>160</v>
      </c>
      <c r="B162" s="71"/>
      <c r="C162" s="72" t="s">
        <v>174</v>
      </c>
      <c r="D162" s="80">
        <v>1</v>
      </c>
      <c r="E162" s="73" t="s">
        <v>103</v>
      </c>
      <c r="F162" s="73" t="s">
        <v>104</v>
      </c>
      <c r="G162" s="73" t="s">
        <v>105</v>
      </c>
      <c r="H162" s="72" t="s">
        <v>106</v>
      </c>
      <c r="I162" s="72" t="s">
        <v>284</v>
      </c>
      <c r="J162" s="73"/>
    </row>
    <row r="163" spans="1:10" s="79" customFormat="1" ht="240" x14ac:dyDescent="0.35">
      <c r="A163" s="71" t="s">
        <v>160</v>
      </c>
      <c r="B163" s="71"/>
      <c r="C163" s="72" t="s">
        <v>174</v>
      </c>
      <c r="D163" s="80">
        <v>2</v>
      </c>
      <c r="E163" s="73" t="s">
        <v>161</v>
      </c>
      <c r="F163" s="105" t="s">
        <v>361</v>
      </c>
      <c r="G163" s="88"/>
      <c r="H163" s="72"/>
      <c r="I163" s="72"/>
      <c r="J163" s="73"/>
    </row>
    <row r="164" spans="1:10" s="79" customFormat="1" ht="300" x14ac:dyDescent="0.35">
      <c r="A164" s="71" t="s">
        <v>160</v>
      </c>
      <c r="B164" s="71"/>
      <c r="C164" s="72" t="s">
        <v>174</v>
      </c>
      <c r="D164" s="80">
        <v>3</v>
      </c>
      <c r="E164" s="73" t="s">
        <v>119</v>
      </c>
      <c r="F164" s="106" t="s">
        <v>452</v>
      </c>
      <c r="G164" s="88" t="s">
        <v>360</v>
      </c>
      <c r="H164" s="80"/>
      <c r="I164" s="72"/>
      <c r="J164" s="73"/>
    </row>
    <row r="165" spans="1:10" s="79" customFormat="1" ht="225" x14ac:dyDescent="0.35">
      <c r="A165" s="71" t="s">
        <v>160</v>
      </c>
      <c r="B165" s="71"/>
      <c r="C165" s="72" t="s">
        <v>174</v>
      </c>
      <c r="D165" s="80">
        <v>4</v>
      </c>
      <c r="E165" s="45" t="s">
        <v>359</v>
      </c>
      <c r="F165" s="73" t="s">
        <v>300</v>
      </c>
      <c r="G165" s="73" t="s">
        <v>289</v>
      </c>
      <c r="H165" s="80"/>
      <c r="I165" s="72"/>
      <c r="J165" s="73"/>
    </row>
    <row r="166" spans="1:10" s="79" customFormat="1" ht="45" x14ac:dyDescent="0.35">
      <c r="A166" s="71" t="s">
        <v>160</v>
      </c>
      <c r="B166" s="71"/>
      <c r="C166" s="72" t="s">
        <v>174</v>
      </c>
      <c r="D166" s="80">
        <v>5</v>
      </c>
      <c r="E166" s="73" t="s">
        <v>274</v>
      </c>
      <c r="F166" s="73" t="s">
        <v>115</v>
      </c>
      <c r="G166" s="80" t="s">
        <v>123</v>
      </c>
      <c r="H166" s="80"/>
      <c r="I166" s="72"/>
      <c r="J166" s="73"/>
    </row>
    <row r="167" spans="1:10" s="79" customFormat="1" ht="15" customHeight="1" x14ac:dyDescent="0.35">
      <c r="A167" s="75"/>
      <c r="B167" s="75" t="s">
        <v>173</v>
      </c>
      <c r="C167" s="76" t="s">
        <v>176</v>
      </c>
      <c r="D167" s="77"/>
      <c r="E167" s="77"/>
      <c r="F167" s="75"/>
      <c r="G167" s="75"/>
      <c r="H167" s="75"/>
      <c r="I167" s="78"/>
      <c r="J167" s="78"/>
    </row>
    <row r="168" spans="1:10" s="79" customFormat="1" ht="120" x14ac:dyDescent="0.35">
      <c r="A168" s="71" t="s">
        <v>160</v>
      </c>
      <c r="B168" s="71"/>
      <c r="C168" s="72" t="s">
        <v>176</v>
      </c>
      <c r="D168" s="80">
        <v>1</v>
      </c>
      <c r="E168" s="73" t="s">
        <v>103</v>
      </c>
      <c r="F168" s="73" t="s">
        <v>104</v>
      </c>
      <c r="G168" s="73" t="s">
        <v>105</v>
      </c>
      <c r="H168" s="72" t="s">
        <v>106</v>
      </c>
      <c r="I168" s="72" t="s">
        <v>285</v>
      </c>
      <c r="J168" s="73"/>
    </row>
    <row r="169" spans="1:10" s="79" customFormat="1" ht="240" x14ac:dyDescent="0.35">
      <c r="A169" s="71" t="s">
        <v>160</v>
      </c>
      <c r="B169" s="71"/>
      <c r="C169" s="72" t="s">
        <v>176</v>
      </c>
      <c r="D169" s="80">
        <v>2</v>
      </c>
      <c r="E169" s="73" t="s">
        <v>302</v>
      </c>
      <c r="F169" s="105" t="s">
        <v>361</v>
      </c>
      <c r="H169" s="72"/>
      <c r="I169" s="72"/>
      <c r="J169" s="73"/>
    </row>
    <row r="170" spans="1:10" s="79" customFormat="1" ht="300" x14ac:dyDescent="0.35">
      <c r="A170" s="71" t="s">
        <v>160</v>
      </c>
      <c r="B170" s="71"/>
      <c r="C170" s="72" t="s">
        <v>176</v>
      </c>
      <c r="D170" s="80">
        <v>3</v>
      </c>
      <c r="E170" s="73" t="s">
        <v>119</v>
      </c>
      <c r="F170" s="106" t="s">
        <v>452</v>
      </c>
      <c r="G170" s="88" t="s">
        <v>355</v>
      </c>
      <c r="H170" s="80"/>
      <c r="I170" s="72"/>
      <c r="J170" s="73"/>
    </row>
    <row r="171" spans="1:10" s="79" customFormat="1" ht="180" x14ac:dyDescent="0.35">
      <c r="A171" s="71" t="s">
        <v>160</v>
      </c>
      <c r="B171" s="71"/>
      <c r="C171" s="72" t="s">
        <v>176</v>
      </c>
      <c r="D171" s="80">
        <v>4</v>
      </c>
      <c r="E171" s="45" t="s">
        <v>370</v>
      </c>
      <c r="F171" s="73" t="s">
        <v>286</v>
      </c>
      <c r="G171" s="73" t="s">
        <v>145</v>
      </c>
      <c r="H171" s="80"/>
      <c r="I171" s="72"/>
      <c r="J171" s="73"/>
    </row>
    <row r="172" spans="1:10" s="79" customFormat="1" ht="45" x14ac:dyDescent="0.35">
      <c r="A172" s="71" t="s">
        <v>160</v>
      </c>
      <c r="B172" s="71"/>
      <c r="C172" s="72" t="s">
        <v>176</v>
      </c>
      <c r="D172" s="80">
        <v>5</v>
      </c>
      <c r="E172" s="73" t="s">
        <v>274</v>
      </c>
      <c r="F172" s="73" t="s">
        <v>115</v>
      </c>
      <c r="G172" s="80" t="s">
        <v>123</v>
      </c>
      <c r="H172" s="80"/>
      <c r="I172" s="72"/>
      <c r="J172" s="73"/>
    </row>
    <row r="173" spans="1:10" s="79" customFormat="1" ht="15" customHeight="1" x14ac:dyDescent="0.35">
      <c r="A173" s="75"/>
      <c r="B173" s="75" t="s">
        <v>175</v>
      </c>
      <c r="C173" s="76" t="s">
        <v>179</v>
      </c>
      <c r="D173" s="77"/>
      <c r="E173" s="77"/>
      <c r="F173" s="75"/>
      <c r="G173" s="75"/>
      <c r="H173" s="75"/>
      <c r="I173" s="78"/>
      <c r="J173" s="78"/>
    </row>
    <row r="174" spans="1:10" s="79" customFormat="1" ht="150" x14ac:dyDescent="0.35">
      <c r="A174" s="71" t="s">
        <v>160</v>
      </c>
      <c r="B174" s="71"/>
      <c r="C174" s="72" t="s">
        <v>179</v>
      </c>
      <c r="D174" s="80">
        <v>1</v>
      </c>
      <c r="E174" s="73" t="s">
        <v>103</v>
      </c>
      <c r="F174" s="73" t="s">
        <v>104</v>
      </c>
      <c r="G174" s="73" t="s">
        <v>105</v>
      </c>
      <c r="H174" s="72" t="s">
        <v>106</v>
      </c>
      <c r="I174" s="72" t="s">
        <v>284</v>
      </c>
      <c r="J174" s="73"/>
    </row>
    <row r="175" spans="1:10" s="79" customFormat="1" ht="240" x14ac:dyDescent="0.35">
      <c r="A175" s="71" t="s">
        <v>160</v>
      </c>
      <c r="B175" s="71"/>
      <c r="C175" s="72" t="s">
        <v>179</v>
      </c>
      <c r="D175" s="80">
        <v>2</v>
      </c>
      <c r="E175" s="73" t="s">
        <v>161</v>
      </c>
      <c r="F175" s="105" t="s">
        <v>361</v>
      </c>
      <c r="H175" s="72"/>
      <c r="I175" s="72"/>
      <c r="J175" s="73"/>
    </row>
    <row r="176" spans="1:10" s="79" customFormat="1" ht="300" x14ac:dyDescent="0.35">
      <c r="A176" s="71" t="s">
        <v>160</v>
      </c>
      <c r="B176" s="71"/>
      <c r="C176" s="72" t="s">
        <v>179</v>
      </c>
      <c r="D176" s="80">
        <v>3</v>
      </c>
      <c r="E176" s="73" t="s">
        <v>119</v>
      </c>
      <c r="F176" s="106" t="s">
        <v>452</v>
      </c>
      <c r="G176" s="88" t="s">
        <v>355</v>
      </c>
      <c r="H176" s="80"/>
      <c r="I176" s="72"/>
      <c r="J176" s="73"/>
    </row>
    <row r="177" spans="1:10" s="79" customFormat="1" ht="225" x14ac:dyDescent="0.35">
      <c r="A177" s="71" t="s">
        <v>160</v>
      </c>
      <c r="B177" s="71"/>
      <c r="C177" s="72" t="s">
        <v>179</v>
      </c>
      <c r="D177" s="80">
        <v>4</v>
      </c>
      <c r="E177" s="45" t="s">
        <v>359</v>
      </c>
      <c r="F177" s="73" t="s">
        <v>300</v>
      </c>
      <c r="G177" s="73" t="s">
        <v>287</v>
      </c>
      <c r="H177" s="80"/>
      <c r="I177" s="72"/>
      <c r="J177" s="73"/>
    </row>
    <row r="178" spans="1:10" s="79" customFormat="1" ht="315" x14ac:dyDescent="0.35">
      <c r="A178" s="71" t="s">
        <v>160</v>
      </c>
      <c r="B178" s="71"/>
      <c r="C178" s="72" t="s">
        <v>179</v>
      </c>
      <c r="D178" s="80">
        <v>5</v>
      </c>
      <c r="E178" s="45" t="s">
        <v>350</v>
      </c>
      <c r="F178" s="79" t="s">
        <v>299</v>
      </c>
      <c r="G178" s="73" t="s">
        <v>154</v>
      </c>
      <c r="H178" s="80"/>
      <c r="I178" s="72"/>
      <c r="J178" s="73"/>
    </row>
    <row r="179" spans="1:10" s="79" customFormat="1" ht="188.5" x14ac:dyDescent="0.35">
      <c r="A179" s="71" t="s">
        <v>160</v>
      </c>
      <c r="B179" s="71"/>
      <c r="C179" s="72" t="s">
        <v>179</v>
      </c>
      <c r="D179" s="80">
        <v>6</v>
      </c>
      <c r="E179" s="73" t="s">
        <v>276</v>
      </c>
      <c r="F179" s="98" t="s">
        <v>326</v>
      </c>
      <c r="G179" s="73"/>
      <c r="H179" s="80"/>
      <c r="I179" s="72"/>
      <c r="J179" s="73"/>
    </row>
    <row r="180" spans="1:10" s="79" customFormat="1" ht="45" x14ac:dyDescent="0.35">
      <c r="A180" s="71" t="s">
        <v>160</v>
      </c>
      <c r="B180" s="71"/>
      <c r="C180" s="72" t="s">
        <v>179</v>
      </c>
      <c r="D180" s="80">
        <v>7</v>
      </c>
      <c r="E180" s="73" t="s">
        <v>274</v>
      </c>
      <c r="F180" s="73" t="s">
        <v>115</v>
      </c>
      <c r="G180" s="80" t="s">
        <v>123</v>
      </c>
      <c r="H180" s="80"/>
      <c r="I180" s="72"/>
      <c r="J180" s="73"/>
    </row>
    <row r="181" spans="1:10" s="79" customFormat="1" ht="15" customHeight="1" x14ac:dyDescent="0.35">
      <c r="A181" s="75"/>
      <c r="B181" s="75" t="s">
        <v>177</v>
      </c>
      <c r="C181" s="76" t="s">
        <v>181</v>
      </c>
      <c r="D181" s="77"/>
      <c r="E181" s="77"/>
      <c r="F181" s="75"/>
      <c r="G181" s="75"/>
      <c r="H181" s="75"/>
      <c r="I181" s="78"/>
      <c r="J181" s="78"/>
    </row>
    <row r="182" spans="1:10" s="79" customFormat="1" ht="150" x14ac:dyDescent="0.35">
      <c r="A182" s="71" t="s">
        <v>160</v>
      </c>
      <c r="B182" s="71"/>
      <c r="C182" s="72" t="s">
        <v>181</v>
      </c>
      <c r="D182" s="80">
        <v>1</v>
      </c>
      <c r="E182" s="73" t="s">
        <v>103</v>
      </c>
      <c r="F182" s="73" t="s">
        <v>104</v>
      </c>
      <c r="G182" s="73" t="s">
        <v>105</v>
      </c>
      <c r="H182" s="72" t="s">
        <v>106</v>
      </c>
      <c r="I182" s="72" t="s">
        <v>284</v>
      </c>
      <c r="J182" s="73"/>
    </row>
    <row r="183" spans="1:10" s="79" customFormat="1" ht="240" x14ac:dyDescent="0.35">
      <c r="A183" s="71" t="s">
        <v>160</v>
      </c>
      <c r="B183" s="71"/>
      <c r="C183" s="72" t="s">
        <v>181</v>
      </c>
      <c r="D183" s="80">
        <v>2</v>
      </c>
      <c r="E183" s="73" t="s">
        <v>161</v>
      </c>
      <c r="F183" s="105" t="s">
        <v>361</v>
      </c>
      <c r="G183" s="88"/>
      <c r="H183" s="72"/>
      <c r="I183" s="72"/>
      <c r="J183" s="73"/>
    </row>
    <row r="184" spans="1:10" s="79" customFormat="1" ht="300" x14ac:dyDescent="0.35">
      <c r="A184" s="71" t="s">
        <v>160</v>
      </c>
      <c r="B184" s="71"/>
      <c r="C184" s="72" t="s">
        <v>181</v>
      </c>
      <c r="D184" s="80">
        <v>3</v>
      </c>
      <c r="E184" s="73" t="s">
        <v>119</v>
      </c>
      <c r="F184" s="106" t="s">
        <v>452</v>
      </c>
      <c r="G184" s="88" t="s">
        <v>360</v>
      </c>
      <c r="H184" s="80"/>
      <c r="I184" s="72"/>
      <c r="J184" s="73"/>
    </row>
    <row r="185" spans="1:10" s="79" customFormat="1" ht="225" x14ac:dyDescent="0.35">
      <c r="A185" s="71" t="s">
        <v>160</v>
      </c>
      <c r="B185" s="71"/>
      <c r="C185" s="72" t="s">
        <v>181</v>
      </c>
      <c r="D185" s="80">
        <v>4</v>
      </c>
      <c r="E185" s="45" t="s">
        <v>359</v>
      </c>
      <c r="F185" s="73" t="s">
        <v>300</v>
      </c>
      <c r="G185" s="73" t="s">
        <v>157</v>
      </c>
      <c r="H185" s="80"/>
      <c r="I185" s="72"/>
      <c r="J185" s="73"/>
    </row>
    <row r="186" spans="1:10" s="79" customFormat="1" ht="315" x14ac:dyDescent="0.35">
      <c r="A186" s="71" t="s">
        <v>160</v>
      </c>
      <c r="B186" s="71"/>
      <c r="C186" s="72" t="s">
        <v>181</v>
      </c>
      <c r="D186" s="80">
        <v>5</v>
      </c>
      <c r="E186" s="45" t="s">
        <v>350</v>
      </c>
      <c r="F186" s="79" t="s">
        <v>299</v>
      </c>
      <c r="G186" s="73" t="s">
        <v>154</v>
      </c>
      <c r="H186" s="80"/>
      <c r="I186" s="72"/>
      <c r="J186" s="73"/>
    </row>
    <row r="187" spans="1:10" s="79" customFormat="1" ht="188.5" x14ac:dyDescent="0.35">
      <c r="A187" s="71" t="s">
        <v>160</v>
      </c>
      <c r="B187" s="71"/>
      <c r="C187" s="72" t="s">
        <v>181</v>
      </c>
      <c r="D187" s="80">
        <v>6</v>
      </c>
      <c r="E187" s="73" t="s">
        <v>141</v>
      </c>
      <c r="F187" s="98" t="s">
        <v>327</v>
      </c>
      <c r="G187" s="73"/>
      <c r="H187" s="80"/>
      <c r="I187" s="72"/>
      <c r="J187" s="73"/>
    </row>
    <row r="188" spans="1:10" s="79" customFormat="1" ht="45" x14ac:dyDescent="0.35">
      <c r="A188" s="71" t="s">
        <v>160</v>
      </c>
      <c r="B188" s="71"/>
      <c r="C188" s="72" t="s">
        <v>181</v>
      </c>
      <c r="D188" s="80">
        <v>7</v>
      </c>
      <c r="E188" s="73" t="s">
        <v>274</v>
      </c>
      <c r="F188" s="73" t="s">
        <v>115</v>
      </c>
      <c r="G188" s="80" t="s">
        <v>123</v>
      </c>
      <c r="H188" s="80"/>
      <c r="I188" s="72"/>
      <c r="J188" s="73"/>
    </row>
    <row r="189" spans="1:10" s="79" customFormat="1" ht="16.5" customHeight="1" x14ac:dyDescent="0.35">
      <c r="A189" s="75"/>
      <c r="B189" s="75" t="s">
        <v>178</v>
      </c>
      <c r="C189" s="76" t="s">
        <v>182</v>
      </c>
      <c r="D189" s="77"/>
      <c r="E189" s="77"/>
      <c r="F189" s="75"/>
      <c r="G189" s="75"/>
      <c r="H189" s="75"/>
      <c r="I189" s="78"/>
      <c r="J189" s="78"/>
    </row>
    <row r="190" spans="1:10" s="79" customFormat="1" ht="105" x14ac:dyDescent="0.35">
      <c r="A190" s="71" t="s">
        <v>160</v>
      </c>
      <c r="B190" s="71"/>
      <c r="C190" s="72" t="s">
        <v>183</v>
      </c>
      <c r="D190" s="80">
        <v>1</v>
      </c>
      <c r="E190" s="73" t="s">
        <v>103</v>
      </c>
      <c r="F190" s="73" t="s">
        <v>104</v>
      </c>
      <c r="G190" s="73" t="s">
        <v>105</v>
      </c>
      <c r="H190" s="72" t="s">
        <v>106</v>
      </c>
      <c r="I190" s="72" t="s">
        <v>184</v>
      </c>
      <c r="J190" s="73"/>
    </row>
    <row r="191" spans="1:10" s="79" customFormat="1" ht="105" x14ac:dyDescent="0.35">
      <c r="A191" s="71" t="s">
        <v>160</v>
      </c>
      <c r="B191" s="71"/>
      <c r="C191" s="72" t="s">
        <v>183</v>
      </c>
      <c r="D191" s="80">
        <v>2</v>
      </c>
      <c r="E191" s="73" t="s">
        <v>185</v>
      </c>
      <c r="F191" s="73" t="s">
        <v>186</v>
      </c>
      <c r="G191" s="73"/>
      <c r="H191" s="72"/>
      <c r="I191" s="72"/>
      <c r="J191" s="73"/>
    </row>
    <row r="192" spans="1:10" s="79" customFormat="1" ht="45" x14ac:dyDescent="0.35">
      <c r="A192" s="71" t="s">
        <v>160</v>
      </c>
      <c r="B192" s="71"/>
      <c r="C192" s="72" t="s">
        <v>183</v>
      </c>
      <c r="D192" s="80">
        <v>3</v>
      </c>
      <c r="E192" s="73" t="s">
        <v>274</v>
      </c>
      <c r="F192" s="73" t="s">
        <v>115</v>
      </c>
      <c r="G192" s="80" t="s">
        <v>123</v>
      </c>
      <c r="H192" s="80"/>
      <c r="I192" s="72"/>
      <c r="J192" s="73"/>
    </row>
    <row r="193" spans="1:10" s="79" customFormat="1" ht="15" customHeight="1" x14ac:dyDescent="0.35">
      <c r="A193" s="75"/>
      <c r="B193" s="75" t="s">
        <v>180</v>
      </c>
      <c r="C193" s="76" t="s">
        <v>187</v>
      </c>
      <c r="D193" s="77"/>
      <c r="E193" s="77"/>
      <c r="F193" s="75"/>
      <c r="G193" s="75"/>
      <c r="H193" s="75"/>
      <c r="I193" s="78"/>
      <c r="J193" s="78"/>
    </row>
    <row r="194" spans="1:10" s="79" customFormat="1" ht="105" x14ac:dyDescent="0.35">
      <c r="A194" s="71" t="s">
        <v>160</v>
      </c>
      <c r="B194" s="71"/>
      <c r="C194" s="72" t="s">
        <v>188</v>
      </c>
      <c r="D194" s="80">
        <v>1</v>
      </c>
      <c r="E194" s="73" t="s">
        <v>103</v>
      </c>
      <c r="F194" s="73" t="s">
        <v>104</v>
      </c>
      <c r="G194" s="73" t="s">
        <v>105</v>
      </c>
      <c r="H194" s="72" t="s">
        <v>106</v>
      </c>
      <c r="I194" s="72" t="s">
        <v>184</v>
      </c>
      <c r="J194" s="73"/>
    </row>
    <row r="195" spans="1:10" s="79" customFormat="1" ht="409.5" x14ac:dyDescent="0.35">
      <c r="A195" s="71" t="s">
        <v>160</v>
      </c>
      <c r="B195" s="71"/>
      <c r="C195" s="72" t="s">
        <v>188</v>
      </c>
      <c r="D195" s="80">
        <v>2</v>
      </c>
      <c r="E195" s="73" t="s">
        <v>185</v>
      </c>
      <c r="F195" s="73" t="s">
        <v>303</v>
      </c>
      <c r="G195" s="85" t="s">
        <v>189</v>
      </c>
      <c r="H195" s="72"/>
      <c r="I195" s="72"/>
      <c r="J195" s="73"/>
    </row>
    <row r="196" spans="1:10" s="79" customFormat="1" ht="45" x14ac:dyDescent="0.35">
      <c r="A196" s="71" t="s">
        <v>160</v>
      </c>
      <c r="B196" s="71"/>
      <c r="C196" s="72" t="s">
        <v>188</v>
      </c>
      <c r="D196" s="80">
        <v>3</v>
      </c>
      <c r="E196" s="73" t="s">
        <v>190</v>
      </c>
      <c r="F196" s="73" t="s">
        <v>191</v>
      </c>
      <c r="G196" s="73"/>
      <c r="H196" s="80"/>
      <c r="I196" s="72"/>
      <c r="J196" s="73"/>
    </row>
    <row r="197" spans="1:10" s="79" customFormat="1" ht="45" x14ac:dyDescent="0.35">
      <c r="A197" s="71" t="s">
        <v>160</v>
      </c>
      <c r="B197" s="71"/>
      <c r="C197" s="72" t="s">
        <v>188</v>
      </c>
      <c r="D197" s="80">
        <v>4</v>
      </c>
      <c r="E197" s="73" t="s">
        <v>274</v>
      </c>
      <c r="F197" s="73" t="s">
        <v>115</v>
      </c>
      <c r="G197" s="80" t="s">
        <v>123</v>
      </c>
      <c r="H197" s="80"/>
      <c r="I197" s="72"/>
      <c r="J197" s="73"/>
    </row>
    <row r="198" spans="1:10" s="48" customFormat="1" x14ac:dyDescent="0.25">
      <c r="A198" s="100"/>
      <c r="B198" s="101" t="s">
        <v>319</v>
      </c>
      <c r="C198" s="101" t="s">
        <v>330</v>
      </c>
      <c r="D198" s="101"/>
      <c r="E198" s="101"/>
      <c r="F198" s="101"/>
      <c r="G198" s="100"/>
      <c r="H198" s="100"/>
      <c r="I198" s="102"/>
      <c r="J198" s="100"/>
    </row>
    <row r="199" spans="1:10" s="48" customFormat="1" ht="150" x14ac:dyDescent="0.25">
      <c r="A199" s="92" t="s">
        <v>160</v>
      </c>
      <c r="B199" s="92"/>
      <c r="C199" s="95" t="s">
        <v>179</v>
      </c>
      <c r="D199" s="94">
        <v>1</v>
      </c>
      <c r="E199" s="73" t="s">
        <v>103</v>
      </c>
      <c r="F199" s="73" t="s">
        <v>104</v>
      </c>
      <c r="G199" s="73" t="s">
        <v>105</v>
      </c>
      <c r="H199" s="72" t="s">
        <v>106</v>
      </c>
      <c r="I199" s="72" t="s">
        <v>284</v>
      </c>
      <c r="J199" s="93"/>
    </row>
    <row r="200" spans="1:10" s="48" customFormat="1" ht="240" x14ac:dyDescent="0.25">
      <c r="A200" s="92" t="s">
        <v>160</v>
      </c>
      <c r="B200" s="92"/>
      <c r="C200" s="95" t="s">
        <v>179</v>
      </c>
      <c r="D200" s="94">
        <v>2</v>
      </c>
      <c r="E200" s="73" t="s">
        <v>161</v>
      </c>
      <c r="F200" s="105" t="s">
        <v>361</v>
      </c>
      <c r="H200" s="72"/>
      <c r="I200" s="72"/>
      <c r="J200" s="93"/>
    </row>
    <row r="201" spans="1:10" s="48" customFormat="1" ht="300" x14ac:dyDescent="0.25">
      <c r="A201" s="92" t="s">
        <v>160</v>
      </c>
      <c r="B201" s="92"/>
      <c r="C201" s="95" t="s">
        <v>179</v>
      </c>
      <c r="D201" s="94">
        <v>3</v>
      </c>
      <c r="E201" s="73" t="s">
        <v>119</v>
      </c>
      <c r="F201" s="106" t="s">
        <v>452</v>
      </c>
      <c r="G201" s="88" t="s">
        <v>355</v>
      </c>
      <c r="H201" s="80"/>
      <c r="I201" s="72"/>
      <c r="J201" s="93"/>
    </row>
    <row r="202" spans="1:10" s="48" customFormat="1" ht="225" x14ac:dyDescent="0.25">
      <c r="A202" s="92" t="s">
        <v>160</v>
      </c>
      <c r="B202" s="92"/>
      <c r="C202" s="95" t="s">
        <v>179</v>
      </c>
      <c r="D202" s="94">
        <v>4</v>
      </c>
      <c r="E202" s="45" t="s">
        <v>359</v>
      </c>
      <c r="F202" s="73" t="s">
        <v>300</v>
      </c>
      <c r="G202" s="73" t="s">
        <v>287</v>
      </c>
      <c r="H202" s="80"/>
      <c r="I202" s="72"/>
      <c r="J202" s="93"/>
    </row>
    <row r="203" spans="1:10" s="48" customFormat="1" ht="409.5" x14ac:dyDescent="0.25">
      <c r="A203" s="92" t="s">
        <v>160</v>
      </c>
      <c r="B203" s="92"/>
      <c r="C203" s="95" t="s">
        <v>179</v>
      </c>
      <c r="D203" s="94">
        <v>5</v>
      </c>
      <c r="E203" s="45" t="s">
        <v>350</v>
      </c>
      <c r="F203" s="79" t="s">
        <v>299</v>
      </c>
      <c r="G203" s="45" t="s">
        <v>351</v>
      </c>
      <c r="H203" s="80"/>
      <c r="I203" s="72"/>
      <c r="J203" s="93"/>
    </row>
    <row r="204" spans="1:10" s="48" customFormat="1" ht="409.5" x14ac:dyDescent="0.25">
      <c r="A204" s="92" t="s">
        <v>160</v>
      </c>
      <c r="B204" s="92"/>
      <c r="C204" s="95" t="s">
        <v>179</v>
      </c>
      <c r="D204" s="94">
        <v>6</v>
      </c>
      <c r="E204" s="93" t="s">
        <v>331</v>
      </c>
      <c r="F204" s="22" t="s">
        <v>332</v>
      </c>
      <c r="G204" s="103"/>
      <c r="H204" s="94"/>
      <c r="I204" s="95"/>
      <c r="J204" s="93"/>
    </row>
    <row r="205" spans="1:10" s="48" customFormat="1" ht="29" x14ac:dyDescent="0.25">
      <c r="A205" s="92" t="s">
        <v>160</v>
      </c>
      <c r="B205" s="92"/>
      <c r="C205" s="95" t="s">
        <v>179</v>
      </c>
      <c r="D205" s="94">
        <v>7</v>
      </c>
      <c r="E205" s="73" t="s">
        <v>274</v>
      </c>
      <c r="F205" s="93" t="s">
        <v>115</v>
      </c>
      <c r="G205" s="94" t="s">
        <v>123</v>
      </c>
      <c r="H205" s="94"/>
      <c r="I205" s="95"/>
      <c r="J205" s="93"/>
    </row>
    <row r="206" spans="1:10" s="48" customFormat="1" x14ac:dyDescent="0.25">
      <c r="A206" s="100"/>
      <c r="B206" s="101" t="s">
        <v>320</v>
      </c>
      <c r="C206" s="101" t="s">
        <v>333</v>
      </c>
      <c r="D206" s="101"/>
      <c r="E206" s="101"/>
      <c r="F206" s="101"/>
      <c r="G206" s="100"/>
      <c r="H206" s="100"/>
      <c r="I206" s="102"/>
      <c r="J206" s="100"/>
    </row>
    <row r="207" spans="1:10" s="48" customFormat="1" ht="150" x14ac:dyDescent="0.25">
      <c r="A207" s="92" t="s">
        <v>160</v>
      </c>
      <c r="B207" s="92"/>
      <c r="C207" s="95" t="s">
        <v>181</v>
      </c>
      <c r="D207" s="94">
        <v>1</v>
      </c>
      <c r="E207" s="73" t="s">
        <v>103</v>
      </c>
      <c r="F207" s="73" t="s">
        <v>104</v>
      </c>
      <c r="G207" s="73" t="s">
        <v>105</v>
      </c>
      <c r="H207" s="72" t="s">
        <v>106</v>
      </c>
      <c r="I207" s="72" t="s">
        <v>284</v>
      </c>
      <c r="J207" s="73"/>
    </row>
    <row r="208" spans="1:10" s="48" customFormat="1" ht="240" x14ac:dyDescent="0.25">
      <c r="A208" s="92" t="s">
        <v>160</v>
      </c>
      <c r="B208" s="92"/>
      <c r="C208" s="95" t="s">
        <v>181</v>
      </c>
      <c r="D208" s="94">
        <v>2</v>
      </c>
      <c r="E208" s="73" t="s">
        <v>161</v>
      </c>
      <c r="F208" s="105" t="s">
        <v>361</v>
      </c>
      <c r="G208" s="88"/>
      <c r="H208" s="72"/>
      <c r="I208" s="72"/>
      <c r="J208" s="73"/>
    </row>
    <row r="209" spans="1:10" s="48" customFormat="1" ht="300" x14ac:dyDescent="0.25">
      <c r="A209" s="92" t="s">
        <v>160</v>
      </c>
      <c r="B209" s="92"/>
      <c r="C209" s="95" t="s">
        <v>181</v>
      </c>
      <c r="D209" s="94">
        <v>3</v>
      </c>
      <c r="E209" s="73" t="s">
        <v>119</v>
      </c>
      <c r="F209" s="106" t="s">
        <v>452</v>
      </c>
      <c r="G209" s="88" t="s">
        <v>360</v>
      </c>
      <c r="H209" s="80"/>
      <c r="I209" s="72"/>
      <c r="J209" s="73"/>
    </row>
    <row r="210" spans="1:10" s="48" customFormat="1" ht="225" x14ac:dyDescent="0.25">
      <c r="A210" s="92" t="s">
        <v>160</v>
      </c>
      <c r="B210" s="92"/>
      <c r="C210" s="95" t="s">
        <v>181</v>
      </c>
      <c r="D210" s="94">
        <v>4</v>
      </c>
      <c r="E210" s="45" t="s">
        <v>359</v>
      </c>
      <c r="F210" s="73" t="s">
        <v>300</v>
      </c>
      <c r="G210" s="45" t="s">
        <v>157</v>
      </c>
      <c r="H210" s="80"/>
      <c r="I210" s="72"/>
      <c r="J210" s="73"/>
    </row>
    <row r="211" spans="1:10" s="48" customFormat="1" ht="409.5" x14ac:dyDescent="0.25">
      <c r="A211" s="92" t="s">
        <v>160</v>
      </c>
      <c r="B211" s="92"/>
      <c r="C211" s="95" t="s">
        <v>181</v>
      </c>
      <c r="D211" s="94">
        <v>5</v>
      </c>
      <c r="E211" s="45" t="s">
        <v>350</v>
      </c>
      <c r="F211" s="79" t="s">
        <v>299</v>
      </c>
      <c r="G211" s="45" t="s">
        <v>351</v>
      </c>
      <c r="H211" s="80"/>
      <c r="I211" s="72"/>
      <c r="J211" s="73"/>
    </row>
    <row r="212" spans="1:10" s="48" customFormat="1" ht="409.5" x14ac:dyDescent="0.25">
      <c r="A212" s="92" t="s">
        <v>160</v>
      </c>
      <c r="B212" s="92"/>
      <c r="C212" s="95" t="s">
        <v>181</v>
      </c>
      <c r="D212" s="94">
        <v>6</v>
      </c>
      <c r="E212" s="93" t="s">
        <v>141</v>
      </c>
      <c r="F212" s="104" t="s">
        <v>334</v>
      </c>
      <c r="G212" s="103"/>
      <c r="H212" s="94"/>
      <c r="I212" s="95"/>
      <c r="J212" s="93"/>
    </row>
    <row r="213" spans="1:10" s="48" customFormat="1" ht="29" x14ac:dyDescent="0.25">
      <c r="A213" s="92" t="s">
        <v>160</v>
      </c>
      <c r="B213" s="92"/>
      <c r="C213" s="95" t="s">
        <v>181</v>
      </c>
      <c r="D213" s="94">
        <v>7</v>
      </c>
      <c r="E213" s="73" t="s">
        <v>274</v>
      </c>
      <c r="F213" s="93" t="s">
        <v>115</v>
      </c>
      <c r="G213" s="94" t="s">
        <v>123</v>
      </c>
      <c r="H213" s="94"/>
      <c r="I213" s="95"/>
      <c r="J213" s="93"/>
    </row>
    <row r="214" spans="1:10" s="48" customFormat="1" x14ac:dyDescent="0.25">
      <c r="A214" s="100"/>
      <c r="B214" s="101" t="s">
        <v>335</v>
      </c>
      <c r="C214" s="101" t="s">
        <v>336</v>
      </c>
      <c r="D214" s="101"/>
      <c r="E214" s="101"/>
      <c r="F214" s="101"/>
      <c r="G214" s="100"/>
      <c r="H214" s="100"/>
      <c r="I214" s="102"/>
      <c r="J214" s="100"/>
    </row>
    <row r="215" spans="1:10" s="48" customFormat="1" ht="150" x14ac:dyDescent="0.25">
      <c r="A215" s="92" t="s">
        <v>75</v>
      </c>
      <c r="B215" s="92"/>
      <c r="C215" s="95" t="s">
        <v>153</v>
      </c>
      <c r="D215" s="94">
        <v>1</v>
      </c>
      <c r="E215" s="73" t="s">
        <v>103</v>
      </c>
      <c r="F215" s="73" t="s">
        <v>104</v>
      </c>
      <c r="G215" s="73" t="s">
        <v>105</v>
      </c>
      <c r="H215" s="72" t="s">
        <v>106</v>
      </c>
      <c r="I215" s="72" t="s">
        <v>275</v>
      </c>
      <c r="J215" s="73"/>
    </row>
    <row r="216" spans="1:10" s="48" customFormat="1" ht="240" x14ac:dyDescent="0.25">
      <c r="A216" s="92" t="s">
        <v>75</v>
      </c>
      <c r="B216" s="92"/>
      <c r="C216" s="95" t="s">
        <v>153</v>
      </c>
      <c r="D216" s="94">
        <v>2</v>
      </c>
      <c r="E216" s="73" t="s">
        <v>108</v>
      </c>
      <c r="F216" s="105" t="s">
        <v>356</v>
      </c>
      <c r="G216" s="88"/>
      <c r="H216" s="72"/>
      <c r="I216" s="72"/>
      <c r="J216" s="73"/>
    </row>
    <row r="217" spans="1:10" s="48" customFormat="1" ht="285" x14ac:dyDescent="0.25">
      <c r="A217" s="92" t="s">
        <v>75</v>
      </c>
      <c r="B217" s="92"/>
      <c r="C217" s="95" t="s">
        <v>153</v>
      </c>
      <c r="D217" s="94">
        <v>3</v>
      </c>
      <c r="E217" s="73" t="s">
        <v>119</v>
      </c>
      <c r="F217" s="106" t="s">
        <v>358</v>
      </c>
      <c r="G217" s="88" t="s">
        <v>357</v>
      </c>
      <c r="H217" s="80"/>
      <c r="I217" s="72"/>
      <c r="J217" s="73"/>
    </row>
    <row r="218" spans="1:10" s="48" customFormat="1" ht="225" x14ac:dyDescent="0.25">
      <c r="A218" s="92" t="s">
        <v>75</v>
      </c>
      <c r="B218" s="92"/>
      <c r="C218" s="95" t="s">
        <v>153</v>
      </c>
      <c r="D218" s="94">
        <v>4</v>
      </c>
      <c r="E218" s="45" t="s">
        <v>359</v>
      </c>
      <c r="F218" s="73" t="s">
        <v>300</v>
      </c>
      <c r="G218" s="73" t="s">
        <v>296</v>
      </c>
      <c r="H218" s="80"/>
      <c r="I218" s="72"/>
      <c r="J218" s="73"/>
    </row>
    <row r="219" spans="1:10" s="48" customFormat="1" ht="409.5" x14ac:dyDescent="0.25">
      <c r="A219" s="92" t="s">
        <v>75</v>
      </c>
      <c r="B219" s="92"/>
      <c r="C219" s="95" t="s">
        <v>153</v>
      </c>
      <c r="D219" s="94">
        <v>5</v>
      </c>
      <c r="E219" s="45" t="s">
        <v>350</v>
      </c>
      <c r="F219" s="79" t="s">
        <v>299</v>
      </c>
      <c r="G219" s="45" t="s">
        <v>351</v>
      </c>
      <c r="H219" s="80"/>
      <c r="I219" s="72"/>
      <c r="J219" s="73"/>
    </row>
    <row r="220" spans="1:10" s="48" customFormat="1" ht="409.5" x14ac:dyDescent="0.25">
      <c r="A220" s="92" t="s">
        <v>75</v>
      </c>
      <c r="B220" s="92"/>
      <c r="C220" s="95" t="s">
        <v>153</v>
      </c>
      <c r="D220" s="94">
        <v>6</v>
      </c>
      <c r="E220" s="93" t="s">
        <v>331</v>
      </c>
      <c r="F220" s="22" t="s">
        <v>332</v>
      </c>
      <c r="G220" s="103"/>
      <c r="H220" s="94"/>
      <c r="I220" s="95"/>
      <c r="J220" s="93"/>
    </row>
    <row r="221" spans="1:10" s="48" customFormat="1" ht="29" x14ac:dyDescent="0.25">
      <c r="A221" s="92" t="s">
        <v>75</v>
      </c>
      <c r="B221" s="92"/>
      <c r="C221" s="95" t="s">
        <v>153</v>
      </c>
      <c r="D221" s="94">
        <v>7</v>
      </c>
      <c r="E221" s="73" t="s">
        <v>274</v>
      </c>
      <c r="F221" s="93" t="s">
        <v>115</v>
      </c>
      <c r="G221" s="94" t="s">
        <v>123</v>
      </c>
      <c r="H221" s="94"/>
      <c r="I221" s="95"/>
      <c r="J221" s="93"/>
    </row>
    <row r="222" spans="1:10" s="48" customFormat="1" x14ac:dyDescent="0.25">
      <c r="A222" s="100"/>
      <c r="B222" s="101" t="s">
        <v>337</v>
      </c>
      <c r="C222" s="101" t="s">
        <v>338</v>
      </c>
      <c r="D222" s="101"/>
      <c r="E222" s="101"/>
      <c r="F222" s="101"/>
      <c r="G222" s="100"/>
      <c r="H222" s="100"/>
      <c r="I222" s="102"/>
      <c r="J222" s="100"/>
    </row>
    <row r="223" spans="1:10" s="48" customFormat="1" ht="150" x14ac:dyDescent="0.25">
      <c r="A223" s="92" t="s">
        <v>75</v>
      </c>
      <c r="B223" s="92"/>
      <c r="C223" s="95" t="s">
        <v>156</v>
      </c>
      <c r="D223" s="94">
        <v>1</v>
      </c>
      <c r="E223" s="73" t="s">
        <v>103</v>
      </c>
      <c r="F223" s="73" t="s">
        <v>104</v>
      </c>
      <c r="G223" s="73" t="s">
        <v>105</v>
      </c>
      <c r="H223" s="72" t="s">
        <v>106</v>
      </c>
      <c r="I223" s="72" t="s">
        <v>275</v>
      </c>
      <c r="J223" s="73"/>
    </row>
    <row r="224" spans="1:10" s="48" customFormat="1" ht="240" x14ac:dyDescent="0.25">
      <c r="A224" s="92" t="s">
        <v>75</v>
      </c>
      <c r="B224" s="92"/>
      <c r="C224" s="95" t="s">
        <v>156</v>
      </c>
      <c r="D224" s="94">
        <v>2</v>
      </c>
      <c r="E224" s="73" t="s">
        <v>108</v>
      </c>
      <c r="F224" s="105" t="s">
        <v>356</v>
      </c>
      <c r="G224" s="88"/>
      <c r="H224" s="72"/>
      <c r="I224" s="72"/>
      <c r="J224" s="73"/>
    </row>
    <row r="225" spans="1:10" s="48" customFormat="1" ht="285" x14ac:dyDescent="0.25">
      <c r="A225" s="92" t="s">
        <v>75</v>
      </c>
      <c r="B225" s="92"/>
      <c r="C225" s="95" t="s">
        <v>156</v>
      </c>
      <c r="D225" s="94">
        <v>3</v>
      </c>
      <c r="E225" s="73" t="s">
        <v>119</v>
      </c>
      <c r="F225" s="106" t="s">
        <v>358</v>
      </c>
      <c r="G225" s="88" t="s">
        <v>357</v>
      </c>
      <c r="H225" s="80"/>
      <c r="I225" s="72"/>
      <c r="J225" s="73"/>
    </row>
    <row r="226" spans="1:10" s="48" customFormat="1" ht="225" x14ac:dyDescent="0.25">
      <c r="A226" s="92" t="s">
        <v>75</v>
      </c>
      <c r="B226" s="92"/>
      <c r="C226" s="95" t="s">
        <v>156</v>
      </c>
      <c r="D226" s="94">
        <v>4</v>
      </c>
      <c r="E226" s="45" t="s">
        <v>359</v>
      </c>
      <c r="F226" s="73" t="s">
        <v>300</v>
      </c>
      <c r="G226" s="73" t="s">
        <v>157</v>
      </c>
      <c r="H226" s="80"/>
      <c r="I226" s="72"/>
      <c r="J226" s="73"/>
    </row>
    <row r="227" spans="1:10" s="48" customFormat="1" ht="409.5" x14ac:dyDescent="0.25">
      <c r="A227" s="92" t="s">
        <v>75</v>
      </c>
      <c r="B227" s="92"/>
      <c r="C227" s="95" t="s">
        <v>156</v>
      </c>
      <c r="D227" s="94">
        <v>5</v>
      </c>
      <c r="E227" s="45" t="s">
        <v>350</v>
      </c>
      <c r="F227" s="79" t="s">
        <v>299</v>
      </c>
      <c r="G227" s="45" t="s">
        <v>351</v>
      </c>
      <c r="H227" s="80"/>
      <c r="I227" s="72"/>
      <c r="J227" s="73"/>
    </row>
    <row r="228" spans="1:10" s="48" customFormat="1" ht="188.5" x14ac:dyDescent="0.25">
      <c r="A228" s="92" t="s">
        <v>75</v>
      </c>
      <c r="B228" s="92"/>
      <c r="C228" s="95" t="s">
        <v>156</v>
      </c>
      <c r="D228" s="94">
        <v>6</v>
      </c>
      <c r="E228" s="73" t="s">
        <v>141</v>
      </c>
      <c r="F228" s="98" t="s">
        <v>327</v>
      </c>
      <c r="G228" s="73"/>
      <c r="H228" s="80"/>
      <c r="I228" s="72"/>
      <c r="J228" s="73"/>
    </row>
    <row r="229" spans="1:10" s="48" customFormat="1" ht="29" x14ac:dyDescent="0.25">
      <c r="A229" s="92" t="s">
        <v>75</v>
      </c>
      <c r="B229" s="92"/>
      <c r="C229" s="95" t="s">
        <v>156</v>
      </c>
      <c r="D229" s="94">
        <v>7</v>
      </c>
      <c r="E229" s="73" t="s">
        <v>274</v>
      </c>
      <c r="F229" s="73" t="s">
        <v>115</v>
      </c>
      <c r="G229" s="80" t="s">
        <v>123</v>
      </c>
      <c r="H229" s="80"/>
      <c r="I229" s="72"/>
      <c r="J229" s="73"/>
    </row>
    <row r="230" spans="1:10" s="48" customFormat="1" ht="15" x14ac:dyDescent="0.25">
      <c r="A230" s="75"/>
      <c r="B230" s="101" t="s">
        <v>339</v>
      </c>
      <c r="C230" s="101" t="s">
        <v>308</v>
      </c>
      <c r="D230" s="77"/>
      <c r="E230" s="77"/>
      <c r="F230" s="75"/>
      <c r="G230" s="75"/>
      <c r="H230" s="75"/>
      <c r="I230" s="78"/>
      <c r="J230" s="78"/>
    </row>
    <row r="231" spans="1:10" s="48" customFormat="1" ht="30" x14ac:dyDescent="0.35">
      <c r="A231" s="92" t="s">
        <v>75</v>
      </c>
      <c r="B231" s="96"/>
      <c r="C231" s="92" t="s">
        <v>308</v>
      </c>
      <c r="D231" s="94">
        <v>1</v>
      </c>
      <c r="E231" s="95" t="s">
        <v>76</v>
      </c>
      <c r="F231" s="92"/>
      <c r="G231" s="92"/>
      <c r="H231" s="42" t="s">
        <v>77</v>
      </c>
      <c r="I231" s="41" t="s">
        <v>78</v>
      </c>
      <c r="J231" s="73"/>
    </row>
    <row r="232" spans="1:10" s="48" customFormat="1" ht="87" x14ac:dyDescent="0.25">
      <c r="A232" s="92" t="s">
        <v>75</v>
      </c>
      <c r="B232" s="92"/>
      <c r="C232" s="92" t="s">
        <v>308</v>
      </c>
      <c r="D232" s="94">
        <v>2</v>
      </c>
      <c r="E232" s="95" t="s">
        <v>354</v>
      </c>
      <c r="F232" s="93" t="s">
        <v>80</v>
      </c>
      <c r="G232" s="92" t="s">
        <v>309</v>
      </c>
      <c r="H232" s="44"/>
      <c r="I232" s="46" t="s">
        <v>82</v>
      </c>
      <c r="J232" s="73"/>
    </row>
    <row r="233" spans="1:10" s="48" customFormat="1" ht="43.5" x14ac:dyDescent="0.25">
      <c r="A233" s="92" t="s">
        <v>75</v>
      </c>
      <c r="B233" s="92"/>
      <c r="C233" s="92" t="s">
        <v>308</v>
      </c>
      <c r="D233" s="94">
        <v>3</v>
      </c>
      <c r="E233" s="95" t="s">
        <v>310</v>
      </c>
      <c r="F233" s="95" t="s">
        <v>311</v>
      </c>
      <c r="G233" s="95"/>
      <c r="H233" s="95"/>
      <c r="I233" s="95"/>
      <c r="J233" s="73"/>
    </row>
    <row r="234" spans="1:10" s="48" customFormat="1" ht="43.5" x14ac:dyDescent="0.25">
      <c r="A234" s="92" t="s">
        <v>75</v>
      </c>
      <c r="B234" s="92"/>
      <c r="C234" s="92" t="s">
        <v>308</v>
      </c>
      <c r="D234" s="94">
        <v>4</v>
      </c>
      <c r="E234" s="95" t="s">
        <v>312</v>
      </c>
      <c r="F234" s="95" t="s">
        <v>86</v>
      </c>
      <c r="G234" s="95"/>
      <c r="H234" s="95"/>
      <c r="I234" s="95"/>
      <c r="J234" s="73"/>
    </row>
    <row r="235" spans="1:10" s="48" customFormat="1" ht="29" x14ac:dyDescent="0.25">
      <c r="A235" s="92" t="s">
        <v>75</v>
      </c>
      <c r="B235" s="92"/>
      <c r="C235" s="92" t="s">
        <v>308</v>
      </c>
      <c r="D235" s="94">
        <v>5</v>
      </c>
      <c r="E235" s="95" t="s">
        <v>87</v>
      </c>
      <c r="F235" s="95" t="s">
        <v>88</v>
      </c>
      <c r="G235" s="95"/>
      <c r="H235" s="95"/>
      <c r="I235" s="95"/>
      <c r="J235" s="73"/>
    </row>
    <row r="236" spans="1:10" s="48" customFormat="1" ht="87" x14ac:dyDescent="0.25">
      <c r="A236" s="92" t="s">
        <v>75</v>
      </c>
      <c r="B236" s="92"/>
      <c r="C236" s="92" t="s">
        <v>308</v>
      </c>
      <c r="D236" s="94">
        <v>6</v>
      </c>
      <c r="E236" s="95" t="s">
        <v>89</v>
      </c>
      <c r="F236" s="95" t="s">
        <v>313</v>
      </c>
      <c r="G236" s="95" t="s">
        <v>314</v>
      </c>
      <c r="H236" s="95"/>
      <c r="I236" s="95"/>
      <c r="J236" s="73"/>
    </row>
    <row r="237" spans="1:10" s="48" customFormat="1" ht="261" x14ac:dyDescent="0.25">
      <c r="A237" s="92" t="s">
        <v>75</v>
      </c>
      <c r="B237" s="92"/>
      <c r="C237" s="92" t="s">
        <v>308</v>
      </c>
      <c r="D237" s="94">
        <v>7</v>
      </c>
      <c r="E237" s="93" t="s">
        <v>315</v>
      </c>
      <c r="F237" s="93" t="s">
        <v>321</v>
      </c>
      <c r="G237" s="93" t="s">
        <v>316</v>
      </c>
      <c r="H237" s="93"/>
      <c r="I237" s="93"/>
      <c r="J237" s="73"/>
    </row>
    <row r="238" spans="1:10" s="48" customFormat="1" ht="15" x14ac:dyDescent="0.25">
      <c r="A238" s="75"/>
      <c r="B238" s="101" t="s">
        <v>340</v>
      </c>
      <c r="C238" s="101" t="s">
        <v>317</v>
      </c>
      <c r="D238" s="77"/>
      <c r="E238" s="77"/>
      <c r="F238" s="75"/>
      <c r="G238" s="75"/>
      <c r="H238" s="75"/>
      <c r="I238" s="78"/>
      <c r="J238" s="78"/>
    </row>
    <row r="239" spans="1:10" s="48" customFormat="1" ht="30" x14ac:dyDescent="0.35">
      <c r="A239" s="92" t="s">
        <v>75</v>
      </c>
      <c r="B239" s="96"/>
      <c r="C239" s="92" t="s">
        <v>317</v>
      </c>
      <c r="D239" s="94">
        <v>1</v>
      </c>
      <c r="E239" s="95" t="s">
        <v>76</v>
      </c>
      <c r="F239" s="92"/>
      <c r="G239" s="92"/>
      <c r="H239" s="42" t="s">
        <v>77</v>
      </c>
      <c r="I239" s="41" t="s">
        <v>78</v>
      </c>
      <c r="J239" s="73"/>
    </row>
    <row r="240" spans="1:10" s="48" customFormat="1" ht="87" x14ac:dyDescent="0.25">
      <c r="A240" s="92" t="s">
        <v>75</v>
      </c>
      <c r="B240" s="92"/>
      <c r="C240" s="92" t="s">
        <v>317</v>
      </c>
      <c r="D240" s="94">
        <v>2</v>
      </c>
      <c r="E240" s="95" t="s">
        <v>352</v>
      </c>
      <c r="F240" s="93" t="s">
        <v>80</v>
      </c>
      <c r="G240" s="92" t="s">
        <v>309</v>
      </c>
      <c r="H240" s="44"/>
      <c r="I240" s="46" t="s">
        <v>82</v>
      </c>
      <c r="J240" s="73"/>
    </row>
    <row r="241" spans="1:10" s="48" customFormat="1" ht="43.5" x14ac:dyDescent="0.25">
      <c r="A241" s="92" t="s">
        <v>75</v>
      </c>
      <c r="B241" s="92"/>
      <c r="C241" s="92" t="s">
        <v>317</v>
      </c>
      <c r="D241" s="94">
        <v>3</v>
      </c>
      <c r="E241" s="95" t="s">
        <v>310</v>
      </c>
      <c r="F241" s="95" t="s">
        <v>311</v>
      </c>
      <c r="G241" s="95"/>
      <c r="H241" s="95"/>
      <c r="I241" s="95"/>
      <c r="J241" s="73"/>
    </row>
    <row r="242" spans="1:10" s="48" customFormat="1" ht="43.5" x14ac:dyDescent="0.25">
      <c r="A242" s="92" t="s">
        <v>75</v>
      </c>
      <c r="B242" s="92"/>
      <c r="C242" s="92" t="s">
        <v>317</v>
      </c>
      <c r="D242" s="94">
        <v>4</v>
      </c>
      <c r="E242" s="95" t="s">
        <v>312</v>
      </c>
      <c r="F242" s="95" t="s">
        <v>86</v>
      </c>
      <c r="G242" s="95"/>
      <c r="H242" s="95"/>
      <c r="I242" s="95"/>
      <c r="J242" s="73"/>
    </row>
    <row r="243" spans="1:10" s="48" customFormat="1" ht="29" x14ac:dyDescent="0.25">
      <c r="A243" s="92" t="s">
        <v>75</v>
      </c>
      <c r="B243" s="92"/>
      <c r="C243" s="92" t="s">
        <v>317</v>
      </c>
      <c r="D243" s="94">
        <v>5</v>
      </c>
      <c r="E243" s="95" t="s">
        <v>87</v>
      </c>
      <c r="F243" s="95" t="s">
        <v>88</v>
      </c>
      <c r="G243" s="95"/>
      <c r="H243" s="95"/>
      <c r="I243" s="95"/>
      <c r="J243" s="73"/>
    </row>
    <row r="244" spans="1:10" s="48" customFormat="1" ht="43.5" x14ac:dyDescent="0.25">
      <c r="A244" s="92" t="s">
        <v>75</v>
      </c>
      <c r="B244" s="92"/>
      <c r="C244" s="92" t="s">
        <v>317</v>
      </c>
      <c r="D244" s="94">
        <v>6</v>
      </c>
      <c r="E244" s="95" t="s">
        <v>89</v>
      </c>
      <c r="F244" s="95" t="s">
        <v>353</v>
      </c>
      <c r="G244" s="95"/>
      <c r="H244" s="95"/>
      <c r="I244" s="95"/>
      <c r="J244" s="73"/>
    </row>
    <row r="245" spans="1:10" s="48" customFormat="1" ht="409.5" x14ac:dyDescent="0.25">
      <c r="A245" s="92" t="s">
        <v>75</v>
      </c>
      <c r="B245" s="92"/>
      <c r="C245" s="92" t="s">
        <v>317</v>
      </c>
      <c r="D245" s="94">
        <v>7</v>
      </c>
      <c r="E245" s="93" t="s">
        <v>318</v>
      </c>
      <c r="F245" s="93" t="s">
        <v>322</v>
      </c>
      <c r="G245" s="93"/>
      <c r="H245" s="93"/>
      <c r="I245" s="93"/>
      <c r="J245" s="73"/>
    </row>
    <row r="246" spans="1:10" s="48" customFormat="1" ht="15" x14ac:dyDescent="0.25">
      <c r="A246" s="37"/>
      <c r="B246" s="37" t="s">
        <v>372</v>
      </c>
      <c r="C246" s="47" t="s">
        <v>371</v>
      </c>
      <c r="D246" s="38"/>
      <c r="E246" s="38"/>
      <c r="F246" s="37"/>
      <c r="G246" s="37"/>
      <c r="H246" s="37"/>
      <c r="I246" s="39"/>
      <c r="J246" s="39"/>
    </row>
    <row r="247" spans="1:10" s="48" customFormat="1" ht="135" x14ac:dyDescent="0.25">
      <c r="A247" s="1" t="s">
        <v>75</v>
      </c>
      <c r="B247" s="1"/>
      <c r="C247" s="21" t="s">
        <v>371</v>
      </c>
      <c r="D247" s="44">
        <v>1</v>
      </c>
      <c r="E247" s="45" t="s">
        <v>103</v>
      </c>
      <c r="F247" s="45" t="s">
        <v>104</v>
      </c>
      <c r="G247" s="45" t="s">
        <v>105</v>
      </c>
      <c r="H247" s="21" t="s">
        <v>106</v>
      </c>
      <c r="I247" s="21" t="s">
        <v>144</v>
      </c>
      <c r="J247" s="45"/>
    </row>
    <row r="248" spans="1:10" s="48" customFormat="1" ht="255" x14ac:dyDescent="0.25">
      <c r="A248" s="1" t="s">
        <v>75</v>
      </c>
      <c r="B248" s="1"/>
      <c r="C248" s="21" t="s">
        <v>371</v>
      </c>
      <c r="D248" s="44">
        <v>2</v>
      </c>
      <c r="E248" s="45" t="s">
        <v>108</v>
      </c>
      <c r="F248" s="105" t="s">
        <v>366</v>
      </c>
      <c r="G248" s="88"/>
      <c r="H248" s="21"/>
      <c r="I248" s="21"/>
      <c r="J248" s="45"/>
    </row>
    <row r="249" spans="1:10" s="48" customFormat="1" ht="285" x14ac:dyDescent="0.25">
      <c r="A249" s="1" t="s">
        <v>75</v>
      </c>
      <c r="B249" s="1"/>
      <c r="C249" s="21" t="s">
        <v>371</v>
      </c>
      <c r="D249" s="44">
        <v>3</v>
      </c>
      <c r="E249" s="45" t="s">
        <v>119</v>
      </c>
      <c r="F249" s="106" t="s">
        <v>450</v>
      </c>
      <c r="G249" s="88" t="s">
        <v>357</v>
      </c>
      <c r="H249" s="44"/>
      <c r="I249" s="21"/>
      <c r="J249" s="45"/>
    </row>
    <row r="250" spans="1:10" s="48" customFormat="1" ht="225" x14ac:dyDescent="0.25">
      <c r="A250" s="1" t="s">
        <v>75</v>
      </c>
      <c r="B250" s="1"/>
      <c r="C250" s="21" t="s">
        <v>371</v>
      </c>
      <c r="D250" s="44">
        <v>4</v>
      </c>
      <c r="E250" s="45" t="s">
        <v>449</v>
      </c>
      <c r="F250" s="73" t="s">
        <v>300</v>
      </c>
      <c r="G250" s="45" t="s">
        <v>145</v>
      </c>
      <c r="H250" s="44"/>
      <c r="I250" s="21"/>
      <c r="J250" s="45"/>
    </row>
    <row r="251" spans="1:10" s="48" customFormat="1" ht="30" x14ac:dyDescent="0.25">
      <c r="A251" s="1" t="s">
        <v>75</v>
      </c>
      <c r="B251" s="1"/>
      <c r="C251" s="21" t="s">
        <v>371</v>
      </c>
      <c r="D251" s="44">
        <v>5</v>
      </c>
      <c r="E251" s="73" t="s">
        <v>274</v>
      </c>
      <c r="F251" s="45" t="s">
        <v>115</v>
      </c>
      <c r="G251" s="44" t="s">
        <v>123</v>
      </c>
      <c r="H251" s="44"/>
      <c r="I251" s="21"/>
      <c r="J251" s="45"/>
    </row>
    <row r="252" spans="1:10" s="48" customFormat="1" ht="15" x14ac:dyDescent="0.25">
      <c r="A252" s="75"/>
      <c r="B252" s="141" t="s">
        <v>373</v>
      </c>
      <c r="C252" s="142" t="s">
        <v>374</v>
      </c>
      <c r="D252" s="77"/>
      <c r="E252" s="77"/>
      <c r="F252" s="75"/>
      <c r="G252" s="75"/>
      <c r="H252" s="75"/>
      <c r="I252" s="78"/>
      <c r="J252" s="78"/>
    </row>
    <row r="253" spans="1:10" s="48" customFormat="1" ht="150" x14ac:dyDescent="0.25">
      <c r="A253" s="71" t="s">
        <v>160</v>
      </c>
      <c r="B253" s="71"/>
      <c r="C253" s="21" t="s">
        <v>374</v>
      </c>
      <c r="D253" s="80">
        <v>1</v>
      </c>
      <c r="E253" s="73" t="s">
        <v>103</v>
      </c>
      <c r="F253" s="73" t="s">
        <v>104</v>
      </c>
      <c r="G253" s="73" t="s">
        <v>105</v>
      </c>
      <c r="H253" s="72" t="s">
        <v>106</v>
      </c>
      <c r="I253" s="72" t="s">
        <v>284</v>
      </c>
      <c r="J253" s="73"/>
    </row>
    <row r="254" spans="1:10" s="48" customFormat="1" ht="240" x14ac:dyDescent="0.25">
      <c r="A254" s="71" t="s">
        <v>160</v>
      </c>
      <c r="B254" s="71"/>
      <c r="C254" s="21" t="s">
        <v>374</v>
      </c>
      <c r="D254" s="80">
        <v>2</v>
      </c>
      <c r="E254" s="73" t="s">
        <v>161</v>
      </c>
      <c r="F254" s="105" t="s">
        <v>361</v>
      </c>
      <c r="G254" s="88"/>
      <c r="H254" s="72"/>
      <c r="I254" s="72"/>
      <c r="J254" s="73"/>
    </row>
    <row r="255" spans="1:10" s="48" customFormat="1" ht="300" x14ac:dyDescent="0.25">
      <c r="A255" s="71" t="s">
        <v>160</v>
      </c>
      <c r="B255" s="71"/>
      <c r="C255" s="21" t="s">
        <v>374</v>
      </c>
      <c r="D255" s="80">
        <v>3</v>
      </c>
      <c r="E255" s="73" t="s">
        <v>119</v>
      </c>
      <c r="F255" s="106" t="s">
        <v>451</v>
      </c>
      <c r="G255" s="88" t="s">
        <v>360</v>
      </c>
      <c r="H255" s="80"/>
      <c r="I255" s="72"/>
      <c r="J255" s="73"/>
    </row>
    <row r="256" spans="1:10" s="48" customFormat="1" ht="225" x14ac:dyDescent="0.25">
      <c r="A256" s="71" t="s">
        <v>160</v>
      </c>
      <c r="B256" s="71"/>
      <c r="C256" s="21" t="s">
        <v>374</v>
      </c>
      <c r="D256" s="80">
        <v>4</v>
      </c>
      <c r="E256" s="45" t="s">
        <v>449</v>
      </c>
      <c r="F256" s="73" t="s">
        <v>300</v>
      </c>
      <c r="G256" s="73" t="s">
        <v>289</v>
      </c>
      <c r="H256" s="80"/>
      <c r="I256" s="72"/>
      <c r="J256" s="73"/>
    </row>
    <row r="257" spans="1:10" s="48" customFormat="1" ht="45" x14ac:dyDescent="0.25">
      <c r="A257" s="71" t="s">
        <v>160</v>
      </c>
      <c r="B257" s="71"/>
      <c r="C257" s="21" t="s">
        <v>374</v>
      </c>
      <c r="D257" s="80">
        <v>5</v>
      </c>
      <c r="E257" s="73" t="s">
        <v>274</v>
      </c>
      <c r="F257" s="73" t="s">
        <v>115</v>
      </c>
      <c r="G257" s="80" t="s">
        <v>123</v>
      </c>
      <c r="H257" s="80"/>
      <c r="I257" s="72"/>
      <c r="J257" s="73"/>
    </row>
    <row r="258" spans="1:10" s="48" customFormat="1" ht="15" x14ac:dyDescent="0.25">
      <c r="A258" s="107"/>
      <c r="B258" s="107"/>
      <c r="C258" s="107"/>
      <c r="D258" s="108"/>
      <c r="E258" s="109"/>
      <c r="F258" s="109"/>
      <c r="G258" s="109"/>
      <c r="H258" s="109"/>
      <c r="I258" s="109"/>
      <c r="J258" s="110"/>
    </row>
    <row r="259" spans="1:10" s="48" customFormat="1" ht="15" x14ac:dyDescent="0.25">
      <c r="A259" s="107"/>
      <c r="B259" s="107"/>
      <c r="C259" s="107"/>
      <c r="D259" s="108"/>
      <c r="E259" s="109"/>
      <c r="F259" s="109"/>
      <c r="G259" s="109"/>
      <c r="H259" s="109"/>
      <c r="I259" s="109"/>
      <c r="J259" s="110"/>
    </row>
    <row r="260" spans="1:10" s="48" customFormat="1" ht="15" x14ac:dyDescent="0.25">
      <c r="A260" s="107"/>
      <c r="B260" s="107"/>
      <c r="C260" s="107"/>
      <c r="D260" s="108"/>
      <c r="E260" s="109"/>
      <c r="F260" s="109"/>
      <c r="G260" s="109"/>
      <c r="H260" s="109"/>
      <c r="I260" s="109"/>
      <c r="J260" s="110"/>
    </row>
    <row r="261" spans="1:10" s="48" customFormat="1" ht="15" x14ac:dyDescent="0.25">
      <c r="A261" s="107"/>
      <c r="B261" s="107"/>
      <c r="C261" s="107"/>
      <c r="D261" s="108"/>
      <c r="E261" s="109"/>
      <c r="F261" s="109"/>
      <c r="G261" s="109"/>
      <c r="H261" s="109"/>
      <c r="I261" s="109"/>
      <c r="J261" s="110"/>
    </row>
    <row r="262" spans="1:10" s="48" customFormat="1" ht="15" x14ac:dyDescent="0.25">
      <c r="A262" s="107"/>
      <c r="B262" s="107"/>
      <c r="C262" s="107"/>
      <c r="D262" s="108"/>
      <c r="E262" s="109"/>
      <c r="F262" s="109"/>
      <c r="G262" s="109"/>
      <c r="H262" s="109"/>
      <c r="I262" s="109"/>
      <c r="J262" s="110"/>
    </row>
    <row r="263" spans="1:10" s="48" customFormat="1" ht="15" x14ac:dyDescent="0.25">
      <c r="A263" s="107"/>
      <c r="B263" s="107"/>
      <c r="C263" s="107"/>
      <c r="D263" s="108"/>
      <c r="E263" s="109"/>
      <c r="F263" s="109"/>
      <c r="G263" s="109"/>
      <c r="H263" s="109"/>
      <c r="I263" s="109"/>
      <c r="J263" s="110"/>
    </row>
    <row r="264" spans="1:10" s="48" customFormat="1" ht="15" x14ac:dyDescent="0.25">
      <c r="A264" s="107"/>
      <c r="B264" s="107"/>
      <c r="C264" s="107"/>
      <c r="D264" s="108"/>
      <c r="E264" s="109"/>
      <c r="F264" s="109"/>
      <c r="G264" s="109"/>
      <c r="H264" s="109"/>
      <c r="I264" s="109"/>
      <c r="J264" s="110"/>
    </row>
    <row r="265" spans="1:10" s="48" customFormat="1" ht="15" x14ac:dyDescent="0.25">
      <c r="A265" s="107"/>
      <c r="B265" s="107"/>
      <c r="C265" s="107"/>
      <c r="D265" s="108"/>
      <c r="E265" s="109"/>
      <c r="F265" s="109"/>
      <c r="G265" s="109"/>
      <c r="H265" s="109"/>
      <c r="I265" s="109"/>
      <c r="J265" s="110"/>
    </row>
    <row r="266" spans="1:10" s="48" customFormat="1" x14ac:dyDescent="0.35">
      <c r="A266" s="26"/>
      <c r="B266" s="26"/>
      <c r="C266" s="26"/>
      <c r="D266" s="26"/>
      <c r="E266" s="26"/>
      <c r="F266" s="26"/>
      <c r="G266" s="26"/>
      <c r="H266" s="26"/>
    </row>
    <row r="267" spans="1:10" s="48" customFormat="1" x14ac:dyDescent="0.35">
      <c r="A267" s="26"/>
      <c r="B267" s="26"/>
      <c r="C267" s="26"/>
      <c r="D267" s="26"/>
      <c r="E267" s="26"/>
      <c r="F267" s="26"/>
      <c r="G267" s="26"/>
      <c r="H267" s="26"/>
    </row>
    <row r="268" spans="1:10" s="48" customFormat="1" x14ac:dyDescent="0.35">
      <c r="A268" s="26"/>
      <c r="B268" s="26"/>
      <c r="C268" s="26"/>
      <c r="D268" s="26"/>
      <c r="E268" s="26"/>
      <c r="F268" s="26"/>
      <c r="G268" s="26"/>
      <c r="H268" s="26"/>
    </row>
    <row r="269" spans="1:10" s="48" customFormat="1" x14ac:dyDescent="0.35">
      <c r="A269" s="26"/>
      <c r="B269" s="26"/>
      <c r="C269" s="26"/>
      <c r="D269" s="26"/>
      <c r="E269" s="26"/>
      <c r="F269" s="26"/>
      <c r="G269" s="26"/>
      <c r="H269" s="26"/>
    </row>
    <row r="270" spans="1:10" s="48" customFormat="1" x14ac:dyDescent="0.35">
      <c r="A270" s="26"/>
      <c r="B270" s="26"/>
      <c r="C270" s="26"/>
      <c r="D270" s="26"/>
      <c r="E270" s="26"/>
      <c r="F270" s="26"/>
      <c r="G270" s="26"/>
      <c r="H270" s="26"/>
    </row>
    <row r="271" spans="1:10" s="48" customFormat="1" x14ac:dyDescent="0.35">
      <c r="A271" s="26"/>
      <c r="B271" s="26"/>
      <c r="C271" s="26"/>
      <c r="D271" s="26"/>
      <c r="E271" s="26"/>
      <c r="F271" s="26"/>
      <c r="G271" s="26"/>
      <c r="H271" s="26"/>
    </row>
    <row r="272" spans="1:10" s="48" customFormat="1" x14ac:dyDescent="0.35">
      <c r="A272" s="26"/>
      <c r="B272" s="26"/>
      <c r="C272" s="26"/>
      <c r="D272" s="26"/>
      <c r="E272" s="26"/>
      <c r="F272" s="26"/>
      <c r="G272" s="26"/>
      <c r="H272" s="26"/>
    </row>
    <row r="273" spans="1:8" s="48" customFormat="1" x14ac:dyDescent="0.35">
      <c r="A273" s="26"/>
      <c r="B273" s="26"/>
      <c r="C273" s="26"/>
      <c r="D273" s="26"/>
      <c r="E273" s="26"/>
      <c r="F273" s="26"/>
      <c r="G273" s="26"/>
      <c r="H273" s="26"/>
    </row>
    <row r="274" spans="1:8" s="48" customFormat="1" x14ac:dyDescent="0.35">
      <c r="A274" s="26"/>
      <c r="B274" s="26"/>
      <c r="C274" s="26"/>
      <c r="D274" s="26"/>
      <c r="E274" s="26"/>
      <c r="F274" s="26"/>
      <c r="G274" s="26"/>
      <c r="H274" s="26"/>
    </row>
    <row r="275" spans="1:8" s="48" customFormat="1" x14ac:dyDescent="0.35">
      <c r="A275" s="26"/>
      <c r="B275" s="26"/>
      <c r="C275" s="26"/>
      <c r="D275" s="26"/>
      <c r="E275" s="26"/>
      <c r="F275" s="26"/>
      <c r="G275" s="26"/>
      <c r="H275" s="26"/>
    </row>
    <row r="276" spans="1:8" s="48" customFormat="1" x14ac:dyDescent="0.35">
      <c r="A276" s="26"/>
      <c r="B276" s="26"/>
      <c r="C276" s="26"/>
      <c r="D276" s="26"/>
      <c r="E276" s="26"/>
      <c r="F276" s="26"/>
      <c r="G276" s="26"/>
      <c r="H276" s="26"/>
    </row>
    <row r="277" spans="1:8" s="48" customFormat="1" x14ac:dyDescent="0.35">
      <c r="A277" s="26"/>
      <c r="B277" s="26"/>
      <c r="C277" s="26"/>
      <c r="D277" s="26"/>
      <c r="E277" s="26"/>
      <c r="F277" s="26"/>
      <c r="G277" s="26"/>
      <c r="H277" s="26"/>
    </row>
    <row r="278" spans="1:8" s="48" customFormat="1" x14ac:dyDescent="0.35">
      <c r="A278" s="26"/>
      <c r="B278" s="26"/>
      <c r="C278" s="26"/>
      <c r="D278" s="26"/>
      <c r="E278" s="26"/>
      <c r="F278" s="26"/>
      <c r="G278" s="26"/>
      <c r="H278" s="26"/>
    </row>
    <row r="279" spans="1:8" s="48" customFormat="1" x14ac:dyDescent="0.35">
      <c r="A279" s="26"/>
      <c r="B279" s="26"/>
      <c r="C279" s="26"/>
      <c r="D279" s="26"/>
      <c r="E279" s="26"/>
      <c r="F279" s="26"/>
      <c r="G279" s="26"/>
      <c r="H279" s="26"/>
    </row>
    <row r="280" spans="1:8" s="48" customFormat="1" x14ac:dyDescent="0.35">
      <c r="A280" s="26"/>
      <c r="B280" s="26"/>
      <c r="C280" s="26"/>
      <c r="D280" s="26"/>
      <c r="E280" s="26"/>
      <c r="F280" s="26"/>
      <c r="G280" s="26"/>
      <c r="H280" s="26"/>
    </row>
    <row r="281" spans="1:8" s="48" customFormat="1" x14ac:dyDescent="0.35">
      <c r="A281" s="26"/>
      <c r="B281" s="26"/>
      <c r="C281" s="26"/>
      <c r="D281" s="26"/>
      <c r="E281" s="26"/>
      <c r="F281" s="26"/>
      <c r="G281" s="26"/>
      <c r="H281" s="26"/>
    </row>
    <row r="282" spans="1:8" s="48" customFormat="1" x14ac:dyDescent="0.35">
      <c r="A282" s="26"/>
      <c r="B282" s="26"/>
      <c r="C282" s="26"/>
      <c r="D282" s="26"/>
      <c r="E282" s="26"/>
      <c r="F282" s="26"/>
      <c r="G282" s="26"/>
      <c r="H282" s="26"/>
    </row>
    <row r="283" spans="1:8" s="48" customFormat="1" x14ac:dyDescent="0.35">
      <c r="A283" s="26"/>
      <c r="B283" s="26"/>
      <c r="C283" s="26"/>
      <c r="D283" s="26"/>
      <c r="E283" s="26"/>
      <c r="F283" s="26"/>
      <c r="G283" s="26"/>
      <c r="H283" s="26"/>
    </row>
    <row r="284" spans="1:8" s="48" customFormat="1" x14ac:dyDescent="0.35">
      <c r="A284" s="26"/>
      <c r="B284" s="26"/>
      <c r="C284" s="26"/>
      <c r="D284" s="26"/>
      <c r="E284" s="26"/>
      <c r="F284" s="26"/>
      <c r="G284" s="26"/>
      <c r="H284" s="26"/>
    </row>
    <row r="285" spans="1:8" s="48" customFormat="1" x14ac:dyDescent="0.35">
      <c r="A285" s="26"/>
      <c r="B285" s="26"/>
      <c r="C285" s="26"/>
      <c r="D285" s="26"/>
      <c r="E285" s="26"/>
      <c r="F285" s="26"/>
      <c r="G285" s="26"/>
      <c r="H285" s="26"/>
    </row>
    <row r="286" spans="1:8" s="48" customFormat="1" x14ac:dyDescent="0.35">
      <c r="A286" s="26"/>
      <c r="B286" s="26"/>
      <c r="C286" s="26"/>
      <c r="D286" s="26"/>
      <c r="E286" s="26"/>
      <c r="F286" s="26"/>
      <c r="G286" s="26"/>
      <c r="H286" s="26"/>
    </row>
    <row r="287" spans="1:8" s="48" customFormat="1" x14ac:dyDescent="0.35">
      <c r="A287" s="26"/>
      <c r="B287" s="26"/>
      <c r="C287" s="26"/>
      <c r="D287" s="26"/>
      <c r="E287" s="26"/>
      <c r="F287" s="26"/>
      <c r="G287" s="26"/>
      <c r="H287" s="26"/>
    </row>
    <row r="288" spans="1:8" s="48" customFormat="1" x14ac:dyDescent="0.35">
      <c r="A288" s="26"/>
      <c r="B288" s="26"/>
      <c r="C288" s="26"/>
      <c r="D288" s="26"/>
      <c r="E288" s="26"/>
      <c r="F288" s="26"/>
      <c r="G288" s="26"/>
      <c r="H288" s="26"/>
    </row>
    <row r="289" spans="1:8" s="48" customFormat="1" x14ac:dyDescent="0.35">
      <c r="A289" s="26"/>
      <c r="B289" s="26"/>
      <c r="C289" s="26"/>
      <c r="D289" s="26"/>
      <c r="E289" s="26"/>
      <c r="F289" s="26"/>
      <c r="G289" s="26"/>
      <c r="H289" s="26"/>
    </row>
    <row r="290" spans="1:8" s="48" customFormat="1" x14ac:dyDescent="0.35">
      <c r="A290" s="26"/>
      <c r="B290" s="26"/>
      <c r="C290" s="26"/>
      <c r="D290" s="26"/>
      <c r="E290" s="26"/>
      <c r="F290" s="26"/>
      <c r="G290" s="26"/>
      <c r="H290" s="26"/>
    </row>
    <row r="291" spans="1:8" s="48" customFormat="1" x14ac:dyDescent="0.35">
      <c r="A291" s="26"/>
      <c r="B291" s="26"/>
      <c r="C291" s="26"/>
      <c r="D291" s="26"/>
      <c r="E291" s="26"/>
      <c r="F291" s="26"/>
      <c r="G291" s="26"/>
      <c r="H291" s="26"/>
    </row>
    <row r="292" spans="1:8" s="48" customFormat="1" x14ac:dyDescent="0.35">
      <c r="A292" s="26"/>
      <c r="B292" s="26"/>
      <c r="C292" s="26"/>
      <c r="D292" s="26"/>
      <c r="E292" s="26"/>
      <c r="F292" s="26"/>
      <c r="G292" s="26"/>
      <c r="H292" s="26"/>
    </row>
    <row r="293" spans="1:8" s="48" customFormat="1" x14ac:dyDescent="0.35">
      <c r="A293" s="26"/>
      <c r="B293" s="26"/>
      <c r="C293" s="26"/>
      <c r="D293" s="26"/>
      <c r="E293" s="26"/>
      <c r="F293" s="26"/>
      <c r="G293" s="26"/>
      <c r="H293" s="26"/>
    </row>
    <row r="294" spans="1:8" s="48" customFormat="1" x14ac:dyDescent="0.35">
      <c r="A294" s="26"/>
      <c r="B294" s="26"/>
      <c r="C294" s="26"/>
      <c r="D294" s="26"/>
      <c r="E294" s="26"/>
      <c r="F294" s="26"/>
      <c r="G294" s="26"/>
      <c r="H294" s="26"/>
    </row>
    <row r="295" spans="1:8" s="48" customFormat="1" x14ac:dyDescent="0.35">
      <c r="A295" s="26"/>
      <c r="B295" s="26"/>
      <c r="C295" s="26"/>
      <c r="D295" s="26"/>
      <c r="E295" s="26"/>
      <c r="F295" s="26"/>
      <c r="G295" s="26"/>
      <c r="H295" s="26"/>
    </row>
    <row r="296" spans="1:8" s="48" customFormat="1" x14ac:dyDescent="0.35">
      <c r="A296" s="26"/>
      <c r="B296" s="26"/>
      <c r="C296" s="26"/>
      <c r="D296" s="26"/>
      <c r="E296" s="26"/>
      <c r="F296" s="26"/>
      <c r="G296" s="26"/>
      <c r="H296" s="26"/>
    </row>
    <row r="297" spans="1:8" s="48" customFormat="1" x14ac:dyDescent="0.35">
      <c r="A297" s="26"/>
      <c r="B297" s="26"/>
      <c r="C297" s="26"/>
      <c r="D297" s="26"/>
      <c r="E297" s="26"/>
      <c r="F297" s="26"/>
      <c r="G297" s="26"/>
      <c r="H297" s="26"/>
    </row>
    <row r="298" spans="1:8" s="48" customFormat="1" x14ac:dyDescent="0.35">
      <c r="A298" s="26"/>
      <c r="B298" s="26"/>
      <c r="C298" s="26"/>
      <c r="D298" s="26"/>
      <c r="E298" s="26"/>
      <c r="F298" s="26"/>
      <c r="G298" s="26"/>
      <c r="H298" s="26"/>
    </row>
    <row r="299" spans="1:8" s="48" customFormat="1" x14ac:dyDescent="0.35">
      <c r="A299" s="26"/>
      <c r="B299" s="26"/>
      <c r="C299" s="26"/>
      <c r="D299" s="26"/>
      <c r="E299" s="26"/>
      <c r="F299" s="26"/>
      <c r="G299" s="26"/>
      <c r="H299" s="26"/>
    </row>
    <row r="300" spans="1:8" s="48" customFormat="1" x14ac:dyDescent="0.35">
      <c r="A300" s="26"/>
      <c r="B300" s="26"/>
      <c r="C300" s="26"/>
      <c r="D300" s="26"/>
      <c r="E300" s="26"/>
      <c r="F300" s="26"/>
      <c r="G300" s="26"/>
      <c r="H300" s="26"/>
    </row>
    <row r="301" spans="1:8" s="48" customFormat="1" x14ac:dyDescent="0.35">
      <c r="A301" s="26"/>
      <c r="B301" s="26"/>
      <c r="C301" s="26"/>
      <c r="D301" s="26"/>
      <c r="E301" s="26"/>
      <c r="F301" s="26"/>
      <c r="G301" s="26"/>
      <c r="H301" s="26"/>
    </row>
    <row r="302" spans="1:8" s="48" customFormat="1" x14ac:dyDescent="0.35">
      <c r="A302" s="26"/>
      <c r="B302" s="26"/>
      <c r="C302" s="26"/>
      <c r="D302" s="26"/>
      <c r="E302" s="26"/>
      <c r="F302" s="26"/>
      <c r="G302" s="26"/>
      <c r="H302" s="26"/>
    </row>
    <row r="303" spans="1:8" s="48" customFormat="1" x14ac:dyDescent="0.35">
      <c r="A303" s="26"/>
      <c r="B303" s="26"/>
      <c r="C303" s="26"/>
      <c r="D303" s="26"/>
      <c r="E303" s="26"/>
      <c r="F303" s="26"/>
      <c r="G303" s="26"/>
      <c r="H303" s="26"/>
    </row>
    <row r="304" spans="1:8" s="48" customFormat="1" x14ac:dyDescent="0.35">
      <c r="A304" s="26"/>
      <c r="B304" s="26"/>
      <c r="C304" s="26"/>
      <c r="D304" s="26"/>
      <c r="E304" s="26"/>
      <c r="F304" s="26"/>
      <c r="G304" s="26"/>
      <c r="H304" s="26"/>
    </row>
    <row r="305" spans="1:8" s="48" customFormat="1" x14ac:dyDescent="0.35">
      <c r="A305" s="26"/>
      <c r="B305" s="26"/>
      <c r="C305" s="26"/>
      <c r="D305" s="26"/>
      <c r="E305" s="26"/>
      <c r="F305" s="26"/>
      <c r="G305" s="26"/>
      <c r="H305" s="26"/>
    </row>
    <row r="306" spans="1:8" s="48" customFormat="1" x14ac:dyDescent="0.35">
      <c r="A306" s="26"/>
      <c r="B306" s="26"/>
      <c r="C306" s="26"/>
      <c r="D306" s="26"/>
      <c r="E306" s="26"/>
      <c r="F306" s="26"/>
      <c r="G306" s="26"/>
      <c r="H306" s="26"/>
    </row>
    <row r="307" spans="1:8" s="48" customFormat="1" x14ac:dyDescent="0.35">
      <c r="A307" s="26"/>
      <c r="B307" s="26"/>
      <c r="C307" s="26"/>
      <c r="D307" s="26"/>
      <c r="E307" s="26"/>
      <c r="F307" s="26"/>
      <c r="G307" s="26"/>
      <c r="H307" s="26"/>
    </row>
    <row r="308" spans="1:8" s="48" customFormat="1" x14ac:dyDescent="0.35">
      <c r="A308" s="26"/>
      <c r="B308" s="26"/>
      <c r="C308" s="26"/>
      <c r="D308" s="26"/>
      <c r="E308" s="26"/>
      <c r="F308" s="26"/>
      <c r="G308" s="26"/>
      <c r="H308" s="26"/>
    </row>
    <row r="309" spans="1:8" s="48" customFormat="1" x14ac:dyDescent="0.35">
      <c r="A309" s="26"/>
      <c r="B309" s="26"/>
      <c r="C309" s="26"/>
      <c r="D309" s="26"/>
      <c r="E309" s="26"/>
      <c r="F309" s="26"/>
      <c r="G309" s="26"/>
      <c r="H309" s="26"/>
    </row>
    <row r="310" spans="1:8" s="48" customFormat="1" x14ac:dyDescent="0.35">
      <c r="A310" s="26"/>
      <c r="B310" s="26"/>
      <c r="C310" s="26"/>
      <c r="D310" s="26"/>
      <c r="E310" s="26"/>
      <c r="F310" s="26"/>
      <c r="G310" s="26"/>
      <c r="H310" s="26"/>
    </row>
    <row r="311" spans="1:8" s="48" customFormat="1" x14ac:dyDescent="0.35">
      <c r="A311" s="26"/>
      <c r="B311" s="26"/>
      <c r="C311" s="26"/>
      <c r="D311" s="26"/>
      <c r="E311" s="26"/>
      <c r="F311" s="26"/>
      <c r="G311" s="26"/>
      <c r="H311" s="26"/>
    </row>
    <row r="312" spans="1:8" s="48" customFormat="1" x14ac:dyDescent="0.35">
      <c r="A312" s="26"/>
      <c r="B312" s="26"/>
      <c r="C312" s="26"/>
      <c r="D312" s="26"/>
      <c r="E312" s="26"/>
      <c r="F312" s="26"/>
      <c r="G312" s="26"/>
      <c r="H312" s="26"/>
    </row>
    <row r="313" spans="1:8" s="48" customFormat="1" x14ac:dyDescent="0.35">
      <c r="A313" s="26"/>
      <c r="B313" s="26"/>
      <c r="C313" s="26"/>
      <c r="D313" s="26"/>
      <c r="E313" s="26"/>
      <c r="F313" s="26"/>
      <c r="G313" s="26"/>
      <c r="H313" s="26"/>
    </row>
    <row r="314" spans="1:8" s="48" customFormat="1" x14ac:dyDescent="0.35">
      <c r="A314" s="26"/>
      <c r="B314" s="26"/>
      <c r="C314" s="26"/>
      <c r="D314" s="26"/>
      <c r="E314" s="26"/>
      <c r="F314" s="26"/>
      <c r="G314" s="26"/>
      <c r="H314" s="26"/>
    </row>
    <row r="315" spans="1:8" s="48" customFormat="1" x14ac:dyDescent="0.35">
      <c r="A315" s="26"/>
      <c r="B315" s="26"/>
      <c r="C315" s="26"/>
      <c r="D315" s="26"/>
      <c r="E315" s="26"/>
      <c r="F315" s="26"/>
      <c r="G315" s="26"/>
      <c r="H315" s="26"/>
    </row>
    <row r="316" spans="1:8" s="48" customFormat="1" x14ac:dyDescent="0.35">
      <c r="A316" s="26"/>
      <c r="B316" s="26"/>
      <c r="C316" s="26"/>
      <c r="D316" s="26"/>
      <c r="E316" s="26"/>
      <c r="F316" s="26"/>
      <c r="G316" s="26"/>
      <c r="H316" s="26"/>
    </row>
    <row r="317" spans="1:8" s="48" customFormat="1" x14ac:dyDescent="0.35">
      <c r="A317" s="26"/>
      <c r="B317" s="26"/>
      <c r="C317" s="26"/>
      <c r="D317" s="26"/>
      <c r="E317" s="26"/>
      <c r="F317" s="26"/>
      <c r="G317" s="26"/>
      <c r="H317" s="26"/>
    </row>
    <row r="318" spans="1:8" s="48" customFormat="1" x14ac:dyDescent="0.35">
      <c r="A318" s="26"/>
      <c r="B318" s="26"/>
      <c r="C318" s="26"/>
      <c r="D318" s="26"/>
      <c r="E318" s="26"/>
      <c r="F318" s="26"/>
      <c r="G318" s="26"/>
      <c r="H318" s="26"/>
    </row>
    <row r="319" spans="1:8" s="48" customFormat="1" x14ac:dyDescent="0.35">
      <c r="A319" s="26"/>
      <c r="B319" s="26"/>
      <c r="C319" s="26"/>
      <c r="D319" s="26"/>
      <c r="E319" s="26"/>
      <c r="F319" s="26"/>
      <c r="G319" s="26"/>
      <c r="H319" s="26"/>
    </row>
    <row r="320" spans="1:8" s="48" customFormat="1" x14ac:dyDescent="0.35">
      <c r="A320" s="26"/>
      <c r="B320" s="26"/>
      <c r="C320" s="26"/>
      <c r="D320" s="26"/>
      <c r="E320" s="26"/>
      <c r="F320" s="26"/>
      <c r="G320" s="26"/>
      <c r="H320" s="26"/>
    </row>
    <row r="321" spans="1:8" s="48" customFormat="1" x14ac:dyDescent="0.35">
      <c r="A321" s="26"/>
      <c r="B321" s="26"/>
      <c r="C321" s="26"/>
      <c r="D321" s="26"/>
      <c r="E321" s="26"/>
      <c r="F321" s="26"/>
      <c r="G321" s="26"/>
      <c r="H321" s="26"/>
    </row>
    <row r="322" spans="1:8" s="48" customFormat="1" x14ac:dyDescent="0.35">
      <c r="A322" s="26"/>
      <c r="B322" s="26"/>
      <c r="C322" s="26"/>
      <c r="D322" s="26"/>
      <c r="E322" s="26"/>
      <c r="F322" s="26"/>
      <c r="G322" s="26"/>
      <c r="H322" s="26"/>
    </row>
    <row r="323" spans="1:8" s="48" customFormat="1" x14ac:dyDescent="0.35">
      <c r="A323" s="26"/>
      <c r="B323" s="26"/>
      <c r="C323" s="26"/>
      <c r="D323" s="26"/>
      <c r="E323" s="26"/>
      <c r="F323" s="26"/>
      <c r="G323" s="26"/>
      <c r="H323" s="26"/>
    </row>
    <row r="324" spans="1:8" s="48" customFormat="1" x14ac:dyDescent="0.35">
      <c r="A324" s="26"/>
      <c r="B324" s="26"/>
      <c r="C324" s="26"/>
      <c r="D324" s="26"/>
      <c r="E324" s="26"/>
      <c r="F324" s="26"/>
      <c r="G324" s="26"/>
      <c r="H324" s="26"/>
    </row>
    <row r="325" spans="1:8" s="48" customFormat="1" x14ac:dyDescent="0.35">
      <c r="A325" s="26"/>
      <c r="B325" s="26"/>
      <c r="C325" s="26"/>
      <c r="D325" s="26"/>
      <c r="E325" s="26"/>
      <c r="F325" s="26"/>
      <c r="G325" s="26"/>
      <c r="H325" s="26"/>
    </row>
    <row r="326" spans="1:8" s="48" customFormat="1" x14ac:dyDescent="0.35">
      <c r="A326" s="26"/>
      <c r="B326" s="26"/>
      <c r="C326" s="26"/>
      <c r="D326" s="26"/>
      <c r="E326" s="26"/>
      <c r="F326" s="26"/>
      <c r="G326" s="26"/>
      <c r="H326" s="26"/>
    </row>
    <row r="327" spans="1:8" s="48" customFormat="1" x14ac:dyDescent="0.35">
      <c r="A327" s="26"/>
      <c r="B327" s="26"/>
      <c r="C327" s="26"/>
      <c r="D327" s="26"/>
      <c r="E327" s="26"/>
      <c r="F327" s="26"/>
      <c r="G327" s="26"/>
      <c r="H327" s="26"/>
    </row>
    <row r="328" spans="1:8" s="48" customFormat="1" x14ac:dyDescent="0.35">
      <c r="A328" s="26"/>
      <c r="B328" s="26"/>
      <c r="C328" s="26"/>
      <c r="D328" s="26"/>
      <c r="E328" s="26"/>
      <c r="F328" s="26"/>
      <c r="G328" s="26"/>
      <c r="H328" s="26"/>
    </row>
    <row r="329" spans="1:8" s="48" customFormat="1" x14ac:dyDescent="0.35">
      <c r="A329" s="26"/>
      <c r="B329" s="26"/>
      <c r="C329" s="26"/>
      <c r="D329" s="26"/>
      <c r="E329" s="26"/>
      <c r="F329" s="26"/>
      <c r="G329" s="26"/>
      <c r="H329" s="26"/>
    </row>
    <row r="330" spans="1:8" s="48" customFormat="1" x14ac:dyDescent="0.35">
      <c r="A330" s="26"/>
      <c r="B330" s="26"/>
      <c r="C330" s="26"/>
      <c r="D330" s="26"/>
      <c r="E330" s="26"/>
      <c r="F330" s="26"/>
      <c r="G330" s="26"/>
      <c r="H330" s="26"/>
    </row>
    <row r="331" spans="1:8" s="48" customFormat="1" x14ac:dyDescent="0.35">
      <c r="A331" s="26"/>
      <c r="B331" s="26"/>
      <c r="C331" s="26"/>
      <c r="D331" s="26"/>
      <c r="E331" s="26"/>
      <c r="F331" s="26"/>
      <c r="G331" s="26"/>
      <c r="H331" s="26"/>
    </row>
    <row r="332" spans="1:8" s="48" customFormat="1" x14ac:dyDescent="0.35">
      <c r="A332" s="26"/>
      <c r="B332" s="26"/>
      <c r="C332" s="26"/>
      <c r="D332" s="26"/>
      <c r="E332" s="26"/>
      <c r="F332" s="26"/>
      <c r="G332" s="26"/>
      <c r="H332" s="26"/>
    </row>
    <row r="333" spans="1:8" s="48" customFormat="1" x14ac:dyDescent="0.35">
      <c r="A333" s="26"/>
      <c r="B333" s="26"/>
      <c r="C333" s="26"/>
      <c r="D333" s="26"/>
      <c r="E333" s="26"/>
      <c r="F333" s="26"/>
      <c r="G333" s="26"/>
      <c r="H333" s="26"/>
    </row>
    <row r="334" spans="1:8" s="48" customFormat="1" x14ac:dyDescent="0.35">
      <c r="A334" s="26"/>
      <c r="B334" s="26"/>
      <c r="C334" s="26"/>
      <c r="D334" s="26"/>
      <c r="E334" s="26"/>
      <c r="F334" s="26"/>
      <c r="G334" s="26"/>
      <c r="H334" s="26"/>
    </row>
    <row r="335" spans="1:8" s="48" customFormat="1" x14ac:dyDescent="0.35">
      <c r="A335" s="26"/>
      <c r="B335" s="26"/>
      <c r="C335" s="26"/>
      <c r="D335" s="26"/>
      <c r="E335" s="26"/>
      <c r="F335" s="26"/>
      <c r="G335" s="26"/>
      <c r="H335" s="26"/>
    </row>
    <row r="336" spans="1:8" s="48" customFormat="1" x14ac:dyDescent="0.35">
      <c r="A336" s="26"/>
      <c r="B336" s="26"/>
      <c r="C336" s="26"/>
      <c r="D336" s="26"/>
      <c r="E336" s="26"/>
      <c r="F336" s="26"/>
      <c r="G336" s="26"/>
      <c r="H336" s="26"/>
    </row>
    <row r="337" spans="1:8" s="48" customFormat="1" x14ac:dyDescent="0.35">
      <c r="A337" s="26"/>
      <c r="B337" s="26"/>
      <c r="C337" s="26"/>
      <c r="D337" s="26"/>
      <c r="E337" s="26"/>
      <c r="F337" s="26"/>
      <c r="G337" s="26"/>
      <c r="H337" s="26"/>
    </row>
    <row r="338" spans="1:8" s="48" customFormat="1" x14ac:dyDescent="0.35">
      <c r="A338" s="26"/>
      <c r="B338" s="26"/>
      <c r="C338" s="26"/>
      <c r="D338" s="26"/>
      <c r="E338" s="26"/>
      <c r="F338" s="26"/>
      <c r="G338" s="26"/>
      <c r="H338" s="26"/>
    </row>
    <row r="339" spans="1:8" s="48" customFormat="1" x14ac:dyDescent="0.35">
      <c r="A339" s="26"/>
      <c r="B339" s="26"/>
      <c r="C339" s="26"/>
      <c r="D339" s="26"/>
      <c r="E339" s="26"/>
      <c r="F339" s="26"/>
      <c r="G339" s="26"/>
      <c r="H339" s="26"/>
    </row>
    <row r="340" spans="1:8" s="48" customFormat="1" x14ac:dyDescent="0.35">
      <c r="A340" s="26"/>
      <c r="B340" s="26"/>
      <c r="C340" s="26"/>
      <c r="D340" s="26"/>
      <c r="E340" s="26"/>
      <c r="F340" s="26"/>
      <c r="G340" s="26"/>
      <c r="H340" s="26"/>
    </row>
    <row r="341" spans="1:8" s="48" customFormat="1" x14ac:dyDescent="0.35">
      <c r="A341" s="26"/>
      <c r="B341" s="26"/>
      <c r="C341" s="26"/>
      <c r="D341" s="26"/>
      <c r="E341" s="26"/>
      <c r="F341" s="26"/>
      <c r="G341" s="26"/>
      <c r="H341" s="26"/>
    </row>
    <row r="342" spans="1:8" s="48" customFormat="1" x14ac:dyDescent="0.35">
      <c r="A342" s="26"/>
      <c r="B342" s="26"/>
      <c r="C342" s="26"/>
      <c r="D342" s="26"/>
      <c r="E342" s="26"/>
      <c r="F342" s="26"/>
      <c r="G342" s="26"/>
      <c r="H342" s="26"/>
    </row>
    <row r="343" spans="1:8" s="48" customFormat="1" x14ac:dyDescent="0.35">
      <c r="A343" s="26"/>
      <c r="B343" s="26"/>
      <c r="C343" s="26"/>
      <c r="D343" s="26"/>
      <c r="E343" s="26"/>
      <c r="F343" s="26"/>
      <c r="G343" s="26"/>
      <c r="H343" s="26"/>
    </row>
    <row r="344" spans="1:8" s="48" customFormat="1" x14ac:dyDescent="0.35">
      <c r="A344" s="26"/>
      <c r="B344" s="26"/>
      <c r="C344" s="26"/>
      <c r="D344" s="26"/>
      <c r="E344" s="26"/>
      <c r="F344" s="26"/>
      <c r="G344" s="26"/>
      <c r="H344" s="26"/>
    </row>
    <row r="345" spans="1:8" s="48" customFormat="1" x14ac:dyDescent="0.35">
      <c r="A345" s="26"/>
      <c r="B345" s="26"/>
      <c r="C345" s="26"/>
      <c r="D345" s="26"/>
      <c r="E345" s="26"/>
      <c r="F345" s="26"/>
      <c r="G345" s="26"/>
      <c r="H345" s="26"/>
    </row>
    <row r="346" spans="1:8" s="48" customFormat="1" x14ac:dyDescent="0.35">
      <c r="A346" s="26"/>
      <c r="B346" s="26"/>
      <c r="C346" s="26"/>
      <c r="D346" s="26"/>
      <c r="E346" s="26"/>
      <c r="F346" s="26"/>
      <c r="G346" s="26"/>
      <c r="H346" s="26"/>
    </row>
    <row r="347" spans="1:8" s="48" customFormat="1" x14ac:dyDescent="0.35">
      <c r="A347" s="26"/>
      <c r="B347" s="26"/>
      <c r="C347" s="26"/>
      <c r="D347" s="26"/>
      <c r="E347" s="26"/>
      <c r="F347" s="26"/>
      <c r="G347" s="26"/>
      <c r="H347" s="26"/>
    </row>
    <row r="348" spans="1:8" s="48" customFormat="1" x14ac:dyDescent="0.35">
      <c r="A348" s="26"/>
      <c r="B348" s="26"/>
      <c r="C348" s="26"/>
      <c r="D348" s="26"/>
      <c r="E348" s="26"/>
      <c r="F348" s="26"/>
      <c r="G348" s="26"/>
      <c r="H348" s="26"/>
    </row>
    <row r="349" spans="1:8" s="48" customFormat="1" x14ac:dyDescent="0.35">
      <c r="A349" s="26"/>
      <c r="B349" s="26"/>
      <c r="C349" s="26"/>
      <c r="D349" s="26"/>
      <c r="E349" s="26"/>
      <c r="F349" s="26"/>
      <c r="G349" s="26"/>
      <c r="H349" s="26"/>
    </row>
    <row r="350" spans="1:8" s="48" customFormat="1" x14ac:dyDescent="0.35">
      <c r="A350" s="26"/>
      <c r="B350" s="26"/>
      <c r="C350" s="26"/>
      <c r="D350" s="26"/>
      <c r="E350" s="26"/>
      <c r="F350" s="26"/>
      <c r="G350" s="26"/>
      <c r="H350" s="26"/>
    </row>
    <row r="351" spans="1:8" s="48" customFormat="1" x14ac:dyDescent="0.35">
      <c r="A351" s="26"/>
      <c r="B351" s="26"/>
      <c r="C351" s="26"/>
      <c r="D351" s="26"/>
      <c r="E351" s="26"/>
      <c r="F351" s="26"/>
      <c r="G351" s="26"/>
      <c r="H351" s="26"/>
    </row>
    <row r="352" spans="1:8" s="48" customFormat="1" x14ac:dyDescent="0.35">
      <c r="A352" s="26"/>
      <c r="B352" s="26"/>
      <c r="C352" s="26"/>
      <c r="D352" s="26"/>
      <c r="E352" s="26"/>
      <c r="F352" s="26"/>
      <c r="G352" s="26"/>
      <c r="H352" s="26"/>
    </row>
    <row r="353" spans="1:8" s="48" customFormat="1" x14ac:dyDescent="0.35">
      <c r="A353" s="26"/>
      <c r="B353" s="26"/>
      <c r="C353" s="26"/>
      <c r="D353" s="26"/>
      <c r="E353" s="26"/>
      <c r="F353" s="26"/>
      <c r="G353" s="26"/>
      <c r="H353" s="26"/>
    </row>
    <row r="354" spans="1:8" s="48" customFormat="1" x14ac:dyDescent="0.35">
      <c r="A354" s="26"/>
      <c r="B354" s="26"/>
      <c r="C354" s="26"/>
      <c r="D354" s="26"/>
      <c r="E354" s="26"/>
      <c r="F354" s="26"/>
      <c r="G354" s="26"/>
      <c r="H354" s="26"/>
    </row>
    <row r="355" spans="1:8" s="48" customFormat="1" x14ac:dyDescent="0.35">
      <c r="A355" s="26"/>
      <c r="B355" s="26"/>
      <c r="C355" s="26"/>
      <c r="D355" s="26"/>
      <c r="E355" s="26"/>
      <c r="F355" s="26"/>
      <c r="G355" s="26"/>
      <c r="H355" s="26"/>
    </row>
    <row r="356" spans="1:8" s="48" customFormat="1" x14ac:dyDescent="0.35">
      <c r="A356" s="26"/>
      <c r="B356" s="26"/>
      <c r="C356" s="26"/>
      <c r="D356" s="26"/>
      <c r="E356" s="26"/>
      <c r="F356" s="26"/>
      <c r="G356" s="26"/>
      <c r="H356" s="26"/>
    </row>
    <row r="357" spans="1:8" s="48" customFormat="1" x14ac:dyDescent="0.35">
      <c r="A357" s="26"/>
      <c r="B357" s="26"/>
      <c r="C357" s="26"/>
      <c r="D357" s="26"/>
      <c r="E357" s="26"/>
      <c r="F357" s="26"/>
      <c r="G357" s="26"/>
      <c r="H357" s="26"/>
    </row>
    <row r="358" spans="1:8" s="48" customFormat="1" x14ac:dyDescent="0.35">
      <c r="A358" s="26"/>
      <c r="B358" s="26"/>
      <c r="C358" s="26"/>
      <c r="D358" s="26"/>
      <c r="E358" s="26"/>
      <c r="F358" s="26"/>
      <c r="G358" s="26"/>
      <c r="H358" s="26"/>
    </row>
    <row r="359" spans="1:8" s="48" customFormat="1" x14ac:dyDescent="0.35">
      <c r="A359" s="26"/>
      <c r="B359" s="26"/>
      <c r="C359" s="26"/>
      <c r="D359" s="26"/>
      <c r="E359" s="26"/>
      <c r="F359" s="26"/>
      <c r="G359" s="26"/>
      <c r="H359" s="26"/>
    </row>
    <row r="360" spans="1:8" s="48" customFormat="1" x14ac:dyDescent="0.35">
      <c r="A360" s="26"/>
      <c r="B360" s="26"/>
      <c r="C360" s="26"/>
      <c r="D360" s="26"/>
      <c r="E360" s="26"/>
      <c r="F360" s="26"/>
      <c r="G360" s="26"/>
      <c r="H360" s="26"/>
    </row>
    <row r="361" spans="1:8" s="48" customFormat="1" x14ac:dyDescent="0.35">
      <c r="A361" s="26"/>
      <c r="B361" s="26"/>
      <c r="C361" s="26"/>
      <c r="D361" s="26"/>
      <c r="E361" s="26"/>
      <c r="F361" s="26"/>
      <c r="G361" s="26"/>
      <c r="H361" s="26"/>
    </row>
    <row r="362" spans="1:8" s="48" customFormat="1" x14ac:dyDescent="0.35">
      <c r="A362" s="26"/>
      <c r="B362" s="26"/>
      <c r="C362" s="26"/>
      <c r="D362" s="26"/>
      <c r="E362" s="26"/>
      <c r="F362" s="26"/>
      <c r="G362" s="26"/>
      <c r="H362" s="26"/>
    </row>
    <row r="363" spans="1:8" s="48" customFormat="1" x14ac:dyDescent="0.35">
      <c r="A363" s="26"/>
      <c r="B363" s="26"/>
      <c r="C363" s="26"/>
      <c r="D363" s="26"/>
      <c r="E363" s="26"/>
      <c r="F363" s="26"/>
      <c r="G363" s="26"/>
      <c r="H363" s="26"/>
    </row>
    <row r="364" spans="1:8" s="48" customFormat="1" x14ac:dyDescent="0.35">
      <c r="A364" s="26"/>
      <c r="B364" s="26"/>
      <c r="C364" s="26"/>
      <c r="D364" s="26"/>
      <c r="E364" s="26"/>
      <c r="F364" s="26"/>
      <c r="G364" s="26"/>
      <c r="H364" s="26"/>
    </row>
    <row r="365" spans="1:8" s="48" customFormat="1" x14ac:dyDescent="0.35">
      <c r="A365" s="26"/>
      <c r="B365" s="26"/>
      <c r="C365" s="26"/>
      <c r="D365" s="26"/>
      <c r="E365" s="26"/>
      <c r="F365" s="26"/>
      <c r="G365" s="26"/>
      <c r="H365" s="26"/>
    </row>
    <row r="366" spans="1:8" s="48" customFormat="1" x14ac:dyDescent="0.35">
      <c r="A366" s="26"/>
      <c r="B366" s="26"/>
      <c r="C366" s="26"/>
      <c r="D366" s="26"/>
      <c r="E366" s="26"/>
      <c r="F366" s="26"/>
      <c r="G366" s="26"/>
      <c r="H366" s="26"/>
    </row>
    <row r="367" spans="1:8" s="48" customFormat="1" x14ac:dyDescent="0.35">
      <c r="A367" s="26"/>
      <c r="B367" s="26"/>
      <c r="C367" s="26"/>
      <c r="D367" s="26"/>
      <c r="E367" s="26"/>
      <c r="F367" s="26"/>
      <c r="G367" s="26"/>
      <c r="H367" s="26"/>
    </row>
    <row r="368" spans="1:8" s="48" customFormat="1" x14ac:dyDescent="0.35">
      <c r="A368" s="26"/>
      <c r="B368" s="26"/>
      <c r="C368" s="26"/>
      <c r="D368" s="26"/>
      <c r="E368" s="26"/>
      <c r="F368" s="26"/>
      <c r="G368" s="26"/>
      <c r="H368" s="26"/>
    </row>
    <row r="369" spans="1:8" s="48" customFormat="1" x14ac:dyDescent="0.35">
      <c r="A369" s="26"/>
      <c r="B369" s="26"/>
      <c r="C369" s="26"/>
      <c r="D369" s="26"/>
      <c r="E369" s="26"/>
      <c r="F369" s="26"/>
      <c r="G369" s="26"/>
      <c r="H369" s="26"/>
    </row>
    <row r="370" spans="1:8" s="48" customFormat="1" x14ac:dyDescent="0.35">
      <c r="A370" s="26"/>
      <c r="B370" s="26"/>
      <c r="C370" s="26"/>
      <c r="D370" s="26"/>
      <c r="E370" s="26"/>
      <c r="F370" s="26"/>
      <c r="G370" s="26"/>
      <c r="H370" s="26"/>
    </row>
    <row r="371" spans="1:8" s="48" customFormat="1" x14ac:dyDescent="0.35">
      <c r="A371" s="26"/>
      <c r="B371" s="26"/>
      <c r="C371" s="26"/>
      <c r="D371" s="26"/>
      <c r="E371" s="26"/>
      <c r="F371" s="26"/>
      <c r="G371" s="26"/>
      <c r="H371" s="26"/>
    </row>
    <row r="372" spans="1:8" s="48" customFormat="1" x14ac:dyDescent="0.35">
      <c r="A372" s="26"/>
      <c r="B372" s="26"/>
      <c r="C372" s="26"/>
      <c r="D372" s="26"/>
      <c r="E372" s="26"/>
      <c r="F372" s="26"/>
      <c r="G372" s="26"/>
      <c r="H372" s="26"/>
    </row>
    <row r="373" spans="1:8" s="48" customFormat="1" x14ac:dyDescent="0.35">
      <c r="A373" s="26"/>
      <c r="B373" s="26"/>
      <c r="C373" s="26"/>
      <c r="D373" s="26"/>
      <c r="E373" s="26"/>
      <c r="F373" s="26"/>
      <c r="G373" s="26"/>
      <c r="H373" s="26"/>
    </row>
    <row r="374" spans="1:8" s="48" customFormat="1" x14ac:dyDescent="0.35">
      <c r="A374" s="26"/>
      <c r="B374" s="26"/>
      <c r="C374" s="26"/>
      <c r="D374" s="26"/>
      <c r="E374" s="26"/>
      <c r="F374" s="26"/>
      <c r="G374" s="26"/>
      <c r="H374" s="26"/>
    </row>
    <row r="375" spans="1:8" s="48" customFormat="1" x14ac:dyDescent="0.35">
      <c r="A375" s="26"/>
      <c r="B375" s="26"/>
      <c r="C375" s="26"/>
      <c r="D375" s="26"/>
      <c r="E375" s="26"/>
      <c r="F375" s="26"/>
      <c r="G375" s="26"/>
      <c r="H375" s="26"/>
    </row>
    <row r="376" spans="1:8" s="48" customFormat="1" x14ac:dyDescent="0.35">
      <c r="A376" s="26"/>
      <c r="B376" s="26"/>
      <c r="C376" s="26"/>
      <c r="D376" s="26"/>
      <c r="E376" s="26"/>
      <c r="F376" s="26"/>
      <c r="G376" s="26"/>
      <c r="H376" s="26"/>
    </row>
    <row r="377" spans="1:8" s="48" customFormat="1" x14ac:dyDescent="0.35">
      <c r="A377" s="26"/>
      <c r="B377" s="26"/>
      <c r="C377" s="26"/>
      <c r="D377" s="26"/>
      <c r="E377" s="26"/>
      <c r="F377" s="26"/>
      <c r="G377" s="26"/>
      <c r="H377" s="26"/>
    </row>
    <row r="378" spans="1:8" s="48" customFormat="1" x14ac:dyDescent="0.35">
      <c r="A378" s="26"/>
      <c r="B378" s="26"/>
      <c r="C378" s="26"/>
      <c r="D378" s="26"/>
      <c r="E378" s="26"/>
      <c r="F378" s="26"/>
      <c r="G378" s="26"/>
      <c r="H378" s="26"/>
    </row>
    <row r="379" spans="1:8" s="48" customFormat="1" x14ac:dyDescent="0.35">
      <c r="A379" s="26"/>
      <c r="B379" s="26"/>
      <c r="C379" s="26"/>
      <c r="D379" s="26"/>
      <c r="E379" s="26"/>
      <c r="F379" s="26"/>
      <c r="G379" s="26"/>
      <c r="H379" s="26"/>
    </row>
    <row r="380" spans="1:8" s="48" customFormat="1" x14ac:dyDescent="0.35">
      <c r="A380" s="26"/>
      <c r="B380" s="26"/>
      <c r="C380" s="26"/>
      <c r="D380" s="26"/>
      <c r="E380" s="26"/>
      <c r="F380" s="26"/>
      <c r="G380" s="26"/>
      <c r="H380" s="26"/>
    </row>
    <row r="381" spans="1:8" s="48" customFormat="1" x14ac:dyDescent="0.35">
      <c r="A381" s="26"/>
      <c r="B381" s="26"/>
      <c r="C381" s="26"/>
      <c r="D381" s="26"/>
      <c r="E381" s="26"/>
      <c r="F381" s="26"/>
      <c r="G381" s="26"/>
      <c r="H381" s="26"/>
    </row>
    <row r="382" spans="1:8" s="48" customFormat="1" x14ac:dyDescent="0.35">
      <c r="A382" s="26"/>
      <c r="B382" s="26"/>
      <c r="C382" s="26"/>
      <c r="D382" s="26"/>
      <c r="E382" s="26"/>
      <c r="F382" s="26"/>
      <c r="G382" s="26"/>
      <c r="H382" s="26"/>
    </row>
    <row r="383" spans="1:8" s="48" customFormat="1" x14ac:dyDescent="0.35">
      <c r="A383" s="26"/>
      <c r="B383" s="26"/>
      <c r="C383" s="26"/>
      <c r="D383" s="26"/>
      <c r="E383" s="26"/>
      <c r="F383" s="26"/>
      <c r="G383" s="26"/>
      <c r="H383" s="26"/>
    </row>
    <row r="384" spans="1:8" s="48" customFormat="1" x14ac:dyDescent="0.35">
      <c r="A384" s="26"/>
      <c r="B384" s="26"/>
      <c r="C384" s="26"/>
      <c r="D384" s="26"/>
      <c r="E384" s="26"/>
      <c r="F384" s="26"/>
      <c r="G384" s="26"/>
      <c r="H384" s="26"/>
    </row>
    <row r="385" spans="1:8" s="48" customFormat="1" x14ac:dyDescent="0.35">
      <c r="A385" s="26"/>
      <c r="B385" s="26"/>
      <c r="C385" s="26"/>
      <c r="D385" s="26"/>
      <c r="E385" s="26"/>
      <c r="F385" s="26"/>
      <c r="G385" s="26"/>
      <c r="H385" s="26"/>
    </row>
    <row r="386" spans="1:8" s="48" customFormat="1" x14ac:dyDescent="0.35">
      <c r="A386" s="26"/>
      <c r="B386" s="26"/>
      <c r="C386" s="26"/>
      <c r="D386" s="26"/>
      <c r="E386" s="26"/>
      <c r="F386" s="26"/>
      <c r="G386" s="26"/>
      <c r="H386" s="26"/>
    </row>
    <row r="387" spans="1:8" s="48" customFormat="1" x14ac:dyDescent="0.35">
      <c r="A387" s="26"/>
      <c r="B387" s="26"/>
      <c r="C387" s="26"/>
      <c r="D387" s="26"/>
      <c r="E387" s="26"/>
      <c r="F387" s="26"/>
      <c r="G387" s="26"/>
      <c r="H387" s="26"/>
    </row>
    <row r="388" spans="1:8" s="48" customFormat="1" x14ac:dyDescent="0.35">
      <c r="A388" s="26"/>
      <c r="B388" s="26"/>
      <c r="C388" s="26"/>
      <c r="D388" s="26"/>
      <c r="E388" s="26"/>
      <c r="F388" s="26"/>
      <c r="G388" s="26"/>
      <c r="H388" s="26"/>
    </row>
    <row r="389" spans="1:8" s="48" customFormat="1" x14ac:dyDescent="0.35">
      <c r="A389" s="26"/>
      <c r="B389" s="26"/>
      <c r="C389" s="26"/>
      <c r="D389" s="26"/>
      <c r="E389" s="26"/>
      <c r="F389" s="26"/>
      <c r="G389" s="26"/>
      <c r="H389" s="26"/>
    </row>
    <row r="390" spans="1:8" s="48" customFormat="1" x14ac:dyDescent="0.35">
      <c r="A390" s="26"/>
      <c r="B390" s="26"/>
      <c r="C390" s="26"/>
      <c r="D390" s="26"/>
      <c r="E390" s="26"/>
      <c r="F390" s="26"/>
      <c r="G390" s="26"/>
      <c r="H390" s="26"/>
    </row>
    <row r="391" spans="1:8" s="48" customFormat="1" x14ac:dyDescent="0.35">
      <c r="A391" s="26"/>
      <c r="B391" s="26"/>
      <c r="C391" s="26"/>
      <c r="D391" s="26"/>
      <c r="E391" s="26"/>
      <c r="F391" s="26"/>
      <c r="G391" s="26"/>
      <c r="H391" s="26"/>
    </row>
    <row r="392" spans="1:8" s="48" customFormat="1" x14ac:dyDescent="0.35">
      <c r="A392" s="26"/>
      <c r="B392" s="26"/>
      <c r="C392" s="26"/>
      <c r="D392" s="26"/>
      <c r="E392" s="26"/>
      <c r="F392" s="26"/>
      <c r="G392" s="26"/>
      <c r="H392" s="26"/>
    </row>
    <row r="393" spans="1:8" s="48" customFormat="1" x14ac:dyDescent="0.35">
      <c r="A393" s="26"/>
      <c r="B393" s="26"/>
      <c r="C393" s="26"/>
      <c r="D393" s="26"/>
      <c r="E393" s="26"/>
      <c r="F393" s="26"/>
      <c r="G393" s="26"/>
      <c r="H393" s="26"/>
    </row>
    <row r="394" spans="1:8" s="48" customFormat="1" x14ac:dyDescent="0.35">
      <c r="A394" s="26"/>
      <c r="B394" s="26"/>
      <c r="C394" s="26"/>
      <c r="D394" s="26"/>
      <c r="E394" s="26"/>
      <c r="F394" s="26"/>
      <c r="G394" s="26"/>
      <c r="H394" s="26"/>
    </row>
    <row r="395" spans="1:8" s="48" customFormat="1" x14ac:dyDescent="0.35">
      <c r="A395" s="26"/>
      <c r="B395" s="26"/>
      <c r="C395" s="26"/>
      <c r="D395" s="26"/>
      <c r="E395" s="26"/>
      <c r="F395" s="26"/>
      <c r="G395" s="26"/>
      <c r="H395" s="26"/>
    </row>
    <row r="396" spans="1:8" s="48" customFormat="1" x14ac:dyDescent="0.35">
      <c r="A396" s="26"/>
      <c r="B396" s="26"/>
      <c r="C396" s="26"/>
      <c r="D396" s="26"/>
      <c r="E396" s="26"/>
      <c r="F396" s="26"/>
      <c r="G396" s="26"/>
      <c r="H396" s="26"/>
    </row>
    <row r="397" spans="1:8" s="48" customFormat="1" x14ac:dyDescent="0.35">
      <c r="A397" s="26"/>
      <c r="B397" s="26"/>
      <c r="C397" s="26"/>
      <c r="D397" s="26"/>
      <c r="E397" s="26"/>
      <c r="F397" s="26"/>
      <c r="G397" s="26"/>
      <c r="H397" s="26"/>
    </row>
    <row r="398" spans="1:8" s="48" customFormat="1" x14ac:dyDescent="0.35">
      <c r="A398" s="26"/>
      <c r="B398" s="26"/>
      <c r="C398" s="26"/>
      <c r="D398" s="26"/>
      <c r="E398" s="26"/>
      <c r="F398" s="26"/>
      <c r="G398" s="26"/>
      <c r="H398" s="26"/>
    </row>
    <row r="399" spans="1:8" s="48" customFormat="1" x14ac:dyDescent="0.35">
      <c r="A399" s="26"/>
      <c r="B399" s="26"/>
      <c r="C399" s="26"/>
      <c r="D399" s="26"/>
      <c r="E399" s="26"/>
      <c r="F399" s="26"/>
      <c r="G399" s="26"/>
      <c r="H399" s="26"/>
    </row>
    <row r="400" spans="1:8" s="48" customFormat="1" x14ac:dyDescent="0.35">
      <c r="A400" s="26"/>
      <c r="B400" s="26"/>
      <c r="C400" s="26"/>
      <c r="D400" s="26"/>
      <c r="E400" s="26"/>
      <c r="F400" s="26"/>
      <c r="G400" s="26"/>
      <c r="H400" s="26"/>
    </row>
    <row r="401" spans="1:8" s="48" customFormat="1" x14ac:dyDescent="0.35">
      <c r="A401" s="26"/>
      <c r="B401" s="26"/>
      <c r="C401" s="26"/>
      <c r="D401" s="26"/>
      <c r="E401" s="26"/>
      <c r="F401" s="26"/>
      <c r="G401" s="26"/>
      <c r="H401" s="26"/>
    </row>
    <row r="402" spans="1:8" s="48" customFormat="1" x14ac:dyDescent="0.35">
      <c r="A402" s="26"/>
      <c r="B402" s="26"/>
      <c r="C402" s="26"/>
      <c r="D402" s="26"/>
      <c r="E402" s="26"/>
      <c r="F402" s="26"/>
      <c r="G402" s="26"/>
      <c r="H402" s="26"/>
    </row>
    <row r="403" spans="1:8" s="48" customFormat="1" x14ac:dyDescent="0.35">
      <c r="A403" s="26"/>
      <c r="B403" s="26"/>
      <c r="C403" s="26"/>
      <c r="D403" s="26"/>
      <c r="E403" s="26"/>
      <c r="F403" s="26"/>
      <c r="G403" s="26"/>
      <c r="H403" s="26"/>
    </row>
    <row r="404" spans="1:8" s="48" customFormat="1" x14ac:dyDescent="0.35">
      <c r="A404" s="26"/>
      <c r="B404" s="26"/>
      <c r="C404" s="26"/>
      <c r="D404" s="26"/>
      <c r="E404" s="26"/>
      <c r="F404" s="26"/>
      <c r="G404" s="26"/>
      <c r="H404" s="26"/>
    </row>
    <row r="405" spans="1:8" s="48" customFormat="1" x14ac:dyDescent="0.35">
      <c r="A405" s="26"/>
      <c r="B405" s="26"/>
      <c r="C405" s="26"/>
      <c r="D405" s="26"/>
      <c r="E405" s="26"/>
      <c r="F405" s="26"/>
      <c r="G405" s="26"/>
      <c r="H405" s="26"/>
    </row>
    <row r="406" spans="1:8" s="48" customFormat="1" x14ac:dyDescent="0.35">
      <c r="A406" s="26"/>
      <c r="B406" s="26"/>
      <c r="C406" s="26"/>
      <c r="D406" s="26"/>
      <c r="E406" s="26"/>
      <c r="F406" s="26"/>
      <c r="G406" s="26"/>
      <c r="H406" s="26"/>
    </row>
    <row r="407" spans="1:8" s="48" customFormat="1" x14ac:dyDescent="0.35">
      <c r="A407" s="26"/>
      <c r="B407" s="26"/>
      <c r="C407" s="26"/>
      <c r="D407" s="26"/>
      <c r="E407" s="26"/>
      <c r="F407" s="26"/>
      <c r="G407" s="26"/>
      <c r="H407" s="26"/>
    </row>
    <row r="408" spans="1:8" s="48" customFormat="1" x14ac:dyDescent="0.35">
      <c r="A408" s="26"/>
      <c r="B408" s="26"/>
      <c r="C408" s="26"/>
      <c r="D408" s="26"/>
      <c r="E408" s="26"/>
      <c r="F408" s="26"/>
      <c r="G408" s="26"/>
      <c r="H408" s="26"/>
    </row>
    <row r="409" spans="1:8" s="48" customFormat="1" x14ac:dyDescent="0.35">
      <c r="A409" s="26"/>
      <c r="B409" s="26"/>
      <c r="C409" s="26"/>
      <c r="D409" s="26"/>
      <c r="E409" s="26"/>
      <c r="F409" s="26"/>
      <c r="G409" s="26"/>
      <c r="H409" s="26"/>
    </row>
    <row r="410" spans="1:8" s="48" customFormat="1" x14ac:dyDescent="0.35">
      <c r="A410" s="26"/>
      <c r="B410" s="26"/>
      <c r="C410" s="26"/>
      <c r="D410" s="26"/>
      <c r="E410" s="26"/>
      <c r="F410" s="26"/>
      <c r="G410" s="26"/>
      <c r="H410" s="26"/>
    </row>
    <row r="411" spans="1:8" s="48" customFormat="1" x14ac:dyDescent="0.35">
      <c r="A411" s="26"/>
      <c r="B411" s="26"/>
      <c r="C411" s="26"/>
      <c r="D411" s="26"/>
      <c r="E411" s="26"/>
      <c r="F411" s="26"/>
      <c r="G411" s="26"/>
      <c r="H411" s="26"/>
    </row>
    <row r="412" spans="1:8" s="48" customFormat="1" x14ac:dyDescent="0.35">
      <c r="A412" s="26"/>
      <c r="B412" s="26"/>
      <c r="C412" s="26"/>
      <c r="D412" s="26"/>
      <c r="E412" s="26"/>
      <c r="F412" s="26"/>
      <c r="G412" s="26"/>
      <c r="H412" s="26"/>
    </row>
    <row r="413" spans="1:8" s="48" customFormat="1" x14ac:dyDescent="0.35">
      <c r="A413" s="26"/>
      <c r="B413" s="26"/>
      <c r="C413" s="26"/>
      <c r="D413" s="26"/>
      <c r="E413" s="26"/>
      <c r="F413" s="26"/>
      <c r="G413" s="26"/>
      <c r="H413" s="26"/>
    </row>
    <row r="414" spans="1:8" s="48" customFormat="1" x14ac:dyDescent="0.35">
      <c r="A414" s="26"/>
      <c r="B414" s="26"/>
      <c r="C414" s="26"/>
      <c r="D414" s="26"/>
      <c r="E414" s="26"/>
      <c r="F414" s="26"/>
      <c r="G414" s="26"/>
      <c r="H414" s="26"/>
    </row>
    <row r="415" spans="1:8" s="48" customFormat="1" x14ac:dyDescent="0.35">
      <c r="A415" s="26"/>
      <c r="B415" s="26"/>
      <c r="C415" s="26"/>
      <c r="D415" s="26"/>
      <c r="E415" s="26"/>
      <c r="F415" s="26"/>
      <c r="G415" s="26"/>
      <c r="H415" s="26"/>
    </row>
    <row r="416" spans="1:8" s="48" customFormat="1" x14ac:dyDescent="0.35">
      <c r="A416" s="26"/>
      <c r="B416" s="26"/>
      <c r="C416" s="26"/>
      <c r="D416" s="26"/>
      <c r="E416" s="26"/>
      <c r="F416" s="26"/>
      <c r="G416" s="26"/>
      <c r="H416" s="26"/>
    </row>
    <row r="417" spans="1:8" s="48" customFormat="1" x14ac:dyDescent="0.35">
      <c r="A417" s="26"/>
      <c r="B417" s="26"/>
      <c r="C417" s="26"/>
      <c r="D417" s="26"/>
      <c r="E417" s="26"/>
      <c r="F417" s="26"/>
      <c r="G417" s="26"/>
      <c r="H417" s="26"/>
    </row>
    <row r="418" spans="1:8" s="48" customFormat="1" x14ac:dyDescent="0.35">
      <c r="A418" s="26"/>
      <c r="B418" s="26"/>
      <c r="C418" s="26"/>
      <c r="D418" s="26"/>
      <c r="E418" s="26"/>
      <c r="F418" s="26"/>
      <c r="G418" s="26"/>
      <c r="H418" s="26"/>
    </row>
    <row r="419" spans="1:8" s="48" customFormat="1" x14ac:dyDescent="0.35">
      <c r="A419" s="26"/>
      <c r="B419" s="26"/>
      <c r="C419" s="26"/>
      <c r="D419" s="26"/>
      <c r="E419" s="26"/>
      <c r="F419" s="26"/>
      <c r="G419" s="26"/>
      <c r="H419" s="26"/>
    </row>
    <row r="420" spans="1:8" s="48" customFormat="1" x14ac:dyDescent="0.35">
      <c r="A420" s="26"/>
      <c r="B420" s="26"/>
      <c r="C420" s="26"/>
      <c r="D420" s="26"/>
      <c r="E420" s="26"/>
      <c r="F420" s="26"/>
      <c r="G420" s="26"/>
      <c r="H420" s="26"/>
    </row>
    <row r="421" spans="1:8" s="48" customFormat="1" x14ac:dyDescent="0.35">
      <c r="A421" s="26"/>
      <c r="B421" s="26"/>
      <c r="C421" s="26"/>
      <c r="D421" s="26"/>
      <c r="E421" s="26"/>
      <c r="F421" s="26"/>
      <c r="G421" s="26"/>
      <c r="H421" s="26"/>
    </row>
    <row r="422" spans="1:8" s="48" customFormat="1" x14ac:dyDescent="0.35">
      <c r="A422" s="26"/>
      <c r="B422" s="26"/>
      <c r="C422" s="26"/>
      <c r="D422" s="26"/>
      <c r="E422" s="26"/>
      <c r="F422" s="26"/>
      <c r="G422" s="26"/>
      <c r="H422" s="26"/>
    </row>
    <row r="423" spans="1:8" s="48" customFormat="1" x14ac:dyDescent="0.35">
      <c r="A423" s="26"/>
      <c r="B423" s="26"/>
      <c r="C423" s="26"/>
      <c r="D423" s="26"/>
      <c r="E423" s="26"/>
      <c r="F423" s="26"/>
      <c r="G423" s="26"/>
      <c r="H423" s="26"/>
    </row>
    <row r="424" spans="1:8" s="48" customFormat="1" x14ac:dyDescent="0.35">
      <c r="A424" s="26"/>
      <c r="B424" s="26"/>
      <c r="C424" s="26"/>
      <c r="D424" s="26"/>
      <c r="E424" s="26"/>
      <c r="F424" s="26"/>
      <c r="G424" s="26"/>
      <c r="H424" s="26"/>
    </row>
    <row r="425" spans="1:8" s="48" customFormat="1" x14ac:dyDescent="0.35">
      <c r="A425" s="26"/>
      <c r="B425" s="26"/>
      <c r="C425" s="26"/>
      <c r="D425" s="26"/>
      <c r="E425" s="26"/>
      <c r="F425" s="26"/>
      <c r="G425" s="26"/>
      <c r="H425" s="26"/>
    </row>
    <row r="426" spans="1:8" s="48" customFormat="1" x14ac:dyDescent="0.35">
      <c r="A426" s="26"/>
      <c r="B426" s="26"/>
      <c r="C426" s="26"/>
      <c r="D426" s="26"/>
      <c r="E426" s="26"/>
      <c r="F426" s="26"/>
      <c r="G426" s="26"/>
      <c r="H426" s="26"/>
    </row>
    <row r="427" spans="1:8" s="48" customFormat="1" x14ac:dyDescent="0.35">
      <c r="A427" s="26"/>
      <c r="B427" s="26"/>
      <c r="C427" s="26"/>
      <c r="D427" s="26"/>
      <c r="E427" s="26"/>
      <c r="F427" s="26"/>
      <c r="G427" s="26"/>
      <c r="H427" s="26"/>
    </row>
    <row r="428" spans="1:8" s="48" customFormat="1" x14ac:dyDescent="0.35">
      <c r="A428" s="26"/>
      <c r="B428" s="26"/>
      <c r="C428" s="26"/>
      <c r="D428" s="26"/>
      <c r="E428" s="26"/>
      <c r="F428" s="26"/>
      <c r="G428" s="26"/>
      <c r="H428" s="26"/>
    </row>
    <row r="429" spans="1:8" s="48" customFormat="1" x14ac:dyDescent="0.35">
      <c r="A429" s="26"/>
      <c r="B429" s="26"/>
      <c r="C429" s="26"/>
      <c r="D429" s="26"/>
      <c r="E429" s="26"/>
      <c r="F429" s="26"/>
      <c r="G429" s="26"/>
      <c r="H429" s="26"/>
    </row>
    <row r="430" spans="1:8" s="48" customFormat="1" x14ac:dyDescent="0.35">
      <c r="A430" s="26"/>
      <c r="B430" s="26"/>
      <c r="C430" s="26"/>
      <c r="D430" s="26"/>
      <c r="E430" s="26"/>
      <c r="F430" s="26"/>
      <c r="G430" s="26"/>
      <c r="H430" s="26"/>
    </row>
    <row r="431" spans="1:8" s="48" customFormat="1" x14ac:dyDescent="0.35">
      <c r="A431" s="26"/>
      <c r="B431" s="26"/>
      <c r="C431" s="26"/>
      <c r="D431" s="26"/>
      <c r="E431" s="26"/>
      <c r="F431" s="26"/>
      <c r="G431" s="26"/>
      <c r="H431" s="26"/>
    </row>
    <row r="432" spans="1:8" s="48" customFormat="1" x14ac:dyDescent="0.35">
      <c r="A432" s="26"/>
      <c r="B432" s="26"/>
      <c r="C432" s="26"/>
      <c r="D432" s="26"/>
      <c r="E432" s="26"/>
      <c r="F432" s="26"/>
      <c r="G432" s="26"/>
      <c r="H432" s="26"/>
    </row>
    <row r="433" spans="1:8" s="48" customFormat="1" x14ac:dyDescent="0.35">
      <c r="A433" s="26"/>
      <c r="B433" s="26"/>
      <c r="C433" s="26"/>
      <c r="D433" s="26"/>
      <c r="E433" s="26"/>
      <c r="F433" s="26"/>
      <c r="G433" s="26"/>
      <c r="H433" s="26"/>
    </row>
    <row r="434" spans="1:8" s="48" customFormat="1" x14ac:dyDescent="0.35">
      <c r="A434" s="26"/>
      <c r="B434" s="26"/>
      <c r="C434" s="26"/>
      <c r="D434" s="26"/>
      <c r="E434" s="26"/>
      <c r="F434" s="26"/>
      <c r="G434" s="26"/>
      <c r="H434" s="26"/>
    </row>
    <row r="435" spans="1:8" s="48" customFormat="1" x14ac:dyDescent="0.35">
      <c r="A435" s="26"/>
      <c r="B435" s="26"/>
      <c r="C435" s="26"/>
      <c r="D435" s="26"/>
      <c r="E435" s="26"/>
      <c r="F435" s="26"/>
      <c r="G435" s="26"/>
      <c r="H435" s="26"/>
    </row>
    <row r="436" spans="1:8" s="48" customFormat="1" x14ac:dyDescent="0.35">
      <c r="A436" s="26"/>
      <c r="B436" s="26"/>
      <c r="C436" s="26"/>
      <c r="D436" s="26"/>
      <c r="E436" s="26"/>
      <c r="F436" s="26"/>
      <c r="G436" s="26"/>
      <c r="H436" s="26"/>
    </row>
    <row r="437" spans="1:8" s="48" customFormat="1" x14ac:dyDescent="0.35">
      <c r="A437" s="26"/>
      <c r="B437" s="26"/>
      <c r="C437" s="26"/>
      <c r="D437" s="26"/>
      <c r="E437" s="26"/>
      <c r="F437" s="26"/>
      <c r="G437" s="26"/>
      <c r="H437" s="26"/>
    </row>
    <row r="438" spans="1:8" s="48" customFormat="1" x14ac:dyDescent="0.35">
      <c r="A438" s="26"/>
      <c r="B438" s="26"/>
      <c r="C438" s="26"/>
      <c r="D438" s="26"/>
      <c r="E438" s="26"/>
      <c r="F438" s="26"/>
      <c r="G438" s="26"/>
      <c r="H438" s="26"/>
    </row>
    <row r="439" spans="1:8" s="48" customFormat="1" x14ac:dyDescent="0.35">
      <c r="A439" s="26"/>
      <c r="B439" s="26"/>
      <c r="C439" s="26"/>
      <c r="D439" s="26"/>
      <c r="E439" s="26"/>
      <c r="F439" s="26"/>
      <c r="G439" s="26"/>
      <c r="H439" s="26"/>
    </row>
    <row r="440" spans="1:8" s="48" customFormat="1" x14ac:dyDescent="0.35">
      <c r="A440" s="26"/>
      <c r="B440" s="26"/>
      <c r="C440" s="26"/>
      <c r="D440" s="26"/>
      <c r="E440" s="26"/>
      <c r="F440" s="26"/>
      <c r="G440" s="26"/>
      <c r="H440" s="26"/>
    </row>
    <row r="441" spans="1:8" s="48" customFormat="1" x14ac:dyDescent="0.35">
      <c r="A441" s="26"/>
      <c r="B441" s="26"/>
      <c r="C441" s="26"/>
      <c r="D441" s="26"/>
      <c r="E441" s="26"/>
      <c r="F441" s="26"/>
      <c r="G441" s="26"/>
      <c r="H441" s="26"/>
    </row>
    <row r="442" spans="1:8" s="48" customFormat="1" x14ac:dyDescent="0.35">
      <c r="A442" s="26"/>
      <c r="B442" s="26"/>
      <c r="C442" s="26"/>
      <c r="D442" s="26"/>
      <c r="E442" s="26"/>
      <c r="F442" s="26"/>
      <c r="G442" s="26"/>
      <c r="H442" s="26"/>
    </row>
    <row r="443" spans="1:8" s="48" customFormat="1" x14ac:dyDescent="0.35">
      <c r="A443" s="26"/>
      <c r="B443" s="26"/>
      <c r="C443" s="26"/>
      <c r="D443" s="26"/>
      <c r="E443" s="26"/>
      <c r="F443" s="26"/>
      <c r="G443" s="26"/>
      <c r="H443" s="26"/>
    </row>
    <row r="444" spans="1:8" s="48" customFormat="1" x14ac:dyDescent="0.35">
      <c r="A444" s="26"/>
      <c r="B444" s="26"/>
      <c r="C444" s="26"/>
      <c r="D444" s="26"/>
      <c r="E444" s="26"/>
      <c r="F444" s="26"/>
      <c r="G444" s="26"/>
      <c r="H444" s="26"/>
    </row>
    <row r="445" spans="1:8" s="48" customFormat="1" x14ac:dyDescent="0.35">
      <c r="A445" s="26"/>
      <c r="B445" s="26"/>
      <c r="C445" s="26"/>
      <c r="D445" s="26"/>
      <c r="E445" s="26"/>
      <c r="F445" s="26"/>
      <c r="G445" s="26"/>
      <c r="H445" s="26"/>
    </row>
    <row r="446" spans="1:8" s="48" customFormat="1" x14ac:dyDescent="0.35">
      <c r="A446" s="26"/>
      <c r="B446" s="26"/>
      <c r="C446" s="26"/>
      <c r="D446" s="26"/>
      <c r="E446" s="26"/>
      <c r="F446" s="26"/>
      <c r="G446" s="26"/>
      <c r="H446" s="26"/>
    </row>
    <row r="447" spans="1:8" s="48" customFormat="1" x14ac:dyDescent="0.35">
      <c r="A447" s="26"/>
      <c r="B447" s="26"/>
      <c r="C447" s="26"/>
      <c r="D447" s="26"/>
      <c r="E447" s="26"/>
      <c r="F447" s="26"/>
      <c r="G447" s="26"/>
      <c r="H447" s="26"/>
    </row>
    <row r="448" spans="1:8" s="48" customFormat="1" x14ac:dyDescent="0.35">
      <c r="A448" s="26"/>
      <c r="B448" s="26"/>
      <c r="C448" s="26"/>
      <c r="D448" s="26"/>
      <c r="E448" s="26"/>
      <c r="F448" s="26"/>
      <c r="G448" s="26"/>
      <c r="H448" s="26"/>
    </row>
    <row r="449" spans="1:8" s="48" customFormat="1" x14ac:dyDescent="0.35">
      <c r="A449" s="26"/>
      <c r="B449" s="26"/>
      <c r="C449" s="26"/>
      <c r="D449" s="26"/>
      <c r="E449" s="26"/>
      <c r="F449" s="26"/>
      <c r="G449" s="26"/>
      <c r="H449" s="26"/>
    </row>
    <row r="450" spans="1:8" s="48" customFormat="1" x14ac:dyDescent="0.35">
      <c r="A450" s="26"/>
      <c r="B450" s="26"/>
      <c r="C450" s="26"/>
      <c r="D450" s="26"/>
      <c r="E450" s="26"/>
      <c r="F450" s="26"/>
      <c r="G450" s="26"/>
      <c r="H450" s="26"/>
    </row>
    <row r="451" spans="1:8" s="48" customFormat="1" x14ac:dyDescent="0.35">
      <c r="A451" s="26"/>
      <c r="B451" s="26"/>
      <c r="C451" s="26"/>
      <c r="D451" s="26"/>
      <c r="E451" s="26"/>
      <c r="F451" s="26"/>
      <c r="G451" s="26"/>
      <c r="H451" s="26"/>
    </row>
    <row r="452" spans="1:8" s="48" customFormat="1" x14ac:dyDescent="0.35">
      <c r="A452" s="26"/>
      <c r="B452" s="26"/>
      <c r="C452" s="26"/>
      <c r="D452" s="26"/>
      <c r="E452" s="26"/>
      <c r="F452" s="26"/>
      <c r="G452" s="26"/>
      <c r="H452" s="26"/>
    </row>
    <row r="453" spans="1:8" s="48" customFormat="1" x14ac:dyDescent="0.35">
      <c r="A453" s="26"/>
      <c r="B453" s="26"/>
      <c r="C453" s="26"/>
      <c r="D453" s="26"/>
      <c r="E453" s="26"/>
      <c r="F453" s="26"/>
      <c r="G453" s="26"/>
      <c r="H453" s="26"/>
    </row>
    <row r="454" spans="1:8" s="48" customFormat="1" x14ac:dyDescent="0.35">
      <c r="A454" s="26"/>
      <c r="B454" s="26"/>
      <c r="C454" s="26"/>
      <c r="D454" s="26"/>
      <c r="E454" s="26"/>
      <c r="F454" s="26"/>
      <c r="G454" s="26"/>
      <c r="H454" s="26"/>
    </row>
    <row r="455" spans="1:8" s="48" customFormat="1" x14ac:dyDescent="0.35">
      <c r="A455" s="26"/>
      <c r="B455" s="26"/>
      <c r="C455" s="26"/>
      <c r="D455" s="26"/>
      <c r="E455" s="26"/>
      <c r="F455" s="26"/>
      <c r="G455" s="26"/>
      <c r="H455" s="26"/>
    </row>
    <row r="456" spans="1:8" s="48" customFormat="1" x14ac:dyDescent="0.35">
      <c r="A456" s="26"/>
      <c r="B456" s="26"/>
      <c r="C456" s="26"/>
      <c r="D456" s="26"/>
      <c r="E456" s="26"/>
      <c r="F456" s="26"/>
      <c r="G456" s="26"/>
      <c r="H456" s="26"/>
    </row>
    <row r="457" spans="1:8" s="48" customFormat="1" x14ac:dyDescent="0.35">
      <c r="A457" s="26"/>
      <c r="B457" s="26"/>
      <c r="C457" s="26"/>
      <c r="D457" s="26"/>
      <c r="E457" s="26"/>
      <c r="F457" s="26"/>
      <c r="G457" s="26"/>
      <c r="H457" s="26"/>
    </row>
    <row r="458" spans="1:8" s="48" customFormat="1" x14ac:dyDescent="0.35">
      <c r="A458" s="26"/>
      <c r="B458" s="26"/>
      <c r="C458" s="26"/>
      <c r="D458" s="26"/>
      <c r="E458" s="26"/>
      <c r="F458" s="26"/>
      <c r="G458" s="26"/>
      <c r="H458" s="26"/>
    </row>
    <row r="459" spans="1:8" s="48" customFormat="1" x14ac:dyDescent="0.35">
      <c r="A459" s="26"/>
      <c r="B459" s="26"/>
      <c r="C459" s="26"/>
      <c r="D459" s="26"/>
      <c r="E459" s="26"/>
      <c r="F459" s="26"/>
      <c r="G459" s="26"/>
      <c r="H459" s="26"/>
    </row>
    <row r="460" spans="1:8" s="48" customFormat="1" x14ac:dyDescent="0.35">
      <c r="A460" s="26"/>
      <c r="B460" s="26"/>
      <c r="C460" s="26"/>
      <c r="D460" s="26"/>
      <c r="E460" s="26"/>
      <c r="F460" s="26"/>
      <c r="G460" s="26"/>
      <c r="H460" s="26"/>
    </row>
    <row r="461" spans="1:8" s="48" customFormat="1" x14ac:dyDescent="0.35">
      <c r="A461" s="26"/>
      <c r="B461" s="26"/>
      <c r="C461" s="26"/>
      <c r="D461" s="26"/>
      <c r="E461" s="26"/>
      <c r="F461" s="26"/>
      <c r="G461" s="26"/>
      <c r="H461" s="26"/>
    </row>
    <row r="462" spans="1:8" s="48" customFormat="1" x14ac:dyDescent="0.35">
      <c r="A462" s="26"/>
      <c r="B462" s="26"/>
      <c r="C462" s="26"/>
      <c r="D462" s="26"/>
      <c r="E462" s="26"/>
      <c r="F462" s="26"/>
      <c r="G462" s="26"/>
      <c r="H462" s="26"/>
    </row>
    <row r="463" spans="1:8" s="48" customFormat="1" x14ac:dyDescent="0.35">
      <c r="A463" s="26"/>
      <c r="B463" s="26"/>
      <c r="C463" s="26"/>
      <c r="D463" s="26"/>
      <c r="E463" s="26"/>
      <c r="F463" s="26"/>
      <c r="G463" s="26"/>
      <c r="H463" s="26"/>
    </row>
    <row r="464" spans="1:8" s="48" customFormat="1" x14ac:dyDescent="0.35">
      <c r="A464" s="26"/>
      <c r="B464" s="26"/>
      <c r="C464" s="26"/>
      <c r="D464" s="26"/>
      <c r="E464" s="26"/>
      <c r="F464" s="26"/>
      <c r="G464" s="26"/>
      <c r="H464" s="26"/>
    </row>
    <row r="465" spans="1:8" s="48" customFormat="1" x14ac:dyDescent="0.35">
      <c r="A465" s="26"/>
      <c r="B465" s="26"/>
      <c r="C465" s="26"/>
      <c r="D465" s="26"/>
      <c r="E465" s="26"/>
      <c r="F465" s="26"/>
      <c r="G465" s="26"/>
      <c r="H465" s="26"/>
    </row>
    <row r="466" spans="1:8" s="48" customFormat="1" x14ac:dyDescent="0.35">
      <c r="A466" s="26"/>
      <c r="B466" s="26"/>
      <c r="C466" s="26"/>
      <c r="D466" s="26"/>
      <c r="E466" s="26"/>
      <c r="F466" s="26"/>
      <c r="G466" s="26"/>
      <c r="H466" s="26"/>
    </row>
    <row r="467" spans="1:8" s="48" customFormat="1" x14ac:dyDescent="0.35">
      <c r="A467" s="26"/>
      <c r="B467" s="26"/>
      <c r="C467" s="26"/>
      <c r="D467" s="26"/>
      <c r="E467" s="26"/>
      <c r="F467" s="26"/>
      <c r="G467" s="26"/>
      <c r="H467" s="26"/>
    </row>
    <row r="468" spans="1:8" s="48" customFormat="1" x14ac:dyDescent="0.35">
      <c r="A468" s="26"/>
      <c r="B468" s="26"/>
      <c r="C468" s="26"/>
      <c r="D468" s="26"/>
      <c r="E468" s="26"/>
      <c r="F468" s="26"/>
      <c r="G468" s="26"/>
      <c r="H468" s="26"/>
    </row>
    <row r="469" spans="1:8" s="48" customFormat="1" x14ac:dyDescent="0.35">
      <c r="A469" s="26"/>
      <c r="B469" s="26"/>
      <c r="C469" s="26"/>
      <c r="D469" s="26"/>
      <c r="E469" s="26"/>
      <c r="F469" s="26"/>
      <c r="G469" s="26"/>
      <c r="H469" s="26"/>
    </row>
    <row r="470" spans="1:8" s="48" customFormat="1" x14ac:dyDescent="0.35">
      <c r="A470" s="26"/>
      <c r="B470" s="26"/>
      <c r="C470" s="26"/>
      <c r="D470" s="26"/>
      <c r="E470" s="26"/>
      <c r="F470" s="26"/>
      <c r="G470" s="26"/>
      <c r="H470" s="26"/>
    </row>
    <row r="471" spans="1:8" s="48" customFormat="1" x14ac:dyDescent="0.35">
      <c r="A471" s="26"/>
      <c r="B471" s="26"/>
      <c r="C471" s="26"/>
      <c r="D471" s="26"/>
      <c r="E471" s="26"/>
      <c r="F471" s="26"/>
      <c r="G471" s="26"/>
      <c r="H471" s="26"/>
    </row>
    <row r="472" spans="1:8" s="48" customFormat="1" x14ac:dyDescent="0.35">
      <c r="A472" s="26"/>
      <c r="B472" s="26"/>
      <c r="C472" s="26"/>
      <c r="D472" s="26"/>
      <c r="E472" s="26"/>
      <c r="F472" s="26"/>
      <c r="G472" s="26"/>
      <c r="H472" s="26"/>
    </row>
    <row r="473" spans="1:8" s="48" customFormat="1" x14ac:dyDescent="0.35">
      <c r="A473" s="26"/>
      <c r="B473" s="26"/>
      <c r="C473" s="26"/>
      <c r="D473" s="26"/>
      <c r="E473" s="26"/>
      <c r="F473" s="26"/>
      <c r="G473" s="26"/>
      <c r="H473" s="26"/>
    </row>
    <row r="474" spans="1:8" s="48" customFormat="1" x14ac:dyDescent="0.35">
      <c r="A474" s="26"/>
      <c r="B474" s="26"/>
      <c r="C474" s="26"/>
      <c r="D474" s="26"/>
      <c r="E474" s="26"/>
      <c r="F474" s="26"/>
      <c r="G474" s="26"/>
      <c r="H474" s="26"/>
    </row>
    <row r="475" spans="1:8" s="48" customFormat="1" x14ac:dyDescent="0.35">
      <c r="A475" s="26"/>
      <c r="B475" s="26"/>
      <c r="C475" s="26"/>
      <c r="D475" s="26"/>
      <c r="E475" s="26"/>
      <c r="F475" s="26"/>
      <c r="G475" s="26"/>
      <c r="H475" s="26"/>
    </row>
    <row r="476" spans="1:8" s="48" customFormat="1" x14ac:dyDescent="0.35">
      <c r="A476" s="26"/>
      <c r="B476" s="26"/>
      <c r="C476" s="26"/>
      <c r="D476" s="26"/>
      <c r="E476" s="26"/>
      <c r="F476" s="26"/>
      <c r="G476" s="26"/>
      <c r="H476" s="26"/>
    </row>
    <row r="477" spans="1:8" s="48" customFormat="1" x14ac:dyDescent="0.35">
      <c r="A477" s="26"/>
      <c r="B477" s="26"/>
      <c r="C477" s="26"/>
      <c r="D477" s="26"/>
      <c r="E477" s="26"/>
      <c r="F477" s="26"/>
      <c r="G477" s="26"/>
      <c r="H477" s="26"/>
    </row>
    <row r="478" spans="1:8" s="48" customFormat="1" x14ac:dyDescent="0.35">
      <c r="A478" s="26"/>
      <c r="B478" s="26"/>
      <c r="C478" s="26"/>
      <c r="D478" s="26"/>
      <c r="E478" s="26"/>
      <c r="F478" s="26"/>
      <c r="G478" s="26"/>
      <c r="H478" s="26"/>
    </row>
    <row r="479" spans="1:8" s="48" customFormat="1" x14ac:dyDescent="0.35">
      <c r="A479" s="26"/>
      <c r="B479" s="26"/>
      <c r="C479" s="26"/>
      <c r="D479" s="26"/>
      <c r="E479" s="26"/>
      <c r="F479" s="26"/>
      <c r="G479" s="26"/>
      <c r="H479" s="26"/>
    </row>
    <row r="480" spans="1:8" s="48" customFormat="1" x14ac:dyDescent="0.35">
      <c r="A480" s="26"/>
      <c r="B480" s="26"/>
      <c r="C480" s="26"/>
      <c r="D480" s="26"/>
      <c r="E480" s="26"/>
      <c r="F480" s="26"/>
      <c r="G480" s="26"/>
      <c r="H480" s="26"/>
    </row>
    <row r="481" spans="1:8" s="48" customFormat="1" x14ac:dyDescent="0.35">
      <c r="A481" s="26"/>
      <c r="B481" s="26"/>
      <c r="C481" s="26"/>
      <c r="D481" s="26"/>
      <c r="E481" s="26"/>
      <c r="F481" s="26"/>
      <c r="G481" s="26"/>
      <c r="H481" s="26"/>
    </row>
    <row r="482" spans="1:8" s="48" customFormat="1" x14ac:dyDescent="0.35">
      <c r="A482" s="26"/>
      <c r="B482" s="26"/>
      <c r="C482" s="26"/>
      <c r="D482" s="26"/>
      <c r="E482" s="26"/>
      <c r="F482" s="26"/>
      <c r="G482" s="26"/>
      <c r="H482" s="26"/>
    </row>
    <row r="483" spans="1:8" s="48" customFormat="1" x14ac:dyDescent="0.35">
      <c r="A483" s="26"/>
      <c r="B483" s="26"/>
      <c r="C483" s="26"/>
      <c r="D483" s="26"/>
      <c r="E483" s="26"/>
      <c r="F483" s="26"/>
      <c r="G483" s="26"/>
      <c r="H483" s="26"/>
    </row>
    <row r="484" spans="1:8" s="48" customFormat="1" x14ac:dyDescent="0.35">
      <c r="A484" s="26"/>
      <c r="B484" s="26"/>
      <c r="C484" s="26"/>
      <c r="D484" s="26"/>
      <c r="E484" s="26"/>
      <c r="F484" s="26"/>
      <c r="G484" s="26"/>
      <c r="H484" s="26"/>
    </row>
    <row r="485" spans="1:8" s="48" customFormat="1" x14ac:dyDescent="0.35">
      <c r="A485" s="26"/>
      <c r="B485" s="26"/>
      <c r="C485" s="26"/>
      <c r="D485" s="26"/>
      <c r="E485" s="26"/>
      <c r="F485" s="26"/>
      <c r="G485" s="26"/>
      <c r="H485" s="26"/>
    </row>
    <row r="486" spans="1:8" s="48" customFormat="1" x14ac:dyDescent="0.35">
      <c r="A486" s="26"/>
      <c r="B486" s="26"/>
      <c r="C486" s="26"/>
      <c r="D486" s="26"/>
      <c r="E486" s="26"/>
      <c r="F486" s="26"/>
      <c r="G486" s="26"/>
      <c r="H486" s="26"/>
    </row>
    <row r="487" spans="1:8" s="48" customFormat="1" x14ac:dyDescent="0.35">
      <c r="A487" s="26"/>
      <c r="B487" s="26"/>
      <c r="C487" s="26"/>
      <c r="D487" s="26"/>
      <c r="E487" s="26"/>
      <c r="F487" s="26"/>
      <c r="G487" s="26"/>
      <c r="H487" s="26"/>
    </row>
    <row r="488" spans="1:8" s="48" customFormat="1" x14ac:dyDescent="0.35">
      <c r="A488" s="26"/>
      <c r="B488" s="26"/>
      <c r="C488" s="26"/>
      <c r="D488" s="26"/>
      <c r="E488" s="26"/>
      <c r="F488" s="26"/>
      <c r="G488" s="26"/>
      <c r="H488" s="26"/>
    </row>
    <row r="489" spans="1:8" s="48" customFormat="1" x14ac:dyDescent="0.35">
      <c r="A489" s="26"/>
      <c r="B489" s="26"/>
      <c r="C489" s="26"/>
      <c r="D489" s="26"/>
      <c r="E489" s="26"/>
      <c r="F489" s="26"/>
      <c r="G489" s="26"/>
      <c r="H489" s="26"/>
    </row>
    <row r="490" spans="1:8" s="48" customFormat="1" x14ac:dyDescent="0.35">
      <c r="A490" s="26"/>
      <c r="B490" s="26"/>
      <c r="C490" s="26"/>
      <c r="D490" s="26"/>
      <c r="E490" s="26"/>
      <c r="F490" s="26"/>
      <c r="G490" s="26"/>
      <c r="H490" s="26"/>
    </row>
    <row r="491" spans="1:8" s="48" customFormat="1" x14ac:dyDescent="0.35">
      <c r="A491" s="26"/>
      <c r="B491" s="26"/>
      <c r="C491" s="26"/>
      <c r="D491" s="26"/>
      <c r="E491" s="26"/>
      <c r="F491" s="26"/>
      <c r="G491" s="26"/>
      <c r="H491" s="26"/>
    </row>
    <row r="492" spans="1:8" s="48" customFormat="1" x14ac:dyDescent="0.35">
      <c r="A492" s="26"/>
      <c r="B492" s="26"/>
      <c r="C492" s="26"/>
      <c r="D492" s="26"/>
      <c r="E492" s="26"/>
      <c r="F492" s="26"/>
      <c r="G492" s="26"/>
      <c r="H492" s="26"/>
    </row>
    <row r="493" spans="1:8" s="48" customFormat="1" x14ac:dyDescent="0.35">
      <c r="A493" s="26"/>
      <c r="B493" s="26"/>
      <c r="C493" s="26"/>
      <c r="D493" s="26"/>
      <c r="E493" s="26"/>
      <c r="F493" s="26"/>
      <c r="G493" s="26"/>
      <c r="H493" s="26"/>
    </row>
    <row r="494" spans="1:8" s="48" customFormat="1" x14ac:dyDescent="0.35">
      <c r="A494" s="26"/>
      <c r="B494" s="26"/>
      <c r="C494" s="26"/>
      <c r="D494" s="26"/>
      <c r="E494" s="26"/>
      <c r="F494" s="26"/>
      <c r="G494" s="26"/>
      <c r="H494" s="26"/>
    </row>
    <row r="495" spans="1:8" s="48" customFormat="1" x14ac:dyDescent="0.35">
      <c r="A495" s="26"/>
      <c r="B495" s="26"/>
      <c r="C495" s="26"/>
      <c r="D495" s="26"/>
      <c r="E495" s="26"/>
      <c r="F495" s="26"/>
      <c r="G495" s="26"/>
      <c r="H495" s="26"/>
    </row>
    <row r="496" spans="1:8" s="48" customFormat="1" x14ac:dyDescent="0.35">
      <c r="A496" s="26"/>
      <c r="B496" s="26"/>
      <c r="C496" s="26"/>
      <c r="D496" s="26"/>
      <c r="E496" s="26"/>
      <c r="F496" s="26"/>
      <c r="G496" s="26"/>
      <c r="H496" s="26"/>
    </row>
    <row r="497" spans="1:8" s="48" customFormat="1" x14ac:dyDescent="0.35">
      <c r="A497" s="26"/>
      <c r="B497" s="26"/>
      <c r="C497" s="26"/>
      <c r="D497" s="26"/>
      <c r="E497" s="26"/>
      <c r="F497" s="26"/>
      <c r="G497" s="26"/>
      <c r="H497" s="26"/>
    </row>
    <row r="498" spans="1:8" s="48" customFormat="1" x14ac:dyDescent="0.35">
      <c r="A498" s="26"/>
      <c r="B498" s="26"/>
      <c r="C498" s="26"/>
      <c r="D498" s="26"/>
      <c r="E498" s="26"/>
      <c r="F498" s="26"/>
      <c r="G498" s="26"/>
      <c r="H498" s="26"/>
    </row>
    <row r="499" spans="1:8" s="48" customFormat="1" x14ac:dyDescent="0.35">
      <c r="A499" s="26"/>
      <c r="B499" s="26"/>
      <c r="C499" s="26"/>
      <c r="D499" s="26"/>
      <c r="E499" s="26"/>
      <c r="F499" s="26"/>
      <c r="G499" s="26"/>
      <c r="H499" s="26"/>
    </row>
    <row r="500" spans="1:8" s="48" customFormat="1" x14ac:dyDescent="0.35">
      <c r="A500" s="26"/>
      <c r="B500" s="26"/>
      <c r="C500" s="26"/>
      <c r="D500" s="26"/>
      <c r="E500" s="26"/>
      <c r="F500" s="26"/>
      <c r="G500" s="26"/>
      <c r="H500" s="26"/>
    </row>
    <row r="501" spans="1:8" s="48" customFormat="1" x14ac:dyDescent="0.35">
      <c r="A501" s="26"/>
      <c r="B501" s="26"/>
      <c r="C501" s="26"/>
      <c r="D501" s="26"/>
      <c r="E501" s="26"/>
      <c r="F501" s="26"/>
      <c r="G501" s="26"/>
      <c r="H501" s="26"/>
    </row>
    <row r="502" spans="1:8" s="48" customFormat="1" x14ac:dyDescent="0.35">
      <c r="A502" s="26"/>
      <c r="B502" s="26"/>
      <c r="C502" s="26"/>
      <c r="D502" s="26"/>
      <c r="E502" s="26"/>
      <c r="F502" s="26"/>
      <c r="G502" s="26"/>
      <c r="H502" s="26"/>
    </row>
    <row r="503" spans="1:8" s="48" customFormat="1" x14ac:dyDescent="0.35">
      <c r="A503" s="26"/>
      <c r="B503" s="26"/>
      <c r="C503" s="26"/>
      <c r="D503" s="26"/>
      <c r="E503" s="26"/>
      <c r="F503" s="26"/>
      <c r="G503" s="26"/>
      <c r="H503" s="26"/>
    </row>
    <row r="504" spans="1:8" s="48" customFormat="1" x14ac:dyDescent="0.35">
      <c r="A504" s="26"/>
      <c r="B504" s="26"/>
      <c r="C504" s="26"/>
      <c r="D504" s="26"/>
      <c r="E504" s="26"/>
      <c r="F504" s="26"/>
      <c r="G504" s="26"/>
      <c r="H504" s="26"/>
    </row>
    <row r="505" spans="1:8" s="48" customFormat="1" x14ac:dyDescent="0.35">
      <c r="A505" s="26"/>
      <c r="B505" s="26"/>
      <c r="C505" s="26"/>
      <c r="D505" s="26"/>
      <c r="E505" s="26"/>
      <c r="F505" s="26"/>
      <c r="G505" s="26"/>
      <c r="H505" s="26"/>
    </row>
    <row r="506" spans="1:8" s="48" customFormat="1" x14ac:dyDescent="0.35">
      <c r="A506" s="26"/>
      <c r="B506" s="26"/>
      <c r="C506" s="26"/>
      <c r="D506" s="26"/>
      <c r="E506" s="26"/>
      <c r="F506" s="26"/>
      <c r="G506" s="26"/>
      <c r="H506" s="26"/>
    </row>
    <row r="507" spans="1:8" s="48" customFormat="1" x14ac:dyDescent="0.35">
      <c r="A507" s="26"/>
      <c r="B507" s="26"/>
      <c r="C507" s="26"/>
      <c r="D507" s="26"/>
      <c r="E507" s="26"/>
      <c r="F507" s="26"/>
      <c r="G507" s="26"/>
      <c r="H507" s="26"/>
    </row>
    <row r="508" spans="1:8" s="48" customFormat="1" x14ac:dyDescent="0.35">
      <c r="A508" s="26"/>
      <c r="B508" s="26"/>
      <c r="C508" s="26"/>
      <c r="D508" s="26"/>
      <c r="E508" s="26"/>
      <c r="F508" s="26"/>
      <c r="G508" s="26"/>
      <c r="H508" s="26"/>
    </row>
    <row r="509" spans="1:8" s="48" customFormat="1" x14ac:dyDescent="0.35">
      <c r="A509" s="26"/>
      <c r="B509" s="26"/>
      <c r="C509" s="26"/>
      <c r="D509" s="26"/>
      <c r="E509" s="26"/>
      <c r="F509" s="26"/>
      <c r="G509" s="26"/>
      <c r="H509" s="26"/>
    </row>
    <row r="510" spans="1:8" s="48" customFormat="1" x14ac:dyDescent="0.35">
      <c r="A510" s="26"/>
      <c r="B510" s="26"/>
      <c r="C510" s="26"/>
      <c r="D510" s="26"/>
      <c r="E510" s="26"/>
      <c r="F510" s="26"/>
      <c r="G510" s="26"/>
      <c r="H510" s="26"/>
    </row>
    <row r="511" spans="1:8" s="48" customFormat="1" x14ac:dyDescent="0.35">
      <c r="A511" s="26"/>
      <c r="B511" s="26"/>
      <c r="C511" s="26"/>
      <c r="D511" s="26"/>
      <c r="E511" s="26"/>
      <c r="F511" s="26"/>
      <c r="G511" s="26"/>
      <c r="H511" s="26"/>
    </row>
    <row r="512" spans="1:8" s="48" customFormat="1" x14ac:dyDescent="0.35">
      <c r="A512" s="26"/>
      <c r="B512" s="26"/>
      <c r="C512" s="26"/>
      <c r="D512" s="26"/>
      <c r="E512" s="26"/>
      <c r="F512" s="26"/>
      <c r="G512" s="26"/>
      <c r="H512" s="26"/>
    </row>
    <row r="513" spans="1:8" s="48" customFormat="1" x14ac:dyDescent="0.35">
      <c r="A513" s="26"/>
      <c r="B513" s="26"/>
      <c r="C513" s="26"/>
      <c r="D513" s="26"/>
      <c r="E513" s="26"/>
      <c r="F513" s="26"/>
      <c r="G513" s="26"/>
      <c r="H513" s="26"/>
    </row>
    <row r="514" spans="1:8" s="48" customFormat="1" x14ac:dyDescent="0.35">
      <c r="A514" s="26"/>
      <c r="B514" s="26"/>
      <c r="C514" s="26"/>
      <c r="D514" s="26"/>
      <c r="E514" s="26"/>
      <c r="F514" s="26"/>
      <c r="G514" s="26"/>
      <c r="H514" s="26"/>
    </row>
    <row r="515" spans="1:8" s="48" customFormat="1" x14ac:dyDescent="0.35">
      <c r="A515" s="26"/>
      <c r="B515" s="26"/>
      <c r="C515" s="26"/>
      <c r="D515" s="26"/>
      <c r="E515" s="26"/>
      <c r="F515" s="26"/>
      <c r="G515" s="26"/>
      <c r="H515" s="26"/>
    </row>
    <row r="516" spans="1:8" s="48" customFormat="1" x14ac:dyDescent="0.35">
      <c r="A516" s="26"/>
      <c r="B516" s="26"/>
      <c r="C516" s="26"/>
      <c r="D516" s="26"/>
      <c r="E516" s="26"/>
      <c r="F516" s="26"/>
      <c r="G516" s="26"/>
      <c r="H516" s="26"/>
    </row>
    <row r="517" spans="1:8" s="48" customFormat="1" x14ac:dyDescent="0.35">
      <c r="A517" s="26"/>
      <c r="B517" s="26"/>
      <c r="C517" s="26"/>
      <c r="D517" s="26"/>
      <c r="E517" s="26"/>
      <c r="F517" s="26"/>
      <c r="G517" s="26"/>
      <c r="H517" s="26"/>
    </row>
    <row r="518" spans="1:8" s="48" customFormat="1" x14ac:dyDescent="0.35">
      <c r="A518" s="26"/>
      <c r="B518" s="26"/>
      <c r="C518" s="26"/>
      <c r="D518" s="26"/>
      <c r="E518" s="26"/>
      <c r="F518" s="26"/>
      <c r="G518" s="26"/>
      <c r="H518" s="26"/>
    </row>
    <row r="519" spans="1:8" s="48" customFormat="1" x14ac:dyDescent="0.35">
      <c r="A519" s="26"/>
      <c r="B519" s="26"/>
      <c r="C519" s="26"/>
      <c r="D519" s="26"/>
      <c r="E519" s="26"/>
      <c r="F519" s="26"/>
      <c r="G519" s="26"/>
      <c r="H519" s="26"/>
    </row>
    <row r="520" spans="1:8" s="48" customFormat="1" x14ac:dyDescent="0.35">
      <c r="A520" s="26"/>
      <c r="B520" s="26"/>
      <c r="C520" s="26"/>
      <c r="D520" s="26"/>
      <c r="E520" s="26"/>
      <c r="F520" s="26"/>
      <c r="G520" s="26"/>
      <c r="H520" s="26"/>
    </row>
    <row r="521" spans="1:8" s="48" customFormat="1" x14ac:dyDescent="0.35">
      <c r="A521" s="26"/>
      <c r="B521" s="26"/>
      <c r="C521" s="26"/>
      <c r="D521" s="26"/>
      <c r="E521" s="26"/>
      <c r="F521" s="26"/>
      <c r="G521" s="26"/>
      <c r="H521" s="26"/>
    </row>
    <row r="522" spans="1:8" s="48" customFormat="1" x14ac:dyDescent="0.35">
      <c r="A522" s="26"/>
      <c r="B522" s="26"/>
      <c r="C522" s="26"/>
      <c r="D522" s="26"/>
      <c r="E522" s="26"/>
      <c r="F522" s="26"/>
      <c r="G522" s="26"/>
      <c r="H522" s="26"/>
    </row>
    <row r="523" spans="1:8" s="48" customFormat="1" x14ac:dyDescent="0.35">
      <c r="A523" s="26"/>
      <c r="B523" s="26"/>
      <c r="C523" s="26"/>
      <c r="D523" s="26"/>
      <c r="E523" s="26"/>
      <c r="F523" s="26"/>
      <c r="G523" s="26"/>
      <c r="H523" s="26"/>
    </row>
    <row r="524" spans="1:8" s="48" customFormat="1" x14ac:dyDescent="0.35">
      <c r="A524" s="26"/>
      <c r="B524" s="26"/>
      <c r="C524" s="26"/>
      <c r="D524" s="26"/>
      <c r="E524" s="26"/>
      <c r="F524" s="26"/>
      <c r="G524" s="26"/>
      <c r="H524" s="26"/>
    </row>
    <row r="525" spans="1:8" s="48" customFormat="1" x14ac:dyDescent="0.35">
      <c r="A525" s="26"/>
      <c r="B525" s="26"/>
      <c r="C525" s="26"/>
      <c r="D525" s="26"/>
      <c r="E525" s="26"/>
      <c r="F525" s="26"/>
      <c r="G525" s="26"/>
      <c r="H525" s="26"/>
    </row>
    <row r="526" spans="1:8" s="48" customFormat="1" x14ac:dyDescent="0.35">
      <c r="A526" s="26"/>
      <c r="B526" s="26"/>
      <c r="C526" s="26"/>
      <c r="D526" s="26"/>
      <c r="E526" s="26"/>
      <c r="F526" s="26"/>
      <c r="G526" s="26"/>
      <c r="H526" s="26"/>
    </row>
    <row r="527" spans="1:8" s="48" customFormat="1" x14ac:dyDescent="0.35">
      <c r="A527" s="26"/>
      <c r="B527" s="26"/>
      <c r="C527" s="26"/>
      <c r="D527" s="26"/>
      <c r="E527" s="26"/>
      <c r="F527" s="26"/>
      <c r="G527" s="26"/>
      <c r="H527" s="26"/>
    </row>
    <row r="528" spans="1:8" s="48" customFormat="1" x14ac:dyDescent="0.35">
      <c r="A528" s="26"/>
      <c r="B528" s="26"/>
      <c r="C528" s="26"/>
      <c r="D528" s="26"/>
      <c r="E528" s="26"/>
      <c r="F528" s="26"/>
      <c r="G528" s="26"/>
      <c r="H528" s="26"/>
    </row>
    <row r="529" spans="1:8" s="48" customFormat="1" x14ac:dyDescent="0.35">
      <c r="A529" s="26"/>
      <c r="B529" s="26"/>
      <c r="C529" s="26"/>
      <c r="D529" s="26"/>
      <c r="E529" s="26"/>
      <c r="F529" s="26"/>
      <c r="G529" s="26"/>
      <c r="H529" s="26"/>
    </row>
    <row r="530" spans="1:8" s="48" customFormat="1" x14ac:dyDescent="0.35">
      <c r="A530" s="26"/>
      <c r="B530" s="26"/>
      <c r="C530" s="26"/>
      <c r="D530" s="26"/>
      <c r="E530" s="26"/>
      <c r="F530" s="26"/>
      <c r="G530" s="26"/>
      <c r="H530" s="26"/>
    </row>
    <row r="531" spans="1:8" s="48" customFormat="1" x14ac:dyDescent="0.35">
      <c r="A531" s="26"/>
      <c r="B531" s="26"/>
      <c r="C531" s="26"/>
      <c r="D531" s="26"/>
      <c r="E531" s="26"/>
      <c r="F531" s="26"/>
      <c r="G531" s="26"/>
      <c r="H531" s="26"/>
    </row>
    <row r="532" spans="1:8" s="48" customFormat="1" x14ac:dyDescent="0.35">
      <c r="A532" s="26"/>
      <c r="B532" s="26"/>
      <c r="C532" s="26"/>
      <c r="D532" s="26"/>
      <c r="E532" s="26"/>
      <c r="F532" s="26"/>
      <c r="G532" s="26"/>
      <c r="H532" s="26"/>
    </row>
    <row r="533" spans="1:8" s="48" customFormat="1" x14ac:dyDescent="0.35">
      <c r="A533" s="26"/>
      <c r="B533" s="26"/>
      <c r="C533" s="26"/>
      <c r="D533" s="26"/>
      <c r="E533" s="26"/>
      <c r="F533" s="26"/>
      <c r="G533" s="26"/>
      <c r="H533" s="26"/>
    </row>
    <row r="534" spans="1:8" s="48" customFormat="1" x14ac:dyDescent="0.35">
      <c r="A534" s="26"/>
      <c r="B534" s="26"/>
      <c r="C534" s="26"/>
      <c r="D534" s="26"/>
      <c r="E534" s="26"/>
      <c r="F534" s="26"/>
      <c r="G534" s="26"/>
      <c r="H534" s="26"/>
    </row>
    <row r="535" spans="1:8" s="48" customFormat="1" x14ac:dyDescent="0.35">
      <c r="A535" s="26"/>
      <c r="B535" s="26"/>
      <c r="C535" s="26"/>
      <c r="D535" s="26"/>
      <c r="E535" s="26"/>
      <c r="F535" s="26"/>
      <c r="G535" s="26"/>
      <c r="H535" s="26"/>
    </row>
    <row r="536" spans="1:8" s="48" customFormat="1" x14ac:dyDescent="0.35">
      <c r="A536" s="26"/>
      <c r="B536" s="26"/>
      <c r="C536" s="26"/>
      <c r="D536" s="26"/>
      <c r="E536" s="26"/>
      <c r="F536" s="26"/>
      <c r="G536" s="26"/>
      <c r="H536" s="26"/>
    </row>
    <row r="537" spans="1:8" s="48" customFormat="1" x14ac:dyDescent="0.35">
      <c r="A537" s="26"/>
      <c r="B537" s="26"/>
      <c r="C537" s="26"/>
      <c r="D537" s="26"/>
      <c r="E537" s="26"/>
      <c r="F537" s="26"/>
      <c r="G537" s="26"/>
      <c r="H537" s="26"/>
    </row>
    <row r="538" spans="1:8" s="48" customFormat="1" x14ac:dyDescent="0.35">
      <c r="A538" s="26"/>
      <c r="B538" s="26"/>
      <c r="C538" s="26"/>
      <c r="D538" s="26"/>
      <c r="E538" s="26"/>
      <c r="F538" s="26"/>
      <c r="G538" s="26"/>
      <c r="H538" s="26"/>
    </row>
    <row r="539" spans="1:8" s="48" customFormat="1" x14ac:dyDescent="0.35">
      <c r="A539" s="26"/>
      <c r="B539" s="26"/>
      <c r="C539" s="26"/>
      <c r="D539" s="26"/>
      <c r="E539" s="26"/>
      <c r="F539" s="26"/>
      <c r="G539" s="26"/>
      <c r="H539" s="26"/>
    </row>
    <row r="540" spans="1:8" s="48" customFormat="1" x14ac:dyDescent="0.35">
      <c r="A540" s="26"/>
      <c r="B540" s="26"/>
      <c r="C540" s="26"/>
      <c r="D540" s="26"/>
      <c r="E540" s="26"/>
      <c r="F540" s="26"/>
      <c r="G540" s="26"/>
      <c r="H540" s="26"/>
    </row>
    <row r="541" spans="1:8" s="48" customFormat="1" x14ac:dyDescent="0.35">
      <c r="A541" s="26"/>
      <c r="B541" s="26"/>
      <c r="C541" s="26"/>
      <c r="D541" s="26"/>
      <c r="E541" s="26"/>
      <c r="F541" s="26"/>
      <c r="G541" s="26"/>
      <c r="H541" s="26"/>
    </row>
    <row r="542" spans="1:8" s="48" customFormat="1" x14ac:dyDescent="0.35">
      <c r="A542" s="26"/>
      <c r="B542" s="26"/>
      <c r="C542" s="26"/>
      <c r="D542" s="26"/>
      <c r="E542" s="26"/>
      <c r="F542" s="26"/>
      <c r="G542" s="26"/>
      <c r="H542" s="26"/>
    </row>
    <row r="543" spans="1:8" s="48" customFormat="1" x14ac:dyDescent="0.35">
      <c r="A543" s="26"/>
      <c r="B543" s="26"/>
      <c r="C543" s="26"/>
      <c r="D543" s="26"/>
      <c r="E543" s="26"/>
      <c r="F543" s="26"/>
      <c r="G543" s="26"/>
      <c r="H543" s="26"/>
    </row>
    <row r="544" spans="1:8" s="48" customFormat="1" x14ac:dyDescent="0.35">
      <c r="A544" s="26"/>
      <c r="B544" s="26"/>
      <c r="C544" s="26"/>
      <c r="D544" s="26"/>
      <c r="E544" s="26"/>
      <c r="F544" s="26"/>
      <c r="G544" s="26"/>
      <c r="H544" s="26"/>
    </row>
    <row r="545" spans="1:8" s="48" customFormat="1" x14ac:dyDescent="0.35">
      <c r="A545" s="26"/>
      <c r="B545" s="26"/>
      <c r="C545" s="26"/>
      <c r="D545" s="26"/>
      <c r="E545" s="26"/>
      <c r="F545" s="26"/>
      <c r="G545" s="26"/>
      <c r="H545" s="26"/>
    </row>
    <row r="546" spans="1:8" s="48" customFormat="1" x14ac:dyDescent="0.35">
      <c r="A546" s="26"/>
      <c r="B546" s="26"/>
      <c r="C546" s="26"/>
      <c r="D546" s="26"/>
      <c r="E546" s="26"/>
      <c r="F546" s="26"/>
      <c r="G546" s="26"/>
      <c r="H546" s="26"/>
    </row>
    <row r="547" spans="1:8" s="48" customFormat="1" x14ac:dyDescent="0.35">
      <c r="A547" s="26"/>
      <c r="B547" s="26"/>
      <c r="C547" s="26"/>
      <c r="D547" s="26"/>
      <c r="E547" s="26"/>
      <c r="F547" s="26"/>
      <c r="G547" s="26"/>
      <c r="H547" s="26"/>
    </row>
    <row r="548" spans="1:8" s="48" customFormat="1" x14ac:dyDescent="0.35">
      <c r="A548" s="26"/>
      <c r="B548" s="26"/>
      <c r="C548" s="26"/>
      <c r="D548" s="26"/>
      <c r="E548" s="26"/>
      <c r="F548" s="26"/>
      <c r="G548" s="26"/>
      <c r="H548" s="26"/>
    </row>
    <row r="549" spans="1:8" s="48" customFormat="1" x14ac:dyDescent="0.35">
      <c r="A549" s="26"/>
      <c r="B549" s="26"/>
      <c r="C549" s="26"/>
      <c r="D549" s="26"/>
      <c r="E549" s="26"/>
      <c r="F549" s="26"/>
      <c r="G549" s="26"/>
      <c r="H549" s="26"/>
    </row>
    <row r="550" spans="1:8" s="48" customFormat="1" x14ac:dyDescent="0.35">
      <c r="A550" s="26"/>
      <c r="B550" s="26"/>
      <c r="C550" s="26"/>
      <c r="D550" s="26"/>
      <c r="E550" s="26"/>
      <c r="F550" s="26"/>
      <c r="G550" s="26"/>
      <c r="H550" s="26"/>
    </row>
    <row r="551" spans="1:8" s="48" customFormat="1" x14ac:dyDescent="0.35">
      <c r="A551" s="26"/>
      <c r="B551" s="26"/>
      <c r="C551" s="26"/>
      <c r="D551" s="26"/>
      <c r="E551" s="26"/>
      <c r="F551" s="26"/>
      <c r="G551" s="26"/>
      <c r="H551" s="26"/>
    </row>
    <row r="552" spans="1:8" s="48" customFormat="1" x14ac:dyDescent="0.35">
      <c r="A552" s="26"/>
      <c r="B552" s="26"/>
      <c r="C552" s="26"/>
      <c r="D552" s="26"/>
      <c r="E552" s="26"/>
      <c r="F552" s="26"/>
      <c r="G552" s="26"/>
      <c r="H552" s="26"/>
    </row>
    <row r="553" spans="1:8" s="48" customFormat="1" x14ac:dyDescent="0.35">
      <c r="A553" s="26"/>
      <c r="B553" s="26"/>
      <c r="C553" s="26"/>
      <c r="D553" s="26"/>
      <c r="E553" s="26"/>
      <c r="F553" s="26"/>
      <c r="G553" s="26"/>
      <c r="H553" s="26"/>
    </row>
    <row r="554" spans="1:8" s="48" customFormat="1" x14ac:dyDescent="0.35">
      <c r="A554" s="26"/>
      <c r="B554" s="26"/>
      <c r="C554" s="26"/>
      <c r="D554" s="26"/>
      <c r="E554" s="26"/>
      <c r="F554" s="26"/>
      <c r="G554" s="26"/>
      <c r="H554" s="26"/>
    </row>
    <row r="555" spans="1:8" s="48" customFormat="1" x14ac:dyDescent="0.35">
      <c r="A555" s="26"/>
      <c r="B555" s="26"/>
      <c r="C555" s="26"/>
      <c r="D555" s="26"/>
      <c r="E555" s="26"/>
      <c r="F555" s="26"/>
      <c r="G555" s="26"/>
      <c r="H555" s="26"/>
    </row>
    <row r="556" spans="1:8" s="48" customFormat="1" x14ac:dyDescent="0.35">
      <c r="A556" s="26"/>
      <c r="B556" s="26"/>
      <c r="C556" s="26"/>
      <c r="D556" s="26"/>
      <c r="E556" s="26"/>
      <c r="F556" s="26"/>
      <c r="G556" s="26"/>
      <c r="H556" s="26"/>
    </row>
    <row r="557" spans="1:8" s="48" customFormat="1" x14ac:dyDescent="0.35">
      <c r="A557" s="26"/>
      <c r="B557" s="26"/>
      <c r="C557" s="26"/>
      <c r="D557" s="26"/>
      <c r="E557" s="26"/>
      <c r="F557" s="26"/>
      <c r="G557" s="26"/>
      <c r="H557" s="26"/>
    </row>
    <row r="558" spans="1:8" s="48" customFormat="1" x14ac:dyDescent="0.35">
      <c r="A558" s="26"/>
      <c r="B558" s="26"/>
      <c r="C558" s="26"/>
      <c r="D558" s="26"/>
      <c r="E558" s="26"/>
      <c r="F558" s="26"/>
      <c r="G558" s="26"/>
      <c r="H558" s="26"/>
    </row>
    <row r="559" spans="1:8" s="48" customFormat="1" x14ac:dyDescent="0.35">
      <c r="A559" s="26"/>
      <c r="B559" s="26"/>
      <c r="C559" s="26"/>
      <c r="D559" s="26"/>
      <c r="E559" s="26"/>
      <c r="F559" s="26"/>
      <c r="G559" s="26"/>
      <c r="H559" s="26"/>
    </row>
    <row r="560" spans="1:8" s="48" customFormat="1" x14ac:dyDescent="0.35">
      <c r="A560" s="26"/>
      <c r="B560" s="26"/>
      <c r="C560" s="26"/>
      <c r="D560" s="26"/>
      <c r="E560" s="26"/>
      <c r="F560" s="26"/>
      <c r="G560" s="26"/>
      <c r="H560" s="26"/>
    </row>
    <row r="561" spans="1:8" s="48" customFormat="1" x14ac:dyDescent="0.35">
      <c r="A561" s="26"/>
      <c r="B561" s="26"/>
      <c r="C561" s="26"/>
      <c r="D561" s="26"/>
      <c r="E561" s="26"/>
      <c r="F561" s="26"/>
      <c r="G561" s="26"/>
      <c r="H561" s="26"/>
    </row>
    <row r="562" spans="1:8" s="48" customFormat="1" x14ac:dyDescent="0.35">
      <c r="A562" s="26"/>
      <c r="B562" s="26"/>
      <c r="C562" s="26"/>
      <c r="D562" s="26"/>
      <c r="E562" s="26"/>
      <c r="F562" s="26"/>
      <c r="G562" s="26"/>
      <c r="H562" s="26"/>
    </row>
    <row r="563" spans="1:8" s="48" customFormat="1" x14ac:dyDescent="0.35">
      <c r="A563" s="26"/>
      <c r="B563" s="26"/>
      <c r="C563" s="26"/>
      <c r="D563" s="26"/>
      <c r="E563" s="26"/>
      <c r="F563" s="26"/>
      <c r="G563" s="26"/>
      <c r="H563" s="26"/>
    </row>
    <row r="564" spans="1:8" s="48" customFormat="1" x14ac:dyDescent="0.35">
      <c r="A564" s="26"/>
      <c r="B564" s="26"/>
      <c r="C564" s="26"/>
      <c r="D564" s="26"/>
      <c r="E564" s="26"/>
      <c r="F564" s="26"/>
      <c r="G564" s="26"/>
      <c r="H564" s="26"/>
    </row>
    <row r="565" spans="1:8" s="48" customFormat="1" x14ac:dyDescent="0.35">
      <c r="A565" s="26"/>
      <c r="B565" s="26"/>
      <c r="C565" s="26"/>
      <c r="D565" s="26"/>
      <c r="E565" s="26"/>
      <c r="F565" s="26"/>
      <c r="G565" s="26"/>
      <c r="H565" s="26"/>
    </row>
    <row r="566" spans="1:8" s="48" customFormat="1" x14ac:dyDescent="0.35">
      <c r="A566" s="26"/>
      <c r="B566" s="26"/>
      <c r="C566" s="26"/>
      <c r="D566" s="26"/>
      <c r="E566" s="26"/>
      <c r="F566" s="26"/>
      <c r="G566" s="26"/>
      <c r="H566" s="26"/>
    </row>
    <row r="567" spans="1:8" s="48" customFormat="1" x14ac:dyDescent="0.35">
      <c r="A567" s="26"/>
      <c r="B567" s="26"/>
      <c r="C567" s="26"/>
      <c r="D567" s="26"/>
      <c r="E567" s="26"/>
      <c r="F567" s="26"/>
      <c r="G567" s="26"/>
      <c r="H567" s="26"/>
    </row>
    <row r="568" spans="1:8" s="48" customFormat="1" x14ac:dyDescent="0.35">
      <c r="A568" s="26"/>
      <c r="B568" s="26"/>
      <c r="C568" s="26"/>
      <c r="D568" s="26"/>
      <c r="E568" s="26"/>
      <c r="F568" s="26"/>
      <c r="G568" s="26"/>
      <c r="H568" s="26"/>
    </row>
    <row r="569" spans="1:8" s="48" customFormat="1" x14ac:dyDescent="0.35">
      <c r="A569" s="26"/>
      <c r="B569" s="26"/>
      <c r="C569" s="26"/>
      <c r="D569" s="26"/>
      <c r="E569" s="26"/>
      <c r="F569" s="26"/>
      <c r="G569" s="26"/>
      <c r="H569" s="26"/>
    </row>
    <row r="570" spans="1:8" s="48" customFormat="1" x14ac:dyDescent="0.35">
      <c r="A570" s="26"/>
      <c r="B570" s="26"/>
      <c r="C570" s="26"/>
      <c r="D570" s="26"/>
      <c r="E570" s="26"/>
      <c r="F570" s="26"/>
      <c r="G570" s="26"/>
      <c r="H570" s="26"/>
    </row>
    <row r="571" spans="1:8" s="48" customFormat="1" x14ac:dyDescent="0.35">
      <c r="A571" s="26"/>
      <c r="B571" s="26"/>
      <c r="C571" s="26"/>
      <c r="D571" s="26"/>
      <c r="E571" s="26"/>
      <c r="F571" s="26"/>
      <c r="G571" s="26"/>
      <c r="H571" s="26"/>
    </row>
    <row r="572" spans="1:8" s="48" customFormat="1" x14ac:dyDescent="0.35">
      <c r="A572" s="26"/>
      <c r="B572" s="26"/>
      <c r="C572" s="26"/>
      <c r="D572" s="26"/>
      <c r="E572" s="26"/>
      <c r="F572" s="26"/>
      <c r="G572" s="26"/>
      <c r="H572" s="26"/>
    </row>
    <row r="573" spans="1:8" s="48" customFormat="1" x14ac:dyDescent="0.35">
      <c r="A573" s="26"/>
      <c r="B573" s="26"/>
      <c r="C573" s="26"/>
      <c r="D573" s="26"/>
      <c r="E573" s="26"/>
      <c r="F573" s="26"/>
      <c r="G573" s="26"/>
      <c r="H573" s="26"/>
    </row>
    <row r="574" spans="1:8" s="48" customFormat="1" x14ac:dyDescent="0.35">
      <c r="A574" s="26"/>
      <c r="B574" s="26"/>
      <c r="C574" s="26"/>
      <c r="D574" s="26"/>
      <c r="E574" s="26"/>
      <c r="F574" s="26"/>
      <c r="G574" s="26"/>
      <c r="H574" s="26"/>
    </row>
    <row r="575" spans="1:8" s="48" customFormat="1" x14ac:dyDescent="0.35">
      <c r="A575" s="26"/>
      <c r="B575" s="26"/>
      <c r="C575" s="26"/>
      <c r="D575" s="26"/>
      <c r="E575" s="26"/>
      <c r="F575" s="26"/>
      <c r="G575" s="26"/>
      <c r="H575" s="26"/>
    </row>
    <row r="576" spans="1:8" s="48" customFormat="1" x14ac:dyDescent="0.35">
      <c r="A576" s="26"/>
      <c r="B576" s="26"/>
      <c r="C576" s="26"/>
      <c r="D576" s="26"/>
      <c r="E576" s="26"/>
      <c r="F576" s="26"/>
      <c r="G576" s="26"/>
      <c r="H576" s="26"/>
    </row>
    <row r="577" spans="1:8" s="48" customFormat="1" x14ac:dyDescent="0.35">
      <c r="A577" s="26"/>
      <c r="B577" s="26"/>
      <c r="C577" s="26"/>
      <c r="D577" s="26"/>
      <c r="E577" s="26"/>
      <c r="F577" s="26"/>
      <c r="G577" s="26"/>
      <c r="H577" s="26"/>
    </row>
    <row r="578" spans="1:8" s="48" customFormat="1" x14ac:dyDescent="0.35">
      <c r="A578" s="26"/>
      <c r="B578" s="26"/>
      <c r="C578" s="26"/>
      <c r="D578" s="26"/>
      <c r="E578" s="26"/>
      <c r="F578" s="26"/>
      <c r="G578" s="26"/>
      <c r="H578" s="26"/>
    </row>
    <row r="579" spans="1:8" s="48" customFormat="1" x14ac:dyDescent="0.35">
      <c r="A579" s="26"/>
      <c r="B579" s="26"/>
      <c r="C579" s="26"/>
      <c r="D579" s="26"/>
      <c r="E579" s="26"/>
      <c r="F579" s="26"/>
      <c r="G579" s="26"/>
      <c r="H579" s="26"/>
    </row>
    <row r="580" spans="1:8" s="48" customFormat="1" x14ac:dyDescent="0.35">
      <c r="A580" s="26"/>
      <c r="B580" s="26"/>
      <c r="C580" s="26"/>
      <c r="D580" s="26"/>
      <c r="E580" s="26"/>
      <c r="F580" s="26"/>
      <c r="G580" s="26"/>
      <c r="H580" s="26"/>
    </row>
    <row r="581" spans="1:8" s="48" customFormat="1" x14ac:dyDescent="0.35">
      <c r="A581" s="26"/>
      <c r="B581" s="26"/>
      <c r="C581" s="26"/>
      <c r="D581" s="26"/>
      <c r="E581" s="26"/>
      <c r="F581" s="26"/>
      <c r="G581" s="26"/>
      <c r="H581" s="26"/>
    </row>
    <row r="582" spans="1:8" s="48" customFormat="1" x14ac:dyDescent="0.35">
      <c r="A582" s="26"/>
      <c r="B582" s="26"/>
      <c r="C582" s="26"/>
      <c r="D582" s="26"/>
      <c r="E582" s="26"/>
      <c r="F582" s="26"/>
      <c r="G582" s="26"/>
      <c r="H582" s="26"/>
    </row>
    <row r="583" spans="1:8" s="48" customFormat="1" x14ac:dyDescent="0.35">
      <c r="A583" s="26"/>
      <c r="B583" s="26"/>
      <c r="C583" s="26"/>
      <c r="D583" s="26"/>
      <c r="E583" s="26"/>
      <c r="F583" s="26"/>
      <c r="G583" s="26"/>
      <c r="H583" s="26"/>
    </row>
    <row r="584" spans="1:8" s="48" customFormat="1" x14ac:dyDescent="0.35">
      <c r="A584" s="26"/>
      <c r="B584" s="26"/>
      <c r="C584" s="26"/>
      <c r="D584" s="26"/>
      <c r="E584" s="26"/>
      <c r="F584" s="26"/>
      <c r="G584" s="26"/>
      <c r="H584" s="26"/>
    </row>
    <row r="585" spans="1:8" s="48" customFormat="1" x14ac:dyDescent="0.35">
      <c r="A585" s="26"/>
      <c r="B585" s="26"/>
      <c r="C585" s="26"/>
      <c r="D585" s="26"/>
      <c r="E585" s="26"/>
      <c r="F585" s="26"/>
      <c r="G585" s="26"/>
      <c r="H585" s="26"/>
    </row>
    <row r="586" spans="1:8" s="48" customFormat="1" x14ac:dyDescent="0.35">
      <c r="A586" s="26"/>
      <c r="B586" s="26"/>
      <c r="C586" s="26"/>
      <c r="D586" s="26"/>
      <c r="E586" s="26"/>
      <c r="F586" s="26"/>
      <c r="G586" s="26"/>
      <c r="H586" s="26"/>
    </row>
    <row r="587" spans="1:8" s="48" customFormat="1" x14ac:dyDescent="0.35">
      <c r="A587" s="26"/>
      <c r="B587" s="26"/>
      <c r="C587" s="26"/>
      <c r="D587" s="26"/>
      <c r="E587" s="26"/>
      <c r="F587" s="26"/>
      <c r="G587" s="26"/>
      <c r="H587" s="26"/>
    </row>
    <row r="588" spans="1:8" s="48" customFormat="1" x14ac:dyDescent="0.35">
      <c r="A588" s="26"/>
      <c r="B588" s="26"/>
      <c r="C588" s="26"/>
      <c r="D588" s="26"/>
      <c r="E588" s="26"/>
      <c r="F588" s="26"/>
      <c r="G588" s="26"/>
      <c r="H588" s="26"/>
    </row>
    <row r="589" spans="1:8" s="48" customFormat="1" x14ac:dyDescent="0.35">
      <c r="A589" s="26"/>
      <c r="B589" s="26"/>
      <c r="C589" s="26"/>
      <c r="D589" s="26"/>
      <c r="E589" s="26"/>
      <c r="F589" s="26"/>
      <c r="G589" s="26"/>
      <c r="H589" s="26"/>
    </row>
    <row r="590" spans="1:8" s="48" customFormat="1" x14ac:dyDescent="0.35">
      <c r="A590" s="26"/>
      <c r="B590" s="26"/>
      <c r="C590" s="26"/>
      <c r="D590" s="26"/>
      <c r="E590" s="26"/>
      <c r="F590" s="26"/>
      <c r="G590" s="26"/>
      <c r="H590" s="26"/>
    </row>
    <row r="591" spans="1:8" s="48" customFormat="1" x14ac:dyDescent="0.35">
      <c r="A591" s="26"/>
      <c r="B591" s="26"/>
      <c r="C591" s="26"/>
      <c r="D591" s="26"/>
      <c r="E591" s="26"/>
      <c r="F591" s="26"/>
      <c r="G591" s="26"/>
      <c r="H591" s="26"/>
    </row>
    <row r="592" spans="1:8" s="48" customFormat="1" x14ac:dyDescent="0.35">
      <c r="A592" s="26"/>
      <c r="B592" s="26"/>
      <c r="C592" s="26"/>
      <c r="D592" s="26"/>
      <c r="E592" s="26"/>
      <c r="F592" s="26"/>
      <c r="G592" s="26"/>
      <c r="H592" s="26"/>
    </row>
    <row r="593" spans="1:8" s="48" customFormat="1" x14ac:dyDescent="0.35">
      <c r="A593" s="26"/>
      <c r="B593" s="26"/>
      <c r="C593" s="26"/>
      <c r="D593" s="26"/>
      <c r="E593" s="26"/>
      <c r="F593" s="26"/>
      <c r="G593" s="26"/>
      <c r="H593" s="26"/>
    </row>
    <row r="594" spans="1:8" s="48" customFormat="1" x14ac:dyDescent="0.35">
      <c r="A594" s="26"/>
      <c r="B594" s="26"/>
      <c r="C594" s="26"/>
      <c r="D594" s="26"/>
      <c r="E594" s="26"/>
      <c r="F594" s="26"/>
      <c r="G594" s="26"/>
      <c r="H594" s="26"/>
    </row>
    <row r="595" spans="1:8" s="48" customFormat="1" x14ac:dyDescent="0.35">
      <c r="A595" s="26"/>
      <c r="B595" s="26"/>
      <c r="C595" s="26"/>
      <c r="D595" s="26"/>
      <c r="E595" s="26"/>
      <c r="F595" s="26"/>
      <c r="G595" s="26"/>
      <c r="H595" s="26"/>
    </row>
    <row r="596" spans="1:8" s="48" customFormat="1" x14ac:dyDescent="0.35">
      <c r="A596" s="26"/>
      <c r="B596" s="26"/>
      <c r="C596" s="26"/>
      <c r="D596" s="26"/>
      <c r="E596" s="26"/>
      <c r="F596" s="26"/>
      <c r="G596" s="26"/>
      <c r="H596" s="26"/>
    </row>
    <row r="597" spans="1:8" s="48" customFormat="1" x14ac:dyDescent="0.35">
      <c r="A597" s="26"/>
      <c r="B597" s="26"/>
      <c r="C597" s="26"/>
      <c r="D597" s="26"/>
      <c r="E597" s="26"/>
      <c r="F597" s="26"/>
      <c r="G597" s="26"/>
      <c r="H597" s="26"/>
    </row>
    <row r="598" spans="1:8" s="48" customFormat="1" x14ac:dyDescent="0.35">
      <c r="A598" s="26"/>
      <c r="B598" s="26"/>
      <c r="C598" s="26"/>
      <c r="D598" s="26"/>
      <c r="E598" s="26"/>
      <c r="F598" s="26"/>
      <c r="G598" s="26"/>
      <c r="H598" s="26"/>
    </row>
    <row r="599" spans="1:8" s="48" customFormat="1" x14ac:dyDescent="0.35">
      <c r="A599" s="26"/>
      <c r="B599" s="26"/>
      <c r="C599" s="26"/>
      <c r="D599" s="26"/>
      <c r="E599" s="26"/>
      <c r="F599" s="26"/>
      <c r="G599" s="26"/>
      <c r="H599" s="26"/>
    </row>
    <row r="600" spans="1:8" s="48" customFormat="1" x14ac:dyDescent="0.35">
      <c r="A600" s="26"/>
      <c r="B600" s="26"/>
      <c r="C600" s="26"/>
      <c r="D600" s="26"/>
      <c r="E600" s="26"/>
      <c r="F600" s="26"/>
      <c r="G600" s="26"/>
      <c r="H600" s="26"/>
    </row>
    <row r="601" spans="1:8" s="48" customFormat="1" x14ac:dyDescent="0.35">
      <c r="A601" s="26"/>
      <c r="B601" s="26"/>
      <c r="C601" s="26"/>
      <c r="D601" s="26"/>
      <c r="E601" s="26"/>
      <c r="F601" s="26"/>
      <c r="G601" s="26"/>
      <c r="H601" s="26"/>
    </row>
    <row r="602" spans="1:8" s="48" customFormat="1" x14ac:dyDescent="0.35">
      <c r="A602" s="26"/>
      <c r="B602" s="26"/>
      <c r="C602" s="26"/>
      <c r="D602" s="26"/>
      <c r="E602" s="26"/>
      <c r="F602" s="26"/>
      <c r="G602" s="26"/>
      <c r="H602" s="26"/>
    </row>
    <row r="603" spans="1:8" s="48" customFormat="1" x14ac:dyDescent="0.35">
      <c r="A603" s="26"/>
      <c r="B603" s="26"/>
      <c r="C603" s="26"/>
      <c r="D603" s="26"/>
      <c r="E603" s="26"/>
      <c r="F603" s="26"/>
      <c r="G603" s="26"/>
      <c r="H603" s="26"/>
    </row>
    <row r="604" spans="1:8" s="48" customFormat="1" x14ac:dyDescent="0.35">
      <c r="A604" s="26"/>
      <c r="B604" s="26"/>
      <c r="C604" s="26"/>
      <c r="D604" s="26"/>
      <c r="E604" s="26"/>
      <c r="F604" s="26"/>
      <c r="G604" s="26"/>
      <c r="H604" s="26"/>
    </row>
    <row r="605" spans="1:8" s="48" customFormat="1" x14ac:dyDescent="0.35">
      <c r="A605" s="26"/>
      <c r="B605" s="26"/>
      <c r="C605" s="26"/>
      <c r="D605" s="26"/>
      <c r="E605" s="26"/>
      <c r="F605" s="26"/>
      <c r="G605" s="26"/>
      <c r="H605" s="26"/>
    </row>
    <row r="606" spans="1:8" s="48" customFormat="1" x14ac:dyDescent="0.35">
      <c r="A606" s="26"/>
      <c r="B606" s="26"/>
      <c r="C606" s="26"/>
      <c r="D606" s="26"/>
      <c r="E606" s="26"/>
      <c r="F606" s="26"/>
      <c r="G606" s="26"/>
      <c r="H606" s="26"/>
    </row>
    <row r="607" spans="1:8" s="48" customFormat="1" x14ac:dyDescent="0.35">
      <c r="A607" s="26"/>
      <c r="B607" s="26"/>
      <c r="C607" s="26"/>
      <c r="D607" s="26"/>
      <c r="E607" s="26"/>
      <c r="F607" s="26"/>
      <c r="G607" s="26"/>
      <c r="H607" s="26"/>
    </row>
    <row r="608" spans="1:8" s="48" customFormat="1" x14ac:dyDescent="0.35">
      <c r="A608" s="26"/>
      <c r="B608" s="26"/>
      <c r="C608" s="26"/>
      <c r="D608" s="26"/>
      <c r="E608" s="26"/>
      <c r="F608" s="26"/>
      <c r="G608" s="26"/>
      <c r="H608" s="26"/>
    </row>
    <row r="609" spans="1:8" s="48" customFormat="1" x14ac:dyDescent="0.35">
      <c r="A609" s="26"/>
      <c r="B609" s="26"/>
      <c r="C609" s="26"/>
      <c r="D609" s="26"/>
      <c r="E609" s="26"/>
      <c r="F609" s="26"/>
      <c r="G609" s="26"/>
      <c r="H609" s="26"/>
    </row>
    <row r="610" spans="1:8" s="48" customFormat="1" x14ac:dyDescent="0.35">
      <c r="A610" s="26"/>
      <c r="B610" s="26"/>
      <c r="C610" s="26"/>
      <c r="D610" s="26"/>
      <c r="E610" s="26"/>
      <c r="F610" s="26"/>
      <c r="G610" s="26"/>
      <c r="H610" s="26"/>
    </row>
    <row r="611" spans="1:8" s="48" customFormat="1" x14ac:dyDescent="0.35">
      <c r="A611" s="26"/>
      <c r="B611" s="26"/>
      <c r="C611" s="26"/>
      <c r="D611" s="26"/>
      <c r="E611" s="26"/>
      <c r="F611" s="26"/>
      <c r="G611" s="26"/>
      <c r="H611" s="26"/>
    </row>
    <row r="612" spans="1:8" s="48" customFormat="1" x14ac:dyDescent="0.35">
      <c r="A612" s="26"/>
      <c r="B612" s="26"/>
      <c r="C612" s="26"/>
      <c r="D612" s="26"/>
      <c r="E612" s="26"/>
      <c r="F612" s="26"/>
      <c r="G612" s="26"/>
      <c r="H612" s="26"/>
    </row>
    <row r="613" spans="1:8" s="48" customFormat="1" x14ac:dyDescent="0.35">
      <c r="A613" s="26"/>
      <c r="B613" s="26"/>
      <c r="C613" s="26"/>
      <c r="D613" s="26"/>
      <c r="E613" s="26"/>
      <c r="F613" s="26"/>
      <c r="G613" s="26"/>
      <c r="H613" s="26"/>
    </row>
    <row r="614" spans="1:8" s="48" customFormat="1" x14ac:dyDescent="0.35">
      <c r="A614" s="26"/>
      <c r="B614" s="26"/>
      <c r="C614" s="26"/>
      <c r="D614" s="26"/>
      <c r="E614" s="26"/>
      <c r="F614" s="26"/>
      <c r="G614" s="26"/>
      <c r="H614" s="26"/>
    </row>
    <row r="615" spans="1:8" s="48" customFormat="1" x14ac:dyDescent="0.35">
      <c r="A615" s="26"/>
      <c r="B615" s="26"/>
      <c r="C615" s="26"/>
      <c r="D615" s="26"/>
      <c r="E615" s="26"/>
      <c r="F615" s="26"/>
      <c r="G615" s="26"/>
      <c r="H615" s="26"/>
    </row>
    <row r="616" spans="1:8" s="48" customFormat="1" x14ac:dyDescent="0.35">
      <c r="A616" s="26"/>
      <c r="B616" s="26"/>
      <c r="C616" s="26"/>
      <c r="D616" s="26"/>
      <c r="E616" s="26"/>
      <c r="F616" s="26"/>
      <c r="G616" s="26"/>
      <c r="H616" s="26"/>
    </row>
    <row r="617" spans="1:8" s="48" customFormat="1" x14ac:dyDescent="0.35">
      <c r="A617" s="26"/>
      <c r="B617" s="26"/>
      <c r="C617" s="26"/>
      <c r="D617" s="26"/>
      <c r="E617" s="26"/>
      <c r="F617" s="26"/>
      <c r="G617" s="26"/>
      <c r="H617" s="26"/>
    </row>
    <row r="618" spans="1:8" s="48" customFormat="1" x14ac:dyDescent="0.35">
      <c r="A618" s="26"/>
      <c r="B618" s="26"/>
      <c r="C618" s="26"/>
      <c r="D618" s="26"/>
      <c r="E618" s="26"/>
      <c r="F618" s="26"/>
      <c r="G618" s="26"/>
      <c r="H618" s="26"/>
    </row>
    <row r="619" spans="1:8" s="48" customFormat="1" x14ac:dyDescent="0.35">
      <c r="A619" s="26"/>
      <c r="B619" s="26"/>
      <c r="C619" s="26"/>
      <c r="D619" s="26"/>
      <c r="E619" s="26"/>
      <c r="F619" s="26"/>
      <c r="G619" s="26"/>
      <c r="H619" s="26"/>
    </row>
    <row r="620" spans="1:8" s="48" customFormat="1" x14ac:dyDescent="0.35">
      <c r="A620" s="26"/>
      <c r="B620" s="26"/>
      <c r="C620" s="26"/>
      <c r="D620" s="26"/>
      <c r="E620" s="26"/>
      <c r="F620" s="26"/>
      <c r="G620" s="26"/>
      <c r="H620" s="26"/>
    </row>
    <row r="621" spans="1:8" s="48" customFormat="1" x14ac:dyDescent="0.35">
      <c r="A621" s="26"/>
      <c r="B621" s="26"/>
      <c r="C621" s="26"/>
      <c r="D621" s="26"/>
      <c r="E621" s="26"/>
      <c r="F621" s="26"/>
      <c r="G621" s="26"/>
      <c r="H621" s="26"/>
    </row>
    <row r="622" spans="1:8" s="48" customFormat="1" x14ac:dyDescent="0.35">
      <c r="A622" s="26"/>
      <c r="B622" s="26"/>
      <c r="C622" s="26"/>
      <c r="D622" s="26"/>
      <c r="E622" s="26"/>
      <c r="F622" s="26"/>
      <c r="G622" s="26"/>
      <c r="H622" s="26"/>
    </row>
    <row r="623" spans="1:8" s="48" customFormat="1" x14ac:dyDescent="0.35">
      <c r="A623" s="26"/>
      <c r="B623" s="26"/>
      <c r="C623" s="26"/>
      <c r="D623" s="26"/>
      <c r="E623" s="26"/>
      <c r="F623" s="26"/>
      <c r="G623" s="26"/>
      <c r="H623" s="26"/>
    </row>
    <row r="624" spans="1:8" s="48" customFormat="1" x14ac:dyDescent="0.35">
      <c r="A624" s="26"/>
      <c r="B624" s="26"/>
      <c r="C624" s="26"/>
      <c r="D624" s="26"/>
      <c r="E624" s="26"/>
      <c r="F624" s="26"/>
      <c r="G624" s="26"/>
      <c r="H624" s="26"/>
    </row>
    <row r="625" spans="1:8" s="48" customFormat="1" x14ac:dyDescent="0.35">
      <c r="A625" s="26"/>
      <c r="B625" s="26"/>
      <c r="C625" s="26"/>
      <c r="D625" s="26"/>
      <c r="E625" s="26"/>
      <c r="F625" s="26"/>
      <c r="G625" s="26"/>
      <c r="H625" s="26"/>
    </row>
    <row r="626" spans="1:8" s="48" customFormat="1" x14ac:dyDescent="0.35">
      <c r="A626" s="26"/>
      <c r="B626" s="26"/>
      <c r="C626" s="26"/>
      <c r="D626" s="26"/>
      <c r="E626" s="26"/>
      <c r="F626" s="26"/>
      <c r="G626" s="26"/>
      <c r="H626" s="26"/>
    </row>
    <row r="627" spans="1:8" s="48" customFormat="1" x14ac:dyDescent="0.35">
      <c r="A627" s="26"/>
      <c r="B627" s="26"/>
      <c r="C627" s="26"/>
      <c r="D627" s="26"/>
      <c r="E627" s="26"/>
      <c r="F627" s="26"/>
      <c r="G627" s="26"/>
      <c r="H627" s="26"/>
    </row>
    <row r="628" spans="1:8" s="48" customFormat="1" x14ac:dyDescent="0.35">
      <c r="A628" s="26"/>
      <c r="B628" s="26"/>
      <c r="C628" s="26"/>
      <c r="D628" s="26"/>
      <c r="E628" s="26"/>
      <c r="F628" s="26"/>
      <c r="G628" s="26"/>
      <c r="H628" s="26"/>
    </row>
    <row r="629" spans="1:8" s="48" customFormat="1" x14ac:dyDescent="0.35">
      <c r="A629" s="26"/>
      <c r="B629" s="26"/>
      <c r="C629" s="26"/>
      <c r="D629" s="26"/>
      <c r="E629" s="26"/>
      <c r="F629" s="26"/>
      <c r="G629" s="26"/>
      <c r="H629" s="26"/>
    </row>
    <row r="630" spans="1:8" s="48" customFormat="1" x14ac:dyDescent="0.35">
      <c r="A630" s="26"/>
      <c r="B630" s="26"/>
      <c r="C630" s="26"/>
      <c r="D630" s="26"/>
      <c r="E630" s="26"/>
      <c r="F630" s="26"/>
      <c r="G630" s="26"/>
      <c r="H630" s="26"/>
    </row>
    <row r="631" spans="1:8" s="48" customFormat="1" x14ac:dyDescent="0.35">
      <c r="A631" s="26"/>
      <c r="B631" s="26"/>
      <c r="C631" s="26"/>
      <c r="D631" s="26"/>
      <c r="E631" s="26"/>
      <c r="F631" s="26"/>
      <c r="G631" s="26"/>
      <c r="H631" s="26"/>
    </row>
    <row r="632" spans="1:8" s="48" customFormat="1" x14ac:dyDescent="0.35">
      <c r="A632" s="26"/>
      <c r="B632" s="26"/>
      <c r="C632" s="26"/>
      <c r="D632" s="26"/>
      <c r="E632" s="26"/>
      <c r="F632" s="26"/>
      <c r="G632" s="26"/>
      <c r="H632" s="26"/>
    </row>
    <row r="633" spans="1:8" s="48" customFormat="1" x14ac:dyDescent="0.35">
      <c r="A633" s="26"/>
      <c r="B633" s="26"/>
      <c r="C633" s="26"/>
      <c r="D633" s="26"/>
      <c r="E633" s="26"/>
      <c r="F633" s="26"/>
      <c r="G633" s="26"/>
      <c r="H633" s="26"/>
    </row>
    <row r="634" spans="1:8" s="48" customFormat="1" x14ac:dyDescent="0.35">
      <c r="A634" s="26"/>
      <c r="B634" s="26"/>
      <c r="C634" s="26"/>
      <c r="D634" s="26"/>
      <c r="E634" s="26"/>
      <c r="F634" s="26"/>
      <c r="G634" s="26"/>
      <c r="H634" s="26"/>
    </row>
    <row r="635" spans="1:8" s="48" customFormat="1" x14ac:dyDescent="0.35">
      <c r="A635" s="26"/>
      <c r="B635" s="26"/>
      <c r="C635" s="26"/>
      <c r="D635" s="26"/>
      <c r="E635" s="26"/>
      <c r="F635" s="26"/>
      <c r="G635" s="26"/>
      <c r="H635" s="26"/>
    </row>
    <row r="636" spans="1:8" s="48" customFormat="1" x14ac:dyDescent="0.35">
      <c r="A636" s="26"/>
      <c r="B636" s="26"/>
      <c r="C636" s="26"/>
      <c r="D636" s="26"/>
      <c r="E636" s="26"/>
      <c r="F636" s="26"/>
      <c r="G636" s="26"/>
      <c r="H636" s="26"/>
    </row>
    <row r="637" spans="1:8" s="48" customFormat="1" x14ac:dyDescent="0.35">
      <c r="A637" s="26"/>
      <c r="B637" s="26"/>
      <c r="C637" s="26"/>
      <c r="D637" s="26"/>
      <c r="E637" s="26"/>
      <c r="F637" s="26"/>
      <c r="G637" s="26"/>
      <c r="H637" s="26"/>
    </row>
    <row r="638" spans="1:8" s="48" customFormat="1" x14ac:dyDescent="0.35">
      <c r="A638" s="26"/>
      <c r="B638" s="26"/>
      <c r="C638" s="26"/>
      <c r="D638" s="26"/>
      <c r="E638" s="26"/>
      <c r="F638" s="26"/>
      <c r="G638" s="26"/>
      <c r="H638" s="26"/>
    </row>
    <row r="639" spans="1:8" s="48" customFormat="1" x14ac:dyDescent="0.35">
      <c r="A639" s="26"/>
      <c r="B639" s="26"/>
      <c r="C639" s="26"/>
      <c r="D639" s="26"/>
      <c r="E639" s="26"/>
      <c r="F639" s="26"/>
      <c r="G639" s="26"/>
      <c r="H639" s="26"/>
    </row>
    <row r="640" spans="1:8" s="48" customFormat="1" x14ac:dyDescent="0.35">
      <c r="A640" s="26"/>
      <c r="B640" s="26"/>
      <c r="C640" s="26"/>
      <c r="D640" s="26"/>
      <c r="E640" s="26"/>
      <c r="F640" s="26"/>
      <c r="G640" s="26"/>
      <c r="H640" s="26"/>
    </row>
    <row r="641" spans="1:8" s="48" customFormat="1" x14ac:dyDescent="0.35">
      <c r="A641" s="26"/>
      <c r="B641" s="26"/>
      <c r="C641" s="26"/>
      <c r="D641" s="26"/>
      <c r="E641" s="26"/>
      <c r="F641" s="26"/>
      <c r="G641" s="26"/>
      <c r="H641" s="26"/>
    </row>
    <row r="642" spans="1:8" s="48" customFormat="1" x14ac:dyDescent="0.35">
      <c r="A642" s="26"/>
      <c r="B642" s="26"/>
      <c r="C642" s="26"/>
      <c r="D642" s="26"/>
      <c r="E642" s="26"/>
      <c r="F642" s="26"/>
      <c r="G642" s="26"/>
      <c r="H642" s="26"/>
    </row>
    <row r="643" spans="1:8" s="48" customFormat="1" x14ac:dyDescent="0.35">
      <c r="A643" s="26"/>
      <c r="B643" s="26"/>
      <c r="C643" s="26"/>
      <c r="D643" s="26"/>
      <c r="E643" s="26"/>
      <c r="F643" s="26"/>
      <c r="G643" s="26"/>
      <c r="H643" s="26"/>
    </row>
    <row r="644" spans="1:8" s="48" customFormat="1" x14ac:dyDescent="0.35">
      <c r="A644" s="26"/>
      <c r="B644" s="26"/>
      <c r="C644" s="26"/>
      <c r="D644" s="26"/>
      <c r="E644" s="26"/>
      <c r="F644" s="26"/>
      <c r="G644" s="26"/>
      <c r="H644" s="26"/>
    </row>
    <row r="645" spans="1:8" s="48" customFormat="1" x14ac:dyDescent="0.35">
      <c r="A645" s="26"/>
      <c r="B645" s="26"/>
      <c r="C645" s="26"/>
      <c r="D645" s="26"/>
      <c r="E645" s="26"/>
      <c r="F645" s="26"/>
      <c r="G645" s="26"/>
      <c r="H645" s="26"/>
    </row>
    <row r="646" spans="1:8" s="48" customFormat="1" x14ac:dyDescent="0.35">
      <c r="A646" s="26"/>
      <c r="B646" s="26"/>
      <c r="C646" s="26"/>
      <c r="D646" s="26"/>
      <c r="E646" s="26"/>
      <c r="F646" s="26"/>
      <c r="G646" s="26"/>
      <c r="H646" s="26"/>
    </row>
    <row r="647" spans="1:8" s="48" customFormat="1" x14ac:dyDescent="0.35">
      <c r="A647" s="26"/>
      <c r="B647" s="26"/>
      <c r="C647" s="26"/>
      <c r="D647" s="26"/>
      <c r="E647" s="26"/>
      <c r="F647" s="26"/>
      <c r="G647" s="26"/>
      <c r="H647" s="26"/>
    </row>
    <row r="648" spans="1:8" s="48" customFormat="1" x14ac:dyDescent="0.35">
      <c r="A648" s="26"/>
      <c r="B648" s="26"/>
      <c r="C648" s="26"/>
      <c r="D648" s="26"/>
      <c r="E648" s="26"/>
      <c r="F648" s="26"/>
      <c r="G648" s="26"/>
      <c r="H648" s="26"/>
    </row>
    <row r="649" spans="1:8" s="48" customFormat="1" x14ac:dyDescent="0.35">
      <c r="A649" s="26"/>
      <c r="B649" s="26"/>
      <c r="C649" s="26"/>
      <c r="D649" s="26"/>
      <c r="E649" s="26"/>
      <c r="F649" s="26"/>
      <c r="G649" s="26"/>
      <c r="H649" s="26"/>
    </row>
    <row r="650" spans="1:8" s="48" customFormat="1" x14ac:dyDescent="0.35">
      <c r="A650" s="26"/>
      <c r="B650" s="26"/>
      <c r="C650" s="26"/>
      <c r="D650" s="26"/>
      <c r="E650" s="26"/>
      <c r="F650" s="26"/>
      <c r="G650" s="26"/>
      <c r="H650" s="26"/>
    </row>
    <row r="651" spans="1:8" s="48" customFormat="1" x14ac:dyDescent="0.35">
      <c r="A651" s="26"/>
      <c r="B651" s="26"/>
      <c r="C651" s="26"/>
      <c r="D651" s="26"/>
      <c r="E651" s="26"/>
      <c r="F651" s="26"/>
      <c r="G651" s="26"/>
      <c r="H651" s="26"/>
    </row>
    <row r="652" spans="1:8" s="48" customFormat="1" x14ac:dyDescent="0.35">
      <c r="A652" s="26"/>
      <c r="B652" s="26"/>
      <c r="C652" s="26"/>
      <c r="D652" s="26"/>
      <c r="E652" s="26"/>
      <c r="F652" s="26"/>
      <c r="G652" s="26"/>
      <c r="H652" s="26"/>
    </row>
    <row r="653" spans="1:8" s="48" customFormat="1" x14ac:dyDescent="0.35">
      <c r="A653" s="26"/>
      <c r="B653" s="26"/>
      <c r="C653" s="26"/>
      <c r="D653" s="26"/>
      <c r="E653" s="26"/>
      <c r="F653" s="26"/>
      <c r="G653" s="26"/>
      <c r="H653" s="26"/>
    </row>
    <row r="654" spans="1:8" s="48" customFormat="1" x14ac:dyDescent="0.35">
      <c r="A654" s="26"/>
      <c r="B654" s="26"/>
      <c r="C654" s="26"/>
      <c r="D654" s="26"/>
      <c r="E654" s="26"/>
      <c r="F654" s="26"/>
      <c r="G654" s="26"/>
      <c r="H654" s="26"/>
    </row>
    <row r="655" spans="1:8" s="48" customFormat="1" x14ac:dyDescent="0.35">
      <c r="A655" s="26"/>
      <c r="B655" s="26"/>
      <c r="C655" s="26"/>
      <c r="D655" s="26"/>
      <c r="E655" s="26"/>
      <c r="F655" s="26"/>
      <c r="G655" s="26"/>
      <c r="H655" s="26"/>
    </row>
    <row r="656" spans="1:8" s="48" customFormat="1" x14ac:dyDescent="0.35">
      <c r="A656" s="26"/>
      <c r="B656" s="26"/>
      <c r="C656" s="26"/>
      <c r="D656" s="26"/>
      <c r="E656" s="26"/>
      <c r="F656" s="26"/>
      <c r="G656" s="26"/>
      <c r="H656" s="26"/>
    </row>
    <row r="657" spans="1:8" s="48" customFormat="1" x14ac:dyDescent="0.35">
      <c r="A657" s="26"/>
      <c r="B657" s="26"/>
      <c r="C657" s="26"/>
      <c r="D657" s="26"/>
      <c r="E657" s="26"/>
      <c r="F657" s="26"/>
      <c r="G657" s="26"/>
      <c r="H657" s="26"/>
    </row>
    <row r="658" spans="1:8" s="48" customFormat="1" x14ac:dyDescent="0.35">
      <c r="A658" s="26"/>
      <c r="B658" s="26"/>
      <c r="C658" s="26"/>
      <c r="D658" s="26"/>
      <c r="E658" s="26"/>
      <c r="F658" s="26"/>
      <c r="G658" s="26"/>
      <c r="H658" s="26"/>
    </row>
    <row r="659" spans="1:8" s="48" customFormat="1" x14ac:dyDescent="0.35">
      <c r="A659" s="26"/>
      <c r="B659" s="26"/>
      <c r="C659" s="26"/>
      <c r="D659" s="26"/>
      <c r="E659" s="26"/>
      <c r="F659" s="26"/>
      <c r="G659" s="26"/>
      <c r="H659" s="26"/>
    </row>
    <row r="660" spans="1:8" s="48" customFormat="1" x14ac:dyDescent="0.35">
      <c r="A660" s="26"/>
      <c r="B660" s="26"/>
      <c r="C660" s="26"/>
      <c r="D660" s="26"/>
      <c r="E660" s="26"/>
      <c r="F660" s="26"/>
      <c r="G660" s="26"/>
      <c r="H660" s="26"/>
    </row>
    <row r="661" spans="1:8" s="48" customFormat="1" x14ac:dyDescent="0.35">
      <c r="A661" s="26"/>
      <c r="B661" s="26"/>
      <c r="C661" s="26"/>
      <c r="D661" s="26"/>
      <c r="E661" s="26"/>
      <c r="F661" s="26"/>
      <c r="G661" s="26"/>
      <c r="H661" s="26"/>
    </row>
    <row r="662" spans="1:8" s="48" customFormat="1" x14ac:dyDescent="0.35">
      <c r="A662" s="26"/>
      <c r="B662" s="26"/>
      <c r="C662" s="26"/>
      <c r="D662" s="26"/>
      <c r="E662" s="26"/>
      <c r="F662" s="26"/>
      <c r="G662" s="26"/>
      <c r="H662" s="26"/>
    </row>
    <row r="663" spans="1:8" s="48" customFormat="1" x14ac:dyDescent="0.35">
      <c r="A663" s="26"/>
      <c r="B663" s="26"/>
      <c r="C663" s="26"/>
      <c r="D663" s="26"/>
      <c r="E663" s="26"/>
      <c r="F663" s="26"/>
      <c r="G663" s="26"/>
      <c r="H663" s="26"/>
    </row>
    <row r="664" spans="1:8" s="48" customFormat="1" x14ac:dyDescent="0.35">
      <c r="A664" s="26"/>
      <c r="B664" s="26"/>
      <c r="C664" s="26"/>
      <c r="D664" s="26"/>
      <c r="E664" s="26"/>
      <c r="F664" s="26"/>
      <c r="G664" s="26"/>
      <c r="H664" s="26"/>
    </row>
    <row r="665" spans="1:8" s="48" customFormat="1" x14ac:dyDescent="0.35">
      <c r="A665" s="26"/>
      <c r="B665" s="26"/>
      <c r="C665" s="26"/>
      <c r="D665" s="26"/>
      <c r="E665" s="26"/>
      <c r="F665" s="26"/>
      <c r="G665" s="26"/>
      <c r="H665" s="26"/>
    </row>
    <row r="666" spans="1:8" s="48" customFormat="1" x14ac:dyDescent="0.35">
      <c r="A666" s="26"/>
      <c r="B666" s="26"/>
      <c r="C666" s="26"/>
      <c r="D666" s="26"/>
      <c r="E666" s="26"/>
      <c r="F666" s="26"/>
      <c r="G666" s="26"/>
      <c r="H666" s="26"/>
    </row>
    <row r="667" spans="1:8" s="48" customFormat="1" x14ac:dyDescent="0.35">
      <c r="A667" s="26"/>
      <c r="B667" s="26"/>
      <c r="C667" s="26"/>
      <c r="D667" s="26"/>
      <c r="E667" s="26"/>
      <c r="F667" s="26"/>
      <c r="G667" s="26"/>
      <c r="H667" s="26"/>
    </row>
    <row r="668" spans="1:8" s="48" customFormat="1" x14ac:dyDescent="0.35">
      <c r="A668" s="26"/>
      <c r="B668" s="26"/>
      <c r="C668" s="26"/>
      <c r="D668" s="26"/>
      <c r="E668" s="26"/>
      <c r="F668" s="26"/>
      <c r="G668" s="26"/>
      <c r="H668" s="26"/>
    </row>
    <row r="669" spans="1:8" s="48" customFormat="1" x14ac:dyDescent="0.35">
      <c r="A669" s="26"/>
      <c r="B669" s="26"/>
      <c r="C669" s="26"/>
      <c r="D669" s="26"/>
      <c r="E669" s="26"/>
      <c r="F669" s="26"/>
      <c r="G669" s="26"/>
      <c r="H669" s="26"/>
    </row>
    <row r="670" spans="1:8" s="48" customFormat="1" x14ac:dyDescent="0.35">
      <c r="A670" s="26"/>
      <c r="B670" s="26"/>
      <c r="C670" s="26"/>
      <c r="D670" s="26"/>
      <c r="E670" s="26"/>
      <c r="F670" s="26"/>
      <c r="G670" s="26"/>
      <c r="H670" s="26"/>
    </row>
    <row r="671" spans="1:8" s="48" customFormat="1" x14ac:dyDescent="0.35">
      <c r="A671" s="26"/>
      <c r="B671" s="26"/>
      <c r="C671" s="26"/>
      <c r="D671" s="26"/>
      <c r="E671" s="26"/>
      <c r="F671" s="26"/>
      <c r="G671" s="26"/>
      <c r="H671" s="26"/>
    </row>
    <row r="672" spans="1:8" s="48" customFormat="1" x14ac:dyDescent="0.35">
      <c r="A672" s="26"/>
      <c r="B672" s="26"/>
      <c r="C672" s="26"/>
      <c r="D672" s="26"/>
      <c r="E672" s="26"/>
      <c r="F672" s="26"/>
      <c r="G672" s="26"/>
      <c r="H672" s="26"/>
    </row>
    <row r="673" spans="1:8" s="48" customFormat="1" x14ac:dyDescent="0.35">
      <c r="A673" s="26"/>
      <c r="B673" s="26"/>
      <c r="C673" s="26"/>
      <c r="D673" s="26"/>
      <c r="E673" s="26"/>
      <c r="F673" s="26"/>
      <c r="G673" s="26"/>
      <c r="H673" s="26"/>
    </row>
    <row r="674" spans="1:8" s="48" customFormat="1" x14ac:dyDescent="0.35">
      <c r="A674" s="26"/>
      <c r="B674" s="26"/>
      <c r="C674" s="26"/>
      <c r="D674" s="26"/>
      <c r="E674" s="26"/>
      <c r="F674" s="26"/>
      <c r="G674" s="26"/>
      <c r="H674" s="26"/>
    </row>
    <row r="675" spans="1:8" s="48" customFormat="1" x14ac:dyDescent="0.35">
      <c r="A675" s="26"/>
      <c r="B675" s="26"/>
      <c r="C675" s="26"/>
      <c r="D675" s="26"/>
      <c r="E675" s="26"/>
      <c r="F675" s="26"/>
      <c r="G675" s="26"/>
      <c r="H675" s="26"/>
    </row>
    <row r="676" spans="1:8" s="48" customFormat="1" x14ac:dyDescent="0.35">
      <c r="A676" s="26"/>
      <c r="B676" s="26"/>
      <c r="C676" s="26"/>
      <c r="D676" s="26"/>
      <c r="E676" s="26"/>
      <c r="F676" s="26"/>
      <c r="G676" s="26"/>
      <c r="H676" s="26"/>
    </row>
    <row r="677" spans="1:8" s="48" customFormat="1" x14ac:dyDescent="0.35">
      <c r="A677" s="26"/>
      <c r="B677" s="26"/>
      <c r="C677" s="26"/>
      <c r="D677" s="26"/>
      <c r="E677" s="26"/>
      <c r="F677" s="26"/>
      <c r="G677" s="26"/>
      <c r="H677" s="26"/>
    </row>
    <row r="678" spans="1:8" s="48" customFormat="1" x14ac:dyDescent="0.35">
      <c r="A678" s="26"/>
      <c r="B678" s="26"/>
      <c r="C678" s="26"/>
      <c r="D678" s="26"/>
      <c r="E678" s="26"/>
      <c r="F678" s="26"/>
      <c r="G678" s="26"/>
      <c r="H678" s="26"/>
    </row>
    <row r="679" spans="1:8" s="48" customFormat="1" x14ac:dyDescent="0.35">
      <c r="A679" s="26"/>
      <c r="B679" s="26"/>
      <c r="C679" s="26"/>
      <c r="D679" s="26"/>
      <c r="E679" s="26"/>
      <c r="F679" s="26"/>
      <c r="G679" s="26"/>
      <c r="H679" s="26"/>
    </row>
    <row r="680" spans="1:8" s="48" customFormat="1" x14ac:dyDescent="0.35">
      <c r="A680" s="26"/>
      <c r="B680" s="26"/>
      <c r="C680" s="26"/>
      <c r="D680" s="26"/>
      <c r="E680" s="26"/>
      <c r="F680" s="26"/>
      <c r="G680" s="26"/>
      <c r="H680" s="26"/>
    </row>
    <row r="681" spans="1:8" s="48" customFormat="1" x14ac:dyDescent="0.35">
      <c r="A681" s="26"/>
      <c r="B681" s="26"/>
      <c r="C681" s="26"/>
      <c r="D681" s="26"/>
      <c r="E681" s="26"/>
      <c r="F681" s="26"/>
      <c r="G681" s="26"/>
      <c r="H681" s="26"/>
    </row>
    <row r="682" spans="1:8" s="48" customFormat="1" x14ac:dyDescent="0.35">
      <c r="A682" s="26"/>
      <c r="B682" s="26"/>
      <c r="C682" s="26"/>
      <c r="D682" s="26"/>
      <c r="E682" s="26"/>
      <c r="F682" s="26"/>
      <c r="G682" s="26"/>
      <c r="H682" s="26"/>
    </row>
    <row r="683" spans="1:8" s="48" customFormat="1" x14ac:dyDescent="0.35">
      <c r="A683" s="26"/>
      <c r="B683" s="26"/>
      <c r="C683" s="26"/>
      <c r="D683" s="26"/>
      <c r="E683" s="26"/>
      <c r="F683" s="26"/>
      <c r="G683" s="26"/>
      <c r="H683" s="26"/>
    </row>
    <row r="684" spans="1:8" s="48" customFormat="1" x14ac:dyDescent="0.35">
      <c r="A684" s="26"/>
      <c r="B684" s="26"/>
      <c r="C684" s="26"/>
      <c r="D684" s="26"/>
      <c r="E684" s="26"/>
      <c r="F684" s="26"/>
      <c r="G684" s="26"/>
      <c r="H684" s="26"/>
    </row>
    <row r="685" spans="1:8" s="48" customFormat="1" x14ac:dyDescent="0.35">
      <c r="A685" s="26"/>
      <c r="B685" s="26"/>
      <c r="C685" s="26"/>
      <c r="D685" s="26"/>
      <c r="E685" s="26"/>
      <c r="F685" s="26"/>
      <c r="G685" s="26"/>
      <c r="H685" s="26"/>
    </row>
    <row r="686" spans="1:8" s="48" customFormat="1" x14ac:dyDescent="0.35">
      <c r="A686" s="26"/>
      <c r="B686" s="26"/>
      <c r="C686" s="26"/>
      <c r="D686" s="26"/>
      <c r="E686" s="26"/>
      <c r="F686" s="26"/>
      <c r="G686" s="26"/>
      <c r="H686" s="26"/>
    </row>
    <row r="687" spans="1:8" s="48" customFormat="1" x14ac:dyDescent="0.35">
      <c r="A687" s="26"/>
      <c r="B687" s="26"/>
      <c r="C687" s="26"/>
      <c r="D687" s="26"/>
      <c r="E687" s="26"/>
      <c r="F687" s="26"/>
      <c r="G687" s="26"/>
      <c r="H687" s="26"/>
    </row>
    <row r="688" spans="1:8" s="48" customFormat="1" x14ac:dyDescent="0.35">
      <c r="A688" s="26"/>
      <c r="B688" s="26"/>
      <c r="C688" s="26"/>
      <c r="D688" s="26"/>
      <c r="E688" s="26"/>
      <c r="F688" s="26"/>
      <c r="G688" s="26"/>
      <c r="H688" s="26"/>
    </row>
    <row r="689" spans="1:8" s="48" customFormat="1" x14ac:dyDescent="0.35">
      <c r="A689" s="26"/>
      <c r="B689" s="26"/>
      <c r="C689" s="26"/>
      <c r="D689" s="26"/>
      <c r="E689" s="26"/>
      <c r="F689" s="26"/>
      <c r="G689" s="26"/>
      <c r="H689" s="26"/>
    </row>
    <row r="690" spans="1:8" s="48" customFormat="1" x14ac:dyDescent="0.35">
      <c r="A690" s="26"/>
      <c r="B690" s="26"/>
      <c r="C690" s="26"/>
      <c r="D690" s="26"/>
      <c r="E690" s="26"/>
      <c r="F690" s="26"/>
      <c r="G690" s="26"/>
      <c r="H690" s="26"/>
    </row>
    <row r="691" spans="1:8" s="48" customFormat="1" x14ac:dyDescent="0.35">
      <c r="A691" s="26"/>
      <c r="B691" s="26"/>
      <c r="C691" s="26"/>
      <c r="D691" s="26"/>
      <c r="E691" s="26"/>
      <c r="F691" s="26"/>
      <c r="G691" s="26"/>
      <c r="H691" s="26"/>
    </row>
    <row r="692" spans="1:8" s="48" customFormat="1" x14ac:dyDescent="0.35">
      <c r="A692" s="26"/>
      <c r="B692" s="26"/>
      <c r="C692" s="26"/>
      <c r="D692" s="26"/>
      <c r="E692" s="26"/>
      <c r="F692" s="26"/>
      <c r="G692" s="26"/>
      <c r="H692" s="26"/>
    </row>
    <row r="693" spans="1:8" s="48" customFormat="1" x14ac:dyDescent="0.35">
      <c r="A693" s="26"/>
      <c r="B693" s="26"/>
      <c r="C693" s="26"/>
      <c r="D693" s="26"/>
      <c r="E693" s="26"/>
      <c r="F693" s="26"/>
      <c r="G693" s="26"/>
      <c r="H693" s="26"/>
    </row>
    <row r="694" spans="1:8" s="48" customFormat="1" x14ac:dyDescent="0.35">
      <c r="A694" s="26"/>
      <c r="B694" s="26"/>
      <c r="C694" s="26"/>
      <c r="D694" s="26"/>
      <c r="E694" s="26"/>
      <c r="F694" s="26"/>
      <c r="G694" s="26"/>
      <c r="H694" s="26"/>
    </row>
    <row r="695" spans="1:8" s="48" customFormat="1" x14ac:dyDescent="0.35">
      <c r="A695" s="26"/>
      <c r="B695" s="26"/>
      <c r="C695" s="26"/>
      <c r="D695" s="26"/>
      <c r="E695" s="26"/>
      <c r="F695" s="26"/>
      <c r="G695" s="26"/>
      <c r="H695" s="26"/>
    </row>
    <row r="696" spans="1:8" s="48" customFormat="1" x14ac:dyDescent="0.35">
      <c r="A696" s="26"/>
      <c r="B696" s="26"/>
      <c r="C696" s="26"/>
      <c r="D696" s="26"/>
      <c r="E696" s="26"/>
      <c r="F696" s="26"/>
      <c r="G696" s="26"/>
      <c r="H696" s="26"/>
    </row>
    <row r="697" spans="1:8" s="48" customFormat="1" x14ac:dyDescent="0.35">
      <c r="A697" s="26"/>
      <c r="B697" s="26"/>
      <c r="C697" s="26"/>
      <c r="D697" s="26"/>
      <c r="E697" s="26"/>
      <c r="F697" s="26"/>
      <c r="G697" s="26"/>
      <c r="H697" s="26"/>
    </row>
    <row r="698" spans="1:8" s="48" customFormat="1" x14ac:dyDescent="0.35">
      <c r="A698" s="26"/>
      <c r="B698" s="26"/>
      <c r="C698" s="26"/>
      <c r="D698" s="26"/>
      <c r="E698" s="26"/>
      <c r="F698" s="26"/>
      <c r="G698" s="26"/>
      <c r="H698" s="26"/>
    </row>
    <row r="699" spans="1:8" s="48" customFormat="1" x14ac:dyDescent="0.35">
      <c r="A699" s="26"/>
      <c r="B699" s="26"/>
      <c r="C699" s="26"/>
      <c r="D699" s="26"/>
      <c r="E699" s="26"/>
      <c r="F699" s="26"/>
      <c r="G699" s="26"/>
      <c r="H699" s="26"/>
    </row>
    <row r="700" spans="1:8" s="48" customFormat="1" x14ac:dyDescent="0.35">
      <c r="A700" s="26"/>
      <c r="B700" s="26"/>
      <c r="C700" s="26"/>
      <c r="D700" s="26"/>
      <c r="E700" s="26"/>
      <c r="F700" s="26"/>
      <c r="G700" s="26"/>
      <c r="H700" s="26"/>
    </row>
    <row r="701" spans="1:8" s="48" customFormat="1" x14ac:dyDescent="0.35">
      <c r="A701" s="26"/>
      <c r="B701" s="26"/>
      <c r="C701" s="26"/>
      <c r="D701" s="26"/>
      <c r="E701" s="26"/>
      <c r="F701" s="26"/>
      <c r="G701" s="26"/>
      <c r="H701" s="26"/>
    </row>
    <row r="702" spans="1:8" s="48" customFormat="1" x14ac:dyDescent="0.35">
      <c r="A702" s="26"/>
      <c r="B702" s="26"/>
      <c r="C702" s="26"/>
      <c r="D702" s="26"/>
      <c r="E702" s="26"/>
      <c r="F702" s="26"/>
      <c r="G702" s="26"/>
      <c r="H702" s="26"/>
    </row>
    <row r="703" spans="1:8" s="48" customFormat="1" x14ac:dyDescent="0.35">
      <c r="A703" s="26"/>
      <c r="B703" s="26"/>
      <c r="C703" s="26"/>
      <c r="D703" s="26"/>
      <c r="E703" s="26"/>
      <c r="F703" s="26"/>
      <c r="G703" s="26"/>
      <c r="H703" s="26"/>
    </row>
    <row r="704" spans="1:8" s="48" customFormat="1" x14ac:dyDescent="0.35">
      <c r="A704" s="26"/>
      <c r="B704" s="26"/>
      <c r="C704" s="26"/>
      <c r="D704" s="26"/>
      <c r="E704" s="26"/>
      <c r="F704" s="26"/>
      <c r="G704" s="26"/>
      <c r="H704" s="26"/>
    </row>
    <row r="705" spans="1:8" s="48" customFormat="1" x14ac:dyDescent="0.35">
      <c r="A705" s="26"/>
      <c r="B705" s="26"/>
      <c r="C705" s="26"/>
      <c r="D705" s="26"/>
      <c r="E705" s="26"/>
      <c r="F705" s="26"/>
      <c r="G705" s="26"/>
      <c r="H705" s="26"/>
    </row>
    <row r="706" spans="1:8" s="48" customFormat="1" x14ac:dyDescent="0.35">
      <c r="A706" s="26"/>
      <c r="B706" s="26"/>
      <c r="C706" s="26"/>
      <c r="D706" s="26"/>
      <c r="E706" s="26"/>
      <c r="F706" s="26"/>
      <c r="G706" s="26"/>
      <c r="H706" s="26"/>
    </row>
    <row r="707" spans="1:8" s="48" customFormat="1" x14ac:dyDescent="0.35">
      <c r="A707" s="26"/>
      <c r="B707" s="26"/>
      <c r="C707" s="26"/>
      <c r="D707" s="26"/>
      <c r="E707" s="26"/>
      <c r="F707" s="26"/>
      <c r="G707" s="26"/>
      <c r="H707" s="26"/>
    </row>
    <row r="708" spans="1:8" s="48" customFormat="1" x14ac:dyDescent="0.35">
      <c r="A708" s="26"/>
      <c r="B708" s="26"/>
      <c r="C708" s="26"/>
      <c r="D708" s="26"/>
      <c r="E708" s="26"/>
      <c r="F708" s="26"/>
      <c r="G708" s="26"/>
      <c r="H708" s="26"/>
    </row>
    <row r="709" spans="1:8" s="48" customFormat="1" x14ac:dyDescent="0.35">
      <c r="A709" s="26"/>
      <c r="B709" s="26"/>
      <c r="C709" s="26"/>
      <c r="D709" s="26"/>
      <c r="E709" s="26"/>
      <c r="F709" s="26"/>
      <c r="G709" s="26"/>
      <c r="H709" s="26"/>
    </row>
    <row r="710" spans="1:8" s="48" customFormat="1" x14ac:dyDescent="0.35">
      <c r="A710" s="26"/>
      <c r="B710" s="26"/>
      <c r="C710" s="26"/>
      <c r="D710" s="26"/>
      <c r="E710" s="26"/>
      <c r="F710" s="26"/>
      <c r="G710" s="26"/>
      <c r="H710" s="26"/>
    </row>
    <row r="711" spans="1:8" s="48" customFormat="1" x14ac:dyDescent="0.35">
      <c r="A711" s="26"/>
      <c r="B711" s="26"/>
      <c r="C711" s="26"/>
      <c r="D711" s="26"/>
      <c r="E711" s="26"/>
      <c r="F711" s="26"/>
      <c r="G711" s="26"/>
      <c r="H711" s="26"/>
    </row>
    <row r="712" spans="1:8" s="48" customFormat="1" x14ac:dyDescent="0.35">
      <c r="A712" s="26"/>
      <c r="B712" s="26"/>
      <c r="C712" s="26"/>
      <c r="D712" s="26"/>
      <c r="E712" s="26"/>
      <c r="F712" s="26"/>
      <c r="G712" s="26"/>
      <c r="H712" s="26"/>
    </row>
    <row r="713" spans="1:8" s="48" customFormat="1" x14ac:dyDescent="0.35">
      <c r="A713" s="26"/>
      <c r="B713" s="26"/>
      <c r="C713" s="26"/>
      <c r="D713" s="26"/>
      <c r="E713" s="26"/>
      <c r="F713" s="26"/>
      <c r="G713" s="26"/>
      <c r="H713" s="26"/>
    </row>
    <row r="714" spans="1:8" s="48" customFormat="1" x14ac:dyDescent="0.35">
      <c r="A714" s="26"/>
      <c r="B714" s="26"/>
      <c r="C714" s="26"/>
      <c r="D714" s="26"/>
      <c r="E714" s="26"/>
      <c r="F714" s="26"/>
      <c r="G714" s="26"/>
      <c r="H714" s="26"/>
    </row>
    <row r="715" spans="1:8" s="48" customFormat="1" x14ac:dyDescent="0.35">
      <c r="A715" s="26"/>
      <c r="B715" s="26"/>
      <c r="C715" s="26"/>
      <c r="D715" s="26"/>
      <c r="E715" s="26"/>
      <c r="F715" s="26"/>
      <c r="G715" s="26"/>
      <c r="H715" s="26"/>
    </row>
    <row r="716" spans="1:8" s="48" customFormat="1" x14ac:dyDescent="0.35">
      <c r="A716" s="26"/>
      <c r="B716" s="26"/>
      <c r="C716" s="26"/>
      <c r="D716" s="26"/>
      <c r="E716" s="26"/>
      <c r="F716" s="26"/>
      <c r="G716" s="26"/>
      <c r="H716" s="26"/>
    </row>
    <row r="717" spans="1:8" s="48" customFormat="1" x14ac:dyDescent="0.35">
      <c r="A717" s="26"/>
      <c r="B717" s="26"/>
      <c r="C717" s="26"/>
      <c r="D717" s="26"/>
      <c r="E717" s="26"/>
      <c r="F717" s="26"/>
      <c r="G717" s="26"/>
      <c r="H717" s="26"/>
    </row>
    <row r="718" spans="1:8" s="48" customFormat="1" x14ac:dyDescent="0.35">
      <c r="A718" s="26"/>
      <c r="B718" s="26"/>
      <c r="C718" s="26"/>
      <c r="D718" s="26"/>
      <c r="E718" s="26"/>
      <c r="F718" s="26"/>
      <c r="G718" s="26"/>
      <c r="H718" s="26"/>
    </row>
    <row r="719" spans="1:8" s="48" customFormat="1" x14ac:dyDescent="0.35">
      <c r="A719" s="26"/>
      <c r="B719" s="26"/>
      <c r="C719" s="26"/>
      <c r="D719" s="26"/>
      <c r="E719" s="26"/>
      <c r="F719" s="26"/>
      <c r="G719" s="26"/>
      <c r="H719" s="26"/>
    </row>
    <row r="720" spans="1:8" s="48" customFormat="1" x14ac:dyDescent="0.35">
      <c r="A720" s="26"/>
      <c r="B720" s="26"/>
      <c r="C720" s="26"/>
      <c r="D720" s="26"/>
      <c r="E720" s="26"/>
      <c r="F720" s="26"/>
      <c r="G720" s="26"/>
      <c r="H720" s="26"/>
    </row>
    <row r="721" spans="1:8" s="48" customFormat="1" x14ac:dyDescent="0.35">
      <c r="A721" s="26"/>
      <c r="B721" s="26"/>
      <c r="C721" s="26"/>
      <c r="D721" s="26"/>
      <c r="E721" s="26"/>
      <c r="F721" s="26"/>
      <c r="G721" s="26"/>
      <c r="H721" s="26"/>
    </row>
    <row r="722" spans="1:8" s="48" customFormat="1" x14ac:dyDescent="0.35">
      <c r="A722" s="26"/>
      <c r="B722" s="26"/>
      <c r="C722" s="26"/>
      <c r="D722" s="26"/>
      <c r="E722" s="26"/>
      <c r="F722" s="26"/>
      <c r="G722" s="26"/>
      <c r="H722" s="26"/>
    </row>
    <row r="723" spans="1:8" s="48" customFormat="1" x14ac:dyDescent="0.35">
      <c r="A723" s="26"/>
      <c r="B723" s="26"/>
      <c r="C723" s="26"/>
      <c r="D723" s="26"/>
      <c r="E723" s="26"/>
      <c r="F723" s="26"/>
      <c r="G723" s="26"/>
      <c r="H723" s="26"/>
    </row>
    <row r="724" spans="1:8" s="48" customFormat="1" x14ac:dyDescent="0.35">
      <c r="A724" s="26"/>
      <c r="B724" s="26"/>
      <c r="C724" s="26"/>
      <c r="D724" s="26"/>
      <c r="E724" s="26"/>
      <c r="F724" s="26"/>
      <c r="G724" s="26"/>
      <c r="H724" s="26"/>
    </row>
    <row r="725" spans="1:8" s="48" customFormat="1" x14ac:dyDescent="0.35">
      <c r="A725" s="26"/>
      <c r="B725" s="26"/>
      <c r="C725" s="26"/>
      <c r="D725" s="26"/>
      <c r="E725" s="26"/>
      <c r="F725" s="26"/>
      <c r="G725" s="26"/>
      <c r="H725" s="26"/>
    </row>
    <row r="726" spans="1:8" s="48" customFormat="1" x14ac:dyDescent="0.35">
      <c r="A726" s="26"/>
      <c r="B726" s="26"/>
      <c r="C726" s="26"/>
      <c r="D726" s="26"/>
      <c r="E726" s="26"/>
      <c r="F726" s="26"/>
      <c r="G726" s="26"/>
      <c r="H726" s="26"/>
    </row>
    <row r="727" spans="1:8" s="48" customFormat="1" x14ac:dyDescent="0.35">
      <c r="A727" s="26"/>
      <c r="B727" s="26"/>
      <c r="C727" s="26"/>
      <c r="D727" s="26"/>
      <c r="E727" s="26"/>
      <c r="F727" s="26"/>
      <c r="G727" s="26"/>
      <c r="H727" s="26"/>
    </row>
    <row r="728" spans="1:8" s="48" customFormat="1" x14ac:dyDescent="0.35">
      <c r="A728" s="26"/>
      <c r="B728" s="26"/>
      <c r="C728" s="26"/>
      <c r="D728" s="26"/>
      <c r="E728" s="26"/>
      <c r="F728" s="26"/>
      <c r="G728" s="26"/>
      <c r="H728" s="26"/>
    </row>
    <row r="729" spans="1:8" s="48" customFormat="1" x14ac:dyDescent="0.35">
      <c r="A729" s="26"/>
      <c r="B729" s="26"/>
      <c r="C729" s="26"/>
      <c r="D729" s="26"/>
      <c r="E729" s="26"/>
      <c r="F729" s="26"/>
      <c r="G729" s="26"/>
      <c r="H729" s="26"/>
    </row>
    <row r="730" spans="1:8" s="48" customFormat="1" x14ac:dyDescent="0.35">
      <c r="A730" s="26"/>
      <c r="B730" s="26"/>
      <c r="C730" s="26"/>
      <c r="D730" s="26"/>
      <c r="E730" s="26"/>
      <c r="F730" s="26"/>
      <c r="G730" s="26"/>
      <c r="H730" s="26"/>
    </row>
    <row r="731" spans="1:8" s="48" customFormat="1" x14ac:dyDescent="0.35">
      <c r="A731" s="26"/>
      <c r="B731" s="26"/>
      <c r="C731" s="26"/>
      <c r="D731" s="26"/>
      <c r="E731" s="26"/>
      <c r="F731" s="26"/>
      <c r="G731" s="26"/>
      <c r="H731" s="26"/>
    </row>
    <row r="732" spans="1:8" s="48" customFormat="1" x14ac:dyDescent="0.35">
      <c r="A732" s="26"/>
      <c r="B732" s="26"/>
      <c r="C732" s="26"/>
      <c r="D732" s="26"/>
      <c r="E732" s="26"/>
      <c r="F732" s="26"/>
      <c r="G732" s="26"/>
      <c r="H732" s="26"/>
    </row>
    <row r="733" spans="1:8" s="48" customFormat="1" x14ac:dyDescent="0.35">
      <c r="A733" s="26"/>
      <c r="B733" s="26"/>
      <c r="C733" s="26"/>
      <c r="D733" s="26"/>
      <c r="E733" s="26"/>
      <c r="F733" s="26"/>
      <c r="G733" s="26"/>
      <c r="H733" s="26"/>
    </row>
    <row r="734" spans="1:8" s="48" customFormat="1" x14ac:dyDescent="0.35">
      <c r="A734" s="26"/>
      <c r="B734" s="26"/>
      <c r="C734" s="26"/>
      <c r="D734" s="26"/>
      <c r="E734" s="26"/>
      <c r="F734" s="26"/>
      <c r="G734" s="26"/>
      <c r="H734" s="26"/>
    </row>
    <row r="735" spans="1:8" s="48" customFormat="1" x14ac:dyDescent="0.35">
      <c r="A735" s="26"/>
      <c r="B735" s="26"/>
      <c r="C735" s="26"/>
      <c r="D735" s="26"/>
      <c r="E735" s="26"/>
      <c r="F735" s="26"/>
      <c r="G735" s="26"/>
      <c r="H735" s="26"/>
    </row>
    <row r="736" spans="1:8" s="48" customFormat="1" x14ac:dyDescent="0.35">
      <c r="A736" s="26"/>
      <c r="B736" s="26"/>
      <c r="C736" s="26"/>
      <c r="D736" s="26"/>
      <c r="E736" s="26"/>
      <c r="F736" s="26"/>
      <c r="G736" s="26"/>
      <c r="H736" s="26"/>
    </row>
    <row r="737" spans="1:8" s="48" customFormat="1" x14ac:dyDescent="0.35">
      <c r="A737" s="26"/>
      <c r="B737" s="26"/>
      <c r="C737" s="26"/>
      <c r="D737" s="26"/>
      <c r="E737" s="26"/>
      <c r="F737" s="26"/>
      <c r="G737" s="26"/>
      <c r="H737" s="26"/>
    </row>
    <row r="738" spans="1:8" s="48" customFormat="1" x14ac:dyDescent="0.35">
      <c r="A738" s="26"/>
      <c r="B738" s="26"/>
      <c r="C738" s="26"/>
      <c r="D738" s="26"/>
      <c r="E738" s="26"/>
      <c r="F738" s="26"/>
      <c r="G738" s="26"/>
      <c r="H738" s="26"/>
    </row>
    <row r="739" spans="1:8" s="48" customFormat="1" x14ac:dyDescent="0.35">
      <c r="A739" s="26"/>
      <c r="B739" s="26"/>
      <c r="C739" s="26"/>
      <c r="D739" s="26"/>
      <c r="E739" s="26"/>
      <c r="F739" s="26"/>
      <c r="G739" s="26"/>
      <c r="H739" s="26"/>
    </row>
    <row r="740" spans="1:8" s="48" customFormat="1" x14ac:dyDescent="0.35">
      <c r="A740" s="26"/>
      <c r="B740" s="26"/>
      <c r="C740" s="26"/>
      <c r="D740" s="26"/>
      <c r="E740" s="26"/>
      <c r="F740" s="26"/>
      <c r="G740" s="26"/>
      <c r="H740" s="26"/>
    </row>
    <row r="741" spans="1:8" s="48" customFormat="1" x14ac:dyDescent="0.35">
      <c r="A741" s="26"/>
      <c r="B741" s="26"/>
      <c r="C741" s="26"/>
      <c r="D741" s="26"/>
      <c r="E741" s="26"/>
      <c r="F741" s="26"/>
      <c r="G741" s="26"/>
      <c r="H741" s="26"/>
    </row>
    <row r="742" spans="1:8" s="48" customFormat="1" x14ac:dyDescent="0.35">
      <c r="A742" s="26"/>
      <c r="B742" s="26"/>
      <c r="C742" s="26"/>
      <c r="D742" s="26"/>
      <c r="E742" s="26"/>
      <c r="F742" s="26"/>
      <c r="G742" s="26"/>
      <c r="H742" s="26"/>
    </row>
    <row r="743" spans="1:8" s="48" customFormat="1" x14ac:dyDescent="0.35">
      <c r="A743" s="26"/>
      <c r="B743" s="26"/>
      <c r="C743" s="26"/>
      <c r="D743" s="26"/>
      <c r="E743" s="26"/>
      <c r="F743" s="26"/>
      <c r="G743" s="26"/>
      <c r="H743" s="26"/>
    </row>
    <row r="744" spans="1:8" s="48" customFormat="1" x14ac:dyDescent="0.35">
      <c r="A744" s="26"/>
      <c r="B744" s="26"/>
      <c r="C744" s="26"/>
      <c r="D744" s="26"/>
      <c r="E744" s="26"/>
      <c r="F744" s="26"/>
      <c r="G744" s="26"/>
      <c r="H744" s="26"/>
    </row>
    <row r="745" spans="1:8" s="48" customFormat="1" x14ac:dyDescent="0.35">
      <c r="A745" s="26"/>
      <c r="B745" s="26"/>
      <c r="C745" s="26"/>
      <c r="D745" s="26"/>
      <c r="E745" s="26"/>
      <c r="F745" s="26"/>
      <c r="G745" s="26"/>
      <c r="H745" s="26"/>
    </row>
    <row r="746" spans="1:8" s="48" customFormat="1" x14ac:dyDescent="0.35">
      <c r="A746" s="26"/>
      <c r="B746" s="26"/>
      <c r="C746" s="26"/>
      <c r="D746" s="26"/>
      <c r="E746" s="26"/>
      <c r="F746" s="26"/>
      <c r="G746" s="26"/>
      <c r="H746" s="26"/>
    </row>
    <row r="747" spans="1:8" s="48" customFormat="1" x14ac:dyDescent="0.35">
      <c r="A747" s="26"/>
      <c r="B747" s="26"/>
      <c r="C747" s="26"/>
      <c r="D747" s="26"/>
      <c r="E747" s="26"/>
      <c r="F747" s="26"/>
      <c r="G747" s="26"/>
      <c r="H747" s="26"/>
    </row>
    <row r="748" spans="1:8" s="48" customFormat="1" x14ac:dyDescent="0.35">
      <c r="A748" s="26"/>
      <c r="B748" s="26"/>
      <c r="C748" s="26"/>
      <c r="D748" s="26"/>
      <c r="E748" s="26"/>
      <c r="F748" s="26"/>
      <c r="G748" s="26"/>
      <c r="H748" s="26"/>
    </row>
    <row r="749" spans="1:8" s="48" customFormat="1" x14ac:dyDescent="0.35">
      <c r="A749" s="26"/>
      <c r="B749" s="26"/>
      <c r="C749" s="26"/>
      <c r="D749" s="26"/>
      <c r="E749" s="26"/>
      <c r="F749" s="26"/>
      <c r="G749" s="26"/>
      <c r="H749" s="26"/>
    </row>
    <row r="750" spans="1:8" s="48" customFormat="1" x14ac:dyDescent="0.35">
      <c r="A750" s="26"/>
      <c r="B750" s="26"/>
      <c r="C750" s="26"/>
      <c r="D750" s="26"/>
      <c r="E750" s="26"/>
      <c r="F750" s="26"/>
      <c r="G750" s="26"/>
      <c r="H750" s="26"/>
    </row>
    <row r="751" spans="1:8" s="48" customFormat="1" x14ac:dyDescent="0.35">
      <c r="A751" s="26"/>
      <c r="B751" s="26"/>
      <c r="C751" s="26"/>
      <c r="D751" s="26"/>
      <c r="E751" s="26"/>
      <c r="F751" s="26"/>
      <c r="G751" s="26"/>
      <c r="H751" s="26"/>
    </row>
    <row r="752" spans="1:8" s="48" customFormat="1" x14ac:dyDescent="0.35">
      <c r="A752" s="26"/>
      <c r="B752" s="26"/>
      <c r="C752" s="26"/>
      <c r="D752" s="26"/>
      <c r="E752" s="26"/>
      <c r="F752" s="26"/>
      <c r="G752" s="26"/>
      <c r="H752" s="26"/>
    </row>
    <row r="753" spans="1:8" s="48" customFormat="1" x14ac:dyDescent="0.35">
      <c r="A753" s="26"/>
      <c r="B753" s="26"/>
      <c r="C753" s="26"/>
      <c r="D753" s="26"/>
      <c r="E753" s="26"/>
      <c r="F753" s="26"/>
      <c r="G753" s="26"/>
      <c r="H753" s="26"/>
    </row>
    <row r="754" spans="1:8" s="48" customFormat="1" x14ac:dyDescent="0.35">
      <c r="A754" s="26"/>
      <c r="B754" s="26"/>
      <c r="C754" s="26"/>
      <c r="D754" s="26"/>
      <c r="E754" s="26"/>
      <c r="F754" s="26"/>
      <c r="G754" s="26"/>
      <c r="H754" s="26"/>
    </row>
    <row r="755" spans="1:8" s="48" customFormat="1" x14ac:dyDescent="0.35">
      <c r="A755" s="26"/>
      <c r="B755" s="26"/>
      <c r="C755" s="26"/>
      <c r="D755" s="26"/>
      <c r="E755" s="26"/>
      <c r="F755" s="26"/>
      <c r="G755" s="26"/>
      <c r="H755" s="26"/>
    </row>
    <row r="756" spans="1:8" s="48" customFormat="1" x14ac:dyDescent="0.35">
      <c r="A756" s="26"/>
      <c r="B756" s="26"/>
      <c r="C756" s="26"/>
      <c r="D756" s="26"/>
      <c r="E756" s="26"/>
      <c r="F756" s="26"/>
      <c r="G756" s="26"/>
      <c r="H756" s="26"/>
    </row>
    <row r="757" spans="1:8" s="48" customFormat="1" x14ac:dyDescent="0.35">
      <c r="A757" s="26"/>
      <c r="B757" s="26"/>
      <c r="C757" s="26"/>
      <c r="D757" s="26"/>
      <c r="E757" s="26"/>
      <c r="F757" s="26"/>
      <c r="G757" s="26"/>
      <c r="H757" s="26"/>
    </row>
    <row r="758" spans="1:8" s="48" customFormat="1" x14ac:dyDescent="0.35">
      <c r="A758" s="26"/>
      <c r="B758" s="26"/>
      <c r="C758" s="26"/>
      <c r="D758" s="26"/>
      <c r="E758" s="26"/>
      <c r="F758" s="26"/>
      <c r="G758" s="26"/>
      <c r="H758" s="26"/>
    </row>
    <row r="759" spans="1:8" s="48" customFormat="1" x14ac:dyDescent="0.35">
      <c r="A759" s="26"/>
      <c r="B759" s="26"/>
      <c r="C759" s="26"/>
      <c r="D759" s="26"/>
      <c r="E759" s="26"/>
      <c r="F759" s="26"/>
      <c r="G759" s="26"/>
      <c r="H759" s="26"/>
    </row>
    <row r="760" spans="1:8" s="48" customFormat="1" x14ac:dyDescent="0.35">
      <c r="A760" s="26"/>
      <c r="B760" s="26"/>
      <c r="C760" s="26"/>
      <c r="D760" s="26"/>
      <c r="E760" s="26"/>
      <c r="F760" s="26"/>
      <c r="G760" s="26"/>
      <c r="H760" s="26"/>
    </row>
    <row r="761" spans="1:8" s="48" customFormat="1" x14ac:dyDescent="0.35">
      <c r="A761" s="26"/>
      <c r="B761" s="26"/>
      <c r="C761" s="26"/>
      <c r="D761" s="26"/>
      <c r="E761" s="26"/>
      <c r="F761" s="26"/>
      <c r="G761" s="26"/>
      <c r="H761" s="26"/>
    </row>
    <row r="762" spans="1:8" s="48" customFormat="1" x14ac:dyDescent="0.35">
      <c r="A762" s="26"/>
      <c r="B762" s="26"/>
      <c r="C762" s="26"/>
      <c r="D762" s="26"/>
      <c r="E762" s="26"/>
      <c r="F762" s="26"/>
      <c r="G762" s="26"/>
      <c r="H762" s="26"/>
    </row>
    <row r="763" spans="1:8" s="48" customFormat="1" x14ac:dyDescent="0.35">
      <c r="A763" s="26"/>
      <c r="B763" s="26"/>
      <c r="C763" s="26"/>
      <c r="D763" s="26"/>
      <c r="E763" s="26"/>
      <c r="F763" s="26"/>
      <c r="G763" s="26"/>
      <c r="H763" s="26"/>
    </row>
    <row r="764" spans="1:8" s="48" customFormat="1" x14ac:dyDescent="0.35">
      <c r="A764" s="26"/>
      <c r="B764" s="26"/>
      <c r="C764" s="26"/>
      <c r="D764" s="26"/>
      <c r="E764" s="26"/>
      <c r="F764" s="26"/>
      <c r="G764" s="26"/>
      <c r="H764" s="26"/>
    </row>
    <row r="765" spans="1:8" s="48" customFormat="1" x14ac:dyDescent="0.35">
      <c r="A765" s="26"/>
      <c r="B765" s="26"/>
      <c r="C765" s="26"/>
      <c r="D765" s="26"/>
      <c r="E765" s="26"/>
      <c r="F765" s="26"/>
      <c r="G765" s="26"/>
      <c r="H765" s="26"/>
    </row>
    <row r="766" spans="1:8" s="48" customFormat="1" x14ac:dyDescent="0.35">
      <c r="A766" s="26"/>
      <c r="B766" s="26"/>
      <c r="C766" s="26"/>
      <c r="D766" s="26"/>
      <c r="E766" s="26"/>
      <c r="F766" s="26"/>
      <c r="G766" s="26"/>
      <c r="H766" s="26"/>
    </row>
    <row r="767" spans="1:8" s="48" customFormat="1" x14ac:dyDescent="0.35">
      <c r="A767" s="26"/>
      <c r="B767" s="26"/>
      <c r="C767" s="26"/>
      <c r="D767" s="26"/>
      <c r="E767" s="26"/>
      <c r="F767" s="26"/>
      <c r="G767" s="26"/>
      <c r="H767" s="26"/>
    </row>
    <row r="768" spans="1:8" s="48" customFormat="1" x14ac:dyDescent="0.35">
      <c r="A768" s="26"/>
      <c r="B768" s="26"/>
      <c r="C768" s="26"/>
      <c r="D768" s="26"/>
      <c r="E768" s="26"/>
      <c r="F768" s="26"/>
      <c r="G768" s="26"/>
      <c r="H768" s="26"/>
    </row>
    <row r="769" spans="1:8" s="48" customFormat="1" x14ac:dyDescent="0.35">
      <c r="A769" s="26"/>
      <c r="B769" s="26"/>
      <c r="C769" s="26"/>
      <c r="D769" s="26"/>
      <c r="E769" s="26"/>
      <c r="F769" s="26"/>
      <c r="G769" s="26"/>
      <c r="H769" s="26"/>
    </row>
    <row r="770" spans="1:8" s="48" customFormat="1" x14ac:dyDescent="0.35">
      <c r="A770" s="26"/>
      <c r="B770" s="26"/>
      <c r="C770" s="26"/>
      <c r="D770" s="26"/>
      <c r="E770" s="26"/>
      <c r="F770" s="26"/>
      <c r="G770" s="26"/>
      <c r="H770" s="26"/>
    </row>
    <row r="771" spans="1:8" s="48" customFormat="1" x14ac:dyDescent="0.35">
      <c r="A771" s="26"/>
      <c r="B771" s="26"/>
      <c r="C771" s="26"/>
      <c r="D771" s="26"/>
      <c r="E771" s="26"/>
      <c r="F771" s="26"/>
      <c r="G771" s="26"/>
      <c r="H771" s="26"/>
    </row>
    <row r="772" spans="1:8" s="48" customFormat="1" x14ac:dyDescent="0.35">
      <c r="A772" s="26"/>
      <c r="B772" s="26"/>
      <c r="C772" s="26"/>
      <c r="D772" s="26"/>
      <c r="E772" s="26"/>
      <c r="F772" s="26"/>
      <c r="G772" s="26"/>
      <c r="H772" s="26"/>
    </row>
    <row r="773" spans="1:8" s="48" customFormat="1" x14ac:dyDescent="0.35">
      <c r="A773" s="26"/>
      <c r="B773" s="26"/>
      <c r="C773" s="26"/>
      <c r="D773" s="26"/>
      <c r="E773" s="26"/>
      <c r="F773" s="26"/>
      <c r="G773" s="26"/>
      <c r="H773" s="26"/>
    </row>
    <row r="774" spans="1:8" s="48" customFormat="1" x14ac:dyDescent="0.35">
      <c r="A774" s="26"/>
      <c r="B774" s="26"/>
      <c r="C774" s="26"/>
      <c r="D774" s="26"/>
      <c r="E774" s="26"/>
      <c r="F774" s="26"/>
      <c r="G774" s="26"/>
      <c r="H774" s="26"/>
    </row>
    <row r="775" spans="1:8" s="48" customFormat="1" x14ac:dyDescent="0.35">
      <c r="A775" s="26"/>
      <c r="B775" s="26"/>
      <c r="C775" s="26"/>
      <c r="D775" s="26"/>
      <c r="E775" s="26"/>
      <c r="F775" s="26"/>
      <c r="G775" s="26"/>
      <c r="H775" s="26"/>
    </row>
    <row r="776" spans="1:8" s="48" customFormat="1" x14ac:dyDescent="0.35">
      <c r="A776" s="26"/>
      <c r="B776" s="26"/>
      <c r="C776" s="26"/>
      <c r="D776" s="26"/>
      <c r="E776" s="26"/>
      <c r="F776" s="26"/>
      <c r="G776" s="26"/>
      <c r="H776" s="26"/>
    </row>
    <row r="777" spans="1:8" s="48" customFormat="1" x14ac:dyDescent="0.35">
      <c r="A777" s="26"/>
      <c r="B777" s="26"/>
      <c r="C777" s="26"/>
      <c r="D777" s="26"/>
      <c r="E777" s="26"/>
      <c r="F777" s="26"/>
      <c r="G777" s="26"/>
      <c r="H777" s="26"/>
    </row>
    <row r="778" spans="1:8" s="48" customFormat="1" x14ac:dyDescent="0.35">
      <c r="A778" s="26"/>
      <c r="B778" s="26"/>
      <c r="C778" s="26"/>
      <c r="D778" s="26"/>
      <c r="E778" s="26"/>
      <c r="F778" s="26"/>
      <c r="G778" s="26"/>
      <c r="H778" s="26"/>
    </row>
    <row r="779" spans="1:8" s="48" customFormat="1" x14ac:dyDescent="0.35">
      <c r="A779" s="26"/>
      <c r="B779" s="26"/>
      <c r="C779" s="26"/>
      <c r="D779" s="26"/>
      <c r="E779" s="26"/>
      <c r="F779" s="26"/>
      <c r="G779" s="26"/>
      <c r="H779" s="26"/>
    </row>
    <row r="780" spans="1:8" s="48" customFormat="1" x14ac:dyDescent="0.35">
      <c r="A780" s="26"/>
      <c r="B780" s="26"/>
      <c r="C780" s="26"/>
      <c r="D780" s="26"/>
      <c r="E780" s="26"/>
      <c r="F780" s="26"/>
      <c r="G780" s="26"/>
      <c r="H780" s="26"/>
    </row>
    <row r="781" spans="1:8" s="48" customFormat="1" x14ac:dyDescent="0.35">
      <c r="A781" s="26"/>
      <c r="B781" s="26"/>
      <c r="C781" s="26"/>
      <c r="D781" s="26"/>
      <c r="E781" s="26"/>
      <c r="F781" s="26"/>
      <c r="G781" s="26"/>
      <c r="H781" s="26"/>
    </row>
    <row r="782" spans="1:8" s="48" customFormat="1" x14ac:dyDescent="0.35">
      <c r="A782" s="26"/>
      <c r="B782" s="26"/>
      <c r="C782" s="26"/>
      <c r="D782" s="26"/>
      <c r="E782" s="26"/>
      <c r="F782" s="26"/>
      <c r="G782" s="26"/>
      <c r="H782" s="26"/>
    </row>
    <row r="783" spans="1:8" s="48" customFormat="1" x14ac:dyDescent="0.35">
      <c r="A783" s="26"/>
      <c r="B783" s="26"/>
      <c r="C783" s="26"/>
      <c r="D783" s="26"/>
      <c r="E783" s="26"/>
      <c r="F783" s="26"/>
      <c r="G783" s="26"/>
      <c r="H783" s="26"/>
    </row>
    <row r="784" spans="1:8" s="48" customFormat="1" x14ac:dyDescent="0.35">
      <c r="A784" s="26"/>
      <c r="B784" s="26"/>
      <c r="C784" s="26"/>
      <c r="D784" s="26"/>
      <c r="E784" s="26"/>
      <c r="F784" s="26"/>
      <c r="G784" s="26"/>
      <c r="H784" s="26"/>
    </row>
    <row r="785" spans="1:8" s="48" customFormat="1" x14ac:dyDescent="0.35">
      <c r="A785" s="26"/>
      <c r="B785" s="26"/>
      <c r="C785" s="26"/>
      <c r="D785" s="26"/>
      <c r="E785" s="26"/>
      <c r="F785" s="26"/>
      <c r="G785" s="26"/>
      <c r="H785" s="26"/>
    </row>
    <row r="786" spans="1:8" s="48" customFormat="1" x14ac:dyDescent="0.35">
      <c r="A786" s="26"/>
      <c r="B786" s="26"/>
      <c r="C786" s="26"/>
      <c r="D786" s="26"/>
      <c r="E786" s="26"/>
      <c r="F786" s="26"/>
      <c r="G786" s="26"/>
      <c r="H786" s="26"/>
    </row>
    <row r="787" spans="1:8" s="48" customFormat="1" x14ac:dyDescent="0.35">
      <c r="A787" s="26"/>
      <c r="B787" s="26"/>
      <c r="C787" s="26"/>
      <c r="D787" s="26"/>
      <c r="E787" s="26"/>
      <c r="F787" s="26"/>
      <c r="G787" s="26"/>
      <c r="H787" s="26"/>
    </row>
    <row r="788" spans="1:8" s="48" customFormat="1" x14ac:dyDescent="0.35">
      <c r="A788" s="26"/>
      <c r="B788" s="26"/>
      <c r="C788" s="26"/>
      <c r="D788" s="26"/>
      <c r="E788" s="26"/>
      <c r="F788" s="26"/>
      <c r="G788" s="26"/>
      <c r="H788" s="26"/>
    </row>
    <row r="789" spans="1:8" s="48" customFormat="1" x14ac:dyDescent="0.35">
      <c r="A789" s="26"/>
      <c r="B789" s="26"/>
      <c r="C789" s="26"/>
      <c r="D789" s="26"/>
      <c r="E789" s="26"/>
      <c r="F789" s="26"/>
      <c r="G789" s="26"/>
      <c r="H789" s="26"/>
    </row>
    <row r="790" spans="1:8" s="48" customFormat="1" x14ac:dyDescent="0.35">
      <c r="A790" s="26"/>
      <c r="B790" s="26"/>
      <c r="C790" s="26"/>
      <c r="D790" s="26"/>
      <c r="E790" s="26"/>
      <c r="F790" s="26"/>
      <c r="G790" s="26"/>
      <c r="H790" s="26"/>
    </row>
    <row r="791" spans="1:8" s="48" customFormat="1" x14ac:dyDescent="0.35">
      <c r="A791" s="26"/>
      <c r="B791" s="26"/>
      <c r="C791" s="26"/>
      <c r="D791" s="26"/>
      <c r="E791" s="26"/>
      <c r="F791" s="26"/>
      <c r="G791" s="26"/>
      <c r="H791" s="26"/>
    </row>
    <row r="792" spans="1:8" s="48" customFormat="1" x14ac:dyDescent="0.35">
      <c r="A792" s="26"/>
      <c r="B792" s="26"/>
      <c r="C792" s="26"/>
      <c r="D792" s="26"/>
      <c r="E792" s="26"/>
      <c r="F792" s="26"/>
      <c r="G792" s="26"/>
      <c r="H792" s="26"/>
    </row>
    <row r="793" spans="1:8" s="48" customFormat="1" x14ac:dyDescent="0.35">
      <c r="A793" s="26"/>
      <c r="B793" s="26"/>
      <c r="C793" s="26"/>
      <c r="D793" s="26"/>
      <c r="E793" s="26"/>
      <c r="F793" s="26"/>
      <c r="G793" s="26"/>
      <c r="H793" s="26"/>
    </row>
    <row r="794" spans="1:8" s="48" customFormat="1" x14ac:dyDescent="0.35">
      <c r="A794" s="26"/>
      <c r="B794" s="26"/>
      <c r="C794" s="26"/>
      <c r="D794" s="26"/>
      <c r="E794" s="26"/>
      <c r="F794" s="26"/>
      <c r="G794" s="26"/>
      <c r="H794" s="26"/>
    </row>
    <row r="795" spans="1:8" s="48" customFormat="1" x14ac:dyDescent="0.35">
      <c r="A795" s="26"/>
      <c r="B795" s="26"/>
      <c r="C795" s="26"/>
      <c r="D795" s="26"/>
      <c r="E795" s="26"/>
      <c r="F795" s="26"/>
      <c r="G795" s="26"/>
      <c r="H795" s="26"/>
    </row>
    <row r="796" spans="1:8" s="48" customFormat="1" x14ac:dyDescent="0.35">
      <c r="A796" s="26"/>
      <c r="B796" s="26"/>
      <c r="C796" s="26"/>
      <c r="D796" s="26"/>
      <c r="E796" s="26"/>
      <c r="F796" s="26"/>
      <c r="G796" s="26"/>
      <c r="H796" s="26"/>
    </row>
    <row r="797" spans="1:8" s="48" customFormat="1" x14ac:dyDescent="0.35">
      <c r="A797" s="26"/>
      <c r="B797" s="26"/>
      <c r="C797" s="26"/>
      <c r="D797" s="26"/>
      <c r="E797" s="26"/>
      <c r="F797" s="26"/>
      <c r="G797" s="26"/>
      <c r="H797" s="26"/>
    </row>
    <row r="798" spans="1:8" s="48" customFormat="1" x14ac:dyDescent="0.35">
      <c r="A798" s="26"/>
      <c r="B798" s="26"/>
      <c r="C798" s="26"/>
      <c r="D798" s="26"/>
      <c r="E798" s="26"/>
      <c r="F798" s="26"/>
      <c r="G798" s="26"/>
      <c r="H798" s="26"/>
    </row>
    <row r="799" spans="1:8" s="48" customFormat="1" x14ac:dyDescent="0.35">
      <c r="A799" s="26"/>
      <c r="B799" s="26"/>
      <c r="C799" s="26"/>
      <c r="D799" s="26"/>
      <c r="E799" s="26"/>
      <c r="F799" s="26"/>
      <c r="G799" s="26"/>
      <c r="H799" s="26"/>
    </row>
    <row r="800" spans="1:8" s="48" customFormat="1" x14ac:dyDescent="0.35">
      <c r="A800" s="26"/>
      <c r="B800" s="26"/>
      <c r="C800" s="26"/>
      <c r="D800" s="26"/>
      <c r="E800" s="26"/>
      <c r="F800" s="26"/>
      <c r="G800" s="26"/>
      <c r="H800" s="26"/>
    </row>
    <row r="801" spans="1:8" s="48" customFormat="1" x14ac:dyDescent="0.35">
      <c r="A801" s="26"/>
      <c r="B801" s="26"/>
      <c r="C801" s="26"/>
      <c r="D801" s="26"/>
      <c r="E801" s="26"/>
      <c r="F801" s="26"/>
      <c r="G801" s="26"/>
      <c r="H801" s="26"/>
    </row>
    <row r="802" spans="1:8" s="48" customFormat="1" x14ac:dyDescent="0.35">
      <c r="A802" s="26"/>
      <c r="B802" s="26"/>
      <c r="C802" s="26"/>
      <c r="D802" s="26"/>
      <c r="E802" s="26"/>
      <c r="F802" s="26"/>
      <c r="G802" s="26"/>
      <c r="H802" s="26"/>
    </row>
    <row r="803" spans="1:8" s="48" customFormat="1" x14ac:dyDescent="0.35">
      <c r="A803" s="26"/>
      <c r="B803" s="26"/>
      <c r="C803" s="26"/>
      <c r="D803" s="26"/>
      <c r="E803" s="26"/>
      <c r="F803" s="26"/>
      <c r="G803" s="26"/>
      <c r="H803" s="26"/>
    </row>
    <row r="804" spans="1:8" s="48" customFormat="1" x14ac:dyDescent="0.35">
      <c r="A804" s="26"/>
      <c r="B804" s="26"/>
      <c r="C804" s="26"/>
      <c r="D804" s="26"/>
      <c r="E804" s="26"/>
      <c r="F804" s="26"/>
      <c r="G804" s="26"/>
      <c r="H804" s="26"/>
    </row>
    <row r="805" spans="1:8" s="48" customFormat="1" x14ac:dyDescent="0.35">
      <c r="A805" s="26"/>
      <c r="B805" s="26"/>
      <c r="C805" s="26"/>
      <c r="D805" s="26"/>
      <c r="E805" s="26"/>
      <c r="F805" s="26"/>
      <c r="G805" s="26"/>
      <c r="H805" s="26"/>
    </row>
    <row r="806" spans="1:8" s="48" customFormat="1" x14ac:dyDescent="0.35">
      <c r="A806" s="26"/>
      <c r="B806" s="26"/>
      <c r="C806" s="26"/>
      <c r="D806" s="26"/>
      <c r="E806" s="26"/>
      <c r="F806" s="26"/>
      <c r="G806" s="26"/>
      <c r="H806" s="26"/>
    </row>
    <row r="807" spans="1:8" s="48" customFormat="1" x14ac:dyDescent="0.35">
      <c r="A807" s="26"/>
      <c r="B807" s="26"/>
      <c r="C807" s="26"/>
      <c r="D807" s="26"/>
      <c r="E807" s="26"/>
      <c r="F807" s="26"/>
      <c r="G807" s="26"/>
      <c r="H807" s="26"/>
    </row>
    <row r="808" spans="1:8" s="48" customFormat="1" x14ac:dyDescent="0.35">
      <c r="A808" s="26"/>
      <c r="B808" s="26"/>
      <c r="C808" s="26"/>
      <c r="D808" s="26"/>
      <c r="E808" s="26"/>
      <c r="F808" s="26"/>
      <c r="G808" s="26"/>
      <c r="H808" s="26"/>
    </row>
    <row r="809" spans="1:8" s="48" customFormat="1" x14ac:dyDescent="0.35">
      <c r="A809" s="26"/>
      <c r="B809" s="26"/>
      <c r="C809" s="26"/>
      <c r="D809" s="26"/>
      <c r="E809" s="26"/>
      <c r="F809" s="26"/>
      <c r="G809" s="26"/>
      <c r="H809" s="26"/>
    </row>
    <row r="810" spans="1:8" s="48" customFormat="1" x14ac:dyDescent="0.35">
      <c r="A810" s="26"/>
      <c r="B810" s="26"/>
      <c r="C810" s="26"/>
      <c r="D810" s="26"/>
      <c r="E810" s="26"/>
      <c r="F810" s="26"/>
      <c r="G810" s="26"/>
      <c r="H810" s="26"/>
    </row>
    <row r="811" spans="1:8" s="48" customFormat="1" x14ac:dyDescent="0.35">
      <c r="A811" s="26"/>
      <c r="B811" s="26"/>
      <c r="C811" s="26"/>
      <c r="D811" s="26"/>
      <c r="E811" s="26"/>
      <c r="F811" s="26"/>
      <c r="G811" s="26"/>
      <c r="H811" s="26"/>
    </row>
    <row r="812" spans="1:8" s="48" customFormat="1" x14ac:dyDescent="0.35">
      <c r="A812" s="26"/>
      <c r="B812" s="26"/>
      <c r="C812" s="26"/>
      <c r="D812" s="26"/>
      <c r="E812" s="26"/>
      <c r="F812" s="26"/>
      <c r="G812" s="26"/>
      <c r="H812" s="26"/>
    </row>
    <row r="813" spans="1:8" s="48" customFormat="1" x14ac:dyDescent="0.35">
      <c r="A813" s="26"/>
      <c r="B813" s="26"/>
      <c r="C813" s="26"/>
      <c r="D813" s="26"/>
      <c r="E813" s="26"/>
      <c r="F813" s="26"/>
      <c r="G813" s="26"/>
      <c r="H813" s="26"/>
    </row>
    <row r="814" spans="1:8" s="48" customFormat="1" x14ac:dyDescent="0.35">
      <c r="A814" s="26"/>
      <c r="B814" s="26"/>
      <c r="C814" s="26"/>
      <c r="D814" s="26"/>
      <c r="E814" s="26"/>
      <c r="F814" s="26"/>
      <c r="G814" s="26"/>
      <c r="H814" s="26"/>
    </row>
    <row r="815" spans="1:8" s="48" customFormat="1" x14ac:dyDescent="0.35">
      <c r="A815" s="26"/>
      <c r="B815" s="26"/>
      <c r="C815" s="26"/>
      <c r="D815" s="26"/>
      <c r="E815" s="26"/>
      <c r="F815" s="26"/>
      <c r="G815" s="26"/>
      <c r="H815" s="26"/>
    </row>
    <row r="816" spans="1:8" s="48" customFormat="1" x14ac:dyDescent="0.35">
      <c r="A816" s="26"/>
      <c r="B816" s="26"/>
      <c r="C816" s="26"/>
      <c r="D816" s="26"/>
      <c r="E816" s="26"/>
      <c r="F816" s="26"/>
      <c r="G816" s="26"/>
      <c r="H816" s="26"/>
    </row>
    <row r="817" spans="1:8" s="48" customFormat="1" x14ac:dyDescent="0.35">
      <c r="A817" s="26"/>
      <c r="B817" s="26"/>
      <c r="C817" s="26"/>
      <c r="D817" s="26"/>
      <c r="E817" s="26"/>
      <c r="F817" s="26"/>
      <c r="G817" s="26"/>
      <c r="H817" s="26"/>
    </row>
    <row r="818" spans="1:8" s="48" customFormat="1" x14ac:dyDescent="0.35">
      <c r="A818" s="26"/>
      <c r="B818" s="26"/>
      <c r="C818" s="26"/>
      <c r="D818" s="26"/>
      <c r="E818" s="26"/>
      <c r="F818" s="26"/>
      <c r="G818" s="26"/>
      <c r="H818" s="26"/>
    </row>
    <row r="819" spans="1:8" s="48" customFormat="1" x14ac:dyDescent="0.35">
      <c r="A819" s="26"/>
      <c r="B819" s="26"/>
      <c r="C819" s="26"/>
      <c r="D819" s="26"/>
      <c r="E819" s="26"/>
      <c r="F819" s="26"/>
      <c r="G819" s="26"/>
      <c r="H819" s="26"/>
    </row>
    <row r="820" spans="1:8" s="48" customFormat="1" x14ac:dyDescent="0.35">
      <c r="A820" s="26"/>
      <c r="B820" s="26"/>
      <c r="C820" s="26"/>
      <c r="D820" s="26"/>
      <c r="E820" s="26"/>
      <c r="F820" s="26"/>
      <c r="G820" s="26"/>
      <c r="H820" s="26"/>
    </row>
    <row r="821" spans="1:8" s="48" customFormat="1" x14ac:dyDescent="0.35">
      <c r="A821" s="26"/>
      <c r="B821" s="26"/>
      <c r="C821" s="26"/>
      <c r="D821" s="26"/>
      <c r="E821" s="26"/>
      <c r="F821" s="26"/>
      <c r="G821" s="26"/>
      <c r="H821" s="26"/>
    </row>
    <row r="822" spans="1:8" s="48" customFormat="1" x14ac:dyDescent="0.35">
      <c r="A822" s="26"/>
      <c r="B822" s="26"/>
      <c r="C822" s="26"/>
      <c r="D822" s="26"/>
      <c r="E822" s="26"/>
      <c r="F822" s="26"/>
      <c r="G822" s="26"/>
      <c r="H822" s="26"/>
    </row>
    <row r="823" spans="1:8" s="48" customFormat="1" x14ac:dyDescent="0.35">
      <c r="A823" s="26"/>
      <c r="B823" s="26"/>
      <c r="C823" s="26"/>
      <c r="D823" s="26"/>
      <c r="E823" s="26"/>
      <c r="F823" s="26"/>
      <c r="G823" s="26"/>
      <c r="H823" s="26"/>
    </row>
    <row r="824" spans="1:8" s="48" customFormat="1" x14ac:dyDescent="0.35">
      <c r="A824" s="26"/>
      <c r="B824" s="26"/>
      <c r="C824" s="26"/>
      <c r="D824" s="26"/>
      <c r="E824" s="26"/>
      <c r="F824" s="26"/>
      <c r="G824" s="26"/>
      <c r="H824" s="26"/>
    </row>
    <row r="825" spans="1:8" s="48" customFormat="1" x14ac:dyDescent="0.35">
      <c r="A825" s="26"/>
      <c r="B825" s="26"/>
      <c r="C825" s="26"/>
      <c r="D825" s="26"/>
      <c r="E825" s="26"/>
      <c r="F825" s="26"/>
      <c r="G825" s="26"/>
      <c r="H825" s="26"/>
    </row>
    <row r="826" spans="1:8" s="48" customFormat="1" x14ac:dyDescent="0.35">
      <c r="A826" s="26"/>
      <c r="B826" s="26"/>
      <c r="C826" s="26"/>
      <c r="D826" s="26"/>
      <c r="E826" s="26"/>
      <c r="F826" s="26"/>
      <c r="G826" s="26"/>
      <c r="H826" s="26"/>
    </row>
    <row r="827" spans="1:8" s="48" customFormat="1" x14ac:dyDescent="0.35">
      <c r="A827" s="26"/>
      <c r="B827" s="26"/>
      <c r="C827" s="26"/>
      <c r="D827" s="26"/>
      <c r="E827" s="26"/>
      <c r="F827" s="26"/>
      <c r="G827" s="26"/>
      <c r="H827" s="26"/>
    </row>
    <row r="828" spans="1:8" s="48" customFormat="1" x14ac:dyDescent="0.35">
      <c r="A828" s="26"/>
      <c r="B828" s="26"/>
      <c r="C828" s="26"/>
      <c r="D828" s="26"/>
      <c r="E828" s="26"/>
      <c r="F828" s="26"/>
      <c r="G828" s="26"/>
      <c r="H828" s="26"/>
    </row>
    <row r="829" spans="1:8" s="48" customFormat="1" x14ac:dyDescent="0.35">
      <c r="A829" s="26"/>
      <c r="B829" s="26"/>
      <c r="C829" s="26"/>
      <c r="D829" s="26"/>
      <c r="E829" s="26"/>
      <c r="F829" s="26"/>
      <c r="G829" s="26"/>
      <c r="H829" s="26"/>
    </row>
    <row r="830" spans="1:8" s="48" customFormat="1" x14ac:dyDescent="0.35">
      <c r="A830" s="26"/>
      <c r="B830" s="26"/>
      <c r="C830" s="26"/>
      <c r="D830" s="26"/>
      <c r="E830" s="26"/>
      <c r="F830" s="26"/>
      <c r="G830" s="26"/>
      <c r="H830" s="26"/>
    </row>
    <row r="831" spans="1:8" s="48" customFormat="1" x14ac:dyDescent="0.35">
      <c r="A831" s="26"/>
      <c r="B831" s="26"/>
      <c r="C831" s="26"/>
      <c r="D831" s="26"/>
      <c r="E831" s="26"/>
      <c r="F831" s="26"/>
      <c r="G831" s="26"/>
      <c r="H831" s="26"/>
    </row>
    <row r="832" spans="1:8" s="48" customFormat="1" x14ac:dyDescent="0.35">
      <c r="A832" s="26"/>
      <c r="B832" s="26"/>
      <c r="C832" s="26"/>
      <c r="D832" s="26"/>
      <c r="E832" s="26"/>
      <c r="F832" s="26"/>
      <c r="G832" s="26"/>
      <c r="H832" s="26"/>
    </row>
    <row r="833" spans="1:8" s="48" customFormat="1" x14ac:dyDescent="0.35">
      <c r="A833" s="26"/>
      <c r="B833" s="26"/>
      <c r="C833" s="26"/>
      <c r="D833" s="26"/>
      <c r="E833" s="26"/>
      <c r="F833" s="26"/>
      <c r="G833" s="26"/>
      <c r="H833" s="26"/>
    </row>
    <row r="834" spans="1:8" s="48" customFormat="1" x14ac:dyDescent="0.35">
      <c r="A834" s="26"/>
      <c r="B834" s="26"/>
      <c r="C834" s="26"/>
      <c r="D834" s="26"/>
      <c r="E834" s="26"/>
      <c r="F834" s="26"/>
      <c r="G834" s="26"/>
      <c r="H834" s="26"/>
    </row>
    <row r="835" spans="1:8" s="48" customFormat="1" x14ac:dyDescent="0.35">
      <c r="A835" s="26"/>
      <c r="B835" s="26"/>
      <c r="C835" s="26"/>
      <c r="D835" s="26"/>
      <c r="E835" s="26"/>
      <c r="F835" s="26"/>
      <c r="G835" s="26"/>
      <c r="H835" s="26"/>
    </row>
    <row r="836" spans="1:8" s="48" customFormat="1" x14ac:dyDescent="0.35">
      <c r="A836" s="26"/>
      <c r="B836" s="26"/>
      <c r="C836" s="26"/>
      <c r="D836" s="26"/>
      <c r="E836" s="26"/>
      <c r="F836" s="26"/>
      <c r="G836" s="26"/>
      <c r="H836" s="26"/>
    </row>
    <row r="837" spans="1:8" s="48" customFormat="1" x14ac:dyDescent="0.35">
      <c r="A837" s="26"/>
      <c r="B837" s="26"/>
      <c r="C837" s="26"/>
      <c r="D837" s="26"/>
      <c r="E837" s="26"/>
      <c r="F837" s="26"/>
      <c r="G837" s="26"/>
      <c r="H837" s="26"/>
    </row>
    <row r="838" spans="1:8" s="48" customFormat="1" x14ac:dyDescent="0.35">
      <c r="A838" s="26"/>
      <c r="B838" s="26"/>
      <c r="C838" s="26"/>
      <c r="D838" s="26"/>
      <c r="E838" s="26"/>
      <c r="F838" s="26"/>
      <c r="G838" s="26"/>
      <c r="H838" s="26"/>
    </row>
    <row r="839" spans="1:8" s="48" customFormat="1" x14ac:dyDescent="0.35">
      <c r="A839" s="26"/>
      <c r="B839" s="26"/>
      <c r="C839" s="26"/>
      <c r="D839" s="26"/>
      <c r="E839" s="26"/>
      <c r="F839" s="26"/>
      <c r="G839" s="26"/>
      <c r="H839" s="26"/>
    </row>
    <row r="840" spans="1:8" s="48" customFormat="1" x14ac:dyDescent="0.35">
      <c r="A840" s="26"/>
      <c r="B840" s="26"/>
      <c r="C840" s="26"/>
      <c r="D840" s="26"/>
      <c r="E840" s="26"/>
      <c r="F840" s="26"/>
      <c r="G840" s="26"/>
      <c r="H840" s="26"/>
    </row>
    <row r="841" spans="1:8" s="48" customFormat="1" x14ac:dyDescent="0.35">
      <c r="A841" s="26"/>
      <c r="B841" s="26"/>
      <c r="C841" s="26"/>
      <c r="D841" s="26"/>
      <c r="E841" s="26"/>
      <c r="F841" s="26"/>
      <c r="G841" s="26"/>
      <c r="H841" s="26"/>
    </row>
    <row r="842" spans="1:8" s="48" customFormat="1" x14ac:dyDescent="0.35">
      <c r="A842" s="26"/>
      <c r="B842" s="26"/>
      <c r="C842" s="26"/>
      <c r="D842" s="26"/>
      <c r="E842" s="26"/>
      <c r="F842" s="26"/>
      <c r="G842" s="26"/>
      <c r="H842" s="26"/>
    </row>
    <row r="843" spans="1:8" s="48" customFormat="1" x14ac:dyDescent="0.35">
      <c r="A843" s="26"/>
      <c r="B843" s="26"/>
      <c r="C843" s="26"/>
      <c r="D843" s="26"/>
      <c r="E843" s="26"/>
      <c r="F843" s="26"/>
      <c r="G843" s="26"/>
      <c r="H843" s="26"/>
    </row>
    <row r="844" spans="1:8" s="48" customFormat="1" x14ac:dyDescent="0.35">
      <c r="A844" s="26"/>
      <c r="B844" s="26"/>
      <c r="C844" s="26"/>
      <c r="D844" s="26"/>
      <c r="E844" s="26"/>
      <c r="F844" s="26"/>
      <c r="G844" s="26"/>
      <c r="H844" s="26"/>
    </row>
    <row r="845" spans="1:8" s="48" customFormat="1" x14ac:dyDescent="0.35">
      <c r="A845" s="26"/>
      <c r="B845" s="26"/>
      <c r="C845" s="26"/>
      <c r="D845" s="26"/>
      <c r="E845" s="26"/>
      <c r="F845" s="26"/>
      <c r="G845" s="26"/>
      <c r="H845" s="26"/>
    </row>
    <row r="846" spans="1:8" s="48" customFormat="1" x14ac:dyDescent="0.35">
      <c r="A846" s="26"/>
      <c r="B846" s="26"/>
      <c r="C846" s="26"/>
      <c r="D846" s="26"/>
      <c r="E846" s="26"/>
      <c r="F846" s="26"/>
      <c r="G846" s="26"/>
      <c r="H846" s="26"/>
    </row>
    <row r="847" spans="1:8" s="48" customFormat="1" x14ac:dyDescent="0.35">
      <c r="A847" s="26"/>
      <c r="B847" s="26"/>
      <c r="C847" s="26"/>
      <c r="D847" s="26"/>
      <c r="E847" s="26"/>
      <c r="F847" s="26"/>
      <c r="G847" s="26"/>
      <c r="H847" s="26"/>
    </row>
    <row r="848" spans="1:8" s="48" customFormat="1" x14ac:dyDescent="0.35">
      <c r="A848" s="26"/>
      <c r="B848" s="26"/>
      <c r="C848" s="26"/>
      <c r="D848" s="26"/>
      <c r="E848" s="26"/>
      <c r="F848" s="26"/>
      <c r="G848" s="26"/>
      <c r="H848" s="26"/>
    </row>
    <row r="849" spans="1:8" s="48" customFormat="1" x14ac:dyDescent="0.35">
      <c r="A849" s="26"/>
      <c r="B849" s="26"/>
      <c r="C849" s="26"/>
      <c r="D849" s="26"/>
      <c r="E849" s="26"/>
      <c r="F849" s="26"/>
      <c r="G849" s="26"/>
      <c r="H849" s="26"/>
    </row>
    <row r="850" spans="1:8" s="48" customFormat="1" x14ac:dyDescent="0.35">
      <c r="A850" s="26"/>
      <c r="B850" s="26"/>
      <c r="C850" s="26"/>
      <c r="D850" s="26"/>
      <c r="E850" s="26"/>
      <c r="F850" s="26"/>
      <c r="G850" s="26"/>
      <c r="H850" s="26"/>
    </row>
    <row r="851" spans="1:8" s="48" customFormat="1" x14ac:dyDescent="0.35">
      <c r="A851" s="26"/>
      <c r="B851" s="26"/>
      <c r="C851" s="26"/>
      <c r="D851" s="26"/>
      <c r="E851" s="26"/>
      <c r="F851" s="26"/>
      <c r="G851" s="26"/>
      <c r="H851" s="26"/>
    </row>
    <row r="852" spans="1:8" s="48" customFormat="1" x14ac:dyDescent="0.35">
      <c r="A852" s="26"/>
      <c r="B852" s="26"/>
      <c r="C852" s="26"/>
      <c r="D852" s="26"/>
      <c r="E852" s="26"/>
      <c r="F852" s="26"/>
      <c r="G852" s="26"/>
      <c r="H852" s="26"/>
    </row>
    <row r="853" spans="1:8" s="48" customFormat="1" x14ac:dyDescent="0.35">
      <c r="A853" s="26"/>
      <c r="B853" s="26"/>
      <c r="C853" s="26"/>
      <c r="D853" s="26"/>
      <c r="E853" s="26"/>
      <c r="F853" s="26"/>
      <c r="G853" s="26"/>
      <c r="H853" s="26"/>
    </row>
    <row r="854" spans="1:8" s="48" customFormat="1" x14ac:dyDescent="0.35">
      <c r="A854" s="26"/>
      <c r="B854" s="26"/>
      <c r="C854" s="26"/>
      <c r="D854" s="26"/>
      <c r="E854" s="26"/>
      <c r="F854" s="26"/>
      <c r="G854" s="26"/>
      <c r="H854" s="26"/>
    </row>
    <row r="855" spans="1:8" s="48" customFormat="1" x14ac:dyDescent="0.35">
      <c r="A855" s="26"/>
      <c r="B855" s="26"/>
      <c r="C855" s="26"/>
      <c r="D855" s="26"/>
      <c r="E855" s="26"/>
      <c r="F855" s="26"/>
      <c r="G855" s="26"/>
      <c r="H855" s="26"/>
    </row>
    <row r="856" spans="1:8" s="48" customFormat="1" x14ac:dyDescent="0.35">
      <c r="A856" s="26"/>
      <c r="B856" s="26"/>
      <c r="C856" s="26"/>
      <c r="D856" s="26"/>
      <c r="E856" s="26"/>
      <c r="F856" s="26"/>
      <c r="G856" s="26"/>
      <c r="H856" s="26"/>
    </row>
    <row r="857" spans="1:8" s="48" customFormat="1" x14ac:dyDescent="0.35">
      <c r="A857" s="26"/>
      <c r="B857" s="26"/>
      <c r="C857" s="26"/>
      <c r="D857" s="26"/>
      <c r="E857" s="26"/>
      <c r="F857" s="26"/>
      <c r="G857" s="26"/>
      <c r="H857" s="26"/>
    </row>
    <row r="858" spans="1:8" s="48" customFormat="1" x14ac:dyDescent="0.35">
      <c r="A858" s="26"/>
      <c r="B858" s="26"/>
      <c r="C858" s="26"/>
      <c r="D858" s="26"/>
      <c r="E858" s="26"/>
      <c r="F858" s="26"/>
      <c r="G858" s="26"/>
      <c r="H858" s="26"/>
    </row>
    <row r="859" spans="1:8" s="48" customFormat="1" x14ac:dyDescent="0.35">
      <c r="A859" s="26"/>
      <c r="B859" s="26"/>
      <c r="C859" s="26"/>
      <c r="D859" s="26"/>
      <c r="E859" s="26"/>
      <c r="F859" s="26"/>
      <c r="G859" s="26"/>
      <c r="H859" s="26"/>
    </row>
    <row r="860" spans="1:8" s="48" customFormat="1" x14ac:dyDescent="0.35">
      <c r="A860" s="26"/>
      <c r="B860" s="26"/>
      <c r="C860" s="26"/>
      <c r="D860" s="26"/>
      <c r="E860" s="26"/>
      <c r="F860" s="26"/>
      <c r="G860" s="26"/>
      <c r="H860" s="26"/>
    </row>
    <row r="861" spans="1:8" s="48" customFormat="1" x14ac:dyDescent="0.35">
      <c r="A861" s="26"/>
      <c r="B861" s="26"/>
      <c r="C861" s="26"/>
      <c r="D861" s="26"/>
      <c r="E861" s="26"/>
      <c r="F861" s="26"/>
      <c r="G861" s="26"/>
      <c r="H861" s="26"/>
    </row>
    <row r="862" spans="1:8" s="48" customFormat="1" x14ac:dyDescent="0.35">
      <c r="A862" s="26"/>
      <c r="B862" s="26"/>
      <c r="C862" s="26"/>
      <c r="D862" s="26"/>
      <c r="E862" s="26"/>
      <c r="F862" s="26"/>
      <c r="G862" s="26"/>
      <c r="H862" s="26"/>
    </row>
    <row r="863" spans="1:8" s="48" customFormat="1" x14ac:dyDescent="0.35">
      <c r="A863" s="26"/>
      <c r="B863" s="26"/>
      <c r="C863" s="26"/>
      <c r="D863" s="26"/>
      <c r="E863" s="26"/>
      <c r="F863" s="26"/>
      <c r="G863" s="26"/>
      <c r="H863" s="26"/>
    </row>
    <row r="864" spans="1:8" s="48" customFormat="1" x14ac:dyDescent="0.35">
      <c r="A864" s="26"/>
      <c r="B864" s="26"/>
      <c r="C864" s="26"/>
      <c r="D864" s="26"/>
      <c r="E864" s="26"/>
      <c r="F864" s="26"/>
      <c r="G864" s="26"/>
      <c r="H864" s="26"/>
    </row>
    <row r="865" spans="1:8" s="48" customFormat="1" x14ac:dyDescent="0.35">
      <c r="A865" s="26"/>
      <c r="B865" s="26"/>
      <c r="C865" s="26"/>
      <c r="D865" s="26"/>
      <c r="E865" s="26"/>
      <c r="F865" s="26"/>
      <c r="G865" s="26"/>
      <c r="H865" s="26"/>
    </row>
    <row r="866" spans="1:8" s="48" customFormat="1" x14ac:dyDescent="0.35">
      <c r="A866" s="26"/>
      <c r="B866" s="26"/>
      <c r="C866" s="26"/>
      <c r="D866" s="26"/>
      <c r="E866" s="26"/>
      <c r="F866" s="26"/>
      <c r="G866" s="26"/>
      <c r="H866" s="26"/>
    </row>
    <row r="867" spans="1:8" s="48" customFormat="1" x14ac:dyDescent="0.35">
      <c r="A867" s="26"/>
      <c r="B867" s="26"/>
      <c r="C867" s="26"/>
      <c r="D867" s="26"/>
      <c r="E867" s="26"/>
      <c r="F867" s="26"/>
      <c r="G867" s="26"/>
      <c r="H867" s="26"/>
    </row>
    <row r="868" spans="1:8" s="48" customFormat="1" x14ac:dyDescent="0.35">
      <c r="A868" s="26"/>
      <c r="B868" s="26"/>
      <c r="C868" s="26"/>
      <c r="D868" s="26"/>
      <c r="E868" s="26"/>
      <c r="F868" s="26"/>
      <c r="G868" s="26"/>
      <c r="H868" s="26"/>
    </row>
    <row r="869" spans="1:8" s="48" customFormat="1" x14ac:dyDescent="0.35">
      <c r="A869" s="26"/>
      <c r="B869" s="26"/>
      <c r="C869" s="26"/>
      <c r="D869" s="26"/>
      <c r="E869" s="26"/>
      <c r="F869" s="26"/>
      <c r="G869" s="26"/>
      <c r="H869" s="26"/>
    </row>
    <row r="870" spans="1:8" s="48" customFormat="1" x14ac:dyDescent="0.35">
      <c r="A870" s="26"/>
      <c r="B870" s="26"/>
      <c r="C870" s="26"/>
      <c r="D870" s="26"/>
      <c r="E870" s="26"/>
      <c r="F870" s="26"/>
      <c r="G870" s="26"/>
      <c r="H870" s="26"/>
    </row>
    <row r="871" spans="1:8" s="48" customFormat="1" x14ac:dyDescent="0.35">
      <c r="A871" s="26"/>
      <c r="B871" s="26"/>
      <c r="C871" s="26"/>
      <c r="D871" s="26"/>
      <c r="E871" s="26"/>
      <c r="F871" s="26"/>
      <c r="G871" s="26"/>
      <c r="H871" s="26"/>
    </row>
    <row r="872" spans="1:8" s="48" customFormat="1" x14ac:dyDescent="0.35">
      <c r="A872" s="26"/>
      <c r="B872" s="26"/>
      <c r="C872" s="26"/>
      <c r="D872" s="26"/>
      <c r="E872" s="26"/>
      <c r="F872" s="26"/>
      <c r="G872" s="26"/>
      <c r="H872" s="26"/>
    </row>
    <row r="873" spans="1:8" s="48" customFormat="1" x14ac:dyDescent="0.35">
      <c r="A873" s="26"/>
      <c r="B873" s="26"/>
      <c r="C873" s="26"/>
      <c r="D873" s="26"/>
      <c r="E873" s="26"/>
      <c r="F873" s="26"/>
      <c r="G873" s="26"/>
      <c r="H873" s="26"/>
    </row>
    <row r="874" spans="1:8" s="48" customFormat="1" x14ac:dyDescent="0.35">
      <c r="A874" s="26"/>
      <c r="B874" s="26"/>
      <c r="C874" s="26"/>
      <c r="D874" s="26"/>
      <c r="E874" s="26"/>
      <c r="F874" s="26"/>
      <c r="G874" s="26"/>
      <c r="H874" s="26"/>
    </row>
    <row r="875" spans="1:8" s="48" customFormat="1" x14ac:dyDescent="0.35">
      <c r="A875" s="26"/>
      <c r="B875" s="26"/>
      <c r="C875" s="26"/>
      <c r="D875" s="26"/>
      <c r="E875" s="26"/>
      <c r="F875" s="26"/>
      <c r="G875" s="26"/>
      <c r="H875" s="26"/>
    </row>
    <row r="876" spans="1:8" s="48" customFormat="1" x14ac:dyDescent="0.35">
      <c r="A876" s="26"/>
      <c r="B876" s="26"/>
      <c r="C876" s="26"/>
      <c r="D876" s="26"/>
      <c r="E876" s="26"/>
      <c r="F876" s="26"/>
      <c r="G876" s="26"/>
      <c r="H876" s="26"/>
    </row>
    <row r="877" spans="1:8" s="48" customFormat="1" x14ac:dyDescent="0.35">
      <c r="A877" s="26"/>
      <c r="B877" s="26"/>
      <c r="C877" s="26"/>
      <c r="D877" s="26"/>
      <c r="E877" s="26"/>
      <c r="F877" s="26"/>
      <c r="G877" s="26"/>
      <c r="H877" s="26"/>
    </row>
    <row r="878" spans="1:8" s="48" customFormat="1" x14ac:dyDescent="0.35">
      <c r="A878" s="26"/>
      <c r="B878" s="26"/>
      <c r="C878" s="26"/>
      <c r="D878" s="26"/>
      <c r="E878" s="26"/>
      <c r="F878" s="26"/>
      <c r="G878" s="26"/>
      <c r="H878" s="26"/>
    </row>
    <row r="879" spans="1:8" s="48" customFormat="1" x14ac:dyDescent="0.35">
      <c r="A879" s="26"/>
      <c r="B879" s="26"/>
      <c r="C879" s="26"/>
      <c r="D879" s="26"/>
      <c r="E879" s="26"/>
      <c r="F879" s="26"/>
      <c r="G879" s="26"/>
      <c r="H879" s="26"/>
    </row>
    <row r="880" spans="1:8" s="48" customFormat="1" x14ac:dyDescent="0.35">
      <c r="A880" s="26"/>
      <c r="B880" s="26"/>
      <c r="C880" s="26"/>
      <c r="D880" s="26"/>
      <c r="E880" s="26"/>
      <c r="F880" s="26"/>
      <c r="G880" s="26"/>
      <c r="H880" s="26"/>
    </row>
    <row r="881" spans="1:8" s="48" customFormat="1" x14ac:dyDescent="0.35">
      <c r="A881" s="26"/>
      <c r="B881" s="26"/>
      <c r="C881" s="26"/>
      <c r="D881" s="26"/>
      <c r="E881" s="26"/>
      <c r="F881" s="26"/>
      <c r="G881" s="26"/>
      <c r="H881" s="26"/>
    </row>
    <row r="882" spans="1:8" s="48" customFormat="1" x14ac:dyDescent="0.35">
      <c r="A882" s="26"/>
      <c r="B882" s="26"/>
      <c r="C882" s="26"/>
      <c r="D882" s="26"/>
      <c r="E882" s="26"/>
      <c r="F882" s="26"/>
      <c r="G882" s="26"/>
      <c r="H882" s="26"/>
    </row>
    <row r="883" spans="1:8" s="48" customFormat="1" x14ac:dyDescent="0.35">
      <c r="A883" s="26"/>
      <c r="B883" s="26"/>
      <c r="C883" s="26"/>
      <c r="D883" s="26"/>
      <c r="E883" s="26"/>
      <c r="F883" s="26"/>
      <c r="G883" s="26"/>
      <c r="H883" s="26"/>
    </row>
    <row r="884" spans="1:8" s="48" customFormat="1" x14ac:dyDescent="0.35">
      <c r="A884" s="26"/>
      <c r="B884" s="26"/>
      <c r="C884" s="26"/>
      <c r="D884" s="26"/>
      <c r="E884" s="26"/>
      <c r="F884" s="26"/>
      <c r="G884" s="26"/>
      <c r="H884" s="26"/>
    </row>
    <row r="885" spans="1:8" s="48" customFormat="1" x14ac:dyDescent="0.35">
      <c r="A885" s="26"/>
      <c r="B885" s="26"/>
      <c r="C885" s="26"/>
      <c r="D885" s="26"/>
      <c r="E885" s="26"/>
      <c r="F885" s="26"/>
      <c r="G885" s="26"/>
      <c r="H885" s="26"/>
    </row>
    <row r="886" spans="1:8" s="48" customFormat="1" x14ac:dyDescent="0.35">
      <c r="A886" s="26"/>
      <c r="B886" s="26"/>
      <c r="C886" s="26"/>
      <c r="D886" s="26"/>
      <c r="E886" s="26"/>
      <c r="F886" s="26"/>
      <c r="G886" s="26"/>
      <c r="H886" s="26"/>
    </row>
    <row r="887" spans="1:8" s="48" customFormat="1" x14ac:dyDescent="0.35">
      <c r="A887" s="26"/>
      <c r="B887" s="26"/>
      <c r="C887" s="26"/>
      <c r="D887" s="26"/>
      <c r="E887" s="26"/>
      <c r="F887" s="26"/>
      <c r="G887" s="26"/>
      <c r="H887" s="26"/>
    </row>
    <row r="888" spans="1:8" s="48" customFormat="1" x14ac:dyDescent="0.35">
      <c r="A888" s="26"/>
      <c r="B888" s="26"/>
      <c r="C888" s="26"/>
      <c r="D888" s="26"/>
      <c r="E888" s="26"/>
      <c r="F888" s="26"/>
      <c r="G888" s="26"/>
      <c r="H888" s="26"/>
    </row>
    <row r="889" spans="1:8" s="48" customFormat="1" x14ac:dyDescent="0.35">
      <c r="A889" s="26"/>
      <c r="B889" s="26"/>
      <c r="C889" s="26"/>
      <c r="D889" s="26"/>
      <c r="E889" s="26"/>
      <c r="F889" s="26"/>
      <c r="G889" s="26"/>
      <c r="H889" s="26"/>
    </row>
    <row r="890" spans="1:8" s="48" customFormat="1" x14ac:dyDescent="0.35">
      <c r="A890" s="26"/>
      <c r="B890" s="26"/>
      <c r="C890" s="26"/>
      <c r="D890" s="26"/>
      <c r="E890" s="26"/>
      <c r="F890" s="26"/>
      <c r="G890" s="26"/>
      <c r="H890" s="26"/>
    </row>
    <row r="891" spans="1:8" s="48" customFormat="1" x14ac:dyDescent="0.35">
      <c r="A891" s="26"/>
      <c r="B891" s="26"/>
      <c r="C891" s="26"/>
      <c r="D891" s="26"/>
      <c r="E891" s="26"/>
      <c r="F891" s="26"/>
      <c r="G891" s="26"/>
      <c r="H891" s="26"/>
    </row>
    <row r="892" spans="1:8" s="48" customFormat="1" x14ac:dyDescent="0.35">
      <c r="A892" s="26"/>
      <c r="B892" s="26"/>
      <c r="C892" s="26"/>
      <c r="D892" s="26"/>
      <c r="E892" s="26"/>
      <c r="F892" s="26"/>
      <c r="G892" s="26"/>
      <c r="H892" s="26"/>
    </row>
    <row r="893" spans="1:8" s="48" customFormat="1" x14ac:dyDescent="0.35">
      <c r="A893" s="26"/>
      <c r="B893" s="26"/>
      <c r="C893" s="26"/>
      <c r="D893" s="26"/>
      <c r="E893" s="26"/>
      <c r="F893" s="26"/>
      <c r="G893" s="26"/>
      <c r="H893" s="26"/>
    </row>
    <row r="894" spans="1:8" s="48" customFormat="1" x14ac:dyDescent="0.35">
      <c r="A894" s="26"/>
      <c r="B894" s="26"/>
      <c r="C894" s="26"/>
      <c r="D894" s="26"/>
      <c r="E894" s="26"/>
      <c r="F894" s="26"/>
      <c r="G894" s="26"/>
      <c r="H894" s="26"/>
    </row>
    <row r="895" spans="1:8" s="48" customFormat="1" x14ac:dyDescent="0.35">
      <c r="A895" s="26"/>
      <c r="B895" s="26"/>
      <c r="C895" s="26"/>
      <c r="D895" s="26"/>
      <c r="E895" s="26"/>
      <c r="F895" s="26"/>
      <c r="G895" s="26"/>
      <c r="H895" s="26"/>
    </row>
    <row r="896" spans="1:8" s="48" customFormat="1" x14ac:dyDescent="0.35">
      <c r="A896" s="26"/>
      <c r="B896" s="26"/>
      <c r="C896" s="26"/>
      <c r="D896" s="26"/>
      <c r="E896" s="26"/>
      <c r="F896" s="26"/>
      <c r="G896" s="26"/>
      <c r="H896" s="26"/>
    </row>
    <row r="897" spans="1:8" s="48" customFormat="1" x14ac:dyDescent="0.35">
      <c r="A897" s="26"/>
      <c r="B897" s="26"/>
      <c r="C897" s="26"/>
      <c r="D897" s="26"/>
      <c r="E897" s="26"/>
      <c r="F897" s="26"/>
      <c r="G897" s="26"/>
      <c r="H897" s="26"/>
    </row>
    <row r="898" spans="1:8" s="48" customFormat="1" x14ac:dyDescent="0.35">
      <c r="A898" s="26"/>
      <c r="B898" s="26"/>
      <c r="C898" s="26"/>
      <c r="D898" s="26"/>
      <c r="E898" s="26"/>
      <c r="F898" s="26"/>
      <c r="G898" s="26"/>
      <c r="H898" s="26"/>
    </row>
    <row r="899" spans="1:8" s="48" customFormat="1" x14ac:dyDescent="0.35">
      <c r="A899" s="26"/>
      <c r="B899" s="26"/>
      <c r="C899" s="26"/>
      <c r="D899" s="26"/>
      <c r="E899" s="26"/>
      <c r="F899" s="26"/>
      <c r="G899" s="26"/>
      <c r="H899" s="26"/>
    </row>
    <row r="900" spans="1:8" s="48" customFormat="1" ht="72.75" customHeight="1" x14ac:dyDescent="0.35">
      <c r="A900" s="26"/>
      <c r="B900" s="26"/>
      <c r="C900" s="26"/>
      <c r="D900" s="26"/>
      <c r="E900" s="26"/>
      <c r="F900" s="26"/>
      <c r="G900" s="26"/>
      <c r="H900" s="26"/>
    </row>
    <row r="901" spans="1:8" s="48" customFormat="1" x14ac:dyDescent="0.35">
      <c r="A901" s="26"/>
      <c r="B901" s="26"/>
      <c r="C901" s="26"/>
      <c r="D901" s="26"/>
      <c r="E901" s="26"/>
      <c r="F901" s="26"/>
      <c r="G901" s="26"/>
      <c r="H901" s="26"/>
    </row>
    <row r="902" spans="1:8" s="48" customFormat="1" ht="69.75" customHeight="1" x14ac:dyDescent="0.35">
      <c r="A902" s="26"/>
      <c r="B902" s="26"/>
      <c r="C902" s="26"/>
      <c r="D902" s="26"/>
      <c r="E902" s="26"/>
      <c r="F902" s="26"/>
      <c r="G902" s="26"/>
      <c r="H902" s="26"/>
    </row>
    <row r="903" spans="1:8" s="48" customFormat="1" x14ac:dyDescent="0.35">
      <c r="A903" s="26"/>
      <c r="B903" s="26"/>
      <c r="C903" s="26"/>
      <c r="D903" s="26"/>
      <c r="E903" s="26"/>
      <c r="F903" s="26"/>
      <c r="G903" s="26"/>
      <c r="H903" s="26"/>
    </row>
    <row r="904" spans="1:8" s="48" customFormat="1" ht="86.25" customHeight="1" x14ac:dyDescent="0.35">
      <c r="A904" s="26"/>
      <c r="B904" s="26"/>
      <c r="C904" s="26"/>
      <c r="D904" s="26"/>
      <c r="E904" s="26"/>
      <c r="F904" s="26"/>
      <c r="G904" s="26"/>
      <c r="H904" s="26"/>
    </row>
    <row r="905" spans="1:8" s="48" customFormat="1" x14ac:dyDescent="0.35">
      <c r="A905" s="26"/>
      <c r="B905" s="26"/>
      <c r="C905" s="26"/>
      <c r="D905" s="26"/>
      <c r="E905" s="26"/>
      <c r="F905" s="26"/>
      <c r="G905" s="26"/>
      <c r="H905" s="26"/>
    </row>
    <row r="906" spans="1:8" s="48" customFormat="1" x14ac:dyDescent="0.35">
      <c r="A906" s="26"/>
      <c r="B906" s="26"/>
      <c r="C906" s="26"/>
      <c r="D906" s="26"/>
      <c r="E906" s="26"/>
      <c r="F906" s="26"/>
      <c r="G906" s="26"/>
      <c r="H906" s="26"/>
    </row>
    <row r="907" spans="1:8" s="48" customFormat="1" x14ac:dyDescent="0.35">
      <c r="A907" s="26"/>
      <c r="B907" s="26"/>
      <c r="C907" s="26"/>
      <c r="D907" s="26"/>
      <c r="E907" s="26"/>
      <c r="F907" s="26"/>
      <c r="G907" s="26"/>
      <c r="H907" s="26"/>
    </row>
    <row r="908" spans="1:8" s="48" customFormat="1" x14ac:dyDescent="0.35">
      <c r="A908" s="26"/>
      <c r="B908" s="26"/>
      <c r="C908" s="26"/>
      <c r="D908" s="26"/>
      <c r="E908" s="26"/>
      <c r="F908" s="26"/>
      <c r="G908" s="26"/>
      <c r="H908" s="26"/>
    </row>
    <row r="909" spans="1:8" s="48" customFormat="1" x14ac:dyDescent="0.35">
      <c r="A909" s="26"/>
      <c r="B909" s="26"/>
      <c r="C909" s="26"/>
      <c r="D909" s="26"/>
      <c r="E909" s="26"/>
      <c r="F909" s="26"/>
      <c r="G909" s="26"/>
      <c r="H909" s="26"/>
    </row>
    <row r="910" spans="1:8" s="48" customFormat="1" x14ac:dyDescent="0.35">
      <c r="A910" s="26"/>
      <c r="B910" s="26"/>
      <c r="C910" s="26"/>
      <c r="D910" s="26"/>
      <c r="E910" s="26"/>
      <c r="F910" s="26"/>
      <c r="G910" s="26"/>
      <c r="H910" s="26"/>
    </row>
    <row r="911" spans="1:8" s="48" customFormat="1" x14ac:dyDescent="0.35">
      <c r="A911" s="26"/>
      <c r="B911" s="26"/>
      <c r="C911" s="26"/>
      <c r="D911" s="26"/>
      <c r="E911" s="26"/>
      <c r="F911" s="26"/>
      <c r="G911" s="26"/>
      <c r="H911" s="26"/>
    </row>
    <row r="912" spans="1:8" s="48" customFormat="1" x14ac:dyDescent="0.35">
      <c r="A912" s="26"/>
      <c r="B912" s="26"/>
      <c r="C912" s="26"/>
      <c r="D912" s="26"/>
      <c r="E912" s="26"/>
      <c r="F912" s="26"/>
      <c r="G912" s="26"/>
      <c r="H912" s="26"/>
    </row>
    <row r="913" spans="1:8" s="48" customFormat="1" x14ac:dyDescent="0.35">
      <c r="A913" s="26"/>
      <c r="B913" s="26"/>
      <c r="C913" s="26"/>
      <c r="D913" s="26"/>
      <c r="E913" s="26"/>
      <c r="F913" s="26"/>
      <c r="G913" s="26"/>
      <c r="H913" s="26"/>
    </row>
    <row r="914" spans="1:8" s="48" customFormat="1" x14ac:dyDescent="0.35">
      <c r="A914" s="26"/>
      <c r="B914" s="26"/>
      <c r="C914" s="26"/>
      <c r="D914" s="26"/>
      <c r="E914" s="26"/>
      <c r="F914" s="26"/>
      <c r="G914" s="26"/>
      <c r="H914" s="26"/>
    </row>
    <row r="915" spans="1:8" s="48" customFormat="1" x14ac:dyDescent="0.35">
      <c r="A915" s="26"/>
      <c r="B915" s="26"/>
      <c r="C915" s="26"/>
      <c r="D915" s="26"/>
      <c r="E915" s="26"/>
      <c r="F915" s="26"/>
      <c r="G915" s="26"/>
      <c r="H915" s="26"/>
    </row>
    <row r="916" spans="1:8" s="48" customFormat="1" x14ac:dyDescent="0.35">
      <c r="A916" s="26"/>
      <c r="B916" s="26"/>
      <c r="C916" s="26"/>
      <c r="D916" s="26"/>
      <c r="E916" s="26"/>
      <c r="F916" s="26"/>
      <c r="G916" s="26"/>
      <c r="H916" s="26"/>
    </row>
    <row r="917" spans="1:8" s="48" customFormat="1" x14ac:dyDescent="0.35">
      <c r="A917" s="26"/>
      <c r="B917" s="26"/>
      <c r="C917" s="26"/>
      <c r="D917" s="26"/>
      <c r="E917" s="26"/>
      <c r="F917" s="26"/>
      <c r="G917" s="26"/>
      <c r="H917" s="26"/>
    </row>
    <row r="918" spans="1:8" s="48" customFormat="1" x14ac:dyDescent="0.35">
      <c r="A918" s="26"/>
      <c r="B918" s="26"/>
      <c r="C918" s="26"/>
      <c r="D918" s="26"/>
      <c r="E918" s="26"/>
      <c r="F918" s="26"/>
      <c r="G918" s="26"/>
      <c r="H918" s="26"/>
    </row>
    <row r="919" spans="1:8" s="48" customFormat="1" x14ac:dyDescent="0.35">
      <c r="A919" s="26"/>
      <c r="B919" s="26"/>
      <c r="C919" s="26"/>
      <c r="D919" s="26"/>
      <c r="E919" s="26"/>
      <c r="F919" s="26"/>
      <c r="G919" s="26"/>
      <c r="H919" s="26"/>
    </row>
    <row r="920" spans="1:8" s="48" customFormat="1" ht="71.25" customHeight="1" x14ac:dyDescent="0.35">
      <c r="A920" s="26"/>
      <c r="B920" s="26"/>
      <c r="C920" s="26"/>
      <c r="D920" s="26"/>
      <c r="E920" s="26"/>
      <c r="F920" s="26"/>
      <c r="G920" s="26"/>
      <c r="H920" s="26"/>
    </row>
    <row r="921" spans="1:8" s="48" customFormat="1" x14ac:dyDescent="0.35">
      <c r="A921" s="26"/>
      <c r="B921" s="26"/>
      <c r="C921" s="26"/>
      <c r="D921" s="26"/>
      <c r="E921" s="26"/>
      <c r="F921" s="26"/>
      <c r="G921" s="26"/>
      <c r="H921" s="26"/>
    </row>
    <row r="922" spans="1:8" s="48" customFormat="1" x14ac:dyDescent="0.35">
      <c r="A922" s="26"/>
      <c r="B922" s="26"/>
      <c r="C922" s="26"/>
      <c r="D922" s="26"/>
      <c r="E922" s="26"/>
      <c r="F922" s="26"/>
      <c r="G922" s="26"/>
      <c r="H922" s="26"/>
    </row>
    <row r="923" spans="1:8" s="48" customFormat="1" x14ac:dyDescent="0.35">
      <c r="A923" s="26"/>
      <c r="B923" s="26"/>
      <c r="C923" s="26"/>
      <c r="D923" s="26"/>
      <c r="E923" s="26"/>
      <c r="F923" s="26"/>
      <c r="G923" s="26"/>
      <c r="H923" s="26"/>
    </row>
    <row r="924" spans="1:8" s="48" customFormat="1" x14ac:dyDescent="0.35">
      <c r="A924" s="26"/>
      <c r="B924" s="26"/>
      <c r="C924" s="26"/>
      <c r="D924" s="26"/>
      <c r="E924" s="26"/>
      <c r="F924" s="26"/>
      <c r="G924" s="26"/>
      <c r="H924" s="26"/>
    </row>
    <row r="925" spans="1:8" s="48" customFormat="1" x14ac:dyDescent="0.35">
      <c r="A925" s="26"/>
      <c r="B925" s="26"/>
      <c r="C925" s="26"/>
      <c r="D925" s="26"/>
      <c r="E925" s="26"/>
      <c r="F925" s="26"/>
      <c r="G925" s="26"/>
      <c r="H925" s="26"/>
    </row>
    <row r="926" spans="1:8" s="48" customFormat="1" ht="72.75" customHeight="1" x14ac:dyDescent="0.35">
      <c r="A926" s="26"/>
      <c r="B926" s="26"/>
      <c r="C926" s="26"/>
      <c r="D926" s="26"/>
      <c r="E926" s="26"/>
      <c r="F926" s="26"/>
      <c r="G926" s="26"/>
      <c r="H926" s="26"/>
    </row>
    <row r="927" spans="1:8" s="48" customFormat="1" x14ac:dyDescent="0.35">
      <c r="A927" s="26"/>
      <c r="B927" s="26"/>
      <c r="C927" s="26"/>
      <c r="D927" s="26"/>
      <c r="E927" s="26"/>
      <c r="F927" s="26"/>
      <c r="G927" s="26"/>
      <c r="H927" s="26"/>
    </row>
    <row r="928" spans="1:8" s="48" customFormat="1" ht="69.75" customHeight="1" x14ac:dyDescent="0.35">
      <c r="A928" s="26"/>
      <c r="B928" s="26"/>
      <c r="C928" s="26"/>
      <c r="D928" s="26"/>
      <c r="E928" s="26"/>
      <c r="F928" s="26"/>
      <c r="G928" s="26"/>
      <c r="H928" s="26"/>
    </row>
    <row r="929" spans="1:8" s="48" customFormat="1" x14ac:dyDescent="0.35">
      <c r="A929" s="26"/>
      <c r="B929" s="26"/>
      <c r="C929" s="26"/>
      <c r="D929" s="26"/>
      <c r="E929" s="26"/>
      <c r="F929" s="26"/>
      <c r="G929" s="26"/>
      <c r="H929" s="26"/>
    </row>
    <row r="930" spans="1:8" s="48" customFormat="1" x14ac:dyDescent="0.35">
      <c r="A930" s="26"/>
      <c r="B930" s="26"/>
      <c r="C930" s="26"/>
      <c r="D930" s="26"/>
      <c r="E930" s="26"/>
      <c r="F930" s="26"/>
      <c r="G930" s="26"/>
      <c r="H930" s="26"/>
    </row>
    <row r="931" spans="1:8" s="48" customFormat="1" x14ac:dyDescent="0.35">
      <c r="A931" s="26"/>
      <c r="B931" s="26"/>
      <c r="C931" s="26"/>
      <c r="D931" s="26"/>
      <c r="E931" s="26"/>
      <c r="F931" s="26"/>
      <c r="G931" s="26"/>
      <c r="H931" s="26"/>
    </row>
    <row r="932" spans="1:8" s="48" customFormat="1" x14ac:dyDescent="0.35">
      <c r="A932" s="26"/>
      <c r="B932" s="26"/>
      <c r="C932" s="26"/>
      <c r="D932" s="26"/>
      <c r="E932" s="26"/>
      <c r="F932" s="26"/>
      <c r="G932" s="26"/>
      <c r="H932" s="26"/>
    </row>
    <row r="933" spans="1:8" s="48" customFormat="1" x14ac:dyDescent="0.35">
      <c r="A933" s="26"/>
      <c r="B933" s="26"/>
      <c r="C933" s="26"/>
      <c r="D933" s="26"/>
      <c r="E933" s="26"/>
      <c r="F933" s="26"/>
      <c r="G933" s="26"/>
      <c r="H933" s="26"/>
    </row>
    <row r="934" spans="1:8" s="48" customFormat="1" x14ac:dyDescent="0.35">
      <c r="A934" s="26"/>
      <c r="B934" s="26"/>
      <c r="C934" s="26"/>
      <c r="D934" s="26"/>
      <c r="E934" s="26"/>
      <c r="F934" s="26"/>
      <c r="G934" s="26"/>
      <c r="H934" s="26"/>
    </row>
    <row r="935" spans="1:8" s="48" customFormat="1" x14ac:dyDescent="0.35">
      <c r="A935" s="26"/>
      <c r="B935" s="26"/>
      <c r="C935" s="26"/>
      <c r="D935" s="26"/>
      <c r="E935" s="26"/>
      <c r="F935" s="26"/>
      <c r="G935" s="26"/>
      <c r="H935" s="26"/>
    </row>
    <row r="936" spans="1:8" s="48" customFormat="1" x14ac:dyDescent="0.35">
      <c r="A936" s="26"/>
      <c r="B936" s="26"/>
      <c r="C936" s="26"/>
      <c r="D936" s="26"/>
      <c r="E936" s="26"/>
      <c r="F936" s="26"/>
      <c r="G936" s="26"/>
      <c r="H936" s="26"/>
    </row>
    <row r="937" spans="1:8" s="48" customFormat="1" x14ac:dyDescent="0.35">
      <c r="A937" s="26"/>
      <c r="B937" s="26"/>
      <c r="C937" s="26"/>
      <c r="D937" s="26"/>
      <c r="E937" s="26"/>
      <c r="F937" s="26"/>
      <c r="G937" s="26"/>
      <c r="H937" s="26"/>
    </row>
    <row r="938" spans="1:8" s="48" customFormat="1" x14ac:dyDescent="0.35">
      <c r="A938" s="26"/>
      <c r="B938" s="26"/>
      <c r="C938" s="26"/>
      <c r="D938" s="26"/>
      <c r="E938" s="26"/>
      <c r="F938" s="26"/>
      <c r="G938" s="26"/>
      <c r="H938" s="26"/>
    </row>
    <row r="939" spans="1:8" s="48" customFormat="1" x14ac:dyDescent="0.35">
      <c r="A939" s="26"/>
      <c r="B939" s="26"/>
      <c r="C939" s="26"/>
      <c r="D939" s="26"/>
      <c r="E939" s="26"/>
      <c r="F939" s="26"/>
      <c r="G939" s="26"/>
      <c r="H939" s="26"/>
    </row>
    <row r="940" spans="1:8" s="48" customFormat="1" x14ac:dyDescent="0.35">
      <c r="A940" s="26"/>
      <c r="B940" s="26"/>
      <c r="C940" s="26"/>
      <c r="D940" s="26"/>
      <c r="E940" s="26"/>
      <c r="F940" s="26"/>
      <c r="G940" s="26"/>
      <c r="H940" s="26"/>
    </row>
    <row r="941" spans="1:8" s="48" customFormat="1" x14ac:dyDescent="0.35">
      <c r="A941" s="26"/>
      <c r="B941" s="26"/>
      <c r="C941" s="26"/>
      <c r="D941" s="26"/>
      <c r="E941" s="26"/>
      <c r="F941" s="26"/>
      <c r="G941" s="26"/>
      <c r="H941" s="26"/>
    </row>
    <row r="942" spans="1:8" s="48" customFormat="1" x14ac:dyDescent="0.35">
      <c r="A942" s="26"/>
      <c r="B942" s="26"/>
      <c r="C942" s="26"/>
      <c r="D942" s="26"/>
      <c r="E942" s="26"/>
      <c r="F942" s="26"/>
      <c r="G942" s="26"/>
      <c r="H942" s="26"/>
    </row>
    <row r="943" spans="1:8" s="48" customFormat="1" x14ac:dyDescent="0.35">
      <c r="A943" s="26"/>
      <c r="B943" s="26"/>
      <c r="C943" s="26"/>
      <c r="D943" s="26"/>
      <c r="E943" s="26"/>
      <c r="F943" s="26"/>
      <c r="G943" s="26"/>
      <c r="H943" s="26"/>
    </row>
    <row r="944" spans="1:8" s="48" customFormat="1" ht="71.25" customHeight="1" x14ac:dyDescent="0.35">
      <c r="A944" s="26"/>
      <c r="B944" s="26"/>
      <c r="C944" s="26"/>
      <c r="D944" s="26"/>
      <c r="E944" s="26"/>
      <c r="F944" s="26"/>
      <c r="G944" s="26"/>
      <c r="H944" s="26"/>
    </row>
    <row r="945" spans="1:8" s="48" customFormat="1" x14ac:dyDescent="0.35">
      <c r="A945" s="26"/>
      <c r="B945" s="26"/>
      <c r="C945" s="26"/>
      <c r="D945" s="26"/>
      <c r="E945" s="26"/>
      <c r="F945" s="26"/>
      <c r="G945" s="26"/>
      <c r="H945" s="26"/>
    </row>
    <row r="946" spans="1:8" s="48" customFormat="1" x14ac:dyDescent="0.35">
      <c r="A946" s="26"/>
      <c r="B946" s="26"/>
      <c r="C946" s="26"/>
      <c r="D946" s="26"/>
      <c r="E946" s="26"/>
      <c r="F946" s="26"/>
      <c r="G946" s="26"/>
      <c r="H946" s="26"/>
    </row>
    <row r="947" spans="1:8" s="48" customFormat="1" x14ac:dyDescent="0.35">
      <c r="A947" s="26"/>
      <c r="B947" s="26"/>
      <c r="C947" s="26"/>
      <c r="D947" s="26"/>
      <c r="E947" s="26"/>
      <c r="F947" s="26"/>
      <c r="G947" s="26"/>
      <c r="H947" s="26"/>
    </row>
    <row r="948" spans="1:8" s="48" customFormat="1" x14ac:dyDescent="0.35">
      <c r="A948" s="26"/>
      <c r="B948" s="26"/>
      <c r="C948" s="26"/>
      <c r="D948" s="26"/>
      <c r="E948" s="26"/>
      <c r="F948" s="26"/>
      <c r="G948" s="26"/>
      <c r="H948" s="26"/>
    </row>
    <row r="949" spans="1:8" s="48" customFormat="1" x14ac:dyDescent="0.35">
      <c r="A949" s="26"/>
      <c r="B949" s="26"/>
      <c r="C949" s="26"/>
      <c r="D949" s="26"/>
      <c r="E949" s="26"/>
      <c r="F949" s="26"/>
      <c r="G949" s="26"/>
      <c r="H949" s="26"/>
    </row>
    <row r="950" spans="1:8" s="48" customFormat="1" x14ac:dyDescent="0.35">
      <c r="A950" s="26"/>
      <c r="B950" s="26"/>
      <c r="C950" s="26"/>
      <c r="D950" s="26"/>
      <c r="E950" s="26"/>
      <c r="F950" s="26"/>
      <c r="G950" s="26"/>
      <c r="H950" s="26"/>
    </row>
    <row r="951" spans="1:8" s="48" customFormat="1" x14ac:dyDescent="0.35">
      <c r="A951" s="26"/>
      <c r="B951" s="26"/>
      <c r="C951" s="26"/>
      <c r="D951" s="26"/>
      <c r="E951" s="26"/>
      <c r="F951" s="26"/>
      <c r="G951" s="26"/>
      <c r="H951" s="26"/>
    </row>
    <row r="952" spans="1:8" s="48" customFormat="1" x14ac:dyDescent="0.35">
      <c r="A952" s="26"/>
      <c r="B952" s="26"/>
      <c r="C952" s="26"/>
      <c r="D952" s="26"/>
      <c r="E952" s="26"/>
      <c r="F952" s="26"/>
      <c r="G952" s="26"/>
      <c r="H952" s="26"/>
    </row>
    <row r="953" spans="1:8" s="48" customFormat="1" x14ac:dyDescent="0.35">
      <c r="A953" s="26"/>
      <c r="B953" s="26"/>
      <c r="C953" s="26"/>
      <c r="D953" s="26"/>
      <c r="E953" s="26"/>
      <c r="F953" s="26"/>
      <c r="G953" s="26"/>
      <c r="H953" s="26"/>
    </row>
    <row r="954" spans="1:8" s="48" customFormat="1" x14ac:dyDescent="0.35">
      <c r="A954" s="26"/>
      <c r="B954" s="26"/>
      <c r="C954" s="26"/>
      <c r="D954" s="26"/>
      <c r="E954" s="26"/>
      <c r="F954" s="26"/>
      <c r="G954" s="26"/>
      <c r="H954" s="26"/>
    </row>
    <row r="955" spans="1:8" s="48" customFormat="1" x14ac:dyDescent="0.35">
      <c r="A955" s="26"/>
      <c r="B955" s="26"/>
      <c r="C955" s="26"/>
      <c r="D955" s="26"/>
      <c r="E955" s="26"/>
      <c r="F955" s="26"/>
      <c r="G955" s="26"/>
      <c r="H955" s="26"/>
    </row>
    <row r="956" spans="1:8" s="48" customFormat="1" x14ac:dyDescent="0.35">
      <c r="A956" s="26"/>
      <c r="B956" s="26"/>
      <c r="C956" s="26"/>
      <c r="D956" s="26"/>
      <c r="E956" s="26"/>
      <c r="F956" s="26"/>
      <c r="G956" s="26"/>
      <c r="H956" s="26"/>
    </row>
    <row r="957" spans="1:8" s="48" customFormat="1" x14ac:dyDescent="0.35">
      <c r="A957" s="26"/>
      <c r="B957" s="26"/>
      <c r="C957" s="26"/>
      <c r="D957" s="26"/>
      <c r="E957" s="26"/>
      <c r="F957" s="26"/>
      <c r="G957" s="26"/>
      <c r="H957" s="26"/>
    </row>
    <row r="958" spans="1:8" s="48" customFormat="1" x14ac:dyDescent="0.35">
      <c r="A958" s="26"/>
      <c r="B958" s="26"/>
      <c r="C958" s="26"/>
      <c r="D958" s="26"/>
      <c r="E958" s="26"/>
      <c r="F958" s="26"/>
      <c r="G958" s="26"/>
      <c r="H958" s="26"/>
    </row>
    <row r="959" spans="1:8" s="48" customFormat="1" x14ac:dyDescent="0.35">
      <c r="A959" s="26"/>
      <c r="B959" s="26"/>
      <c r="C959" s="26"/>
      <c r="D959" s="26"/>
      <c r="E959" s="26"/>
      <c r="F959" s="26"/>
      <c r="G959" s="26"/>
      <c r="H959" s="26"/>
    </row>
    <row r="960" spans="1:8" s="48" customFormat="1" x14ac:dyDescent="0.35">
      <c r="A960" s="26"/>
      <c r="B960" s="26"/>
      <c r="C960" s="26"/>
      <c r="D960" s="26"/>
      <c r="E960" s="26"/>
      <c r="F960" s="26"/>
      <c r="G960" s="26"/>
      <c r="H960" s="26"/>
    </row>
    <row r="961" spans="1:8" s="48" customFormat="1" x14ac:dyDescent="0.35">
      <c r="A961" s="26"/>
      <c r="B961" s="26"/>
      <c r="C961" s="26"/>
      <c r="D961" s="26"/>
      <c r="E961" s="26"/>
      <c r="F961" s="26"/>
      <c r="G961" s="26"/>
      <c r="H961" s="26"/>
    </row>
    <row r="962" spans="1:8" s="48" customFormat="1" x14ac:dyDescent="0.35">
      <c r="A962" s="26"/>
      <c r="B962" s="26"/>
      <c r="C962" s="26"/>
      <c r="D962" s="26"/>
      <c r="E962" s="26"/>
      <c r="F962" s="26"/>
      <c r="G962" s="26"/>
      <c r="H962" s="26"/>
    </row>
    <row r="963" spans="1:8" s="48" customFormat="1" x14ac:dyDescent="0.35">
      <c r="A963" s="26"/>
      <c r="B963" s="26"/>
      <c r="C963" s="26"/>
      <c r="D963" s="26"/>
      <c r="E963" s="26"/>
      <c r="F963" s="26"/>
      <c r="G963" s="26"/>
      <c r="H963" s="26"/>
    </row>
    <row r="964" spans="1:8" s="48" customFormat="1" x14ac:dyDescent="0.35">
      <c r="A964" s="26"/>
      <c r="B964" s="26"/>
      <c r="C964" s="26"/>
      <c r="D964" s="26"/>
      <c r="E964" s="26"/>
      <c r="F964" s="26"/>
      <c r="G964" s="26"/>
      <c r="H964" s="26"/>
    </row>
    <row r="965" spans="1:8" s="48" customFormat="1" x14ac:dyDescent="0.35">
      <c r="A965" s="26"/>
      <c r="B965" s="26"/>
      <c r="C965" s="26"/>
      <c r="D965" s="26"/>
      <c r="E965" s="26"/>
      <c r="F965" s="26"/>
      <c r="G965" s="26"/>
      <c r="H965" s="26"/>
    </row>
    <row r="966" spans="1:8" s="48" customFormat="1" x14ac:dyDescent="0.35">
      <c r="A966" s="26"/>
      <c r="B966" s="26"/>
      <c r="C966" s="26"/>
      <c r="D966" s="26"/>
      <c r="E966" s="26"/>
      <c r="F966" s="26"/>
      <c r="G966" s="26"/>
      <c r="H966" s="26"/>
    </row>
    <row r="967" spans="1:8" s="48" customFormat="1" x14ac:dyDescent="0.35">
      <c r="A967" s="26"/>
      <c r="B967" s="26"/>
      <c r="C967" s="26"/>
      <c r="D967" s="26"/>
      <c r="E967" s="26"/>
      <c r="F967" s="26"/>
      <c r="G967" s="26"/>
      <c r="H967" s="26"/>
    </row>
    <row r="968" spans="1:8" s="48" customFormat="1" x14ac:dyDescent="0.35">
      <c r="A968" s="26"/>
      <c r="B968" s="26"/>
      <c r="C968" s="26"/>
      <c r="D968" s="26"/>
      <c r="E968" s="26"/>
      <c r="F968" s="26"/>
      <c r="G968" s="26"/>
      <c r="H968" s="26"/>
    </row>
    <row r="969" spans="1:8" s="48" customFormat="1" x14ac:dyDescent="0.35">
      <c r="A969" s="26"/>
      <c r="B969" s="26"/>
      <c r="C969" s="26"/>
      <c r="D969" s="26"/>
      <c r="E969" s="26"/>
      <c r="F969" s="26"/>
      <c r="G969" s="26"/>
      <c r="H969" s="26"/>
    </row>
    <row r="970" spans="1:8" s="48" customFormat="1" x14ac:dyDescent="0.35">
      <c r="A970" s="26"/>
      <c r="B970" s="26"/>
      <c r="C970" s="26"/>
      <c r="D970" s="26"/>
      <c r="E970" s="26"/>
      <c r="F970" s="26"/>
      <c r="G970" s="26"/>
      <c r="H970" s="26"/>
    </row>
    <row r="971" spans="1:8" s="48" customFormat="1" x14ac:dyDescent="0.35">
      <c r="A971" s="26"/>
      <c r="B971" s="26"/>
      <c r="C971" s="26"/>
      <c r="D971" s="26"/>
      <c r="E971" s="26"/>
      <c r="F971" s="26"/>
      <c r="G971" s="26"/>
      <c r="H971" s="26"/>
    </row>
    <row r="972" spans="1:8" s="48" customFormat="1" x14ac:dyDescent="0.35">
      <c r="A972" s="26"/>
      <c r="B972" s="26"/>
      <c r="C972" s="26"/>
      <c r="D972" s="26"/>
      <c r="E972" s="26"/>
      <c r="F972" s="26"/>
      <c r="G972" s="26"/>
      <c r="H972" s="26"/>
    </row>
    <row r="973" spans="1:8" s="48" customFormat="1" x14ac:dyDescent="0.35">
      <c r="A973" s="26"/>
      <c r="B973" s="26"/>
      <c r="C973" s="26"/>
      <c r="D973" s="26"/>
      <c r="E973" s="26"/>
      <c r="F973" s="26"/>
      <c r="G973" s="26"/>
      <c r="H973" s="26"/>
    </row>
    <row r="974" spans="1:8" s="48" customFormat="1" x14ac:dyDescent="0.35">
      <c r="A974" s="26"/>
      <c r="B974" s="26"/>
      <c r="C974" s="26"/>
      <c r="D974" s="26"/>
      <c r="E974" s="26"/>
      <c r="F974" s="26"/>
      <c r="G974" s="26"/>
      <c r="H974" s="26"/>
    </row>
    <row r="975" spans="1:8" s="48" customFormat="1" x14ac:dyDescent="0.35">
      <c r="A975" s="26"/>
      <c r="B975" s="26"/>
      <c r="C975" s="26"/>
      <c r="D975" s="26"/>
      <c r="E975" s="26"/>
      <c r="F975" s="26"/>
      <c r="G975" s="26"/>
      <c r="H975" s="26"/>
    </row>
    <row r="976" spans="1:8" s="48" customFormat="1" x14ac:dyDescent="0.35">
      <c r="A976" s="26"/>
      <c r="B976" s="26"/>
      <c r="C976" s="26"/>
      <c r="D976" s="26"/>
      <c r="E976" s="26"/>
      <c r="F976" s="26"/>
      <c r="G976" s="26"/>
      <c r="H976" s="26"/>
    </row>
    <row r="977" spans="1:8" s="48" customFormat="1" x14ac:dyDescent="0.35">
      <c r="A977" s="26"/>
      <c r="B977" s="26"/>
      <c r="C977" s="26"/>
      <c r="D977" s="26"/>
      <c r="E977" s="26"/>
      <c r="F977" s="26"/>
      <c r="G977" s="26"/>
      <c r="H977" s="26"/>
    </row>
    <row r="978" spans="1:8" s="48" customFormat="1" x14ac:dyDescent="0.35">
      <c r="A978" s="26"/>
      <c r="B978" s="26"/>
      <c r="C978" s="26"/>
      <c r="D978" s="26"/>
      <c r="E978" s="26"/>
      <c r="F978" s="26"/>
      <c r="G978" s="26"/>
      <c r="H978" s="26"/>
    </row>
    <row r="979" spans="1:8" s="48" customFormat="1" x14ac:dyDescent="0.35">
      <c r="A979" s="26"/>
      <c r="B979" s="26"/>
      <c r="C979" s="26"/>
      <c r="D979" s="26"/>
      <c r="E979" s="26"/>
      <c r="F979" s="26"/>
      <c r="G979" s="26"/>
      <c r="H979" s="26"/>
    </row>
    <row r="980" spans="1:8" s="48" customFormat="1" x14ac:dyDescent="0.35">
      <c r="A980" s="26"/>
      <c r="B980" s="26"/>
      <c r="C980" s="26"/>
      <c r="D980" s="26"/>
      <c r="E980" s="26"/>
      <c r="F980" s="26"/>
      <c r="G980" s="26"/>
      <c r="H980" s="26"/>
    </row>
    <row r="981" spans="1:8" s="48" customFormat="1" x14ac:dyDescent="0.35">
      <c r="A981" s="26"/>
      <c r="B981" s="26"/>
      <c r="C981" s="26"/>
      <c r="D981" s="26"/>
      <c r="E981" s="26"/>
      <c r="F981" s="26"/>
      <c r="G981" s="26"/>
      <c r="H981" s="26"/>
    </row>
    <row r="982" spans="1:8" s="48" customFormat="1" x14ac:dyDescent="0.35">
      <c r="A982" s="26"/>
      <c r="B982" s="26"/>
      <c r="C982" s="26"/>
      <c r="D982" s="26"/>
      <c r="E982" s="26"/>
      <c r="F982" s="26"/>
      <c r="G982" s="26"/>
      <c r="H982" s="26"/>
    </row>
    <row r="983" spans="1:8" s="48" customFormat="1" x14ac:dyDescent="0.35">
      <c r="A983" s="26"/>
      <c r="B983" s="26"/>
      <c r="C983" s="26"/>
      <c r="D983" s="26"/>
      <c r="E983" s="26"/>
      <c r="F983" s="26"/>
      <c r="G983" s="26"/>
      <c r="H983" s="26"/>
    </row>
    <row r="984" spans="1:8" s="48" customFormat="1" x14ac:dyDescent="0.35">
      <c r="A984" s="26"/>
      <c r="B984" s="26"/>
      <c r="C984" s="26"/>
      <c r="D984" s="26"/>
      <c r="E984" s="26"/>
      <c r="F984" s="26"/>
      <c r="G984" s="26"/>
      <c r="H984" s="26"/>
    </row>
    <row r="985" spans="1:8" s="48" customFormat="1" x14ac:dyDescent="0.35">
      <c r="A985" s="26"/>
      <c r="B985" s="26"/>
      <c r="C985" s="26"/>
      <c r="D985" s="26"/>
      <c r="E985" s="26"/>
      <c r="F985" s="26"/>
      <c r="G985" s="26"/>
      <c r="H985" s="26"/>
    </row>
    <row r="986" spans="1:8" s="48" customFormat="1" x14ac:dyDescent="0.35">
      <c r="A986" s="26"/>
      <c r="B986" s="26"/>
      <c r="C986" s="26"/>
      <c r="D986" s="26"/>
      <c r="E986" s="26"/>
      <c r="F986" s="26"/>
      <c r="G986" s="26"/>
      <c r="H986" s="26"/>
    </row>
    <row r="987" spans="1:8" s="48" customFormat="1" x14ac:dyDescent="0.35">
      <c r="A987" s="26"/>
      <c r="B987" s="26"/>
      <c r="C987" s="26"/>
      <c r="D987" s="26"/>
      <c r="E987" s="26"/>
      <c r="F987" s="26"/>
      <c r="G987" s="26"/>
      <c r="H987" s="26"/>
    </row>
    <row r="988" spans="1:8" s="48" customFormat="1" x14ac:dyDescent="0.35">
      <c r="A988" s="26"/>
      <c r="B988" s="26"/>
      <c r="C988" s="26"/>
      <c r="D988" s="26"/>
      <c r="E988" s="26"/>
      <c r="F988" s="26"/>
      <c r="G988" s="26"/>
      <c r="H988" s="26"/>
    </row>
    <row r="989" spans="1:8" s="48" customFormat="1" x14ac:dyDescent="0.35">
      <c r="A989" s="26"/>
      <c r="B989" s="26"/>
      <c r="C989" s="26"/>
      <c r="D989" s="26"/>
      <c r="E989" s="26"/>
      <c r="F989" s="26"/>
      <c r="G989" s="26"/>
      <c r="H989" s="26"/>
    </row>
    <row r="990" spans="1:8" s="48" customFormat="1" x14ac:dyDescent="0.35">
      <c r="A990" s="26"/>
      <c r="B990" s="26"/>
      <c r="C990" s="26"/>
      <c r="D990" s="26"/>
      <c r="E990" s="26"/>
      <c r="F990" s="26"/>
      <c r="G990" s="26"/>
      <c r="H990" s="26"/>
    </row>
    <row r="991" spans="1:8" s="48" customFormat="1" x14ac:dyDescent="0.35">
      <c r="A991" s="26"/>
      <c r="B991" s="26"/>
      <c r="C991" s="26"/>
      <c r="D991" s="26"/>
      <c r="E991" s="26"/>
      <c r="F991" s="26"/>
      <c r="G991" s="26"/>
      <c r="H991" s="26"/>
    </row>
    <row r="992" spans="1:8" s="48" customFormat="1" x14ac:dyDescent="0.35">
      <c r="A992" s="26"/>
      <c r="B992" s="26"/>
      <c r="C992" s="26"/>
      <c r="D992" s="26"/>
      <c r="E992" s="26"/>
      <c r="F992" s="26"/>
      <c r="G992" s="26"/>
      <c r="H992" s="26"/>
    </row>
    <row r="993" spans="1:10" s="48" customFormat="1" x14ac:dyDescent="0.35">
      <c r="A993" s="26"/>
      <c r="B993" s="26"/>
      <c r="C993" s="26"/>
      <c r="D993" s="26"/>
      <c r="E993" s="26"/>
      <c r="F993" s="26"/>
      <c r="G993" s="26"/>
      <c r="H993" s="26"/>
    </row>
    <row r="994" spans="1:10" x14ac:dyDescent="0.35">
      <c r="I994" s="48"/>
      <c r="J994" s="48"/>
    </row>
    <row r="995" spans="1:10" x14ac:dyDescent="0.35">
      <c r="I995" s="48"/>
      <c r="J995" s="48"/>
    </row>
    <row r="996" spans="1:10" x14ac:dyDescent="0.35">
      <c r="I996" s="48"/>
      <c r="J996" s="48"/>
    </row>
    <row r="997" spans="1:10" x14ac:dyDescent="0.35">
      <c r="I997" s="48"/>
      <c r="J997" s="48"/>
    </row>
    <row r="998" spans="1:10" x14ac:dyDescent="0.35">
      <c r="I998" s="48"/>
      <c r="J998" s="48"/>
    </row>
    <row r="999" spans="1:10" x14ac:dyDescent="0.35">
      <c r="I999" s="48"/>
      <c r="J999" s="48"/>
    </row>
    <row r="1000" spans="1:10" x14ac:dyDescent="0.35">
      <c r="I1000" s="48"/>
      <c r="J1000" s="48"/>
    </row>
    <row r="1001" spans="1:10" x14ac:dyDescent="0.35">
      <c r="I1001" s="48"/>
      <c r="J1001" s="48"/>
    </row>
    <row r="1002" spans="1:10" x14ac:dyDescent="0.35">
      <c r="I1002" s="48"/>
      <c r="J1002" s="48"/>
    </row>
    <row r="1003" spans="1:10" x14ac:dyDescent="0.35">
      <c r="I1003" s="48"/>
      <c r="J1003" s="48"/>
    </row>
    <row r="1004" spans="1:10" x14ac:dyDescent="0.35">
      <c r="I1004" s="48"/>
      <c r="J1004" s="48"/>
    </row>
    <row r="1005" spans="1:10" x14ac:dyDescent="0.35">
      <c r="I1005" s="48"/>
      <c r="J1005" s="48"/>
    </row>
    <row r="1006" spans="1:10" x14ac:dyDescent="0.35">
      <c r="I1006" s="48"/>
      <c r="J1006" s="48"/>
    </row>
    <row r="1007" spans="1:10" x14ac:dyDescent="0.35">
      <c r="I1007" s="48"/>
      <c r="J1007" s="48"/>
    </row>
    <row r="1008" spans="1:10" x14ac:dyDescent="0.35">
      <c r="I1008" s="48"/>
      <c r="J1008" s="48"/>
    </row>
    <row r="1009" spans="9:10" x14ac:dyDescent="0.35">
      <c r="I1009" s="48"/>
      <c r="J1009" s="48"/>
    </row>
    <row r="1010" spans="9:10" x14ac:dyDescent="0.35">
      <c r="I1010" s="48"/>
      <c r="J1010" s="48"/>
    </row>
    <row r="1011" spans="9:10" x14ac:dyDescent="0.35">
      <c r="I1011" s="48"/>
      <c r="J1011" s="48"/>
    </row>
    <row r="1012" spans="9:10" x14ac:dyDescent="0.35">
      <c r="I1012" s="48"/>
      <c r="J1012" s="48"/>
    </row>
    <row r="1013" spans="9:10" x14ac:dyDescent="0.35">
      <c r="I1013" s="48"/>
      <c r="J1013" s="48"/>
    </row>
    <row r="1014" spans="9:10" x14ac:dyDescent="0.35">
      <c r="I1014" s="48"/>
      <c r="J1014" s="48"/>
    </row>
    <row r="1015" spans="9:10" x14ac:dyDescent="0.35">
      <c r="I1015" s="48"/>
      <c r="J1015" s="48"/>
    </row>
    <row r="1016" spans="9:10" x14ac:dyDescent="0.35">
      <c r="I1016" s="48"/>
      <c r="J1016" s="48"/>
    </row>
    <row r="1017" spans="9:10" x14ac:dyDescent="0.35">
      <c r="I1017" s="48"/>
      <c r="J1017" s="48"/>
    </row>
    <row r="1018" spans="9:10" x14ac:dyDescent="0.35">
      <c r="I1018" s="48"/>
      <c r="J1018" s="48"/>
    </row>
    <row r="1019" spans="9:10" x14ac:dyDescent="0.35">
      <c r="I1019" s="48"/>
      <c r="J1019" s="48"/>
    </row>
    <row r="1020" spans="9:10" x14ac:dyDescent="0.35">
      <c r="I1020" s="48"/>
      <c r="J1020" s="48"/>
    </row>
    <row r="1021" spans="9:10" x14ac:dyDescent="0.35">
      <c r="I1021" s="48"/>
      <c r="J1021" s="48"/>
    </row>
    <row r="1022" spans="9:10" x14ac:dyDescent="0.35">
      <c r="I1022" s="48"/>
      <c r="J1022" s="48"/>
    </row>
    <row r="1023" spans="9:10" x14ac:dyDescent="0.35">
      <c r="I1023" s="48"/>
      <c r="J1023" s="48"/>
    </row>
    <row r="1024" spans="9:10" x14ac:dyDescent="0.35">
      <c r="I1024" s="48"/>
      <c r="J1024" s="48"/>
    </row>
    <row r="1025" spans="9:10" x14ac:dyDescent="0.35">
      <c r="I1025" s="48"/>
      <c r="J1025" s="48"/>
    </row>
    <row r="1026" spans="9:10" x14ac:dyDescent="0.35">
      <c r="I1026" s="48"/>
      <c r="J1026" s="48"/>
    </row>
    <row r="1027" spans="9:10" x14ac:dyDescent="0.35">
      <c r="I1027" s="48"/>
      <c r="J1027" s="48"/>
    </row>
    <row r="1028" spans="9:10" x14ac:dyDescent="0.35">
      <c r="I1028" s="48"/>
      <c r="J1028" s="48"/>
    </row>
    <row r="1029" spans="9:10" x14ac:dyDescent="0.35">
      <c r="I1029" s="48"/>
      <c r="J1029" s="48"/>
    </row>
    <row r="1030" spans="9:10" x14ac:dyDescent="0.35">
      <c r="I1030" s="48"/>
      <c r="J1030" s="48"/>
    </row>
    <row r="1031" spans="9:10" x14ac:dyDescent="0.35">
      <c r="I1031" s="48"/>
      <c r="J1031" s="48"/>
    </row>
    <row r="1032" spans="9:10" x14ac:dyDescent="0.35">
      <c r="I1032" s="48"/>
      <c r="J1032" s="48"/>
    </row>
    <row r="1033" spans="9:10" x14ac:dyDescent="0.35">
      <c r="I1033" s="48"/>
      <c r="J1033" s="48"/>
    </row>
    <row r="1034" spans="9:10" x14ac:dyDescent="0.35">
      <c r="I1034" s="48"/>
      <c r="J1034" s="48"/>
    </row>
    <row r="1035" spans="9:10" x14ac:dyDescent="0.35">
      <c r="I1035" s="48"/>
      <c r="J1035" s="48"/>
    </row>
    <row r="1036" spans="9:10" x14ac:dyDescent="0.35">
      <c r="I1036" s="48"/>
      <c r="J1036" s="48"/>
    </row>
    <row r="1037" spans="9:10" x14ac:dyDescent="0.35">
      <c r="I1037" s="48"/>
      <c r="J1037" s="48"/>
    </row>
    <row r="1038" spans="9:10" x14ac:dyDescent="0.35">
      <c r="I1038" s="48"/>
      <c r="J1038" s="48"/>
    </row>
    <row r="1039" spans="9:10" x14ac:dyDescent="0.35">
      <c r="I1039" s="48"/>
      <c r="J1039" s="48"/>
    </row>
    <row r="1040" spans="9:10" x14ac:dyDescent="0.35">
      <c r="I1040" s="48"/>
      <c r="J1040" s="48"/>
    </row>
    <row r="1041" spans="9:10" x14ac:dyDescent="0.35">
      <c r="I1041" s="48"/>
      <c r="J1041" s="48"/>
    </row>
    <row r="1042" spans="9:10" x14ac:dyDescent="0.35">
      <c r="I1042" s="48"/>
      <c r="J1042" s="48"/>
    </row>
    <row r="1043" spans="9:10" x14ac:dyDescent="0.35">
      <c r="I1043" s="48"/>
      <c r="J1043" s="48"/>
    </row>
    <row r="1044" spans="9:10" x14ac:dyDescent="0.35">
      <c r="I1044" s="48"/>
      <c r="J1044" s="48"/>
    </row>
    <row r="1045" spans="9:10" x14ac:dyDescent="0.35">
      <c r="I1045" s="48"/>
      <c r="J1045" s="48"/>
    </row>
    <row r="1046" spans="9:10" x14ac:dyDescent="0.35">
      <c r="I1046" s="48"/>
      <c r="J1046" s="48"/>
    </row>
    <row r="1047" spans="9:10" x14ac:dyDescent="0.35">
      <c r="I1047" s="48"/>
      <c r="J1047" s="48"/>
    </row>
    <row r="1048" spans="9:10" x14ac:dyDescent="0.35">
      <c r="I1048" s="48"/>
      <c r="J1048" s="48"/>
    </row>
    <row r="1049" spans="9:10" x14ac:dyDescent="0.35">
      <c r="I1049" s="48"/>
      <c r="J1049" s="48"/>
    </row>
    <row r="1050" spans="9:10" x14ac:dyDescent="0.35">
      <c r="I1050" s="48"/>
      <c r="J1050" s="48"/>
    </row>
    <row r="1051" spans="9:10" x14ac:dyDescent="0.35">
      <c r="I1051" s="48"/>
      <c r="J1051" s="48"/>
    </row>
    <row r="1052" spans="9:10" x14ac:dyDescent="0.35">
      <c r="I1052" s="48"/>
      <c r="J1052" s="48"/>
    </row>
    <row r="1053" spans="9:10" x14ac:dyDescent="0.35">
      <c r="I1053" s="48"/>
      <c r="J1053" s="48"/>
    </row>
  </sheetData>
  <mergeCells count="8">
    <mergeCell ref="A14:B14"/>
    <mergeCell ref="C14:D14"/>
    <mergeCell ref="A15:C15"/>
    <mergeCell ref="D10:E10"/>
    <mergeCell ref="A12:B12"/>
    <mergeCell ref="C12:D12"/>
    <mergeCell ref="A13:B13"/>
    <mergeCell ref="C13:D13"/>
  </mergeCells>
  <phoneticPr fontId="32" type="noConversion"/>
  <pageMargins left="0.70833333333333304" right="0.70833333333333304" top="0.74791666666666701" bottom="0.74791666666666701" header="0.511811023622047" footer="0.31527777777777799"/>
  <pageSetup scale="45" orientation="landscape" horizontalDpi="300" verticalDpi="300" r:id="rId1"/>
  <headerFooter>
    <oddFooter>&amp;R&amp;"Montserrat,Normal"&amp;10Página &amp;P de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1:G343"/>
  <sheetViews>
    <sheetView topLeftCell="A19" zoomScale="70" zoomScaleNormal="70" workbookViewId="0">
      <selection activeCell="C19" sqref="C19:G258"/>
    </sheetView>
  </sheetViews>
  <sheetFormatPr baseColWidth="10" defaultColWidth="10.54296875" defaultRowHeight="14.5" x14ac:dyDescent="0.35"/>
  <cols>
    <col min="4" max="4" width="19.90625" customWidth="1"/>
    <col min="6" max="6" width="70.08984375" customWidth="1"/>
    <col min="7" max="7" width="42.7265625" bestFit="1" customWidth="1"/>
  </cols>
  <sheetData>
    <row r="1" customFormat="1" x14ac:dyDescent="0.35"/>
    <row r="2" customFormat="1" x14ac:dyDescent="0.35"/>
    <row r="3" customFormat="1" x14ac:dyDescent="0.35"/>
    <row r="4" customFormat="1" x14ac:dyDescent="0.35"/>
    <row r="5" customFormat="1" x14ac:dyDescent="0.35"/>
    <row r="6" customFormat="1" x14ac:dyDescent="0.35"/>
    <row r="7" customFormat="1" x14ac:dyDescent="0.35"/>
    <row r="8" customFormat="1" x14ac:dyDescent="0.35"/>
    <row r="9" customFormat="1" x14ac:dyDescent="0.35"/>
    <row r="10" customFormat="1" x14ac:dyDescent="0.35"/>
    <row r="11" customFormat="1" x14ac:dyDescent="0.35"/>
    <row r="12" customFormat="1" x14ac:dyDescent="0.35"/>
    <row r="13" customFormat="1" x14ac:dyDescent="0.35"/>
    <row r="14" customFormat="1" x14ac:dyDescent="0.35"/>
    <row r="15" customFormat="1" x14ac:dyDescent="0.35"/>
    <row r="16" customFormat="1" x14ac:dyDescent="0.35"/>
    <row r="19" spans="3:7" x14ac:dyDescent="0.35">
      <c r="C19" t="s">
        <v>192</v>
      </c>
      <c r="D19" t="str">
        <f>IF('Casos de Prueba'!B18&lt;&gt;0,'Casos de Prueba'!B18&amp;"-"&amp;'Casos de Prueba'!C18,"")</f>
        <v>CP01-/Autenticación</v>
      </c>
    </row>
    <row r="20" spans="3:7" x14ac:dyDescent="0.35">
      <c r="D20" t="str">
        <f>IF('Casos de Prueba'!B19&lt;&gt;0,'Casos de Prueba'!B19&amp;"-"&amp;'Casos de Prueba'!C19,"")</f>
        <v/>
      </c>
      <c r="E20">
        <f>IF(LEN($C20)&gt;0,"",'Casos de Prueba'!D19)</f>
        <v>1</v>
      </c>
      <c r="F20" t="str">
        <f>IF(LEN($C20)&gt;0,"",'Casos de Prueba'!E19)</f>
        <v>Usuario abre explorador</v>
      </c>
      <c r="G20" t="str">
        <f>IF(LEN($C20)&gt;0,"",'Casos de Prueba'!F19&amp;CHAR(10)&amp;'Casos de Prueba'!G19)</f>
        <v xml:space="preserve">
</v>
      </c>
    </row>
    <row r="21" spans="3:7" x14ac:dyDescent="0.35">
      <c r="D21" t="str">
        <f>IF('Casos de Prueba'!B20&lt;&gt;0,'Casos de Prueba'!B20&amp;"-"&amp;'Casos de Prueba'!C20,"")</f>
        <v/>
      </c>
      <c r="E21">
        <f>IF(LEN($C21)&gt;0,"",'Casos de Prueba'!D20)</f>
        <v>2</v>
      </c>
      <c r="F21" t="str">
        <f>IF(LEN($C21)&gt;0,"",'Casos de Prueba'!E20)</f>
        <v>Usuario ingresa a la URL correspondiente al Portal</v>
      </c>
      <c r="G21" t="str">
        <f>IF(LEN($C21)&gt;0,"",'Casos de Prueba'!F20&amp;CHAR(10)&amp;'Casos de Prueba'!G20)</f>
        <v xml:space="preserve">Se muestran los datos para ingresar:
Certificado (.cer)
Clave privada (.Key)
Contraseña de clave privada: 
Se muestra el campo RFC
Se requiere que el usuario al ingresar al aplicativo cuente con una opción que le permita autenticarse mediante su e.firma para lo cual:
•	Se deberá visualizar el componente para el firmado electrónico, el cual debe apegarse a los lineamientos institucionales vigentes por el área de Seguridad del SAT. 
•	Se solicitarán los archivos del certificado, clave privada y contraseña vigentes.
•	Se mostrarán los mensajes de validación de los campos proporcionados por el empleado conforme a los lineamientos institucionales vigentes por el área de Seguridad del SAT. </v>
      </c>
    </row>
    <row r="22" spans="3:7" x14ac:dyDescent="0.35">
      <c r="D22" t="str">
        <f>IF('Casos de Prueba'!B21&lt;&gt;0,'Casos de Prueba'!B21&amp;"-"&amp;'Casos de Prueba'!C21,"")</f>
        <v/>
      </c>
      <c r="E22">
        <f>IF(LEN($C22)&gt;0,"",'Casos de Prueba'!D21)</f>
        <v>3</v>
      </c>
      <c r="F22" t="str">
        <f>IF(LEN($C22)&gt;0,"",'Casos de Prueba'!E21)</f>
        <v>Usuario da clic en buscar y selecciona el archivo correspondiente a su certificado</v>
      </c>
      <c r="G22" t="str">
        <f>IF(LEN($C22)&gt;0,"",'Casos de Prueba'!F21&amp;CHAR(10)&amp;'Casos de Prueba'!G21)</f>
        <v xml:space="preserve">Se muestra el dato en el  campo certificado y en el campo RFC el dato del RFC del empleado
</v>
      </c>
    </row>
    <row r="23" spans="3:7" x14ac:dyDescent="0.35">
      <c r="D23" t="str">
        <f>IF('Casos de Prueba'!B22&lt;&gt;0,'Casos de Prueba'!B22&amp;"-"&amp;'Casos de Prueba'!C22,"")</f>
        <v/>
      </c>
      <c r="E23">
        <f>IF(LEN($C23)&gt;0,"",'Casos de Prueba'!D22)</f>
        <v>4</v>
      </c>
      <c r="F23" t="str">
        <f>IF(LEN($C23)&gt;0,"",'Casos de Prueba'!E22)</f>
        <v>Usuario da clic en buscar y selecciona el archivo correspondiente a su clave privada</v>
      </c>
      <c r="G23" t="str">
        <f>IF(LEN($C23)&gt;0,"",'Casos de Prueba'!F22&amp;CHAR(10)&amp;'Casos de Prueba'!G22)</f>
        <v xml:space="preserve">Se muestra el dato en el campo clave privada
</v>
      </c>
    </row>
    <row r="24" spans="3:7" x14ac:dyDescent="0.35">
      <c r="D24" t="str">
        <f>IF('Casos de Prueba'!B23&lt;&gt;0,'Casos de Prueba'!B23&amp;"-"&amp;'Casos de Prueba'!C23,"")</f>
        <v/>
      </c>
      <c r="E24">
        <f>IF(LEN($C24)&gt;0,"",'Casos de Prueba'!D23)</f>
        <v>5</v>
      </c>
      <c r="F24" t="str">
        <f>IF(LEN($C24)&gt;0,"",'Casos de Prueba'!E23)</f>
        <v>Usuario ingresa su contraseña</v>
      </c>
      <c r="G24" t="str">
        <f>IF(LEN($C24)&gt;0,"",'Casos de Prueba'!F23&amp;CHAR(10)&amp;'Casos de Prueba'!G23)</f>
        <v xml:space="preserve">Se muestra oculto el dato en el campo contraseña
</v>
      </c>
    </row>
    <row r="25" spans="3:7" x14ac:dyDescent="0.35">
      <c r="D25" t="str">
        <f>IF('Casos de Prueba'!B24&lt;&gt;0,'Casos de Prueba'!B24&amp;"-"&amp;'Casos de Prueba'!C24,"")</f>
        <v/>
      </c>
      <c r="E25">
        <f>IF(LEN($C25)&gt;0,"",'Casos de Prueba'!D24)</f>
        <v>6</v>
      </c>
      <c r="F25" t="str">
        <f>IF(LEN($C25)&gt;0,"",'Casos de Prueba'!E24)</f>
        <v>Da clic en enviar</v>
      </c>
      <c r="G25" t="str">
        <f>IF(LEN($C25)&gt;0,"",'Casos de Prueba'!F24&amp;CHAR(10)&amp;'Casos de Prueba'!G24)</f>
        <v xml:space="preserve">Si la autenticación es correcta, el aplicativo abre la página principal del Portal de Incidencias con las opciones:
- Consulta incidentes CFDI
- Consulta incidentes CFDI Retenciones
- Recuperar descargas Detalle de cosulta de incidencias
En caso de que el empleado no cuente con los permisos asignados conforme a los roles establecidos, el aplicativo mostrará el mensaje: “El Usuario no cuenta con los privilegios de acceso” y no se va a permitir su acceso. </v>
      </c>
    </row>
    <row r="26" spans="3:7" x14ac:dyDescent="0.35">
      <c r="D26" t="str">
        <f>IF('Casos de Prueba'!B25&lt;&gt;0,'Casos de Prueba'!B25&amp;"-"&amp;'Casos de Prueba'!C25,"")</f>
        <v>CP02-/Autenticación_Cer_Key_Incorrecto</v>
      </c>
      <c r="G26" t="str">
        <f>IF(LEN($C26)&gt;0,"",'Casos de Prueba'!F25&amp;CHAR(10)&amp;'Casos de Prueba'!G25)</f>
        <v xml:space="preserve">
</v>
      </c>
    </row>
    <row r="27" spans="3:7" x14ac:dyDescent="0.35">
      <c r="D27" t="str">
        <f>IF('Casos de Prueba'!B26&lt;&gt;0,'Casos de Prueba'!B26&amp;"-"&amp;'Casos de Prueba'!C26,"")</f>
        <v/>
      </c>
      <c r="E27">
        <f>IF(LEN($C27)&gt;0,"",'Casos de Prueba'!D26)</f>
        <v>1</v>
      </c>
      <c r="F27" t="str">
        <f>IF(LEN($C27)&gt;0,"",'Casos de Prueba'!E26)</f>
        <v>Usuario abre explorador</v>
      </c>
      <c r="G27" t="str">
        <f>IF(LEN($C27)&gt;0,"",'Casos de Prueba'!F26&amp;CHAR(10)&amp;'Casos de Prueba'!G26)</f>
        <v xml:space="preserve">
</v>
      </c>
    </row>
    <row r="28" spans="3:7" x14ac:dyDescent="0.35">
      <c r="D28" t="str">
        <f>IF('Casos de Prueba'!B27&lt;&gt;0,'Casos de Prueba'!B27&amp;"-"&amp;'Casos de Prueba'!C27,"")</f>
        <v/>
      </c>
      <c r="E28">
        <f>IF(LEN($C28)&gt;0,"",'Casos de Prueba'!D27)</f>
        <v>2</v>
      </c>
      <c r="F28" t="str">
        <f>IF(LEN($C28)&gt;0,"",'Casos de Prueba'!E27)</f>
        <v>Usuario ingresa a la URL correspondiente al Portal</v>
      </c>
      <c r="G28" t="str">
        <f>IF(LEN($C28)&gt;0,"",'Casos de Prueba'!F27&amp;CHAR(10)&amp;'Casos de Prueba'!G27)</f>
        <v xml:space="preserve">Se muestran los datos para ingresar:
Certificado (.cer)
Clave privada (.Key)
Contraseña de clave privada: 
Se muestra el campo RFC
</v>
      </c>
    </row>
    <row r="29" spans="3:7" x14ac:dyDescent="0.35">
      <c r="D29" t="str">
        <f>IF('Casos de Prueba'!B28&lt;&gt;0,'Casos de Prueba'!B28&amp;"-"&amp;'Casos de Prueba'!C28,"")</f>
        <v/>
      </c>
      <c r="E29">
        <f>IF(LEN($C29)&gt;0,"",'Casos de Prueba'!D28)</f>
        <v>3</v>
      </c>
      <c r="F29" t="str">
        <f>IF(LEN($C29)&gt;0,"",'Casos de Prueba'!E28)</f>
        <v>Usuario da clic en buscar y selecciona el archivo correspondiente a su certificado</v>
      </c>
      <c r="G29" t="str">
        <f>IF(LEN($C29)&gt;0,"",'Casos de Prueba'!F28&amp;CHAR(10)&amp;'Casos de Prueba'!G28)</f>
        <v xml:space="preserve">Se muestra el dato en el  campo certificado y en el campo RFC el dato del RFC del empleado
El Usuario previamente se autenticó  y accedió al portal </v>
      </c>
    </row>
    <row r="30" spans="3:7" x14ac:dyDescent="0.35">
      <c r="D30" t="str">
        <f>IF('Casos de Prueba'!B29&lt;&gt;0,'Casos de Prueba'!B29&amp;"-"&amp;'Casos de Prueba'!C29,"")</f>
        <v/>
      </c>
      <c r="E30">
        <f>IF(LEN($C30)&gt;0,"",'Casos de Prueba'!D29)</f>
        <v>4</v>
      </c>
      <c r="F30" t="str">
        <f>IF(LEN($C30)&gt;0,"",'Casos de Prueba'!E29)</f>
        <v>Usuario da clic en buscar y selecciona el archivo correspondiente a su clave privada</v>
      </c>
      <c r="G30" t="str">
        <f>IF(LEN($C30)&gt;0,"",'Casos de Prueba'!F29&amp;CHAR(10)&amp;'Casos de Prueba'!G29)</f>
        <v xml:space="preserve">Se muestra el dato en el campo clave privada
</v>
      </c>
    </row>
    <row r="31" spans="3:7" x14ac:dyDescent="0.35">
      <c r="D31" t="str">
        <f>IF('Casos de Prueba'!B30&lt;&gt;0,'Casos de Prueba'!B30&amp;"-"&amp;'Casos de Prueba'!C30,"")</f>
        <v/>
      </c>
      <c r="E31">
        <f>IF(LEN($C31)&gt;0,"",'Casos de Prueba'!D30)</f>
        <v>5</v>
      </c>
      <c r="F31" t="str">
        <f>IF(LEN($C31)&gt;0,"",'Casos de Prueba'!E30)</f>
        <v>Usuario ingresa su contraseña</v>
      </c>
      <c r="G31" t="str">
        <f>IF(LEN($C31)&gt;0,"",'Casos de Prueba'!F30&amp;CHAR(10)&amp;'Casos de Prueba'!G30)</f>
        <v xml:space="preserve">Se muestra oculto el dato en el campo contraseña
</v>
      </c>
    </row>
    <row r="32" spans="3:7" x14ac:dyDescent="0.35">
      <c r="D32" t="str">
        <f>IF('Casos de Prueba'!B31&lt;&gt;0,'Casos de Prueba'!B31&amp;"-"&amp;'Casos de Prueba'!C31,"")</f>
        <v/>
      </c>
      <c r="E32">
        <f>IF(LEN($C32)&gt;0,"",'Casos de Prueba'!D31)</f>
        <v>6</v>
      </c>
      <c r="F32" t="str">
        <f>IF(LEN($C32)&gt;0,"",'Casos de Prueba'!E31)</f>
        <v>Da clic en enviar</v>
      </c>
      <c r="G32" t="str">
        <f>IF(LEN($C32)&gt;0,"",'Casos de Prueba'!F31&amp;CHAR(10)&amp;'Casos de Prueba'!G31)</f>
        <v xml:space="preserve">El sistema muestra mensaje: El certificado no corresponde con la llave privada. Y no permite el acceso al Portal de Incidentes
</v>
      </c>
    </row>
    <row r="33" spans="4:7" x14ac:dyDescent="0.35">
      <c r="D33" t="str">
        <f>IF('Casos de Prueba'!B32&lt;&gt;0,'Casos de Prueba'!B32&amp;"-"&amp;'Casos de Prueba'!C32,"")</f>
        <v>CP03-/Autenticación_Contraseña_Incorrecto</v>
      </c>
      <c r="G33" t="str">
        <f>IF(LEN($C33)&gt;0,"",'Casos de Prueba'!F32&amp;CHAR(10)&amp;'Casos de Prueba'!G32)</f>
        <v xml:space="preserve">
</v>
      </c>
    </row>
    <row r="34" spans="4:7" x14ac:dyDescent="0.35">
      <c r="D34" t="str">
        <f>IF('Casos de Prueba'!B33&lt;&gt;0,'Casos de Prueba'!B33&amp;"-"&amp;'Casos de Prueba'!C33,"")</f>
        <v/>
      </c>
      <c r="E34">
        <f>IF(LEN($C34)&gt;0,"",'Casos de Prueba'!D33)</f>
        <v>1</v>
      </c>
      <c r="F34" t="str">
        <f>IF(LEN($C34)&gt;0,"",'Casos de Prueba'!E33)</f>
        <v>Usuario abre explorador</v>
      </c>
      <c r="G34" t="str">
        <f>IF(LEN($C34)&gt;0,"",'Casos de Prueba'!F33&amp;CHAR(10)&amp;'Casos de Prueba'!G33)</f>
        <v xml:space="preserve">
</v>
      </c>
    </row>
    <row r="35" spans="4:7" x14ac:dyDescent="0.35">
      <c r="D35" t="str">
        <f>IF('Casos de Prueba'!B34&lt;&gt;0,'Casos de Prueba'!B34&amp;"-"&amp;'Casos de Prueba'!C34,"")</f>
        <v/>
      </c>
      <c r="E35">
        <f>IF(LEN($C35)&gt;0,"",'Casos de Prueba'!D34)</f>
        <v>2</v>
      </c>
      <c r="F35" t="str">
        <f>IF(LEN($C35)&gt;0,"",'Casos de Prueba'!E34)</f>
        <v>Usuario ingresa a la URL correspondiente al Portal</v>
      </c>
      <c r="G35" t="str">
        <f>IF(LEN($C35)&gt;0,"",'Casos de Prueba'!F34&amp;CHAR(10)&amp;'Casos de Prueba'!G34)</f>
        <v xml:space="preserve">Se muestran los datos para ingresar:
Certificado (.cer)
Clave privada (.Key)
Contraseña de clave privada: 
Se muestra el campo RFC
</v>
      </c>
    </row>
    <row r="36" spans="4:7" x14ac:dyDescent="0.35">
      <c r="D36" t="str">
        <f>IF('Casos de Prueba'!B35&lt;&gt;0,'Casos de Prueba'!B35&amp;"-"&amp;'Casos de Prueba'!C35,"")</f>
        <v/>
      </c>
      <c r="E36">
        <f>IF(LEN($C36)&gt;0,"",'Casos de Prueba'!D35)</f>
        <v>3</v>
      </c>
      <c r="F36" t="str">
        <f>IF(LEN($C36)&gt;0,"",'Casos de Prueba'!E35)</f>
        <v>Usuario da clic en buscar y selecciona el archivo correspondiente a su certificado</v>
      </c>
      <c r="G36" t="str">
        <f>IF(LEN($C36)&gt;0,"",'Casos de Prueba'!F35&amp;CHAR(10)&amp;'Casos de Prueba'!G35)</f>
        <v xml:space="preserve">Se muestra el dato en el  campo certificado y en el campo RFC el dato del RFC del empleado
</v>
      </c>
    </row>
    <row r="37" spans="4:7" x14ac:dyDescent="0.35">
      <c r="D37" t="str">
        <f>IF('Casos de Prueba'!B36&lt;&gt;0,'Casos de Prueba'!B36&amp;"-"&amp;'Casos de Prueba'!C36,"")</f>
        <v/>
      </c>
      <c r="E37">
        <f>IF(LEN($C37)&gt;0,"",'Casos de Prueba'!D36)</f>
        <v>4</v>
      </c>
      <c r="F37" t="str">
        <f>IF(LEN($C37)&gt;0,"",'Casos de Prueba'!E36)</f>
        <v>Usuario da clic en buscar y selecciona el archivo correspondiente a su clave privada</v>
      </c>
      <c r="G37" t="str">
        <f>IF(LEN($C37)&gt;0,"",'Casos de Prueba'!F36&amp;CHAR(10)&amp;'Casos de Prueba'!G36)</f>
        <v xml:space="preserve">Se muestra el dato en el campo clave privada
</v>
      </c>
    </row>
    <row r="38" spans="4:7" x14ac:dyDescent="0.35">
      <c r="D38" t="str">
        <f>IF('Casos de Prueba'!B37&lt;&gt;0,'Casos de Prueba'!B37&amp;"-"&amp;'Casos de Prueba'!C37,"")</f>
        <v/>
      </c>
      <c r="E38">
        <f>IF(LEN($C38)&gt;0,"",'Casos de Prueba'!D37)</f>
        <v>5</v>
      </c>
      <c r="F38" t="str">
        <f>IF(LEN($C38)&gt;0,"",'Casos de Prueba'!E37)</f>
        <v>Usuario ingresa su contraseña incorrecta</v>
      </c>
      <c r="G38" t="str">
        <f>IF(LEN($C38)&gt;0,"",'Casos de Prueba'!F37&amp;CHAR(10)&amp;'Casos de Prueba'!G37)</f>
        <v xml:space="preserve">Se muestra oculto el dato en el campo contraseña
</v>
      </c>
    </row>
    <row r="39" spans="4:7" x14ac:dyDescent="0.35">
      <c r="D39" t="str">
        <f>IF('Casos de Prueba'!B38&lt;&gt;0,'Casos de Prueba'!B38&amp;"-"&amp;'Casos de Prueba'!C38,"")</f>
        <v/>
      </c>
      <c r="E39">
        <f>IF(LEN($C39)&gt;0,"",'Casos de Prueba'!D38)</f>
        <v>6</v>
      </c>
      <c r="F39" t="str">
        <f>IF(LEN($C39)&gt;0,"",'Casos de Prueba'!E38)</f>
        <v>Da clic en enviar</v>
      </c>
      <c r="G39" t="str">
        <f>IF(LEN($C39)&gt;0,"",'Casos de Prueba'!F38&amp;CHAR(10)&amp;'Casos de Prueba'!G38)</f>
        <v xml:space="preserve">El sistema muestra mensaje: Certificado, clave privada o contraseña de clave privada inválidos, inténtelo nuevamente.
</v>
      </c>
    </row>
    <row r="40" spans="4:7" x14ac:dyDescent="0.35">
      <c r="D40" t="str">
        <f>IF('Casos de Prueba'!B39&lt;&gt;0,'Casos de Prueba'!B39&amp;"-"&amp;'Casos de Prueba'!C39,"")</f>
        <v xml:space="preserve">CP04-/Inactividad </v>
      </c>
      <c r="G40" t="str">
        <f>IF(LEN($C40)&gt;0,"",'Casos de Prueba'!F39&amp;CHAR(10)&amp;'Casos de Prueba'!G39)</f>
        <v xml:space="preserve">
</v>
      </c>
    </row>
    <row r="41" spans="4:7" x14ac:dyDescent="0.35">
      <c r="D41" t="str">
        <f>IF('Casos de Prueba'!B40&lt;&gt;0,'Casos de Prueba'!B40&amp;"-"&amp;'Casos de Prueba'!C40,"")</f>
        <v/>
      </c>
      <c r="E41">
        <f>IF(LEN($C41)&gt;0,"",'Casos de Prueba'!D40)</f>
        <v>1</v>
      </c>
      <c r="F41" t="str">
        <f>IF(LEN($C41)&gt;0,"",'Casos de Prueba'!E40)</f>
        <v xml:space="preserve">Usuario ingresa al Portal de Incidentes </v>
      </c>
      <c r="G41" t="str">
        <f>IF(LEN($C41)&gt;0,"",'Casos de Prueba'!F40&amp;CHAR(10)&amp;'Casos de Prueba'!G40)</f>
        <v>El sistema muestra las siguientes opciones:
- Consulta incidentes CFDI
- Consulta incidentes CFDI Retenciones
-Recuperar descargas Detalle de consulta de incidencias’
El Usuario previamente se autenticó  y accedió al portal de Incidentes</v>
      </c>
    </row>
    <row r="42" spans="4:7" x14ac:dyDescent="0.35">
      <c r="D42" t="str">
        <f>IF('Casos de Prueba'!B41&lt;&gt;0,'Casos de Prueba'!B41&amp;"-"&amp;'Casos de Prueba'!C41,"")</f>
        <v/>
      </c>
      <c r="E42">
        <f>IF(LEN($C42)&gt;0,"",'Casos de Prueba'!D41)</f>
        <v>2</v>
      </c>
      <c r="F42" t="str">
        <f>IF(LEN($C42)&gt;0,"",'Casos de Prueba'!E41)</f>
        <v>Da clic en "Consulta incidentes CFDI"</v>
      </c>
      <c r="G42" t="str">
        <f>IF(LEN($C42)&gt;0,"",'Casos de Prueba'!F41&amp;CHAR(10)&amp;'Casos de Prueba'!G41)</f>
        <v xml:space="preserve">El sistema muestra el RFC del empleado autenticado con la opción Salir.
El sistema muestra las opciones:
.Tipo de consulta
Opción: Folio Fiscal*
.Folio Fiscal Digital
Opción: Por Fechas
.Fecha Inicial de Recepción*
.Fecha Final de Recepción*
.Versión del comprobante (El valor es por default)
.PAC
Botón "Consultar Incidentes"
</v>
      </c>
    </row>
    <row r="43" spans="4:7" x14ac:dyDescent="0.35">
      <c r="D43" t="str">
        <f>IF('Casos de Prueba'!B42&lt;&gt;0,'Casos de Prueba'!B42&amp;"-"&amp;'Casos de Prueba'!C42,"")</f>
        <v/>
      </c>
      <c r="E43">
        <f>IF(LEN($C43)&gt;0,"",'Casos de Prueba'!D42)</f>
        <v>3</v>
      </c>
      <c r="F43" t="str">
        <f>IF(LEN($C43)&gt;0,"",'Casos de Prueba'!E42)</f>
        <v xml:space="preserve">Dejar la sesión abierta </v>
      </c>
      <c r="G43" t="str">
        <f>IF(LEN($C43)&gt;0,"",'Casos de Prueba'!F42&amp;CHAR(10)&amp;'Casos de Prueba'!G42)</f>
        <v xml:space="preserve">La sesión debe cerrarse de forma automática cuando esta se encuentre inactiva por el usuario y permanezca abierta en un plazo mayor a 10 minutos
Se muestra el siguiente mensaje: 
"Ha salido de la sesión. Se recomienda que cierre el navegador para completar la terminación de esta sesión"
</v>
      </c>
    </row>
    <row r="44" spans="4:7" x14ac:dyDescent="0.35">
      <c r="D44" t="str">
        <f>IF('Casos de Prueba'!B43&lt;&gt;0,'Casos de Prueba'!B43&amp;"-"&amp;'Casos de Prueba'!C43,"")</f>
        <v>CP05-/Salir</v>
      </c>
      <c r="G44" t="str">
        <f>IF(LEN($C44)&gt;0,"",'Casos de Prueba'!F43&amp;CHAR(10)&amp;'Casos de Prueba'!G43)</f>
        <v xml:space="preserve">
</v>
      </c>
    </row>
    <row r="45" spans="4:7" x14ac:dyDescent="0.35">
      <c r="D45" t="str">
        <f>IF('Casos de Prueba'!B44&lt;&gt;0,'Casos de Prueba'!B44&amp;"-"&amp;'Casos de Prueba'!C44,"")</f>
        <v/>
      </c>
      <c r="E45">
        <f>IF(LEN($C45)&gt;0,"",'Casos de Prueba'!D44)</f>
        <v>1</v>
      </c>
      <c r="F45" t="str">
        <f>IF(LEN($C45)&gt;0,"",'Casos de Prueba'!E44)</f>
        <v xml:space="preserve">Usuario ingresa al Portal de Incidentes </v>
      </c>
      <c r="G45" t="str">
        <f>IF(LEN($C45)&gt;0,"",'Casos de Prueba'!F44&amp;CHAR(10)&amp;'Casos de Prueba'!G44)</f>
        <v>El sistema muestra las siguientes opciones:
- Consulta Incidentes CFDI
- Consulta Incidentes CFDI de Retenciones
-Recuperar descargas Detalle de consulta de incidencias’
El Usuario previamente se autenticó  y accedió al portal de Cancelaciones</v>
      </c>
    </row>
    <row r="46" spans="4:7" x14ac:dyDescent="0.35">
      <c r="D46" t="str">
        <f>IF('Casos de Prueba'!B45&lt;&gt;0,'Casos de Prueba'!B45&amp;"-"&amp;'Casos de Prueba'!C45,"")</f>
        <v/>
      </c>
      <c r="E46">
        <f>IF(LEN($C46)&gt;0,"",'Casos de Prueba'!D45)</f>
        <v>2</v>
      </c>
      <c r="F46" t="str">
        <f>IF(LEN($C46)&gt;0,"",'Casos de Prueba'!E45)</f>
        <v>Da clic en "Consulta Incidentes CFDI"</v>
      </c>
      <c r="G46" t="str">
        <f>IF(LEN($C46)&gt;0,"",'Casos de Prueba'!F45&amp;CHAR(10)&amp;'Casos de Prueba'!G45)</f>
        <v xml:space="preserve">El sistema muestra el RFC del empleado autenticado con la opción Salir.
El sistema muestra las opciones:
.Tipo de consulta
Opción: Folio Fiscal*Tooltip
.Folio Fiscal Digital
Opción: Por Fechas
.Fecha Inicial de Recepción*
.Fecha Final de Recepción*
.Versión del comprobante (El valor es por default)
.PAC
Botón "Consultar Incidentes"
</v>
      </c>
    </row>
    <row r="47" spans="4:7" x14ac:dyDescent="0.35">
      <c r="D47" t="str">
        <f>IF('Casos de Prueba'!B46&lt;&gt;0,'Casos de Prueba'!B46&amp;"-"&amp;'Casos de Prueba'!C46,"")</f>
        <v/>
      </c>
      <c r="E47">
        <f>IF(LEN($C47)&gt;0,"",'Casos de Prueba'!D46)</f>
        <v>3</v>
      </c>
      <c r="F47" t="str">
        <f>IF(LEN($C47)&gt;0,"",'Casos de Prueba'!E46)</f>
        <v>Da clic en  Cerrar Sesion</v>
      </c>
      <c r="G47" t="str">
        <f>IF(LEN($C47)&gt;0,"",'Casos de Prueba'!F46&amp;CHAR(10)&amp;'Casos de Prueba'!G46)</f>
        <v xml:space="preserve">Cierra la sesión del RFC
</v>
      </c>
    </row>
    <row r="48" spans="4:7" x14ac:dyDescent="0.35">
      <c r="D48" t="str">
        <f>IF('Casos de Prueba'!B47&lt;&gt;0,'Casos de Prueba'!B47&amp;"-"&amp;'Casos de Prueba'!C47,"")</f>
        <v>CP06-/FolioFiscalConsulta</v>
      </c>
      <c r="G48" t="str">
        <f>IF(LEN($C48)&gt;0,"",'Casos de Prueba'!F47&amp;CHAR(10)&amp;'Casos de Prueba'!G47)</f>
        <v xml:space="preserve">
</v>
      </c>
    </row>
    <row r="49" spans="4:7" x14ac:dyDescent="0.35">
      <c r="D49" t="str">
        <f>IF('Casos de Prueba'!B48&lt;&gt;0,'Casos de Prueba'!B48&amp;"-"&amp;'Casos de Prueba'!C48,"")</f>
        <v/>
      </c>
      <c r="E49">
        <f>IF(LEN($C49)&gt;0,"",'Casos de Prueba'!D48)</f>
        <v>1</v>
      </c>
      <c r="F49" t="str">
        <f>IF(LEN($C49)&gt;0,"",'Casos de Prueba'!E48)</f>
        <v xml:space="preserve">Usuario ingresa al Portal de Incidentes </v>
      </c>
      <c r="G49" t="str">
        <f>IF(LEN($C49)&gt;0,"",'Casos de Prueba'!F48&amp;CHAR(10)&amp;'Casos de Prueba'!G48)</f>
        <v>El sistema muestra las siguientes opciones:
- Consulta incidentes CFDI
- Consulta incidentes CFDI Retenciones
-Recuperar descargas Detalle de consulta de incidencias’
El Usuario previamente se autenticó  y accedió al portal de Incidentes</v>
      </c>
    </row>
    <row r="50" spans="4:7" x14ac:dyDescent="0.35">
      <c r="D50" t="str">
        <f>IF('Casos de Prueba'!B49&lt;&gt;0,'Casos de Prueba'!B49&amp;"-"&amp;'Casos de Prueba'!C49,"")</f>
        <v/>
      </c>
      <c r="E50">
        <f>IF(LEN($C50)&gt;0,"",'Casos de Prueba'!D49)</f>
        <v>2</v>
      </c>
      <c r="F50" t="str">
        <f>IF(LEN($C50)&gt;0,"",'Casos de Prueba'!E49)</f>
        <v>Da clic en "Consulta incidentes CFDI"</v>
      </c>
      <c r="G50" t="str">
        <f>IF(LEN($C50)&gt;0,"",'Casos de Prueba'!F49&amp;CHAR(10)&amp;'Casos de Prueba'!G49)</f>
        <v xml:space="preserve">El sistema muestra el RFC del empleado autenticado con la opción Salir.
El sistema muestra las opciones:
Tipo de consulta
Lista desplegable
(Opciones inhabilitadas)
Folio Fiscal
Por Fechas
Fecha Inicial de Recepción*
Fecha Final de Recepción*
Versión del comprobante (Valor es por default 4.0)
PAC 
Botón "Consultar Incidentes"
</v>
      </c>
    </row>
    <row r="51" spans="4:7" x14ac:dyDescent="0.35">
      <c r="D51" t="str">
        <f>IF('Casos de Prueba'!B50&lt;&gt;0,'Casos de Prueba'!B50&amp;"-"&amp;'Casos de Prueba'!C50,"")</f>
        <v/>
      </c>
      <c r="E51">
        <f>IF(LEN($C51)&gt;0,"",'Casos de Prueba'!D50)</f>
        <v>3</v>
      </c>
      <c r="F51" t="str">
        <f>IF(LEN($C51)&gt;0,"",'Casos de Prueba'!E50)</f>
        <v>Selecciona en el campo "Tipo de Consulta":
Incidentes Servicio de Recepción</v>
      </c>
      <c r="G51" t="str">
        <f>IF(LEN($C51)&gt;0,"",'Casos de Prueba'!F50&amp;CHAR(10)&amp;'Casos de Prueba'!G50)</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v>
      </c>
    </row>
    <row r="52" spans="4:7" x14ac:dyDescent="0.35">
      <c r="D52" t="str">
        <f>IF('Casos de Prueba'!B51&lt;&gt;0,'Casos de Prueba'!B51&amp;"-"&amp;'Casos de Prueba'!C51,"")</f>
        <v/>
      </c>
      <c r="E52">
        <f>IF(LEN($C52)&gt;0,"",'Casos de Prueba'!D51)</f>
        <v>4</v>
      </c>
      <c r="F52" t="str">
        <f>IF(LEN($C52)&gt;0,"",'Casos de Prueba'!E51)</f>
        <v>Selecciona el campo Folio Fiscal e ingresa el UUID del comprobante del cual se desea conocer los incidentes registrados</v>
      </c>
      <c r="G52" t="str">
        <f>IF(LEN($C52)&gt;0,"",'Casos de Prueba'!F51&amp;CHAR(10)&amp;'Casos de Prueba'!G51)</f>
        <v xml:space="preserve">El sistema muestra los datos que se van ingresando
</v>
      </c>
    </row>
    <row r="53" spans="4:7" x14ac:dyDescent="0.35">
      <c r="D53" t="str">
        <f>IF('Casos de Prueba'!B52&lt;&gt;0,'Casos de Prueba'!B52&amp;"-"&amp;'Casos de Prueba'!C52,"")</f>
        <v/>
      </c>
      <c r="E53">
        <f>IF(LEN($C53)&gt;0,"",'Casos de Prueba'!D52)</f>
        <v>5</v>
      </c>
      <c r="F53" t="str">
        <f>IF(LEN($C53)&gt;0,"",'Casos de Prueba'!E52)</f>
        <v>Se da clic en el botón "Consultar Incidentes"</v>
      </c>
      <c r="G53" t="str">
        <f>IF(LEN($C53)&gt;0,"",'Casos de Prueba'!F52&amp;CHAR(10)&amp;'Casos de Prueba'!G52)</f>
        <v xml:space="preserve">El servicio inhabilita la sección de Fecha Inicial y Final de Recepción.
El sistema deberá mostrar en una tabla los resultados obtenidos de la consulta:
• RFC del PAC
• Nombre o Razón Social
• Evento
• Mensaje
• Total
• Detalle (Boton)
</v>
      </c>
    </row>
    <row r="54" spans="4:7" x14ac:dyDescent="0.35">
      <c r="D54" t="str">
        <f>IF('Casos de Prueba'!B53&lt;&gt;0,'Casos de Prueba'!B53&amp;"-"&amp;'Casos de Prueba'!C53,"")</f>
        <v/>
      </c>
      <c r="E54">
        <f>IF(LEN($C54)&gt;0,"",'Casos de Prueba'!D53)</f>
        <v>6</v>
      </c>
      <c r="F54" t="str">
        <f>IF(LEN($C54)&gt;0,"",'Casos de Prueba'!E53)</f>
        <v>Da clic en  Cerrar Sesion</v>
      </c>
      <c r="G54" t="str">
        <f>IF(LEN($C54)&gt;0,"",'Casos de Prueba'!F53&amp;CHAR(10)&amp;'Casos de Prueba'!G53)</f>
        <v>Cierra la sesión del RFC
Fin del caso</v>
      </c>
    </row>
    <row r="55" spans="4:7" x14ac:dyDescent="0.35">
      <c r="D55" t="str">
        <f>IF('Casos de Prueba'!B54&lt;&gt;0,'Casos de Prueba'!B54&amp;"-"&amp;'Casos de Prueba'!C54,"")</f>
        <v>CP07-/MsgErrorConsultaCFDIVacio</v>
      </c>
      <c r="G55" t="str">
        <f>IF(LEN($C55)&gt;0,"",'Casos de Prueba'!F54&amp;CHAR(10)&amp;'Casos de Prueba'!G54)</f>
        <v xml:space="preserve">
</v>
      </c>
    </row>
    <row r="56" spans="4:7" x14ac:dyDescent="0.35">
      <c r="D56" t="str">
        <f>IF('Casos de Prueba'!B55&lt;&gt;0,'Casos de Prueba'!B55&amp;"-"&amp;'Casos de Prueba'!C55,"")</f>
        <v/>
      </c>
      <c r="E56">
        <f>IF(LEN($C56)&gt;0,"",'Casos de Prueba'!D55)</f>
        <v>1</v>
      </c>
      <c r="F56" t="str">
        <f>IF(LEN($C56)&gt;0,"",'Casos de Prueba'!E55)</f>
        <v xml:space="preserve">Usuario ingresa al Portal de Incidentes </v>
      </c>
      <c r="G56" t="str">
        <f>IF(LEN($C56)&gt;0,"",'Casos de Prueba'!F55&amp;CHAR(10)&amp;'Casos de Prueba'!G55)</f>
        <v>El sistema muestra las siguientes opciones:
- Consulta incidentes CFDI
- Consulta incidentes CFDI Retenciones
-Recuperar descargas Detalle de consulta de incidencias’
El Usuario previamente se autenticó  y accedió al portal de Incidentes</v>
      </c>
    </row>
    <row r="57" spans="4:7" x14ac:dyDescent="0.35">
      <c r="D57" t="str">
        <f>IF('Casos de Prueba'!B56&lt;&gt;0,'Casos de Prueba'!B56&amp;"-"&amp;'Casos de Prueba'!C56,"")</f>
        <v/>
      </c>
      <c r="E57">
        <f>IF(LEN($C57)&gt;0,"",'Casos de Prueba'!D56)</f>
        <v>2</v>
      </c>
      <c r="F57" t="str">
        <f>IF(LEN($C57)&gt;0,"",'Casos de Prueba'!E56)</f>
        <v>Da clic en "Consulta incidentes CFDI"</v>
      </c>
      <c r="G57" t="str">
        <f>IF(LEN($C57)&gt;0,"",'Casos de Prueba'!F56&amp;CHAR(10)&amp;'Casos de Prueba'!G56)</f>
        <v xml:space="preserve">El sistema muestra el RFC del empleado autenticado con la opción Salir.
El sistema muestra las opciones:
Tipo de consulta
Lista desplegable
(Opciones inhabilitadas)
Folio Fiscal
Por Fechas
Fecha Inicial de Recepción*
Fecha Final de Recepción*
Versión del comprobante (Valor es por default 4.0)
PAC 
Botón "Consultar Incidentes"
</v>
      </c>
    </row>
    <row r="58" spans="4:7" x14ac:dyDescent="0.35">
      <c r="D58" t="str">
        <f>IF('Casos de Prueba'!B57&lt;&gt;0,'Casos de Prueba'!B57&amp;"-"&amp;'Casos de Prueba'!C57,"")</f>
        <v/>
      </c>
      <c r="E58">
        <f>IF(LEN($C58)&gt;0,"",'Casos de Prueba'!D57)</f>
        <v>3</v>
      </c>
      <c r="F58" t="str">
        <f>IF(LEN($C58)&gt;0,"",'Casos de Prueba'!E57)</f>
        <v>Selecciona en el campo "Tipo de Consulta":
Incidentes Servicio de Recepción</v>
      </c>
      <c r="G58" t="str">
        <f>IF(LEN($C58)&gt;0,"",'Casos de Prueba'!F57&amp;CHAR(10)&amp;'Casos de Prueba'!G57)</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v>
      </c>
    </row>
    <row r="59" spans="4:7" x14ac:dyDescent="0.35">
      <c r="D59" t="str">
        <f>IF('Casos de Prueba'!B58&lt;&gt;0,'Casos de Prueba'!B58&amp;"-"&amp;'Casos de Prueba'!C58,"")</f>
        <v/>
      </c>
      <c r="E59">
        <f>IF(LEN($C59)&gt;0,"",'Casos de Prueba'!D58)</f>
        <v>4</v>
      </c>
      <c r="F59" t="str">
        <f>IF(LEN($C59)&gt;0,"",'Casos de Prueba'!E58)</f>
        <v>Se da clic en el botón "Consultar Incidentes"
Nota: Para este caso de prueba no se ingresa el valor del Folio Fiscal</v>
      </c>
      <c r="G59" t="str">
        <f>IF(LEN($C59)&gt;0,"",'Casos de Prueba'!F58&amp;CHAR(10)&amp;'Casos de Prueba'!G58)</f>
        <v xml:space="preserve">El aplicativo muestra el siguiente mensaje
 “ERROR: Favor de ingresar el folio fiscal”.
</v>
      </c>
    </row>
    <row r="60" spans="4:7" x14ac:dyDescent="0.35">
      <c r="D60" t="str">
        <f>IF('Casos de Prueba'!B59&lt;&gt;0,'Casos de Prueba'!B59&amp;"-"&amp;'Casos de Prueba'!C59,"")</f>
        <v/>
      </c>
      <c r="E60">
        <f>IF(LEN($C60)&gt;0,"",'Casos de Prueba'!D59)</f>
        <v>5</v>
      </c>
      <c r="F60" t="str">
        <f>IF(LEN($C60)&gt;0,"",'Casos de Prueba'!E59)</f>
        <v>Da clic en  Cerrar Sesion</v>
      </c>
      <c r="G60" t="str">
        <f>IF(LEN($C60)&gt;0,"",'Casos de Prueba'!F59&amp;CHAR(10)&amp;'Casos de Prueba'!G59)</f>
        <v>Cierra la sesión del RFC
Fin del caso</v>
      </c>
    </row>
    <row r="61" spans="4:7" x14ac:dyDescent="0.35">
      <c r="D61" t="str">
        <f>IF('Casos de Prueba'!B60&lt;&gt;0,'Casos de Prueba'!B60&amp;"-"&amp;'Casos de Prueba'!C60,"")</f>
        <v>CP08-/MsgErrorConsultaCFDIFormatoIncorrecto</v>
      </c>
      <c r="G61" t="str">
        <f>IF(LEN($C61)&gt;0,"",'Casos de Prueba'!F60&amp;CHAR(10)&amp;'Casos de Prueba'!G60)</f>
        <v xml:space="preserve">
</v>
      </c>
    </row>
    <row r="62" spans="4:7" x14ac:dyDescent="0.35">
      <c r="D62" t="str">
        <f>IF('Casos de Prueba'!B61&lt;&gt;0,'Casos de Prueba'!B61&amp;"-"&amp;'Casos de Prueba'!C61,"")</f>
        <v/>
      </c>
      <c r="E62">
        <f>IF(LEN($C62)&gt;0,"",'Casos de Prueba'!D61)</f>
        <v>1</v>
      </c>
      <c r="F62" t="str">
        <f>IF(LEN($C62)&gt;0,"",'Casos de Prueba'!E61)</f>
        <v xml:space="preserve">Usuario ingresa al Portal de Incidentes </v>
      </c>
      <c r="G62" t="str">
        <f>IF(LEN($C62)&gt;0,"",'Casos de Prueba'!F61&amp;CHAR(10)&amp;'Casos de Prueba'!G61)</f>
        <v>El sistema muestra las siguientes opciones:
- Consulta incidentes CFDI
- Consulta incidentes CFDI Retenciones
-Recuperar descargas Detalle de consulta de incidencias’
El Usuario previamente se autenticó  y accedió al portal de Incidentes</v>
      </c>
    </row>
    <row r="63" spans="4:7" x14ac:dyDescent="0.35">
      <c r="D63" t="str">
        <f>IF('Casos de Prueba'!B62&lt;&gt;0,'Casos de Prueba'!B62&amp;"-"&amp;'Casos de Prueba'!C62,"")</f>
        <v/>
      </c>
      <c r="E63">
        <f>IF(LEN($C63)&gt;0,"",'Casos de Prueba'!D62)</f>
        <v>2</v>
      </c>
      <c r="F63" t="str">
        <f>IF(LEN($C63)&gt;0,"",'Casos de Prueba'!E62)</f>
        <v>Da clic en "Consulta incidentes CFDI"</v>
      </c>
      <c r="G63" t="str">
        <f>IF(LEN($C63)&gt;0,"",'Casos de Prueba'!F62&amp;CHAR(10)&amp;'Casos de Prueba'!G62)</f>
        <v xml:space="preserve">El sistema muestra el RFC del empleado autenticado con la opción Salir.
El sistema muestra las opciones:
Tipo de consulta
Lista desplegable
(Opciones inhabilitadas)
Folio Fiscal
Por Fechas
Fecha Inicial de Recepción*
Fecha Final de Recepción*
Versión del comprobante (Valor es por default 4.0)
PAC 
Botón "Consultar Incidentes"
</v>
      </c>
    </row>
    <row r="64" spans="4:7" x14ac:dyDescent="0.35">
      <c r="D64" t="str">
        <f>IF('Casos de Prueba'!B63&lt;&gt;0,'Casos de Prueba'!B63&amp;"-"&amp;'Casos de Prueba'!C63,"")</f>
        <v/>
      </c>
      <c r="E64">
        <f>IF(LEN($C64)&gt;0,"",'Casos de Prueba'!D63)</f>
        <v>3</v>
      </c>
      <c r="F64" t="str">
        <f>IF(LEN($C64)&gt;0,"",'Casos de Prueba'!E63)</f>
        <v>Selecciona en el campo "Tipo de Consulta":
Incidentes Servicio de Recepción</v>
      </c>
      <c r="G64" t="str">
        <f>IF(LEN($C64)&gt;0,"",'Casos de Prueba'!F63&amp;CHAR(10)&amp;'Casos de Prueba'!G63)</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v>
      </c>
    </row>
    <row r="65" spans="4:7" x14ac:dyDescent="0.35">
      <c r="D65" t="str">
        <f>IF('Casos de Prueba'!B64&lt;&gt;0,'Casos de Prueba'!B64&amp;"-"&amp;'Casos de Prueba'!C64,"")</f>
        <v/>
      </c>
      <c r="E65">
        <f>IF(LEN($C65)&gt;0,"",'Casos de Prueba'!D64)</f>
        <v>4</v>
      </c>
      <c r="F65" t="str">
        <f>IF(LEN($C65)&gt;0,"",'Casos de Prueba'!E64)</f>
        <v>Selecciona el campo Folio Fiscal e ingresa el UUID del comprobante el cual no cumple con la estructura  y selecciona la opción "Consultar Incidentes".</v>
      </c>
      <c r="G65" t="str">
        <f>IF(LEN($C65)&gt;0,"",'Casos de Prueba'!F64&amp;CHAR(10)&amp;'Casos de Prueba'!G64)</f>
        <v xml:space="preserve">El aplicativo muestra el siguiente mensaje: 
•	“ERROR: El Folio Fiscal no cumple con el formato correcto, favor de ingresarlo nuevamente”.
</v>
      </c>
    </row>
    <row r="66" spans="4:7" x14ac:dyDescent="0.35">
      <c r="D66" t="str">
        <f>IF('Casos de Prueba'!B65&lt;&gt;0,'Casos de Prueba'!B65&amp;"-"&amp;'Casos de Prueba'!C65,"")</f>
        <v/>
      </c>
      <c r="E66">
        <f>IF(LEN($C66)&gt;0,"",'Casos de Prueba'!D65)</f>
        <v>5</v>
      </c>
      <c r="F66" t="str">
        <f>IF(LEN($C66)&gt;0,"",'Casos de Prueba'!E65)</f>
        <v>Da clic en  Cerrar Sesion</v>
      </c>
      <c r="G66" t="str">
        <f>IF(LEN($C66)&gt;0,"",'Casos de Prueba'!F65&amp;CHAR(10)&amp;'Casos de Prueba'!G65)</f>
        <v>Cierra la sesión del RFC
Fin del caso</v>
      </c>
    </row>
    <row r="67" spans="4:7" x14ac:dyDescent="0.35">
      <c r="D67" t="str">
        <f>IF('Casos de Prueba'!B66&lt;&gt;0,'Casos de Prueba'!B66&amp;"-"&amp;'Casos de Prueba'!C66,"")</f>
        <v>CP09-/MsgErrorConsultaCFDIRetenciones</v>
      </c>
      <c r="G67" t="str">
        <f>IF(LEN($C67)&gt;0,"",'Casos de Prueba'!F66&amp;CHAR(10)&amp;'Casos de Prueba'!G66)</f>
        <v xml:space="preserve">
</v>
      </c>
    </row>
    <row r="68" spans="4:7" x14ac:dyDescent="0.35">
      <c r="D68" t="str">
        <f>IF('Casos de Prueba'!B67&lt;&gt;0,'Casos de Prueba'!B67&amp;"-"&amp;'Casos de Prueba'!C67,"")</f>
        <v/>
      </c>
      <c r="E68">
        <f>IF(LEN($C68)&gt;0,"",'Casos de Prueba'!D67)</f>
        <v>1</v>
      </c>
      <c r="F68" t="str">
        <f>IF(LEN($C68)&gt;0,"",'Casos de Prueba'!E67)</f>
        <v xml:space="preserve">Usuario ingresa al Portal de Incidentes </v>
      </c>
      <c r="G68" t="str">
        <f>IF(LEN($C68)&gt;0,"",'Casos de Prueba'!F67&amp;CHAR(10)&amp;'Casos de Prueba'!G67)</f>
        <v>El sistema muestra las siguientes opciones:
- Consulta incidentes CFDI
- Consulta incidentes CFDI Retenciones
-Recuperar descargas Detalle de consulta de incidencias’
El Usuario previamente se autenticó  y accedió al portal de Incidentes</v>
      </c>
    </row>
    <row r="69" spans="4:7" x14ac:dyDescent="0.35">
      <c r="D69" t="str">
        <f>IF('Casos de Prueba'!B68&lt;&gt;0,'Casos de Prueba'!B68&amp;"-"&amp;'Casos de Prueba'!C68,"")</f>
        <v/>
      </c>
      <c r="E69">
        <f>IF(LEN($C69)&gt;0,"",'Casos de Prueba'!D68)</f>
        <v>2</v>
      </c>
      <c r="F69" t="str">
        <f>IF(LEN($C69)&gt;0,"",'Casos de Prueba'!E68)</f>
        <v>Da clic en "Consulta incidentes CFDI"</v>
      </c>
      <c r="G69" t="str">
        <f>IF(LEN($C69)&gt;0,"",'Casos de Prueba'!F68&amp;CHAR(10)&amp;'Casos de Prueba'!G68)</f>
        <v xml:space="preserve">El sistema muestra el RFC del empleado autenticado con la opción Salir.
El sistema muestra las opciones:
Tipo de consulta
Lista desplegable
(Opciones inhabilitadas)
Folio Fiscal
Por Fechas
Fecha Inicial de Recepción*
Fecha Final de Recepción*
Versión del comprobante (Valor es por default 4.0)
PAC 
Botón "Consultar Incidentes"
</v>
      </c>
    </row>
    <row r="70" spans="4:7" x14ac:dyDescent="0.35">
      <c r="D70" t="str">
        <f>IF('Casos de Prueba'!B69&lt;&gt;0,'Casos de Prueba'!B69&amp;"-"&amp;'Casos de Prueba'!C69,"")</f>
        <v/>
      </c>
      <c r="E70">
        <f>IF(LEN($C70)&gt;0,"",'Casos de Prueba'!D69)</f>
        <v>3</v>
      </c>
      <c r="F70" t="str">
        <f>IF(LEN($C70)&gt;0,"",'Casos de Prueba'!E69)</f>
        <v>Selecciona en el campo "Tipo de Consulta":
Incidentes Servicio de Recepción</v>
      </c>
      <c r="G70" t="str">
        <f>IF(LEN($C70)&gt;0,"",'Casos de Prueba'!F69&amp;CHAR(10)&amp;'Casos de Prueba'!G69)</f>
        <v xml:space="preserve">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
      </c>
    </row>
    <row r="71" spans="4:7" x14ac:dyDescent="0.35">
      <c r="D71" t="str">
        <f>IF('Casos de Prueba'!B70&lt;&gt;0,'Casos de Prueba'!B70&amp;"-"&amp;'Casos de Prueba'!C70,"")</f>
        <v/>
      </c>
      <c r="E71">
        <f>IF(LEN($C71)&gt;0,"",'Casos de Prueba'!D70)</f>
        <v>4</v>
      </c>
      <c r="F71" t="str">
        <f>IF(LEN($C71)&gt;0,"",'Casos de Prueba'!E70)</f>
        <v>Selecciona el campo Folio Fiscal e ingresa el UUID del comprobante y es de tipo CFDI de  Retenciones  y selecciona la opción "Consultar Incidentes".</v>
      </c>
      <c r="G71" t="str">
        <f>IF(LEN($C71)&gt;0,"",'Casos de Prueba'!F70&amp;CHAR(10)&amp;'Casos de Prueba'!G70)</f>
        <v xml:space="preserve">El aplicativo muestra el siguiente mensaje: 
“ERROR: El Folio Fiscal que desea consultar no se encuentra en la BD”.
Nota: Este mensaje de error aparece porque se quiere consultar un comprobante CFDI de Retenciones.
</v>
      </c>
    </row>
    <row r="72" spans="4:7" x14ac:dyDescent="0.35">
      <c r="D72" t="str">
        <f>IF('Casos de Prueba'!B71&lt;&gt;0,'Casos de Prueba'!B71&amp;"-"&amp;'Casos de Prueba'!C71,"")</f>
        <v/>
      </c>
      <c r="E72">
        <f>IF(LEN($C72)&gt;0,"",'Casos de Prueba'!D71)</f>
        <v>5</v>
      </c>
      <c r="F72" t="str">
        <f>IF(LEN($C72)&gt;0,"",'Casos de Prueba'!E71)</f>
        <v>Da clic en  Cerrar Sesion</v>
      </c>
      <c r="G72" t="str">
        <f>IF(LEN($C72)&gt;0,"",'Casos de Prueba'!F71&amp;CHAR(10)&amp;'Casos de Prueba'!G71)</f>
        <v>Cierra la sesión del RFC
Fin del caso</v>
      </c>
    </row>
    <row r="73" spans="4:7" x14ac:dyDescent="0.35">
      <c r="D73" t="str">
        <f>IF('Casos de Prueba'!B72&lt;&gt;0,'Casos de Prueba'!B72&amp;"-"&amp;'Casos de Prueba'!C72,"")</f>
        <v>CP10-/FolioFiscalExportarPDF</v>
      </c>
      <c r="G73" t="str">
        <f>IF(LEN($C73)&gt;0,"",'Casos de Prueba'!F72&amp;CHAR(10)&amp;'Casos de Prueba'!G72)</f>
        <v xml:space="preserve">
</v>
      </c>
    </row>
    <row r="74" spans="4:7" x14ac:dyDescent="0.35">
      <c r="D74" t="str">
        <f>IF('Casos de Prueba'!B73&lt;&gt;0,'Casos de Prueba'!B73&amp;"-"&amp;'Casos de Prueba'!C73,"")</f>
        <v/>
      </c>
      <c r="E74">
        <f>IF(LEN($C74)&gt;0,"",'Casos de Prueba'!D73)</f>
        <v>1</v>
      </c>
      <c r="F74" t="str">
        <f>IF(LEN($C74)&gt;0,"",'Casos de Prueba'!E73)</f>
        <v xml:space="preserve">Usuario ingresa al Portal de Incidentes </v>
      </c>
      <c r="G74" t="str">
        <f>IF(LEN($C74)&gt;0,"",'Casos de Prueba'!F73&amp;CHAR(10)&amp;'Casos de Prueba'!G73)</f>
        <v>El sistema muestra las siguientes opciones:
- Consulta incidentes CFDI
- Consulta incidentes CFDI Retenciones
-Recuperar descargas Detalle de consulta de incidencias’
El Usuario previamente se autenticó  y accedió al portal de Incidentes</v>
      </c>
    </row>
    <row r="75" spans="4:7" x14ac:dyDescent="0.35">
      <c r="D75" t="str">
        <f>IF('Casos de Prueba'!B74&lt;&gt;0,'Casos de Prueba'!B74&amp;"-"&amp;'Casos de Prueba'!C74,"")</f>
        <v/>
      </c>
      <c r="E75">
        <f>IF(LEN($C75)&gt;0,"",'Casos de Prueba'!D74)</f>
        <v>2</v>
      </c>
      <c r="F75" t="str">
        <f>IF(LEN($C75)&gt;0,"",'Casos de Prueba'!E74)</f>
        <v>Da clic en "Consulta incidentes CFDI"</v>
      </c>
      <c r="G75" t="str">
        <f>IF(LEN($C75)&gt;0,"",'Casos de Prueba'!F74&amp;CHAR(10)&amp;'Casos de Prueba'!G74)</f>
        <v xml:space="preserve">El sistema muestra el RFC del empleado autenticado con la opción Salir.
El sistema muestra las opciones:
Tipo de consulta
Lista desplegable
(Opciones inhabilitadas)
Folio Fiscal
Por Fechas
Fecha Inicial de Recepción*
Fecha Final de Recepción*
Versión del comprobante (Valor es por default 4.0)
PAC 
Botón "Consultar Incidentes"
</v>
      </c>
    </row>
    <row r="76" spans="4:7" x14ac:dyDescent="0.35">
      <c r="D76" t="str">
        <f>IF('Casos de Prueba'!B75&lt;&gt;0,'Casos de Prueba'!B75&amp;"-"&amp;'Casos de Prueba'!C75,"")</f>
        <v/>
      </c>
      <c r="E76">
        <f>IF(LEN($C76)&gt;0,"",'Casos de Prueba'!D75)</f>
        <v>3</v>
      </c>
      <c r="F76" t="str">
        <f>IF(LEN($C76)&gt;0,"",'Casos de Prueba'!E75)</f>
        <v>Selecciona en el campo "Tipo de Consulta":
Incidentes Servicio de Recepción</v>
      </c>
      <c r="G76" t="str">
        <f>IF(LEN($C76)&gt;0,"",'Casos de Prueba'!F75&amp;CHAR(10)&amp;'Casos de Prueba'!G75)</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v>
      </c>
    </row>
    <row r="77" spans="4:7" x14ac:dyDescent="0.35">
      <c r="D77" t="str">
        <f>IF('Casos de Prueba'!B76&lt;&gt;0,'Casos de Prueba'!B76&amp;"-"&amp;'Casos de Prueba'!C76,"")</f>
        <v/>
      </c>
      <c r="E77">
        <f>IF(LEN($C77)&gt;0,"",'Casos de Prueba'!D76)</f>
        <v>4</v>
      </c>
      <c r="F77" t="str">
        <f>IF(LEN($C77)&gt;0,"",'Casos de Prueba'!E76)</f>
        <v>Selecciona el campo Folio Fiscal e ingresa el UUID del comprobante del cual se desea conocer los incidentes registrados</v>
      </c>
      <c r="G77" t="str">
        <f>IF(LEN($C77)&gt;0,"",'Casos de Prueba'!F76&amp;CHAR(10)&amp;'Casos de Prueba'!G76)</f>
        <v xml:space="preserve">El sistema muestra los datos que se van ingresando
</v>
      </c>
    </row>
    <row r="78" spans="4:7" x14ac:dyDescent="0.35">
      <c r="D78" t="str">
        <f>IF('Casos de Prueba'!B77&lt;&gt;0,'Casos de Prueba'!B77&amp;"-"&amp;'Casos de Prueba'!C77,"")</f>
        <v/>
      </c>
      <c r="E78">
        <f>IF(LEN($C78)&gt;0,"",'Casos de Prueba'!D77)</f>
        <v>5</v>
      </c>
      <c r="F78" t="str">
        <f>IF(LEN($C78)&gt;0,"",'Casos de Prueba'!E77)</f>
        <v>Se da clic en el botón "Consultar Incidentes"</v>
      </c>
      <c r="G78" t="str">
        <f>IF(LEN($C78)&gt;0,"",'Casos de Prueba'!F77&amp;CHAR(10)&amp;'Casos de Prueba'!G77)</f>
        <v xml:space="preserve">El servicio inhabilita la sección de Fecha Inicial y Final de Recepción.
El sistema deberá mostrar en una tabla los resultados obtenidos de la consulta:
• RFC del PAC
• Nombre o Razón Social
• Evento
• Mensaje
• Total
• Detalle (Boton)
</v>
      </c>
    </row>
    <row r="79" spans="4:7" x14ac:dyDescent="0.35">
      <c r="D79" t="str">
        <f>IF('Casos de Prueba'!B78&lt;&gt;0,'Casos de Prueba'!B78&amp;"-"&amp;'Casos de Prueba'!C78,"")</f>
        <v/>
      </c>
      <c r="E79">
        <f>IF(LEN($C79)&gt;0,"",'Casos de Prueba'!D78)</f>
        <v>6</v>
      </c>
      <c r="F79" t="str">
        <f>IF(LEN($C79)&gt;0,"",'Casos de Prueba'!E78)</f>
        <v>Selecciona el registro y dar clic en el boton de "Ver detalle"</v>
      </c>
      <c r="G79" t="str">
        <f>IF(LEN($C79)&gt;0,"",'Casos de Prueba'!F78&amp;CHAR(10)&amp;'Casos de Prueba'!G78)</f>
        <v xml:space="preserve">El sistema muestra una subpantalla con la siguiente información:
•	RFC PAC: El RFC del Proveedor.
•	Nombre o Razón Social: La razón social del Proveedor.
•	Clave de evento: Clave del evento de incidencia de recepción
•	Evento: Descripción del evento de incidencia de recepción.
Tabla: (Registros de Incidentes)
o	UUID: Folio Fiscal de los comprobantes asociados al incidente
o	Fecha de registro del incidente: Fecha en que se recibió el incidente.* 
Botones:
.Exportar Detalle a PDF
.Exportar Resultados a JSON
</v>
      </c>
    </row>
    <row r="80" spans="4:7" x14ac:dyDescent="0.35">
      <c r="D80" t="str">
        <f>IF('Casos de Prueba'!B79&lt;&gt;0,'Casos de Prueba'!B79&amp;"-"&amp;'Casos de Prueba'!C79,"")</f>
        <v/>
      </c>
      <c r="E80">
        <f>IF(LEN($C80)&gt;0,"",'Casos de Prueba'!D79)</f>
        <v>7</v>
      </c>
      <c r="F80" t="str">
        <f>IF(LEN($C80)&gt;0,"",'Casos de Prueba'!E79)</f>
        <v>Dar clic en el botón "Exportar Detalle a PDF"</v>
      </c>
      <c r="G80" t="str">
        <f>IF(LEN($C80)&gt;0,"",'Casos de Prueba'!F79&amp;CHAR(10)&amp;'Casos de Prueba'!G79)</f>
        <v xml:space="preserve">Al seleccionar este botón se debe generar una petición de descarga para los registros de incidentes que se muestran en la ventana ‘Detalle de Consulta’.
Al seleccionar el botón ‘Exportar Detalle a PDF’ se debe mostrar que el PDF se encuentra en proceso de descarga.
</v>
      </c>
    </row>
    <row r="81" spans="4:7" x14ac:dyDescent="0.35">
      <c r="D81" t="str">
        <f>IF('Casos de Prueba'!B80&lt;&gt;0,'Casos de Prueba'!B80&amp;"-"&amp;'Casos de Prueba'!C80,"")</f>
        <v/>
      </c>
      <c r="E81">
        <f>IF(LEN($C81)&gt;0,"",'Casos de Prueba'!D80)</f>
        <v>8</v>
      </c>
      <c r="F81" t="str">
        <f>IF(LEN($C81)&gt;0,"",'Casos de Prueba'!E80)</f>
        <v>Da clic en  Cerrar Sesion</v>
      </c>
      <c r="G81" t="str">
        <f>IF(LEN($C81)&gt;0,"",'Casos de Prueba'!F80&amp;CHAR(10)&amp;'Casos de Prueba'!G80)</f>
        <v>Cierra la sesión del RFC
Fin del caso</v>
      </c>
    </row>
    <row r="82" spans="4:7" x14ac:dyDescent="0.35">
      <c r="D82" t="str">
        <f>IF('Casos de Prueba'!B81&lt;&gt;0,'Casos de Prueba'!B81&amp;"-"&amp;'Casos de Prueba'!C81,"")</f>
        <v>CP11-/FolioFiscalExportarJSON</v>
      </c>
      <c r="G82" t="str">
        <f>IF(LEN($C82)&gt;0,"",'Casos de Prueba'!F81&amp;CHAR(10)&amp;'Casos de Prueba'!G81)</f>
        <v xml:space="preserve">
</v>
      </c>
    </row>
    <row r="83" spans="4:7" x14ac:dyDescent="0.35">
      <c r="D83" t="str">
        <f>IF('Casos de Prueba'!B82&lt;&gt;0,'Casos de Prueba'!B82&amp;"-"&amp;'Casos de Prueba'!C82,"")</f>
        <v/>
      </c>
      <c r="E83">
        <f>IF(LEN($C83)&gt;0,"",'Casos de Prueba'!D82)</f>
        <v>1</v>
      </c>
      <c r="F83" t="str">
        <f>IF(LEN($C83)&gt;0,"",'Casos de Prueba'!E82)</f>
        <v xml:space="preserve">Usuario ingresa al Portal de Incidentes </v>
      </c>
      <c r="G83" t="str">
        <f>IF(LEN($C83)&gt;0,"",'Casos de Prueba'!F82&amp;CHAR(10)&amp;'Casos de Prueba'!G82)</f>
        <v>El sistema muestra las siguientes opciones:
- Consulta incidentes CFDI
- Consulta incidentes CFDI Retenciones
-Recuperar descargas Detalle de consulta de incidencias’
El Usuario previamente se autenticó  y accedió al portal de Incidentes</v>
      </c>
    </row>
    <row r="84" spans="4:7" x14ac:dyDescent="0.35">
      <c r="D84" t="str">
        <f>IF('Casos de Prueba'!B83&lt;&gt;0,'Casos de Prueba'!B83&amp;"-"&amp;'Casos de Prueba'!C83,"")</f>
        <v/>
      </c>
      <c r="E84">
        <f>IF(LEN($C84)&gt;0,"",'Casos de Prueba'!D83)</f>
        <v>2</v>
      </c>
      <c r="F84" t="str">
        <f>IF(LEN($C84)&gt;0,"",'Casos de Prueba'!E83)</f>
        <v>Da clic en "Consulta incidentes CFDI"</v>
      </c>
      <c r="G84" t="str">
        <f>IF(LEN($C84)&gt;0,"",'Casos de Prueba'!F83&amp;CHAR(10)&amp;'Casos de Prueba'!G83)</f>
        <v xml:space="preserve">El sistema muestra el RFC del empleado autenticado con la opción Salir.
El sistema muestra las opciones:
Tipo de consulta
Lista desplegable
(Opciones inhabilitadas)
Folio Fiscal
Por Fechas
Fecha Inicial de Recepción*
Fecha Final de Recepción*
Versión del comprobante (Valor es por default 4.0)
PAC 
Botón "Consultar Incidentes"
</v>
      </c>
    </row>
    <row r="85" spans="4:7" x14ac:dyDescent="0.35">
      <c r="D85" t="str">
        <f>IF('Casos de Prueba'!B84&lt;&gt;0,'Casos de Prueba'!B84&amp;"-"&amp;'Casos de Prueba'!C84,"")</f>
        <v/>
      </c>
      <c r="E85">
        <f>IF(LEN($C85)&gt;0,"",'Casos de Prueba'!D84)</f>
        <v>3</v>
      </c>
      <c r="F85" t="str">
        <f>IF(LEN($C85)&gt;0,"",'Casos de Prueba'!E84)</f>
        <v>Selecciona en el campo "Tipo de Consulta":
Incidentes Servicio de Recepción</v>
      </c>
      <c r="G85" t="str">
        <f>IF(LEN($C85)&gt;0,"",'Casos de Prueba'!F84&amp;CHAR(10)&amp;'Casos de Prueba'!G84)</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v>
      </c>
    </row>
    <row r="86" spans="4:7" x14ac:dyDescent="0.35">
      <c r="D86" t="str">
        <f>IF('Casos de Prueba'!B85&lt;&gt;0,'Casos de Prueba'!B85&amp;"-"&amp;'Casos de Prueba'!C85,"")</f>
        <v/>
      </c>
      <c r="E86">
        <f>IF(LEN($C86)&gt;0,"",'Casos de Prueba'!D85)</f>
        <v>4</v>
      </c>
      <c r="F86" t="str">
        <f>IF(LEN($C86)&gt;0,"",'Casos de Prueba'!E85)</f>
        <v>Selecciona el campo Folio Fiscal e ingresa el UUID del comprobante del cual se desea conocer los incidentes registrados</v>
      </c>
      <c r="G86" t="str">
        <f>IF(LEN($C86)&gt;0,"",'Casos de Prueba'!F85&amp;CHAR(10)&amp;'Casos de Prueba'!G85)</f>
        <v xml:space="preserve">El sistema muestra los datos que se van ingresando
</v>
      </c>
    </row>
    <row r="87" spans="4:7" x14ac:dyDescent="0.35">
      <c r="D87" t="str">
        <f>IF('Casos de Prueba'!B86&lt;&gt;0,'Casos de Prueba'!B86&amp;"-"&amp;'Casos de Prueba'!C86,"")</f>
        <v/>
      </c>
      <c r="E87">
        <f>IF(LEN($C87)&gt;0,"",'Casos de Prueba'!D86)</f>
        <v>5</v>
      </c>
      <c r="F87" t="str">
        <f>IF(LEN($C87)&gt;0,"",'Casos de Prueba'!E86)</f>
        <v>Se da clic en el botón "Consultar Incidentes"</v>
      </c>
      <c r="G87" t="str">
        <f>IF(LEN($C87)&gt;0,"",'Casos de Prueba'!F86&amp;CHAR(10)&amp;'Casos de Prueba'!G86)</f>
        <v xml:space="preserve">El servicio inhabilita la sección de Fecha Inicial y Final de Recepción.
El sistema deberá mostrar en una tabla los resultados obtenidos de la consulta:
• RFC del PAC
• Nombre o Razón Social
• Evento
• Mensaje
• Total
• Detalle (Boton)
</v>
      </c>
    </row>
    <row r="88" spans="4:7" x14ac:dyDescent="0.35">
      <c r="D88" t="str">
        <f>IF('Casos de Prueba'!B87&lt;&gt;0,'Casos de Prueba'!B87&amp;"-"&amp;'Casos de Prueba'!C87,"")</f>
        <v/>
      </c>
      <c r="E88">
        <f>IF(LEN($C88)&gt;0,"",'Casos de Prueba'!D87)</f>
        <v>6</v>
      </c>
      <c r="F88" t="str">
        <f>IF(LEN($C88)&gt;0,"",'Casos de Prueba'!E87)</f>
        <v>Selecciona el registro y dar clic en el boton de "Ver detalle"</v>
      </c>
      <c r="G88" t="str">
        <f>IF(LEN($C88)&gt;0,"",'Casos de Prueba'!F87&amp;CHAR(10)&amp;'Casos de Prueba'!G87)</f>
        <v xml:space="preserve">El sistema muestra una subpantalla con la siguiente información:
•	RFC PAC: El RFC del Proveedor.
•	Nombre o Razón Social: La razón social del Proveedor.
•	Clave de evento: Clave del evento de incidencia de recepción
•	Evento: Descripción del evento de incidencia de recepción.
Tabla: (Registros de Incidentes)
o	UUID: Folio Fiscal de los comprobantes asociados al incidente
o	Fecha de registro del incidente: Fecha en que se recibió el incidente.* 
Botones:
.Exportar Detalle a PDF
.Exportar Resultados a JSON
</v>
      </c>
    </row>
    <row r="89" spans="4:7" x14ac:dyDescent="0.35">
      <c r="D89" t="str">
        <f>IF('Casos de Prueba'!B88&lt;&gt;0,'Casos de Prueba'!B88&amp;"-"&amp;'Casos de Prueba'!C88,"")</f>
        <v/>
      </c>
      <c r="E89">
        <f>IF(LEN($C89)&gt;0,"",'Casos de Prueba'!D88)</f>
        <v>7</v>
      </c>
      <c r="F89" t="str">
        <f>IF(LEN($C89)&gt;0,"",'Casos de Prueba'!E88)</f>
        <v>Dar clic en el botón "Exportar Resultados a JSON"</v>
      </c>
      <c r="G89" t="str">
        <f>IF(LEN($C89)&gt;0,"",'Casos de Prueba'!F88&amp;CHAR(10)&amp;'Casos de Prueba'!G88)</f>
        <v xml:space="preserve">Al seleccionar este botón se debe generar una petición de descarga para los registros de incidentes que se muestran en la ventana ‘Detalle de Consulta’ en formato JSON.
Al seleccionar el botón ‘Exportar Detalle a JSON se debe mostrar que el JSON se encuentra en proceso de descarga.
</v>
      </c>
    </row>
    <row r="90" spans="4:7" x14ac:dyDescent="0.35">
      <c r="D90" t="str">
        <f>IF('Casos de Prueba'!B89&lt;&gt;0,'Casos de Prueba'!B89&amp;"-"&amp;'Casos de Prueba'!C89,"")</f>
        <v/>
      </c>
      <c r="E90">
        <f>IF(LEN($C90)&gt;0,"",'Casos de Prueba'!D89)</f>
        <v>8</v>
      </c>
      <c r="F90" t="str">
        <f>IF(LEN($C90)&gt;0,"",'Casos de Prueba'!E89)</f>
        <v>Da clic en  Cerrar Sesion</v>
      </c>
      <c r="G90" t="str">
        <f>IF(LEN($C90)&gt;0,"",'Casos de Prueba'!F89&amp;CHAR(10)&amp;'Casos de Prueba'!G89)</f>
        <v>Cierra la sesión del RFC
Fin del caso</v>
      </c>
    </row>
    <row r="91" spans="4:7" x14ac:dyDescent="0.35">
      <c r="D91" t="str">
        <f>IF('Casos de Prueba'!B90&lt;&gt;0,'Casos de Prueba'!B90&amp;"-"&amp;'Casos de Prueba'!C90,"")</f>
        <v>CP12-/FechaConsulta</v>
      </c>
      <c r="G91" t="str">
        <f>IF(LEN($C91)&gt;0,"",'Casos de Prueba'!F90&amp;CHAR(10)&amp;'Casos de Prueba'!G90)</f>
        <v xml:space="preserve">
</v>
      </c>
    </row>
    <row r="92" spans="4:7" x14ac:dyDescent="0.35">
      <c r="D92" t="str">
        <f>IF('Casos de Prueba'!B91&lt;&gt;0,'Casos de Prueba'!B91&amp;"-"&amp;'Casos de Prueba'!C91,"")</f>
        <v/>
      </c>
      <c r="E92">
        <f>IF(LEN($C92)&gt;0,"",'Casos de Prueba'!D91)</f>
        <v>1</v>
      </c>
      <c r="F92" t="str">
        <f>IF(LEN($C92)&gt;0,"",'Casos de Prueba'!E91)</f>
        <v xml:space="preserve">Usuario ingresa al Portal de Incidentes </v>
      </c>
      <c r="G92" t="str">
        <f>IF(LEN($C92)&gt;0,"",'Casos de Prueba'!F91&amp;CHAR(10)&amp;'Casos de Prueba'!G91)</f>
        <v>El sistema muestra las siguientes opciones:
- Consulta incidentes CFDI
- Consulta incidentes CFDI Retenciones
-Recuperar descargas Detalle de consulta de incidencias’
El Usuario previamente se autenticó  y accedió al portal de Incidentes</v>
      </c>
    </row>
    <row r="93" spans="4:7" x14ac:dyDescent="0.35">
      <c r="D93" t="str">
        <f>IF('Casos de Prueba'!B92&lt;&gt;0,'Casos de Prueba'!B92&amp;"-"&amp;'Casos de Prueba'!C92,"")</f>
        <v/>
      </c>
      <c r="E93">
        <f>IF(LEN($C93)&gt;0,"",'Casos de Prueba'!D92)</f>
        <v>2</v>
      </c>
      <c r="F93" t="str">
        <f>IF(LEN($C93)&gt;0,"",'Casos de Prueba'!E92)</f>
        <v>Da clic en "Consulta incidentes CFDI"</v>
      </c>
      <c r="G93" t="str">
        <f>IF(LEN($C93)&gt;0,"",'Casos de Prueba'!F92&amp;CHAR(10)&amp;'Casos de Prueba'!G92)</f>
        <v xml:space="preserve">El sistema muestra el RFC del empleado autenticado con la opción Salir.
El sistema muestra las opciones:
Tipo de consulta
Lista desplegable
(Opciones inhabilitadas)
Folio Fiscal
Por Fechas
Fecha Inicial de Recepción*
Fecha Final de Recepción*
Versión del comprobante (Valor es por default 4.0)
PAC 
Botón "Consultar Incidentes"
</v>
      </c>
    </row>
    <row r="94" spans="4:7" x14ac:dyDescent="0.35">
      <c r="D94" t="str">
        <f>IF('Casos de Prueba'!B93&lt;&gt;0,'Casos de Prueba'!B93&amp;"-"&amp;'Casos de Prueba'!C93,"")</f>
        <v/>
      </c>
      <c r="E94">
        <f>IF(LEN($C94)&gt;0,"",'Casos de Prueba'!D93)</f>
        <v>3</v>
      </c>
      <c r="F94" t="str">
        <f>IF(LEN($C94)&gt;0,"",'Casos de Prueba'!E93)</f>
        <v>Selecciona en el campo "Tipo de Consulta":
Incidentes Servicio de Recepción</v>
      </c>
      <c r="G94" t="str">
        <f>IF(LEN($C94)&gt;0,"",'Casos de Prueba'!F93&amp;CHAR(10)&amp;'Casos de Prueba'!G93)</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v>
      </c>
    </row>
    <row r="95" spans="4:7" x14ac:dyDescent="0.35">
      <c r="D95" t="str">
        <f>IF('Casos de Prueba'!B94&lt;&gt;0,'Casos de Prueba'!B94&amp;"-"&amp;'Casos de Prueba'!C94,"")</f>
        <v/>
      </c>
      <c r="E95">
        <f>IF(LEN($C95)&gt;0,"",'Casos de Prueba'!D94)</f>
        <v>4</v>
      </c>
      <c r="F95" t="str">
        <f>IF(LEN($C95)&gt;0,"",'Casos de Prueba'!E94)</f>
        <v xml:space="preserve">Seleccionar la opcion Por Fechas y agregar los valores:
Campo Fecha Inicial de Recepción*
Campo Fecha Final de Recepción.*
PAC
Los campos marcados con (*) son obligatorios
Dar clic en el botón "Consultar Incidentes".
</v>
      </c>
      <c r="G95" t="str">
        <f>IF(LEN($C95)&gt;0,"",'Casos de Prueba'!F94&amp;CHAR(10)&amp;'Casos de Prueba'!G94)</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v>
      </c>
    </row>
    <row r="96" spans="4:7" x14ac:dyDescent="0.35">
      <c r="D96" t="str">
        <f>IF('Casos de Prueba'!B95&lt;&gt;0,'Casos de Prueba'!B95&amp;"-"&amp;'Casos de Prueba'!C95,"")</f>
        <v/>
      </c>
      <c r="E96">
        <f>IF(LEN($C96)&gt;0,"",'Casos de Prueba'!D95)</f>
        <v>5</v>
      </c>
      <c r="F96" t="str">
        <f>IF(LEN($C96)&gt;0,"",'Casos de Prueba'!E95)</f>
        <v>Da clic en  Cerrar Sesion</v>
      </c>
      <c r="G96" t="str">
        <f>IF(LEN($C96)&gt;0,"",'Casos de Prueba'!F95&amp;CHAR(10)&amp;'Casos de Prueba'!G95)</f>
        <v>Cierra la sesión del RFC
Fin del caso</v>
      </c>
    </row>
    <row r="97" spans="4:7" x14ac:dyDescent="0.35">
      <c r="D97" t="str">
        <f>IF('Casos de Prueba'!B96&lt;&gt;0,'Casos de Prueba'!B96&amp;"-"&amp;'Casos de Prueba'!C96,"")</f>
        <v>CP13-/FechaMsgErrorConsultaRangoFecha</v>
      </c>
      <c r="G97" t="str">
        <f>IF(LEN($C97)&gt;0,"",'Casos de Prueba'!F96&amp;CHAR(10)&amp;'Casos de Prueba'!G96)</f>
        <v xml:space="preserve">
</v>
      </c>
    </row>
    <row r="98" spans="4:7" x14ac:dyDescent="0.35">
      <c r="D98" t="str">
        <f>IF('Casos de Prueba'!B97&lt;&gt;0,'Casos de Prueba'!B97&amp;"-"&amp;'Casos de Prueba'!C97,"")</f>
        <v/>
      </c>
      <c r="E98">
        <f>IF(LEN($C98)&gt;0,"",'Casos de Prueba'!D97)</f>
        <v>1</v>
      </c>
      <c r="F98" t="str">
        <f>IF(LEN($C98)&gt;0,"",'Casos de Prueba'!E97)</f>
        <v xml:space="preserve">Usuario ingresa al Portal de Incidentes </v>
      </c>
      <c r="G98" t="str">
        <f>IF(LEN($C98)&gt;0,"",'Casos de Prueba'!F97&amp;CHAR(10)&amp;'Casos de Prueba'!G97)</f>
        <v>El sistema muestra las siguientes opciones:
- Consulta incidentes CFDI
- Consulta incidentes CFDI Retenciones
-Recuperar descargas Detalle de consulta de incidencias’
El Usuario previamente se autenticó  y accedió al portal de Incidentes</v>
      </c>
    </row>
    <row r="99" spans="4:7" x14ac:dyDescent="0.35">
      <c r="D99" t="str">
        <f>IF('Casos de Prueba'!B98&lt;&gt;0,'Casos de Prueba'!B98&amp;"-"&amp;'Casos de Prueba'!C98,"")</f>
        <v/>
      </c>
      <c r="E99">
        <f>IF(LEN($C99)&gt;0,"",'Casos de Prueba'!D98)</f>
        <v>2</v>
      </c>
      <c r="F99" t="str">
        <f>IF(LEN($C99)&gt;0,"",'Casos de Prueba'!E98)</f>
        <v>Da clic en "Consulta incidentes CFDI"</v>
      </c>
      <c r="G99" t="str">
        <f>IF(LEN($C99)&gt;0,"",'Casos de Prueba'!F98&amp;CHAR(10)&amp;'Casos de Prueba'!G98)</f>
        <v xml:space="preserve">El sistema muestra el RFC del empleado autenticado con la opción Salir.
El sistema muestra las opciones:
Tipo de consulta
Lista desplegable
(Opciones inhabilitadas)
Folio Fiscal
Por Fechas
Fecha Inicial de Recepción*
Fecha Final de Recepción*
Versión del comprobante (Valor es por default 4.0)
PAC 
Botón "Consultar Incidentes"
</v>
      </c>
    </row>
    <row r="100" spans="4:7" x14ac:dyDescent="0.35">
      <c r="D100" t="str">
        <f>IF('Casos de Prueba'!B99&lt;&gt;0,'Casos de Prueba'!B99&amp;"-"&amp;'Casos de Prueba'!C99,"")</f>
        <v/>
      </c>
      <c r="E100">
        <f>IF(LEN($C100)&gt;0,"",'Casos de Prueba'!D99)</f>
        <v>3</v>
      </c>
      <c r="F100" t="str">
        <f>IF(LEN($C100)&gt;0,"",'Casos de Prueba'!E99)</f>
        <v>Selecciona en el campo "Tipo de Consulta":
Incidentes Servicio de Recepción</v>
      </c>
      <c r="G100" t="str">
        <f>IF(LEN($C100)&gt;0,"",'Casos de Prueba'!F99&amp;CHAR(10)&amp;'Casos de Prueba'!G99)</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v>
      </c>
    </row>
    <row r="101" spans="4:7" x14ac:dyDescent="0.35">
      <c r="D101" t="str">
        <f>IF('Casos de Prueba'!B100&lt;&gt;0,'Casos de Prueba'!B100&amp;"-"&amp;'Casos de Prueba'!C100,"")</f>
        <v/>
      </c>
      <c r="E101">
        <f>IF(LEN($C101)&gt;0,"",'Casos de Prueba'!D100)</f>
        <v>4</v>
      </c>
      <c r="F101" t="str">
        <f>IF(LEN($C101)&gt;0,"",'Casos de Prueba'!E100)</f>
        <v xml:space="preserve">Seleccionar la opcion Por Fechas y agregar los valores:
Campo Fecha Inicial de Recepción*
Campo Fecha Final de Recepción.*
PAC
Los campos marcados con (*) son obligatorios
Dar clic en el botón "Consultar Incidentes".
Nota: Para este caso de prueba se debe seleccionar un rango mayor a un mes
</v>
      </c>
      <c r="G101" t="str">
        <f>IF(LEN($C101)&gt;0,"",'Casos de Prueba'!F100&amp;CHAR(10)&amp;'Casos de Prueba'!G100)</f>
        <v>Cuando se ingrese un rango de fechas mayor a un mes y se seleccione el botón “Consultar Incidentes”, el aplicativo deberá mostrar el siguiente mensaje de error: 
•	“ERROR: La consulta no debe ser mayor a un mes”.
Importante mencionar que, el resultado se debe agrupar por tipo de error y presentarse de forma general, 
Campo "Versión del comprobante" por default tiene el valor 4.0 
Al seleccionar el botón para la consulta por periodo de fecha de emisión, se debe deshabilitar el campo correspondiente a la consulta de Folio Fiscal.
La consulta por fecha no deberá ser mayor a un mes. Por defecto, el valor que se mostrará en ambas fechas será del día en que el usuario de negocio ingresa al sistema.</v>
      </c>
    </row>
    <row r="102" spans="4:7" x14ac:dyDescent="0.35">
      <c r="D102" t="str">
        <f>IF('Casos de Prueba'!B101&lt;&gt;0,'Casos de Prueba'!B101&amp;"-"&amp;'Casos de Prueba'!C101,"")</f>
        <v/>
      </c>
      <c r="E102">
        <f>IF(LEN($C102)&gt;0,"",'Casos de Prueba'!D101)</f>
        <v>5</v>
      </c>
      <c r="F102" t="str">
        <f>IF(LEN($C102)&gt;0,"",'Casos de Prueba'!E101)</f>
        <v>Da clic en  Cerrar Sesion</v>
      </c>
      <c r="G102" t="str">
        <f>IF(LEN($C102)&gt;0,"",'Casos de Prueba'!F101&amp;CHAR(10)&amp;'Casos de Prueba'!G101)</f>
        <v>Cierra la sesión del RFC
Fin del caso</v>
      </c>
    </row>
    <row r="103" spans="4:7" x14ac:dyDescent="0.35">
      <c r="D103" t="str">
        <f>IF('Casos de Prueba'!B102&lt;&gt;0,'Casos de Prueba'!B102&amp;"-"&amp;'Casos de Prueba'!C102,"")</f>
        <v>CP14-/FechaExportarPDF</v>
      </c>
      <c r="G103" t="str">
        <f>IF(LEN($C103)&gt;0,"",'Casos de Prueba'!F102&amp;CHAR(10)&amp;'Casos de Prueba'!G102)</f>
        <v xml:space="preserve">
</v>
      </c>
    </row>
    <row r="104" spans="4:7" x14ac:dyDescent="0.35">
      <c r="D104" t="str">
        <f>IF('Casos de Prueba'!B103&lt;&gt;0,'Casos de Prueba'!B103&amp;"-"&amp;'Casos de Prueba'!C103,"")</f>
        <v/>
      </c>
      <c r="E104">
        <f>IF(LEN($C104)&gt;0,"",'Casos de Prueba'!D103)</f>
        <v>1</v>
      </c>
      <c r="F104" t="str">
        <f>IF(LEN($C104)&gt;0,"",'Casos de Prueba'!E103)</f>
        <v xml:space="preserve">Usuario ingresa al Portal de Incidentes </v>
      </c>
      <c r="G104" t="str">
        <f>IF(LEN($C104)&gt;0,"",'Casos de Prueba'!F103&amp;CHAR(10)&amp;'Casos de Prueba'!G103)</f>
        <v>El sistema muestra las siguientes opciones:
- Consulta incidentes CFDI
- Consulta incidentes CFDI Retenciones
-Recuperar descargas Detalle de consulta de incidencias’
El Usuario previamente se autenticó  y accedió al portal de Incidentes</v>
      </c>
    </row>
    <row r="105" spans="4:7" x14ac:dyDescent="0.35">
      <c r="D105" t="str">
        <f>IF('Casos de Prueba'!B104&lt;&gt;0,'Casos de Prueba'!B104&amp;"-"&amp;'Casos de Prueba'!C104,"")</f>
        <v/>
      </c>
      <c r="E105">
        <f>IF(LEN($C105)&gt;0,"",'Casos de Prueba'!D104)</f>
        <v>2</v>
      </c>
      <c r="F105" t="str">
        <f>IF(LEN($C105)&gt;0,"",'Casos de Prueba'!E104)</f>
        <v>Da clic en "Consulta incidentes CFDI"</v>
      </c>
      <c r="G105" t="str">
        <f>IF(LEN($C105)&gt;0,"",'Casos de Prueba'!F104&amp;CHAR(10)&amp;'Casos de Prueba'!G104)</f>
        <v xml:space="preserve">El sistema muestra el RFC del empleado autenticado con la opción Salir.
El sistema muestra las opciones:
Tipo de consulta
Lista desplegable
(Opciones inhabilitadas)
Folio Fiscal
Por Fechas
Fecha Inicial de Recepción*
Fecha Final de Recepción*
Versión del comprobante (Valor es por default 4.0)
PAC 
Botón "Consultar Incidentes"
</v>
      </c>
    </row>
    <row r="106" spans="4:7" x14ac:dyDescent="0.35">
      <c r="D106" t="str">
        <f>IF('Casos de Prueba'!B105&lt;&gt;0,'Casos de Prueba'!B105&amp;"-"&amp;'Casos de Prueba'!C105,"")</f>
        <v/>
      </c>
      <c r="E106">
        <f>IF(LEN($C106)&gt;0,"",'Casos de Prueba'!D105)</f>
        <v>3</v>
      </c>
      <c r="F106" t="str">
        <f>IF(LEN($C106)&gt;0,"",'Casos de Prueba'!E105)</f>
        <v>Selecciona en el campo "Tipo de Consulta":
Incidentes Servicio de Recepción</v>
      </c>
      <c r="G106" t="str">
        <f>IF(LEN($C106)&gt;0,"",'Casos de Prueba'!F105&amp;CHAR(10)&amp;'Casos de Prueba'!G105)</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v>
      </c>
    </row>
    <row r="107" spans="4:7" x14ac:dyDescent="0.35">
      <c r="D107" t="str">
        <f>IF('Casos de Prueba'!B106&lt;&gt;0,'Casos de Prueba'!B106&amp;"-"&amp;'Casos de Prueba'!C106,"")</f>
        <v/>
      </c>
      <c r="E107">
        <f>IF(LEN($C107)&gt;0,"",'Casos de Prueba'!D106)</f>
        <v>4</v>
      </c>
      <c r="F107" t="str">
        <f>IF(LEN($C107)&gt;0,"",'Casos de Prueba'!E106)</f>
        <v xml:space="preserve">Seleccionar la opcion Por Fechas y agregar los valores:
Campo Fecha Inicial de Recepción*
Campo Fecha Final de Recepción.*
PAC
Los campos marcados con (*) son obligatorios
Dar clic en el botón "Consultar Incidentes".
</v>
      </c>
      <c r="G107" t="str">
        <f>IF(LEN($C107)&gt;0,"",'Casos de Prueba'!F106&amp;CHAR(10)&amp;'Casos de Prueba'!G106)</f>
        <v>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Version por default 4.0</v>
      </c>
    </row>
    <row r="108" spans="4:7" x14ac:dyDescent="0.35">
      <c r="D108" t="str">
        <f>IF('Casos de Prueba'!B107&lt;&gt;0,'Casos de Prueba'!B107&amp;"-"&amp;'Casos de Prueba'!C107,"")</f>
        <v/>
      </c>
      <c r="E108">
        <f>IF(LEN($C108)&gt;0,"",'Casos de Prueba'!D107)</f>
        <v>5</v>
      </c>
      <c r="F108" t="str">
        <f>IF(LEN($C108)&gt;0,"",'Casos de Prueba'!E107)</f>
        <v>De los resultados, se selecciona un registro y se da clic en el boton de "Ver detalle".</v>
      </c>
      <c r="G108" t="str">
        <f>IF(LEN($C108)&gt;0,"",'Casos de Prueba'!F107&amp;CHAR(10)&amp;'Casos de Prueba'!G107)</f>
        <v>El sistema muestra una subpantalla con la siguiente información:
•	RFC PAC: El RFC del Proveedor.
•	Nombre o Razón Social: La razón social del Proveedor.
•	Clave de evento: Clave del evento de incidencia de recepción
•	Evento: Descripción del evento de incidencia de recepción.
Tabla: (Registros de Incidentes)
o	UUID: Folio Fiscal de los comprobantes asociados al incidente
o	Fecha de registro del incidente: Fecha en que se recibió el incidente.* 
Botones:
.Exportar Detalle a PDF
.Exportar Resultados a JSON
El orden de los registros es ordenada por el valor del campo “Fecha de registro del incidente” del más reciente a los más antiguos.</v>
      </c>
    </row>
    <row r="109" spans="4:7" x14ac:dyDescent="0.35">
      <c r="D109" t="str">
        <f>IF('Casos de Prueba'!B108&lt;&gt;0,'Casos de Prueba'!B108&amp;"-"&amp;'Casos de Prueba'!C108,"")</f>
        <v/>
      </c>
      <c r="E109">
        <f>IF(LEN($C109)&gt;0,"",'Casos de Prueba'!D108)</f>
        <v>6</v>
      </c>
      <c r="F109" t="str">
        <f>IF(LEN($C109)&gt;0,"",'Casos de Prueba'!E108)</f>
        <v>Dar clic en el botón "Exportar Detalle a PDF"</v>
      </c>
      <c r="G109" t="str">
        <f>IF(LEN($C109)&gt;0,"",'Casos de Prueba'!F108&amp;CHAR(10)&amp;'Casos de Prueba'!G108)</f>
        <v xml:space="preserve">Al seleccionar este botón se debe generar una petición de descarga para los registros de incidentes que se muestran en la ventana ‘Detalle de Consulta’ en formato JSON.
A.	Máximo 100 registros de incidencias. 
Al seleccionar el botón ‘Exportar Detalle a PDF se debe mostrar que el PDF se encuentra en proceso de descarga.
</v>
      </c>
    </row>
    <row r="110" spans="4:7" x14ac:dyDescent="0.35">
      <c r="D110" t="str">
        <f>IF('Casos de Prueba'!B109&lt;&gt;0,'Casos de Prueba'!B109&amp;"-"&amp;'Casos de Prueba'!C109,"")</f>
        <v/>
      </c>
      <c r="E110">
        <f>IF(LEN($C110)&gt;0,"",'Casos de Prueba'!D109)</f>
        <v>7</v>
      </c>
      <c r="F110" t="str">
        <f>IF(LEN($C110)&gt;0,"",'Casos de Prueba'!E109)</f>
        <v>Da clic en  Cerrar Sesion</v>
      </c>
      <c r="G110" t="str">
        <f>IF(LEN($C110)&gt;0,"",'Casos de Prueba'!F109&amp;CHAR(10)&amp;'Casos de Prueba'!G109)</f>
        <v>Cierra la sesión del RFC
Fin del caso</v>
      </c>
    </row>
    <row r="111" spans="4:7" x14ac:dyDescent="0.35">
      <c r="D111" t="str">
        <f>IF('Casos de Prueba'!B110&lt;&gt;0,'Casos de Prueba'!B110&amp;"-"&amp;'Casos de Prueba'!C110,"")</f>
        <v>CP15-/FechaExportarJSON</v>
      </c>
      <c r="G111" t="str">
        <f>IF(LEN($C111)&gt;0,"",'Casos de Prueba'!F110&amp;CHAR(10)&amp;'Casos de Prueba'!G110)</f>
        <v xml:space="preserve">
</v>
      </c>
    </row>
    <row r="112" spans="4:7" x14ac:dyDescent="0.35">
      <c r="D112" t="str">
        <f>IF('Casos de Prueba'!B111&lt;&gt;0,'Casos de Prueba'!B111&amp;"-"&amp;'Casos de Prueba'!C111,"")</f>
        <v/>
      </c>
      <c r="E112">
        <f>IF(LEN($C112)&gt;0,"",'Casos de Prueba'!D111)</f>
        <v>1</v>
      </c>
      <c r="F112" t="str">
        <f>IF(LEN($C112)&gt;0,"",'Casos de Prueba'!E111)</f>
        <v xml:space="preserve">Usuario ingresa al Portal de Incidentes </v>
      </c>
      <c r="G112" t="str">
        <f>IF(LEN($C112)&gt;0,"",'Casos de Prueba'!F111&amp;CHAR(10)&amp;'Casos de Prueba'!G111)</f>
        <v>El sistema muestra las siguientes opciones:
- Consulta incidentes CFDI
- Consulta incidentes CFDI Retenciones
-Recuperar descargas Detalle de consulta de incidencias’
El Usuario previamente se autenticó  y accedió al portal de Incidentes</v>
      </c>
    </row>
    <row r="113" spans="4:7" x14ac:dyDescent="0.35">
      <c r="D113" t="str">
        <f>IF('Casos de Prueba'!B112&lt;&gt;0,'Casos de Prueba'!B112&amp;"-"&amp;'Casos de Prueba'!C112,"")</f>
        <v/>
      </c>
      <c r="E113">
        <f>IF(LEN($C113)&gt;0,"",'Casos de Prueba'!D112)</f>
        <v>2</v>
      </c>
      <c r="F113" t="str">
        <f>IF(LEN($C113)&gt;0,"",'Casos de Prueba'!E112)</f>
        <v>Da clic en "Consulta incidentes CFDI"</v>
      </c>
      <c r="G113" t="str">
        <f>IF(LEN($C113)&gt;0,"",'Casos de Prueba'!F112&amp;CHAR(10)&amp;'Casos de Prueba'!G112)</f>
        <v xml:space="preserve">El sistema muestra el RFC del empleado autenticado con la opción Salir.
El sistema muestra las opciones:
Tipo de consulta
Lista desplegable
(Opciones inhabilitadas)
Folio Fiscal
Por Fechas
Fecha Inicial de Recepción*
Fecha Final de Recepción*
Versión del comprobante (Valor es por default 4.0)
PAC 
Botón "Consultar Incidentes"
</v>
      </c>
    </row>
    <row r="114" spans="4:7" x14ac:dyDescent="0.35">
      <c r="D114" t="str">
        <f>IF('Casos de Prueba'!B113&lt;&gt;0,'Casos de Prueba'!B113&amp;"-"&amp;'Casos de Prueba'!C113,"")</f>
        <v/>
      </c>
      <c r="E114">
        <f>IF(LEN($C114)&gt;0,"",'Casos de Prueba'!D113)</f>
        <v>3</v>
      </c>
      <c r="F114" t="str">
        <f>IF(LEN($C114)&gt;0,"",'Casos de Prueba'!E113)</f>
        <v>Selecciona en el campo "Tipo de Consulta":
Incidentes Servicio de Recepción</v>
      </c>
      <c r="G114" t="str">
        <f>IF(LEN($C114)&gt;0,"",'Casos de Prueba'!F113&amp;CHAR(10)&amp;'Casos de Prueba'!G113)</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v>
      </c>
    </row>
    <row r="115" spans="4:7" x14ac:dyDescent="0.35">
      <c r="D115" t="str">
        <f>IF('Casos de Prueba'!B114&lt;&gt;0,'Casos de Prueba'!B114&amp;"-"&amp;'Casos de Prueba'!C114,"")</f>
        <v/>
      </c>
      <c r="E115">
        <f>IF(LEN($C115)&gt;0,"",'Casos de Prueba'!D114)</f>
        <v>4</v>
      </c>
      <c r="F115" t="str">
        <f>IF(LEN($C115)&gt;0,"",'Casos de Prueba'!E114)</f>
        <v xml:space="preserve">Seleccionar la opcion Por Fechas y agregar los valores:
Campo Fecha Inicial de Recepción*
Campo Fecha Final de Recepción.*
PAC
Los campos marcados con (*) son obligatorios
Dar clic en el botón "Consultar Incidentes".
</v>
      </c>
      <c r="G115" t="str">
        <f>IF(LEN($C115)&gt;0,"",'Casos de Prueba'!F114&amp;CHAR(10)&amp;'Casos de Prueba'!G114)</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v>
      </c>
    </row>
    <row r="116" spans="4:7" x14ac:dyDescent="0.35">
      <c r="D116" t="str">
        <f>IF('Casos de Prueba'!B115&lt;&gt;0,'Casos de Prueba'!B115&amp;"-"&amp;'Casos de Prueba'!C115,"")</f>
        <v/>
      </c>
      <c r="E116">
        <f>IF(LEN($C116)&gt;0,"",'Casos de Prueba'!D115)</f>
        <v>5</v>
      </c>
      <c r="F116" t="str">
        <f>IF(LEN($C116)&gt;0,"",'Casos de Prueba'!E115)</f>
        <v>De los resultados, se selecciona un registro y se da clic en el boton de "Ver detalle".</v>
      </c>
      <c r="G116" t="str">
        <f>IF(LEN($C116)&gt;0,"",'Casos de Prueba'!F115&amp;CHAR(10)&amp;'Casos de Prueba'!G115)</f>
        <v>El sistema muestra una subpantalla con la siguiente información:
•	RFC PAC: El RFC del Proveedor.
•	Nombre o Razón Social: La razón social del Proveedor.
•	Clave de evento: Clave del evento de incidencia de recepción
•	Evento: Descripción del evento de incidencia de recepción.
Tabla: (Registros de Incidentes)
o	UUID: Folio Fiscal de los comprobantes asociados al incidente
o	Fecha de registro del incidente: Fecha en que se recibió el incidente.* 
Botones:
.Exportar Detalle a PDF
.Exportar Resultados a JSON
El orden de los registros es ordenada por el valor del campo “Fecha de registro del incidente” del más reciente a los más antiguos.</v>
      </c>
    </row>
    <row r="117" spans="4:7" x14ac:dyDescent="0.35">
      <c r="D117" t="str">
        <f>IF('Casos de Prueba'!B116&lt;&gt;0,'Casos de Prueba'!B116&amp;"-"&amp;'Casos de Prueba'!C116,"")</f>
        <v/>
      </c>
      <c r="E117">
        <f>IF(LEN($C117)&gt;0,"",'Casos de Prueba'!D116)</f>
        <v>6</v>
      </c>
      <c r="F117" t="str">
        <f>IF(LEN($C117)&gt;0,"",'Casos de Prueba'!E116)</f>
        <v>Dar clic en el botón "Exportar Resultados a JSON"</v>
      </c>
      <c r="G117" t="str">
        <f>IF(LEN($C117)&gt;0,"",'Casos de Prueba'!F116&amp;CHAR(10)&amp;'Casos de Prueba'!G116)</f>
        <v xml:space="preserve">Al seleccionar este botón se debe generar una petición de descarga para los registros de incidentes que se muestran en la ventana ‘Detalle de Consulta’ en formato JSON.
A.	Máximo 100 registros de incidencias. 
Al seleccionar el botón ‘Exportar Detalle a JSON se debe mostrar que el JSON se encuentra en proceso de descarga.
</v>
      </c>
    </row>
    <row r="118" spans="4:7" x14ac:dyDescent="0.35">
      <c r="D118" t="str">
        <f>IF('Casos de Prueba'!B117&lt;&gt;0,'Casos de Prueba'!B117&amp;"-"&amp;'Casos de Prueba'!C117,"")</f>
        <v/>
      </c>
      <c r="E118">
        <f>IF(LEN($C118)&gt;0,"",'Casos de Prueba'!D117)</f>
        <v>7</v>
      </c>
      <c r="F118" t="str">
        <f>IF(LEN($C118)&gt;0,"",'Casos de Prueba'!E117)</f>
        <v>Da clic en  Cerrar Sesion</v>
      </c>
      <c r="G118" t="str">
        <f>IF(LEN($C118)&gt;0,"",'Casos de Prueba'!F117&amp;CHAR(10)&amp;'Casos de Prueba'!G117)</f>
        <v>Cierra la sesión del RFC
Fin del caso</v>
      </c>
    </row>
    <row r="119" spans="4:7" x14ac:dyDescent="0.35">
      <c r="D119" t="str">
        <f>IF('Casos de Prueba'!B118&lt;&gt;0,'Casos de Prueba'!B118&amp;"-"&amp;'Casos de Prueba'!C118,"")</f>
        <v>CP16-/Retenciones/FolioFiscalConsulta</v>
      </c>
      <c r="G119" t="str">
        <f>IF(LEN($C119)&gt;0,"",'Casos de Prueba'!F118&amp;CHAR(10)&amp;'Casos de Prueba'!G118)</f>
        <v xml:space="preserve">
</v>
      </c>
    </row>
    <row r="120" spans="4:7" x14ac:dyDescent="0.35">
      <c r="D120" t="str">
        <f>IF('Casos de Prueba'!B119&lt;&gt;0,'Casos de Prueba'!B119&amp;"-"&amp;'Casos de Prueba'!C119,"")</f>
        <v/>
      </c>
      <c r="E120">
        <f>IF(LEN($C120)&gt;0,"",'Casos de Prueba'!D119)</f>
        <v>1</v>
      </c>
      <c r="F120" t="str">
        <f>IF(LEN($C120)&gt;0,"",'Casos de Prueba'!E119)</f>
        <v xml:space="preserve">Usuario ingresa al Portal de Incidentes </v>
      </c>
      <c r="G120" t="str">
        <f>IF(LEN($C120)&gt;0,"",'Casos de Prueba'!F119&amp;CHAR(10)&amp;'Casos de Prueba'!G119)</f>
        <v>El sistema muestra las siguientes opciones:
- Consulta incidentes CFDI
- Consulta incidentes CFDI Retenciones
-Recuperar descargas Detalle de consulta de incidencias’
El Usuario previamente se autenticó  y accedió al portal de Incidentes</v>
      </c>
    </row>
    <row r="121" spans="4:7" x14ac:dyDescent="0.35">
      <c r="D121" t="str">
        <f>IF('Casos de Prueba'!B120&lt;&gt;0,'Casos de Prueba'!B120&amp;"-"&amp;'Casos de Prueba'!C120,"")</f>
        <v/>
      </c>
      <c r="E121">
        <f>IF(LEN($C121)&gt;0,"",'Casos de Prueba'!D120)</f>
        <v>2</v>
      </c>
      <c r="F121" t="str">
        <f>IF(LEN($C121)&gt;0,"",'Casos de Prueba'!E120)</f>
        <v>Da clic en "Consulta Incidentes CFDI Retenciones"</v>
      </c>
      <c r="G121" t="str">
        <f>IF(LEN($C121)&gt;0,"",'Casos de Prueba'!F120&amp;CHAR(10)&amp;'Casos de Prueba'!G120)</f>
        <v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2.0)
PAC 
Botón "Consultar Incidentes"
</v>
      </c>
    </row>
    <row r="122" spans="4:7" x14ac:dyDescent="0.35">
      <c r="D122" t="str">
        <f>IF('Casos de Prueba'!B121&lt;&gt;0,'Casos de Prueba'!B121&amp;"-"&amp;'Casos de Prueba'!C121,"")</f>
        <v/>
      </c>
      <c r="E122">
        <f>IF(LEN($C122)&gt;0,"",'Casos de Prueba'!D121)</f>
        <v>3</v>
      </c>
      <c r="F122" t="str">
        <f>IF(LEN($C122)&gt;0,"",'Casos de Prueba'!E121)</f>
        <v>Selecciona en el campo "Tipo de Consulta":
Incidentes Servicio de Recepción</v>
      </c>
      <c r="G122" t="str">
        <f>IF(LEN($C122)&gt;0,"",'Casos de Prueba'!F121&amp;CHAR(10)&amp;'Casos de Prueba'!G121)</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v>
      </c>
    </row>
    <row r="123" spans="4:7" x14ac:dyDescent="0.35">
      <c r="D123" t="str">
        <f>IF('Casos de Prueba'!B122&lt;&gt;0,'Casos de Prueba'!B122&amp;"-"&amp;'Casos de Prueba'!C122,"")</f>
        <v/>
      </c>
      <c r="E123">
        <f>IF(LEN($C123)&gt;0,"",'Casos de Prueba'!D122)</f>
        <v>4</v>
      </c>
      <c r="F123" t="str">
        <f>IF(LEN($C123)&gt;0,"",'Casos de Prueba'!E122)</f>
        <v>Selecciona el campo Folio Fiscal e ingresa el UUID del comprobante del cual se desea conocer los incidentes registrados</v>
      </c>
      <c r="G123" t="str">
        <f>IF(LEN($C123)&gt;0,"",'Casos de Prueba'!F122&amp;CHAR(10)&amp;'Casos de Prueba'!G122)</f>
        <v xml:space="preserve">El sistema muestra los datos que se van ingresando
</v>
      </c>
    </row>
    <row r="124" spans="4:7" x14ac:dyDescent="0.35">
      <c r="D124" t="str">
        <f>IF('Casos de Prueba'!B123&lt;&gt;0,'Casos de Prueba'!B123&amp;"-"&amp;'Casos de Prueba'!C123,"")</f>
        <v/>
      </c>
      <c r="E124">
        <f>IF(LEN($C124)&gt;0,"",'Casos de Prueba'!D123)</f>
        <v>5</v>
      </c>
      <c r="F124" t="str">
        <f>IF(LEN($C124)&gt;0,"",'Casos de Prueba'!E123)</f>
        <v>Se da clic en el botón "Consultar Incidentes"</v>
      </c>
      <c r="G124" t="str">
        <f>IF(LEN($C124)&gt;0,"",'Casos de Prueba'!F123&amp;CHAR(10)&amp;'Casos de Prueba'!G123)</f>
        <v xml:space="preserve">El servicio inhabilita la sección de Fecha Inicial y Final de Recepción.
El sistema deberá mostrar en una tabla los resultados obtenidos de la consulta:
• RFC del PAC
• Nombre o Razón Social
• Evento
• Mensaje
• Total
• Detalle (Boton)
</v>
      </c>
    </row>
    <row r="125" spans="4:7" x14ac:dyDescent="0.35">
      <c r="D125" t="str">
        <f>IF('Casos de Prueba'!B124&lt;&gt;0,'Casos de Prueba'!B124&amp;"-"&amp;'Casos de Prueba'!C124,"")</f>
        <v/>
      </c>
      <c r="E125">
        <f>IF(LEN($C125)&gt;0,"",'Casos de Prueba'!D124)</f>
        <v>6</v>
      </c>
      <c r="F125" t="str">
        <f>IF(LEN($C125)&gt;0,"",'Casos de Prueba'!E124)</f>
        <v>Da clic en  Cerrar Sesion</v>
      </c>
      <c r="G125" t="str">
        <f>IF(LEN($C125)&gt;0,"",'Casos de Prueba'!F124&amp;CHAR(10)&amp;'Casos de Prueba'!G124)</f>
        <v>Cierra la sesión del RFC
Fin del caso</v>
      </c>
    </row>
    <row r="126" spans="4:7" x14ac:dyDescent="0.35">
      <c r="D126" t="str">
        <f>IF('Casos de Prueba'!B125&lt;&gt;0,'Casos de Prueba'!B125&amp;"-"&amp;'Casos de Prueba'!C125,"")</f>
        <v>CP17-/Retenciones/MsgErrorConsultaCFDIRetVacio</v>
      </c>
      <c r="G126" t="str">
        <f>IF(LEN($C126)&gt;0,"",'Casos de Prueba'!F125&amp;CHAR(10)&amp;'Casos de Prueba'!G125)</f>
        <v xml:space="preserve">
</v>
      </c>
    </row>
    <row r="127" spans="4:7" x14ac:dyDescent="0.35">
      <c r="D127" t="str">
        <f>IF('Casos de Prueba'!B126&lt;&gt;0,'Casos de Prueba'!B126&amp;"-"&amp;'Casos de Prueba'!C126,"")</f>
        <v/>
      </c>
      <c r="E127">
        <f>IF(LEN($C127)&gt;0,"",'Casos de Prueba'!D126)</f>
        <v>1</v>
      </c>
      <c r="F127" t="str">
        <f>IF(LEN($C127)&gt;0,"",'Casos de Prueba'!E126)</f>
        <v xml:space="preserve">Usuario ingresa al Portal de Incidentes </v>
      </c>
      <c r="G127" t="str">
        <f>IF(LEN($C127)&gt;0,"",'Casos de Prueba'!F126&amp;CHAR(10)&amp;'Casos de Prueba'!G126)</f>
        <v>El sistema muestra las siguientes opciones:
- Consulta incidentes CFDI
- Consulta incidentes CFDI Retenciones
-Recuperar descargas Detalle de consulta de incidencias’
El Usuario previamente se autenticó  y accedió al portal de Incidentes</v>
      </c>
    </row>
    <row r="128" spans="4:7" x14ac:dyDescent="0.35">
      <c r="D128" t="str">
        <f>IF('Casos de Prueba'!B127&lt;&gt;0,'Casos de Prueba'!B127&amp;"-"&amp;'Casos de Prueba'!C127,"")</f>
        <v/>
      </c>
      <c r="E128">
        <f>IF(LEN($C128)&gt;0,"",'Casos de Prueba'!D127)</f>
        <v>2</v>
      </c>
      <c r="F128" t="str">
        <f>IF(LEN($C128)&gt;0,"",'Casos de Prueba'!E127)</f>
        <v>Da clic en "Consulta Incidentes CFDI Retenciones"</v>
      </c>
      <c r="G128" t="str">
        <f>IF(LEN($C128)&gt;0,"",'Casos de Prueba'!F127&amp;CHAR(10)&amp;'Casos de Prueba'!G127)</f>
        <v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2.0)
PAC 
Botón "Consultar Incidentes"
</v>
      </c>
    </row>
    <row r="129" spans="4:7" x14ac:dyDescent="0.35">
      <c r="D129" t="str">
        <f>IF('Casos de Prueba'!B128&lt;&gt;0,'Casos de Prueba'!B128&amp;"-"&amp;'Casos de Prueba'!C128,"")</f>
        <v/>
      </c>
      <c r="E129">
        <f>IF(LEN($C129)&gt;0,"",'Casos de Prueba'!D128)</f>
        <v>3</v>
      </c>
      <c r="F129" t="str">
        <f>IF(LEN($C129)&gt;0,"",'Casos de Prueba'!E128)</f>
        <v>Selecciona en el campo "Tipo de Consulta":
Incidentes Servicio de Recepción</v>
      </c>
      <c r="G129" t="str">
        <f>IF(LEN($C129)&gt;0,"",'Casos de Prueba'!F128&amp;CHAR(10)&amp;'Casos de Prueba'!G128)</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v>
      </c>
    </row>
    <row r="130" spans="4:7" x14ac:dyDescent="0.35">
      <c r="D130" t="str">
        <f>IF('Casos de Prueba'!B129&lt;&gt;0,'Casos de Prueba'!B129&amp;"-"&amp;'Casos de Prueba'!C129,"")</f>
        <v/>
      </c>
      <c r="E130">
        <f>IF(LEN($C130)&gt;0,"",'Casos de Prueba'!D129)</f>
        <v>4</v>
      </c>
      <c r="F130" t="str">
        <f>IF(LEN($C130)&gt;0,"",'Casos de Prueba'!E129)</f>
        <v>Se da clic en el botón "Consultar Incidentes"
Nota: Para este caso de prueba no se ingresa el Folio Fiscal</v>
      </c>
      <c r="G130" t="str">
        <f>IF(LEN($C130)&gt;0,"",'Casos de Prueba'!F129&amp;CHAR(10)&amp;'Casos de Prueba'!G129)</f>
        <v xml:space="preserve">El aplicativo muestra el siguiente mensaje
 “ERROR: Favor de ingresar el folio fiscal”.
</v>
      </c>
    </row>
    <row r="131" spans="4:7" x14ac:dyDescent="0.35">
      <c r="D131" t="str">
        <f>IF('Casos de Prueba'!B130&lt;&gt;0,'Casos de Prueba'!B130&amp;"-"&amp;'Casos de Prueba'!C130,"")</f>
        <v/>
      </c>
      <c r="E131">
        <f>IF(LEN($C131)&gt;0,"",'Casos de Prueba'!D130)</f>
        <v>5</v>
      </c>
      <c r="F131" t="str">
        <f>IF(LEN($C131)&gt;0,"",'Casos de Prueba'!E130)</f>
        <v>Da clic en  Cerrar Sesion</v>
      </c>
      <c r="G131" t="str">
        <f>IF(LEN($C131)&gt;0,"",'Casos de Prueba'!F130&amp;CHAR(10)&amp;'Casos de Prueba'!G130)</f>
        <v>Cierra la sesión del RFC
Fin del caso</v>
      </c>
    </row>
    <row r="132" spans="4:7" x14ac:dyDescent="0.35">
      <c r="D132" t="str">
        <f>IF('Casos de Prueba'!B131&lt;&gt;0,'Casos de Prueba'!B131&amp;"-"&amp;'Casos de Prueba'!C131,"")</f>
        <v>CP18-/Retenciones/MsgErrorConsultaCFDIRetFormatoIncorrecto</v>
      </c>
      <c r="G132" t="str">
        <f>IF(LEN($C132)&gt;0,"",'Casos de Prueba'!F131&amp;CHAR(10)&amp;'Casos de Prueba'!G131)</f>
        <v xml:space="preserve">
</v>
      </c>
    </row>
    <row r="133" spans="4:7" x14ac:dyDescent="0.35">
      <c r="D133" t="str">
        <f>IF('Casos de Prueba'!B132&lt;&gt;0,'Casos de Prueba'!B132&amp;"-"&amp;'Casos de Prueba'!C132,"")</f>
        <v/>
      </c>
      <c r="E133">
        <f>IF(LEN($C133)&gt;0,"",'Casos de Prueba'!D132)</f>
        <v>1</v>
      </c>
      <c r="F133" t="str">
        <f>IF(LEN($C133)&gt;0,"",'Casos de Prueba'!E132)</f>
        <v xml:space="preserve">Usuario ingresa al Portal de Incidentes </v>
      </c>
      <c r="G133" t="str">
        <f>IF(LEN($C133)&gt;0,"",'Casos de Prueba'!F132&amp;CHAR(10)&amp;'Casos de Prueba'!G132)</f>
        <v>El sistema muestra las siguientes opciones:
- Consulta incidentes CFDI
- Consulta incidentes CFDI Retenciones
-Recuperar descargas Detalle de consulta de incidencias’
El Usuario previamente se autenticó  y accedió al portal de Incidentes</v>
      </c>
    </row>
    <row r="134" spans="4:7" x14ac:dyDescent="0.35">
      <c r="D134" t="str">
        <f>IF('Casos de Prueba'!B133&lt;&gt;0,'Casos de Prueba'!B133&amp;"-"&amp;'Casos de Prueba'!C133,"")</f>
        <v/>
      </c>
      <c r="E134">
        <f>IF(LEN($C134)&gt;0,"",'Casos de Prueba'!D133)</f>
        <v>2</v>
      </c>
      <c r="F134" t="str">
        <f>IF(LEN($C134)&gt;0,"",'Casos de Prueba'!E133)</f>
        <v>Da clic en "Consulta Incidentes CFDI Retenciones"</v>
      </c>
      <c r="G134" t="str">
        <f>IF(LEN($C134)&gt;0,"",'Casos de Prueba'!F133&amp;CHAR(10)&amp;'Casos de Prueba'!G133)</f>
        <v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2.0)
PAC 
Botón "Consultar Incidentes"
</v>
      </c>
    </row>
    <row r="135" spans="4:7" x14ac:dyDescent="0.35">
      <c r="D135" t="str">
        <f>IF('Casos de Prueba'!B134&lt;&gt;0,'Casos de Prueba'!B134&amp;"-"&amp;'Casos de Prueba'!C134,"")</f>
        <v/>
      </c>
      <c r="E135">
        <f>IF(LEN($C135)&gt;0,"",'Casos de Prueba'!D134)</f>
        <v>3</v>
      </c>
      <c r="F135" t="str">
        <f>IF(LEN($C135)&gt;0,"",'Casos de Prueba'!E134)</f>
        <v>Selecciona en el campo "Tipo de Consulta":
Incidentes Servicio de Recepción</v>
      </c>
      <c r="G135" t="str">
        <f>IF(LEN($C135)&gt;0,"",'Casos de Prueba'!F134&amp;CHAR(10)&amp;'Casos de Prueba'!G134)</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v>
      </c>
    </row>
    <row r="136" spans="4:7" x14ac:dyDescent="0.35">
      <c r="D136" t="str">
        <f>IF('Casos de Prueba'!B135&lt;&gt;0,'Casos de Prueba'!B135&amp;"-"&amp;'Casos de Prueba'!C135,"")</f>
        <v/>
      </c>
      <c r="E136">
        <f>IF(LEN($C136)&gt;0,"",'Casos de Prueba'!D135)</f>
        <v>4</v>
      </c>
      <c r="F136" t="str">
        <f>IF(LEN($C136)&gt;0,"",'Casos de Prueba'!E135)</f>
        <v>Selecciona el campo Folio Fiscal e ingresa el UUID del comprobante el cual no cumple con la estructura  y selecciona la opción "Consultar Incidentes".</v>
      </c>
      <c r="G136" t="str">
        <f>IF(LEN($C136)&gt;0,"",'Casos de Prueba'!F135&amp;CHAR(10)&amp;'Casos de Prueba'!G135)</f>
        <v xml:space="preserve">El aplicativo muestra el siguiente mensaje: 
•	“El Folio Fiscal no cumple con el formato correcto, favor de ingresarlo nuevamente”.
</v>
      </c>
    </row>
    <row r="137" spans="4:7" x14ac:dyDescent="0.35">
      <c r="D137" t="str">
        <f>IF('Casos de Prueba'!B136&lt;&gt;0,'Casos de Prueba'!B136&amp;"-"&amp;'Casos de Prueba'!C136,"")</f>
        <v/>
      </c>
      <c r="E137">
        <f>IF(LEN($C137)&gt;0,"",'Casos de Prueba'!D136)</f>
        <v>5</v>
      </c>
      <c r="F137" t="str">
        <f>IF(LEN($C137)&gt;0,"",'Casos de Prueba'!E136)</f>
        <v>Da clic en  Cerrar Sesion</v>
      </c>
      <c r="G137" t="str">
        <f>IF(LEN($C137)&gt;0,"",'Casos de Prueba'!F136&amp;CHAR(10)&amp;'Casos de Prueba'!G136)</f>
        <v>Cierra la sesión del RFC
Fin del caso</v>
      </c>
    </row>
    <row r="138" spans="4:7" x14ac:dyDescent="0.35">
      <c r="D138" t="str">
        <f>IF('Casos de Prueba'!B137&lt;&gt;0,'Casos de Prueba'!B137&amp;"-"&amp;'Casos de Prueba'!C137,"")</f>
        <v>CP19-/MsgErrorConsultaCFDIv4.0</v>
      </c>
      <c r="G138" t="str">
        <f>IF(LEN($C138)&gt;0,"",'Casos de Prueba'!F137&amp;CHAR(10)&amp;'Casos de Prueba'!G137)</f>
        <v xml:space="preserve">
</v>
      </c>
    </row>
    <row r="139" spans="4:7" x14ac:dyDescent="0.35">
      <c r="D139" t="str">
        <f>IF('Casos de Prueba'!B138&lt;&gt;0,'Casos de Prueba'!B138&amp;"-"&amp;'Casos de Prueba'!C138,"")</f>
        <v/>
      </c>
      <c r="E139">
        <f>IF(LEN($C139)&gt;0,"",'Casos de Prueba'!D138)</f>
        <v>1</v>
      </c>
      <c r="F139" t="str">
        <f>IF(LEN($C139)&gt;0,"",'Casos de Prueba'!E138)</f>
        <v xml:space="preserve">Usuario ingresa al Portal de Incidentes </v>
      </c>
      <c r="G139" t="str">
        <f>IF(LEN($C139)&gt;0,"",'Casos de Prueba'!F138&amp;CHAR(10)&amp;'Casos de Prueba'!G138)</f>
        <v>El sistema muestra las siguientes opciones:
- Consulta incidentes CFDI
- Consulta incidentes CFDI Retenciones
-Recuperar descargas Detalle de consulta de incidencias’
El Usuario previamente se autenticó  y accedió al portal de Incidentes</v>
      </c>
    </row>
    <row r="140" spans="4:7" x14ac:dyDescent="0.35">
      <c r="D140" t="str">
        <f>IF('Casos de Prueba'!B139&lt;&gt;0,'Casos de Prueba'!B139&amp;"-"&amp;'Casos de Prueba'!C139,"")</f>
        <v/>
      </c>
      <c r="E140">
        <f>IF(LEN($C140)&gt;0,"",'Casos de Prueba'!D139)</f>
        <v>2</v>
      </c>
      <c r="F140" t="str">
        <f>IF(LEN($C140)&gt;0,"",'Casos de Prueba'!E139)</f>
        <v>Da clic en "Consulta Incidentes CFDI Retenciones"</v>
      </c>
      <c r="G140" t="str">
        <f>IF(LEN($C140)&gt;0,"",'Casos de Prueba'!F139&amp;CHAR(10)&amp;'Casos de Prueba'!G139)</f>
        <v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2.0)
PAC 
Botón "Consultar Incidentes"
</v>
      </c>
    </row>
    <row r="141" spans="4:7" x14ac:dyDescent="0.35">
      <c r="D141" t="str">
        <f>IF('Casos de Prueba'!B140&lt;&gt;0,'Casos de Prueba'!B140&amp;"-"&amp;'Casos de Prueba'!C140,"")</f>
        <v/>
      </c>
      <c r="E141">
        <f>IF(LEN($C141)&gt;0,"",'Casos de Prueba'!D140)</f>
        <v>3</v>
      </c>
      <c r="F141" t="str">
        <f>IF(LEN($C141)&gt;0,"",'Casos de Prueba'!E140)</f>
        <v>Selecciona en el campo "Tipo de Consulta":
Incidentes Servicio de Recepción</v>
      </c>
      <c r="G141" t="str">
        <f>IF(LEN($C141)&gt;0,"",'Casos de Prueba'!F140&amp;CHAR(10)&amp;'Casos de Prueba'!G140)</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v>
      </c>
    </row>
    <row r="142" spans="4:7" x14ac:dyDescent="0.35">
      <c r="D142" t="str">
        <f>IF('Casos de Prueba'!B141&lt;&gt;0,'Casos de Prueba'!B141&amp;"-"&amp;'Casos de Prueba'!C141,"")</f>
        <v/>
      </c>
      <c r="E142">
        <f>IF(LEN($C142)&gt;0,"",'Casos de Prueba'!D141)</f>
        <v>4</v>
      </c>
      <c r="F142" t="str">
        <f>IF(LEN($C142)&gt;0,"",'Casos de Prueba'!E141)</f>
        <v>Selecciona el campo Folio Fiscal e ingresa el UUID del comprobante y es de tipo CFDI ver 4.0  y selecciona la opción "Consultar Incidentes".</v>
      </c>
      <c r="G142" t="str">
        <f>IF(LEN($C142)&gt;0,"",'Casos de Prueba'!F141&amp;CHAR(10)&amp;'Casos de Prueba'!G141)</f>
        <v xml:space="preserve">El aplicativo muestra el siguiente mensaje: 
“ERROR: El Folio Fiscal que desea consultar no se encuentra en la BD.”.
Nota: Este mensaje de error aparece porque se quiere consultar un comprobante CFDI que no es de tipo Retenciones
</v>
      </c>
    </row>
    <row r="143" spans="4:7" x14ac:dyDescent="0.35">
      <c r="D143" t="str">
        <f>IF('Casos de Prueba'!B142&lt;&gt;0,'Casos de Prueba'!B142&amp;"-"&amp;'Casos de Prueba'!C142,"")</f>
        <v/>
      </c>
      <c r="E143">
        <f>IF(LEN($C143)&gt;0,"",'Casos de Prueba'!D142)</f>
        <v>5</v>
      </c>
      <c r="F143" t="str">
        <f>IF(LEN($C143)&gt;0,"",'Casos de Prueba'!E142)</f>
        <v>Da clic en  Cerrar Sesion</v>
      </c>
      <c r="G143" t="str">
        <f>IF(LEN($C143)&gt;0,"",'Casos de Prueba'!F142&amp;CHAR(10)&amp;'Casos de Prueba'!G142)</f>
        <v>Cierra la sesión del RFC
Fin del caso</v>
      </c>
    </row>
    <row r="144" spans="4:7" x14ac:dyDescent="0.35">
      <c r="D144" t="str">
        <f>IF('Casos de Prueba'!B143&lt;&gt;0,'Casos de Prueba'!B143&amp;"-"&amp;'Casos de Prueba'!C143,"")</f>
        <v>CP20-/Retenciones/FolioFiscalExportarPDF</v>
      </c>
      <c r="G144" t="str">
        <f>IF(LEN($C144)&gt;0,"",'Casos de Prueba'!F143&amp;CHAR(10)&amp;'Casos de Prueba'!G143)</f>
        <v xml:space="preserve">
</v>
      </c>
    </row>
    <row r="145" spans="4:7" x14ac:dyDescent="0.35">
      <c r="D145" t="str">
        <f>IF('Casos de Prueba'!B144&lt;&gt;0,'Casos de Prueba'!B144&amp;"-"&amp;'Casos de Prueba'!C144,"")</f>
        <v/>
      </c>
      <c r="E145">
        <f>IF(LEN($C145)&gt;0,"",'Casos de Prueba'!D144)</f>
        <v>1</v>
      </c>
      <c r="F145" t="str">
        <f>IF(LEN($C145)&gt;0,"",'Casos de Prueba'!E144)</f>
        <v xml:space="preserve">Usuario ingresa al Portal de Incidentes </v>
      </c>
      <c r="G145" t="str">
        <f>IF(LEN($C145)&gt;0,"",'Casos de Prueba'!F144&amp;CHAR(10)&amp;'Casos de Prueba'!G144)</f>
        <v>El sistema muestra las siguientes opciones:
- Consulta incidentes CFDI
- Consulta incidentes CFDI Retenciones
-Recuperar descargas Detalle de consulta de incidencias’
El Usuario previamente se autenticó  y accedió al portal de Incidentes</v>
      </c>
    </row>
    <row r="146" spans="4:7" x14ac:dyDescent="0.35">
      <c r="D146" t="str">
        <f>IF('Casos de Prueba'!B145&lt;&gt;0,'Casos de Prueba'!B145&amp;"-"&amp;'Casos de Prueba'!C145,"")</f>
        <v/>
      </c>
      <c r="E146">
        <f>IF(LEN($C146)&gt;0,"",'Casos de Prueba'!D145)</f>
        <v>2</v>
      </c>
      <c r="F146" t="str">
        <f>IF(LEN($C146)&gt;0,"",'Casos de Prueba'!E145)</f>
        <v>Da clic en "Consulta Incidentes CFDI Retenciones"</v>
      </c>
      <c r="G146" t="str">
        <f>IF(LEN($C146)&gt;0,"",'Casos de Prueba'!F145&amp;CHAR(10)&amp;'Casos de Prueba'!G145)</f>
        <v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2.0)
PAC 
Botón "Consultar Incidentes"
</v>
      </c>
    </row>
    <row r="147" spans="4:7" x14ac:dyDescent="0.35">
      <c r="D147" t="str">
        <f>IF('Casos de Prueba'!B146&lt;&gt;0,'Casos de Prueba'!B146&amp;"-"&amp;'Casos de Prueba'!C146,"")</f>
        <v/>
      </c>
      <c r="E147">
        <f>IF(LEN($C147)&gt;0,"",'Casos de Prueba'!D146)</f>
        <v>3</v>
      </c>
      <c r="F147" t="str">
        <f>IF(LEN($C147)&gt;0,"",'Casos de Prueba'!E146)</f>
        <v>Selecciona en el campo "Tipo de Consulta":
Incidentes Servicio de Recepción</v>
      </c>
      <c r="G147" t="str">
        <f>IF(LEN($C147)&gt;0,"",'Casos de Prueba'!F146&amp;CHAR(10)&amp;'Casos de Prueba'!G146)</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v>
      </c>
    </row>
    <row r="148" spans="4:7" x14ac:dyDescent="0.35">
      <c r="D148" t="str">
        <f>IF('Casos de Prueba'!B147&lt;&gt;0,'Casos de Prueba'!B147&amp;"-"&amp;'Casos de Prueba'!C147,"")</f>
        <v/>
      </c>
      <c r="E148">
        <f>IF(LEN($C148)&gt;0,"",'Casos de Prueba'!D147)</f>
        <v>4</v>
      </c>
      <c r="F148" t="str">
        <f>IF(LEN($C148)&gt;0,"",'Casos de Prueba'!E147)</f>
        <v>Selecciona el campo Folio Fiscal e ingresa el UUID del comprobante del cual se desea conocer los incidentes registrados</v>
      </c>
      <c r="G148" t="str">
        <f>IF(LEN($C148)&gt;0,"",'Casos de Prueba'!F147&amp;CHAR(10)&amp;'Casos de Prueba'!G147)</f>
        <v xml:space="preserve">El sistema muestra los datos que se van ingresando
</v>
      </c>
    </row>
    <row r="149" spans="4:7" x14ac:dyDescent="0.35">
      <c r="D149" t="str">
        <f>IF('Casos de Prueba'!B148&lt;&gt;0,'Casos de Prueba'!B148&amp;"-"&amp;'Casos de Prueba'!C148,"")</f>
        <v/>
      </c>
      <c r="E149">
        <f>IF(LEN($C149)&gt;0,"",'Casos de Prueba'!D148)</f>
        <v>5</v>
      </c>
      <c r="F149" t="str">
        <f>IF(LEN($C149)&gt;0,"",'Casos de Prueba'!E148)</f>
        <v>Se da clic en el botón "Consultar Incidentes"</v>
      </c>
      <c r="G149" t="str">
        <f>IF(LEN($C149)&gt;0,"",'Casos de Prueba'!F148&amp;CHAR(10)&amp;'Casos de Prueba'!G148)</f>
        <v xml:space="preserve">El servicio inhabilita la sección de Fecha Inicial y Final de Recepción.
El sistema deberá mostrar en una tabla los resultados obtenidos de la consulta:
• RFC del PAC
• Nombre o Razón Social
• Evento
• Mensaje
• Total
• Detalle (Boton)
</v>
      </c>
    </row>
    <row r="150" spans="4:7" x14ac:dyDescent="0.35">
      <c r="D150" t="str">
        <f>IF('Casos de Prueba'!B149&lt;&gt;0,'Casos de Prueba'!B149&amp;"-"&amp;'Casos de Prueba'!C149,"")</f>
        <v/>
      </c>
      <c r="E150">
        <f>IF(LEN($C150)&gt;0,"",'Casos de Prueba'!D149)</f>
        <v>6</v>
      </c>
      <c r="F150" t="str">
        <f>IF(LEN($C150)&gt;0,"",'Casos de Prueba'!E149)</f>
        <v>Selecciona el registro y dar clic en el boton de "Ver detalle"</v>
      </c>
      <c r="G150" t="str">
        <f>IF(LEN($C150)&gt;0,"",'Casos de Prueba'!F149&amp;CHAR(10)&amp;'Casos de Prueba'!G149)</f>
        <v xml:space="preserve">El sistema muestra una subpantalla con la siguiente información:
•	RFC PAC: El RFC del Proveedor.
•	Nombre o Razón Social: La razón social del Proveedor.
•	Clave de evento: Clave del evento de incidencia de recepción
•	Evento: Descripción del evento de incidencia de recepción.
Tabla: (Registros de Incidentes)
o	UUID: Folio Fiscal de los comprobantes asociados al incidente
o	Fecha de registro del incidente: Fecha en que se recibió el incidente.* 
Botones:
.Exportar Detalle a PDF
.Exportar Resultados a JSON
</v>
      </c>
    </row>
    <row r="151" spans="4:7" x14ac:dyDescent="0.35">
      <c r="D151" t="str">
        <f>IF('Casos de Prueba'!B150&lt;&gt;0,'Casos de Prueba'!B150&amp;"-"&amp;'Casos de Prueba'!C150,"")</f>
        <v/>
      </c>
      <c r="E151">
        <f>IF(LEN($C151)&gt;0,"",'Casos de Prueba'!D150)</f>
        <v>7</v>
      </c>
      <c r="F151" t="str">
        <f>IF(LEN($C151)&gt;0,"",'Casos de Prueba'!E150)</f>
        <v>Dar clic en el botón "Exportar Detalle a PDF"</v>
      </c>
      <c r="G151" t="str">
        <f>IF(LEN($C151)&gt;0,"",'Casos de Prueba'!F150&amp;CHAR(10)&amp;'Casos de Prueba'!G150)</f>
        <v xml:space="preserve">Al seleccionar este botón se debe generar una petición de descarga para los registros de incidentes que se muestran en la ventana ‘Detalle de Consulta’.
A.	Máximo 100 registros de incidencias.
Al seleccionar el botón ‘Exportar Detalle a PDF’ se debe mostrar que el PDF se encuentra en proceso de descarga.
</v>
      </c>
    </row>
    <row r="152" spans="4:7" x14ac:dyDescent="0.35">
      <c r="D152" t="str">
        <f>IF('Casos de Prueba'!B151&lt;&gt;0,'Casos de Prueba'!B151&amp;"-"&amp;'Casos de Prueba'!C151,"")</f>
        <v/>
      </c>
      <c r="E152">
        <f>IF(LEN($C152)&gt;0,"",'Casos de Prueba'!D151)</f>
        <v>8</v>
      </c>
      <c r="F152" t="str">
        <f>IF(LEN($C152)&gt;0,"",'Casos de Prueba'!E151)</f>
        <v>Da clic en  Cerrar Sesion</v>
      </c>
      <c r="G152" t="str">
        <f>IF(LEN($C152)&gt;0,"",'Casos de Prueba'!F151&amp;CHAR(10)&amp;'Casos de Prueba'!G151)</f>
        <v>Cierra la sesión del RFC
Fin del caso</v>
      </c>
    </row>
    <row r="153" spans="4:7" x14ac:dyDescent="0.35">
      <c r="D153" t="str">
        <f>IF('Casos de Prueba'!B152&lt;&gt;0,'Casos de Prueba'!B152&amp;"-"&amp;'Casos de Prueba'!C152,"")</f>
        <v>CP21-/Retenciones/FolioFiscalExportarJSON</v>
      </c>
      <c r="G153" t="str">
        <f>IF(LEN($C153)&gt;0,"",'Casos de Prueba'!F152&amp;CHAR(10)&amp;'Casos de Prueba'!G152)</f>
        <v xml:space="preserve">
</v>
      </c>
    </row>
    <row r="154" spans="4:7" x14ac:dyDescent="0.35">
      <c r="D154" t="str">
        <f>IF('Casos de Prueba'!B153&lt;&gt;0,'Casos de Prueba'!B153&amp;"-"&amp;'Casos de Prueba'!C153,"")</f>
        <v/>
      </c>
      <c r="E154">
        <f>IF(LEN($C154)&gt;0,"",'Casos de Prueba'!D153)</f>
        <v>1</v>
      </c>
      <c r="F154" t="str">
        <f>IF(LEN($C154)&gt;0,"",'Casos de Prueba'!E153)</f>
        <v xml:space="preserve">Usuario ingresa al Portal de Incidentes </v>
      </c>
      <c r="G154" t="str">
        <f>IF(LEN($C154)&gt;0,"",'Casos de Prueba'!F153&amp;CHAR(10)&amp;'Casos de Prueba'!G153)</f>
        <v>El sistema muestra las siguientes opciones:
- Consulta incidentes CFDI
- Consulta incidentes CFDI Retenciones
-Recuperar descargas Detalle de consulta de incidencias’
El Usuario previamente se autenticó  y accedió al portal de Incidentes</v>
      </c>
    </row>
    <row r="155" spans="4:7" x14ac:dyDescent="0.35">
      <c r="D155" t="str">
        <f>IF('Casos de Prueba'!B154&lt;&gt;0,'Casos de Prueba'!B154&amp;"-"&amp;'Casos de Prueba'!C154,"")</f>
        <v/>
      </c>
      <c r="E155">
        <f>IF(LEN($C155)&gt;0,"",'Casos de Prueba'!D154)</f>
        <v>2</v>
      </c>
      <c r="F155" t="str">
        <f>IF(LEN($C155)&gt;0,"",'Casos de Prueba'!E154)</f>
        <v>Da clic en "Consulta Incidentes CFDI Retenciones"</v>
      </c>
      <c r="G155" t="str">
        <f>IF(LEN($C155)&gt;0,"",'Casos de Prueba'!F154&amp;CHAR(10)&amp;'Casos de Prueba'!G154)</f>
        <v>El sistema muestra el RFC del empleado autenticado con la opción Salir.
El sistema muestra las opciones:
Tipo de consulta
Opciones inhabilitadas
Folio Fiscal
Por Fechas
Fecha Inicial de Recepción*
Fecha Final de Recepción*
Versión del comprobante (Valor es por default 2.0)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v>
      </c>
    </row>
    <row r="156" spans="4:7" x14ac:dyDescent="0.35">
      <c r="D156" t="str">
        <f>IF('Casos de Prueba'!B155&lt;&gt;0,'Casos de Prueba'!B155&amp;"-"&amp;'Casos de Prueba'!C155,"")</f>
        <v/>
      </c>
      <c r="E156">
        <f>IF(LEN($C156)&gt;0,"",'Casos de Prueba'!D155)</f>
        <v>3</v>
      </c>
      <c r="F156" t="str">
        <f>IF(LEN($C156)&gt;0,"",'Casos de Prueba'!E155)</f>
        <v>Selecciona en el campo "Tipo de Consulta":
Incidentes Servicio de Recepción</v>
      </c>
      <c r="G156" t="str">
        <f>IF(LEN($C156)&gt;0,"",'Casos de Prueba'!F155&amp;CHAR(10)&amp;'Casos de Prueba'!G155)</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PAC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v>
      </c>
    </row>
    <row r="157" spans="4:7" x14ac:dyDescent="0.35">
      <c r="D157" t="str">
        <f>IF('Casos de Prueba'!B156&lt;&gt;0,'Casos de Prueba'!B156&amp;"-"&amp;'Casos de Prueba'!C156,"")</f>
        <v/>
      </c>
      <c r="E157">
        <f>IF(LEN($C157)&gt;0,"",'Casos de Prueba'!D156)</f>
        <v>4</v>
      </c>
      <c r="F157" t="str">
        <f>IF(LEN($C157)&gt;0,"",'Casos de Prueba'!E156)</f>
        <v>Selecciona el campo Folio Fiscal e ingresa el UUID del comprobante del cual se desea conocer los incidentes registrados</v>
      </c>
      <c r="G157" t="str">
        <f>IF(LEN($C157)&gt;0,"",'Casos de Prueba'!F156&amp;CHAR(10)&amp;'Casos de Prueba'!G156)</f>
        <v xml:space="preserve">El sistema muestra los datos que se van ingresando
</v>
      </c>
    </row>
    <row r="158" spans="4:7" x14ac:dyDescent="0.35">
      <c r="D158" t="str">
        <f>IF('Casos de Prueba'!B157&lt;&gt;0,'Casos de Prueba'!B157&amp;"-"&amp;'Casos de Prueba'!C157,"")</f>
        <v/>
      </c>
      <c r="E158">
        <f>IF(LEN($C158)&gt;0,"",'Casos de Prueba'!D157)</f>
        <v>5</v>
      </c>
      <c r="F158" t="str">
        <f>IF(LEN($C158)&gt;0,"",'Casos de Prueba'!E157)</f>
        <v>Se da clic en el botón "Consultar Incidentes"</v>
      </c>
      <c r="G158" t="str">
        <f>IF(LEN($C158)&gt;0,"",'Casos de Prueba'!F157&amp;CHAR(10)&amp;'Casos de Prueba'!G157)</f>
        <v>El servicio inhabilita la sección de Fecha Inicial y Final de Recepción.
El sistema deberá mostrar en una tabla los resultados obtenidos de la consulta:
• RFC del PAC
• Nombre o Razón Social
• Evento
• Mensaje
• Total
• Detalle (Boton)
Version por default 2.0</v>
      </c>
    </row>
    <row r="159" spans="4:7" x14ac:dyDescent="0.35">
      <c r="D159" t="str">
        <f>IF('Casos de Prueba'!B158&lt;&gt;0,'Casos de Prueba'!B158&amp;"-"&amp;'Casos de Prueba'!C158,"")</f>
        <v/>
      </c>
      <c r="E159">
        <f>IF(LEN($C159)&gt;0,"",'Casos de Prueba'!D158)</f>
        <v>6</v>
      </c>
      <c r="F159" t="str">
        <f>IF(LEN($C159)&gt;0,"",'Casos de Prueba'!E158)</f>
        <v>Selecciona el registro y dar clic en el boton de "Ver detalle"</v>
      </c>
      <c r="G159" t="str">
        <f>IF(LEN($C159)&gt;0,"",'Casos de Prueba'!F158&amp;CHAR(10)&amp;'Casos de Prueba'!G158)</f>
        <v xml:space="preserve">El sistema muestra una subpantalla con la siguiente información:
•	RFC PAC: El RFC del Proveedor.
•	Nombre o Razón Social: La razón social del Proveedor.
•	Clave de evento: Clave del evento de incidencia de recepción
•	Evento: Descripción del evento de incidencia de recepción.
Tabla: (Registros de Incidentes)
o	UUID: Folio Fiscal de los comprobantes asociados al incidente
o	Fecha de registro del incidente: Fecha en que se recibió el incidente.* 
Botones:
.Exportar Detalle a PDF
.Exportar Resultados a JSON
</v>
      </c>
    </row>
    <row r="160" spans="4:7" x14ac:dyDescent="0.35">
      <c r="D160" t="str">
        <f>IF('Casos de Prueba'!B159&lt;&gt;0,'Casos de Prueba'!B159&amp;"-"&amp;'Casos de Prueba'!C159,"")</f>
        <v/>
      </c>
      <c r="E160">
        <f>IF(LEN($C160)&gt;0,"",'Casos de Prueba'!D159)</f>
        <v>7</v>
      </c>
      <c r="F160" t="str">
        <f>IF(LEN($C160)&gt;0,"",'Casos de Prueba'!E159)</f>
        <v>Dar clic en el botón "Exportar Resultados a JSON"</v>
      </c>
      <c r="G160" t="str">
        <f>IF(LEN($C160)&gt;0,"",'Casos de Prueba'!F159&amp;CHAR(10)&amp;'Casos de Prueba'!G159)</f>
        <v xml:space="preserve">Al seleccionar este botón se debe generar una petición de descarga para los registros de incidentes que se muestran en la ventana ‘Detalle de Consulta’ en formato JSON.
•Máximo 100 registros de incidencias. 
Al seleccionar el botón ‘Exportar Detalle a JSON se debe mostrar que el JSON se encuentra en proceso de descarga.
</v>
      </c>
    </row>
    <row r="161" spans="4:7" x14ac:dyDescent="0.35">
      <c r="D161" t="str">
        <f>IF('Casos de Prueba'!B160&lt;&gt;0,'Casos de Prueba'!B160&amp;"-"&amp;'Casos de Prueba'!C160,"")</f>
        <v/>
      </c>
      <c r="E161">
        <f>IF(LEN($C161)&gt;0,"",'Casos de Prueba'!D160)</f>
        <v>8</v>
      </c>
      <c r="F161" t="str">
        <f>IF(LEN($C161)&gt;0,"",'Casos de Prueba'!E160)</f>
        <v>Da clic en  Cerrar Sesion</v>
      </c>
      <c r="G161" t="str">
        <f>IF(LEN($C161)&gt;0,"",'Casos de Prueba'!F160&amp;CHAR(10)&amp;'Casos de Prueba'!G160)</f>
        <v>Cierra la sesión del RFC
Fin del caso</v>
      </c>
    </row>
    <row r="162" spans="4:7" x14ac:dyDescent="0.35">
      <c r="D162" t="str">
        <f>IF('Casos de Prueba'!B161&lt;&gt;0,'Casos de Prueba'!B161&amp;"-"&amp;'Casos de Prueba'!C161,"")</f>
        <v>CP22-/Retenciones/FechaConsulta</v>
      </c>
      <c r="G162" t="str">
        <f>IF(LEN($C162)&gt;0,"",'Casos de Prueba'!F161&amp;CHAR(10)&amp;'Casos de Prueba'!G161)</f>
        <v xml:space="preserve">
</v>
      </c>
    </row>
    <row r="163" spans="4:7" x14ac:dyDescent="0.35">
      <c r="D163" t="str">
        <f>IF('Casos de Prueba'!B162&lt;&gt;0,'Casos de Prueba'!B162&amp;"-"&amp;'Casos de Prueba'!C162,"")</f>
        <v/>
      </c>
      <c r="E163">
        <f>IF(LEN($C163)&gt;0,"",'Casos de Prueba'!D162)</f>
        <v>1</v>
      </c>
      <c r="F163" t="str">
        <f>IF(LEN($C163)&gt;0,"",'Casos de Prueba'!E162)</f>
        <v xml:space="preserve">Usuario ingresa al Portal de Incidentes </v>
      </c>
      <c r="G163" t="str">
        <f>IF(LEN($C163)&gt;0,"",'Casos de Prueba'!F162&amp;CHAR(10)&amp;'Casos de Prueba'!G162)</f>
        <v>El sistema muestra las siguientes opciones:
- Consulta incidentes CFDI
- Consulta incidentes CFDI Retenciones
-Recuperar descargas Detalle de consulta de incidencias’
El Usuario previamente se autenticó  y accedió al portal de Incidentes</v>
      </c>
    </row>
    <row r="164" spans="4:7" x14ac:dyDescent="0.35">
      <c r="D164" t="str">
        <f>IF('Casos de Prueba'!B163&lt;&gt;0,'Casos de Prueba'!B163&amp;"-"&amp;'Casos de Prueba'!C163,"")</f>
        <v/>
      </c>
      <c r="E164">
        <f>IF(LEN($C164)&gt;0,"",'Casos de Prueba'!D163)</f>
        <v>2</v>
      </c>
      <c r="F164" t="str">
        <f>IF(LEN($C164)&gt;0,"",'Casos de Prueba'!E163)</f>
        <v>Da clic en "Consulta Incidentes CFDI Retenciones"</v>
      </c>
      <c r="G164" t="str">
        <f>IF(LEN($C164)&gt;0,"",'Casos de Prueba'!F163&amp;CHAR(10)&amp;'Casos de Prueba'!G163)</f>
        <v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2.0)
PAC 
Botón "Consultar Incidentes"
</v>
      </c>
    </row>
    <row r="165" spans="4:7" x14ac:dyDescent="0.35">
      <c r="D165" t="str">
        <f>IF('Casos de Prueba'!B164&lt;&gt;0,'Casos de Prueba'!B164&amp;"-"&amp;'Casos de Prueba'!C164,"")</f>
        <v/>
      </c>
      <c r="E165">
        <f>IF(LEN($C165)&gt;0,"",'Casos de Prueba'!D164)</f>
        <v>3</v>
      </c>
      <c r="F165" t="str">
        <f>IF(LEN($C165)&gt;0,"",'Casos de Prueba'!E164)</f>
        <v>Selecciona en el campo "Tipo de Consulta":
Incidentes Servicio de Recepción</v>
      </c>
      <c r="G165" t="str">
        <f>IF(LEN($C165)&gt;0,"",'Casos de Prueba'!F164&amp;CHAR(10)&amp;'Casos de Prueba'!G164)</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2.0)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2.0</v>
      </c>
    </row>
    <row r="166" spans="4:7" x14ac:dyDescent="0.35">
      <c r="D166" t="str">
        <f>IF('Casos de Prueba'!B165&lt;&gt;0,'Casos de Prueba'!B165&amp;"-"&amp;'Casos de Prueba'!C165,"")</f>
        <v/>
      </c>
      <c r="E166">
        <f>IF(LEN($C166)&gt;0,"",'Casos de Prueba'!D165)</f>
        <v>4</v>
      </c>
      <c r="F166" t="str">
        <f>IF(LEN($C166)&gt;0,"",'Casos de Prueba'!E165)</f>
        <v xml:space="preserve">Seleccionar la opcion Por Fechas y agregar los valores:
Campo Fecha Inicial de Recepción*
Campo Fecha Final de Recepción.*
PAC
Los campos marcados con (*) son obligatorios
Dar clic en el botón "Consultar Incidentes".
</v>
      </c>
      <c r="G166" t="str">
        <f>IF(LEN($C166)&gt;0,"",'Casos de Prueba'!F165&amp;CHAR(10)&amp;'Casos de Prueba'!G165)</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Campo "Versión del comprobante" por default tiene el valor 2.0 </v>
      </c>
    </row>
    <row r="167" spans="4:7" x14ac:dyDescent="0.35">
      <c r="D167" t="str">
        <f>IF('Casos de Prueba'!B166&lt;&gt;0,'Casos de Prueba'!B166&amp;"-"&amp;'Casos de Prueba'!C166,"")</f>
        <v/>
      </c>
      <c r="E167">
        <f>IF(LEN($C167)&gt;0,"",'Casos de Prueba'!D166)</f>
        <v>5</v>
      </c>
      <c r="F167" t="str">
        <f>IF(LEN($C167)&gt;0,"",'Casos de Prueba'!E166)</f>
        <v>Da clic en  Cerrar Sesion</v>
      </c>
      <c r="G167" t="str">
        <f>IF(LEN($C167)&gt;0,"",'Casos de Prueba'!F166&amp;CHAR(10)&amp;'Casos de Prueba'!G166)</f>
        <v>Cierra la sesión del RFC
Fin del caso</v>
      </c>
    </row>
    <row r="168" spans="4:7" x14ac:dyDescent="0.35">
      <c r="D168" t="str">
        <f>IF('Casos de Prueba'!B167&lt;&gt;0,'Casos de Prueba'!B167&amp;"-"&amp;'Casos de Prueba'!C167,"")</f>
        <v>CP23-/Retenciones/FechaMsgErrorConsultaRangoFecha</v>
      </c>
      <c r="G168" t="str">
        <f>IF(LEN($C168)&gt;0,"",'Casos de Prueba'!F167&amp;CHAR(10)&amp;'Casos de Prueba'!G167)</f>
        <v xml:space="preserve">
</v>
      </c>
    </row>
    <row r="169" spans="4:7" x14ac:dyDescent="0.35">
      <c r="D169" t="str">
        <f>IF('Casos de Prueba'!B168&lt;&gt;0,'Casos de Prueba'!B168&amp;"-"&amp;'Casos de Prueba'!C168,"")</f>
        <v/>
      </c>
      <c r="E169">
        <f>IF(LEN($C169)&gt;0,"",'Casos de Prueba'!D168)</f>
        <v>1</v>
      </c>
      <c r="F169" t="str">
        <f>IF(LEN($C169)&gt;0,"",'Casos de Prueba'!E168)</f>
        <v xml:space="preserve">Usuario ingresa al Portal de Incidentes </v>
      </c>
      <c r="G169" t="str">
        <f>IF(LEN($C169)&gt;0,"",'Casos de Prueba'!F168&amp;CHAR(10)&amp;'Casos de Prueba'!G168)</f>
        <v>El sistema muestra las siguientes opciones:
- Consulta incidentes CFDI
- Consulta incidentes CFDI Retenciones
-Recuperar descargas Detalle de consulta de incidencias’
El Usuario previamente se autenticó  y accedió al portal de Incidentes</v>
      </c>
    </row>
    <row r="170" spans="4:7" x14ac:dyDescent="0.35">
      <c r="D170" t="str">
        <f>IF('Casos de Prueba'!B169&lt;&gt;0,'Casos de Prueba'!B169&amp;"-"&amp;'Casos de Prueba'!C169,"")</f>
        <v/>
      </c>
      <c r="E170">
        <f>IF(LEN($C170)&gt;0,"",'Casos de Prueba'!D169)</f>
        <v>2</v>
      </c>
      <c r="F170" t="str">
        <f>IF(LEN($C170)&gt;0,"",'Casos de Prueba'!E169)</f>
        <v>Da clic en "Consulta incidentes CFDI Retenciones"</v>
      </c>
      <c r="G170" t="str">
        <f>IF(LEN($C170)&gt;0,"",'Casos de Prueba'!F169&amp;CHAR(10)&amp;'Casos de Prueba'!G169)</f>
        <v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2.0)
PAC 
Botón "Consultar Incidentes"
</v>
      </c>
    </row>
    <row r="171" spans="4:7" x14ac:dyDescent="0.35">
      <c r="D171" t="str">
        <f>IF('Casos de Prueba'!B170&lt;&gt;0,'Casos de Prueba'!B170&amp;"-"&amp;'Casos de Prueba'!C170,"")</f>
        <v/>
      </c>
      <c r="E171">
        <f>IF(LEN($C171)&gt;0,"",'Casos de Prueba'!D170)</f>
        <v>3</v>
      </c>
      <c r="F171" t="str">
        <f>IF(LEN($C171)&gt;0,"",'Casos de Prueba'!E170)</f>
        <v>Selecciona en el campo "Tipo de Consulta":
Incidentes Servicio de Recepción</v>
      </c>
      <c r="G171" t="str">
        <f>IF(LEN($C171)&gt;0,"",'Casos de Prueba'!F170&amp;CHAR(10)&amp;'Casos de Prueba'!G170)</f>
        <v xml:space="preserve">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2.0)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
      </c>
    </row>
    <row r="172" spans="4:7" x14ac:dyDescent="0.35">
      <c r="D172" t="str">
        <f>IF('Casos de Prueba'!B171&lt;&gt;0,'Casos de Prueba'!B171&amp;"-"&amp;'Casos de Prueba'!C171,"")</f>
        <v/>
      </c>
      <c r="E172">
        <f>IF(LEN($C172)&gt;0,"",'Casos de Prueba'!D171)</f>
        <v>4</v>
      </c>
      <c r="F172" t="str">
        <f>IF(LEN($C172)&gt;0,"",'Casos de Prueba'!E171)</f>
        <v xml:space="preserve">Seleccionar la opcion Por Fechas y agregar los valores:
Campo Fecha Inicial de Recepción*
Campo Fecha Final de Recepción.*
PAC
Los campos marcados con (*) son obligatorios
Dar clic en el botón "Consultar Incidentes".
Nota: Para este caso de prueba se debe seleccionar un rango mayor a un mes
</v>
      </c>
      <c r="G172" t="str">
        <f>IF(LEN($C172)&gt;0,"",'Casos de Prueba'!F171&amp;CHAR(10)&amp;'Casos de Prueba'!G171)</f>
        <v xml:space="preserve">Cuando se ingrese un rango de fechas mayor a un mes y se seleccione el botón “Consultar Incidentes”, el aplicativo deberá mostrar el siguiente mensaje de error: 
•	“ERROR: La consulta no debe ser mayor a un mes”.
Importante mencionar que, el resultado se debe agrupar por tipo de error y presentarse de forma general, 
</v>
      </c>
    </row>
    <row r="173" spans="4:7" x14ac:dyDescent="0.35">
      <c r="D173" t="str">
        <f>IF('Casos de Prueba'!B172&lt;&gt;0,'Casos de Prueba'!B172&amp;"-"&amp;'Casos de Prueba'!C172,"")</f>
        <v/>
      </c>
      <c r="E173">
        <f>IF(LEN($C173)&gt;0,"",'Casos de Prueba'!D172)</f>
        <v>5</v>
      </c>
      <c r="F173" t="str">
        <f>IF(LEN($C173)&gt;0,"",'Casos de Prueba'!E172)</f>
        <v>Da clic en  Cerrar Sesion</v>
      </c>
      <c r="G173" t="str">
        <f>IF(LEN($C173)&gt;0,"",'Casos de Prueba'!F172&amp;CHAR(10)&amp;'Casos de Prueba'!G172)</f>
        <v>Cierra la sesión del RFC
Fin del caso</v>
      </c>
    </row>
    <row r="174" spans="4:7" x14ac:dyDescent="0.35">
      <c r="D174" t="str">
        <f>IF('Casos de Prueba'!B173&lt;&gt;0,'Casos de Prueba'!B173&amp;"-"&amp;'Casos de Prueba'!C173,"")</f>
        <v>CP24-/Retenciones/FechaExportarPDF</v>
      </c>
      <c r="G174" t="str">
        <f>IF(LEN($C174)&gt;0,"",'Casos de Prueba'!F173&amp;CHAR(10)&amp;'Casos de Prueba'!G173)</f>
        <v xml:space="preserve">
</v>
      </c>
    </row>
    <row r="175" spans="4:7" x14ac:dyDescent="0.35">
      <c r="D175" t="str">
        <f>IF('Casos de Prueba'!B174&lt;&gt;0,'Casos de Prueba'!B174&amp;"-"&amp;'Casos de Prueba'!C174,"")</f>
        <v/>
      </c>
      <c r="E175">
        <f>IF(LEN($C175)&gt;0,"",'Casos de Prueba'!D174)</f>
        <v>1</v>
      </c>
      <c r="F175" t="str">
        <f>IF(LEN($C175)&gt;0,"",'Casos de Prueba'!E174)</f>
        <v xml:space="preserve">Usuario ingresa al Portal de Incidentes </v>
      </c>
      <c r="G175" t="str">
        <f>IF(LEN($C175)&gt;0,"",'Casos de Prueba'!F174&amp;CHAR(10)&amp;'Casos de Prueba'!G174)</f>
        <v>El sistema muestra las siguientes opciones:
- Consulta incidentes CFDI
- Consulta incidentes CFDI Retenciones
-Recuperar descargas Detalle de consulta de incidencias’
El Usuario previamente se autenticó  y accedió al portal de Incidentes</v>
      </c>
    </row>
    <row r="176" spans="4:7" x14ac:dyDescent="0.35">
      <c r="D176" t="str">
        <f>IF('Casos de Prueba'!B175&lt;&gt;0,'Casos de Prueba'!B175&amp;"-"&amp;'Casos de Prueba'!C175,"")</f>
        <v/>
      </c>
      <c r="E176">
        <f>IF(LEN($C176)&gt;0,"",'Casos de Prueba'!D175)</f>
        <v>2</v>
      </c>
      <c r="F176" t="str">
        <f>IF(LEN($C176)&gt;0,"",'Casos de Prueba'!E175)</f>
        <v>Da clic en "Consulta Incidentes CFDI Retenciones"</v>
      </c>
      <c r="G176" t="str">
        <f>IF(LEN($C176)&gt;0,"",'Casos de Prueba'!F175&amp;CHAR(10)&amp;'Casos de Prueba'!G175)</f>
        <v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2.0)
PAC 
Botón "Consultar Incidentes"
</v>
      </c>
    </row>
    <row r="177" spans="4:7" x14ac:dyDescent="0.35">
      <c r="D177" t="str">
        <f>IF('Casos de Prueba'!B176&lt;&gt;0,'Casos de Prueba'!B176&amp;"-"&amp;'Casos de Prueba'!C176,"")</f>
        <v/>
      </c>
      <c r="E177">
        <f>IF(LEN($C177)&gt;0,"",'Casos de Prueba'!D176)</f>
        <v>3</v>
      </c>
      <c r="F177" t="str">
        <f>IF(LEN($C177)&gt;0,"",'Casos de Prueba'!E176)</f>
        <v>Selecciona en el campo "Tipo de Consulta":
Incidentes Servicio de Recepción</v>
      </c>
      <c r="G177" t="str">
        <f>IF(LEN($C177)&gt;0,"",'Casos de Prueba'!F176&amp;CHAR(10)&amp;'Casos de Prueba'!G176)</f>
        <v xml:space="preserve">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2.0)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
      </c>
    </row>
    <row r="178" spans="4:7" x14ac:dyDescent="0.35">
      <c r="D178" t="str">
        <f>IF('Casos de Prueba'!B177&lt;&gt;0,'Casos de Prueba'!B177&amp;"-"&amp;'Casos de Prueba'!C177,"")</f>
        <v/>
      </c>
      <c r="E178">
        <f>IF(LEN($C178)&gt;0,"",'Casos de Prueba'!D177)</f>
        <v>4</v>
      </c>
      <c r="F178" t="str">
        <f>IF(LEN($C178)&gt;0,"",'Casos de Prueba'!E177)</f>
        <v xml:space="preserve">Seleccionar la opcion Por Fechas y agregar los valores:
Campo Fecha Inicial de Recepción*
Campo Fecha Final de Recepción.*
PAC
Los campos marcados con (*) son obligatorios
Dar clic en el botón "Consultar Incidentes".
</v>
      </c>
      <c r="G178" t="str">
        <f>IF(LEN($C178)&gt;0,"",'Casos de Prueba'!F177&amp;CHAR(10)&amp;'Casos de Prueba'!G177)</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v>
      </c>
    </row>
    <row r="179" spans="4:7" x14ac:dyDescent="0.35">
      <c r="D179" t="str">
        <f>IF('Casos de Prueba'!B178&lt;&gt;0,'Casos de Prueba'!B178&amp;"-"&amp;'Casos de Prueba'!C178,"")</f>
        <v/>
      </c>
      <c r="E179">
        <f>IF(LEN($C179)&gt;0,"",'Casos de Prueba'!D178)</f>
        <v>5</v>
      </c>
      <c r="F179" t="str">
        <f>IF(LEN($C179)&gt;0,"",'Casos de Prueba'!E178)</f>
        <v>De los resultados, se selecciona un registro y se da clic en el boton de "Ver detalle".</v>
      </c>
      <c r="G179" t="str">
        <f>IF(LEN($C179)&gt;0,"",'Casos de Prueba'!F178&amp;CHAR(10)&amp;'Casos de Prueba'!G178)</f>
        <v>El sistema muestra una subpantalla con la siguiente información:
•	RFC PAC: El RFC del Proveedor.
•	Nombre o Razón Social: La razón social del Proveedor.
•	Clave de evento: Clave del evento de incidencia de recepción
•	Evento: Descripción del evento de incidencia de recepción.
Tabla: (Registros de Incidentes)
o	UUID: Folio Fiscal de los comprobantes asociados al incidente
o	Fecha de registro del incidente: Fecha en que se recibió el incidente.* 
Botones:
.Exportar Detalle a PDF
.Exportar Resultados a JSON
El orden de los registros es ordenada por el valor del campo “Fecha de registro del incidente” del más reciente a los más antiguos.</v>
      </c>
    </row>
    <row r="180" spans="4:7" x14ac:dyDescent="0.35">
      <c r="D180" t="str">
        <f>IF('Casos de Prueba'!B179&lt;&gt;0,'Casos de Prueba'!B179&amp;"-"&amp;'Casos de Prueba'!C179,"")</f>
        <v/>
      </c>
      <c r="E180">
        <f>IF(LEN($C180)&gt;0,"",'Casos de Prueba'!D179)</f>
        <v>6</v>
      </c>
      <c r="F180" t="str">
        <f>IF(LEN($C180)&gt;0,"",'Casos de Prueba'!E179)</f>
        <v>Dar clic en el botón "Exportar Detalle a PDF"</v>
      </c>
      <c r="G180" t="str">
        <f>IF(LEN($C180)&gt;0,"",'Casos de Prueba'!F179&amp;CHAR(10)&amp;'Casos de Prueba'!G179)</f>
        <v xml:space="preserve">Al seleccionar este botón se debe generar una petición de descarga para los registros de incidentes que se muestran en la ventana ‘Detalle de Consulta’ en formato JSON.
A.	Máximo 100 registros de incidencias. 
Al seleccionar el botón ‘Exportar Detalle a PDF se debe mostrar que el PDF se encuentra en proceso de descarga.
</v>
      </c>
    </row>
    <row r="181" spans="4:7" x14ac:dyDescent="0.35">
      <c r="D181" t="str">
        <f>IF('Casos de Prueba'!B180&lt;&gt;0,'Casos de Prueba'!B180&amp;"-"&amp;'Casos de Prueba'!C180,"")</f>
        <v/>
      </c>
      <c r="E181">
        <f>IF(LEN($C181)&gt;0,"",'Casos de Prueba'!D180)</f>
        <v>7</v>
      </c>
      <c r="F181" t="str">
        <f>IF(LEN($C181)&gt;0,"",'Casos de Prueba'!E180)</f>
        <v>Da clic en  Cerrar Sesion</v>
      </c>
      <c r="G181" t="str">
        <f>IF(LEN($C181)&gt;0,"",'Casos de Prueba'!F180&amp;CHAR(10)&amp;'Casos de Prueba'!G180)</f>
        <v>Cierra la sesión del RFC
Fin del caso</v>
      </c>
    </row>
    <row r="182" spans="4:7" x14ac:dyDescent="0.35">
      <c r="D182" t="str">
        <f>IF('Casos de Prueba'!B181&lt;&gt;0,'Casos de Prueba'!B181&amp;"-"&amp;'Casos de Prueba'!C181,"")</f>
        <v>CP25-/Retenciones/FechaExportarJSON</v>
      </c>
      <c r="G182" t="str">
        <f>IF(LEN($C182)&gt;0,"",'Casos de Prueba'!F181&amp;CHAR(10)&amp;'Casos de Prueba'!G181)</f>
        <v xml:space="preserve">
</v>
      </c>
    </row>
    <row r="183" spans="4:7" x14ac:dyDescent="0.35">
      <c r="D183" t="str">
        <f>IF('Casos de Prueba'!B182&lt;&gt;0,'Casos de Prueba'!B182&amp;"-"&amp;'Casos de Prueba'!C182,"")</f>
        <v/>
      </c>
      <c r="E183">
        <f>IF(LEN($C183)&gt;0,"",'Casos de Prueba'!D182)</f>
        <v>1</v>
      </c>
      <c r="F183" t="str">
        <f>IF(LEN($C183)&gt;0,"",'Casos de Prueba'!E182)</f>
        <v xml:space="preserve">Usuario ingresa al Portal de Incidentes </v>
      </c>
      <c r="G183" t="str">
        <f>IF(LEN($C183)&gt;0,"",'Casos de Prueba'!F182&amp;CHAR(10)&amp;'Casos de Prueba'!G182)</f>
        <v>El sistema muestra las siguientes opciones:
- Consulta incidentes CFDI
- Consulta incidentes CFDI Retenciones
-Recuperar descargas Detalle de consulta de incidencias’
El Usuario previamente se autenticó  y accedió al portal de Incidentes</v>
      </c>
    </row>
    <row r="184" spans="4:7" x14ac:dyDescent="0.35">
      <c r="D184" t="str">
        <f>IF('Casos de Prueba'!B183&lt;&gt;0,'Casos de Prueba'!B183&amp;"-"&amp;'Casos de Prueba'!C183,"")</f>
        <v/>
      </c>
      <c r="E184">
        <f>IF(LEN($C184)&gt;0,"",'Casos de Prueba'!D183)</f>
        <v>2</v>
      </c>
      <c r="F184" t="str">
        <f>IF(LEN($C184)&gt;0,"",'Casos de Prueba'!E183)</f>
        <v>Da clic en "Consulta Incidentes CFDI Retenciones"</v>
      </c>
      <c r="G184" t="str">
        <f>IF(LEN($C184)&gt;0,"",'Casos de Prueba'!F183&amp;CHAR(10)&amp;'Casos de Prueba'!G183)</f>
        <v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2.0)
PAC 
Botón "Consultar Incidentes"
</v>
      </c>
    </row>
    <row r="185" spans="4:7" x14ac:dyDescent="0.35">
      <c r="D185" t="str">
        <f>IF('Casos de Prueba'!B184&lt;&gt;0,'Casos de Prueba'!B184&amp;"-"&amp;'Casos de Prueba'!C184,"")</f>
        <v/>
      </c>
      <c r="E185">
        <f>IF(LEN($C185)&gt;0,"",'Casos de Prueba'!D184)</f>
        <v>3</v>
      </c>
      <c r="F185" t="str">
        <f>IF(LEN($C185)&gt;0,"",'Casos de Prueba'!E184)</f>
        <v>Selecciona en el campo "Tipo de Consulta":
Incidentes Servicio de Recepción</v>
      </c>
      <c r="G185" t="str">
        <f>IF(LEN($C185)&gt;0,"",'Casos de Prueba'!F184&amp;CHAR(10)&amp;'Casos de Prueba'!G184)</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2.0)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2.0</v>
      </c>
    </row>
    <row r="186" spans="4:7" x14ac:dyDescent="0.35">
      <c r="D186" t="str">
        <f>IF('Casos de Prueba'!B185&lt;&gt;0,'Casos de Prueba'!B185&amp;"-"&amp;'Casos de Prueba'!C185,"")</f>
        <v/>
      </c>
      <c r="E186">
        <f>IF(LEN($C186)&gt;0,"",'Casos de Prueba'!D185)</f>
        <v>4</v>
      </c>
      <c r="F186" t="str">
        <f>IF(LEN($C186)&gt;0,"",'Casos de Prueba'!E185)</f>
        <v xml:space="preserve">Seleccionar la opcion Por Fechas y agregar los valores:
Campo Fecha Inicial de Recepción*
Campo Fecha Final de Recepción.*
PAC
Los campos marcados con (*) son obligatorios
Dar clic en el botón "Consultar Incidentes".
</v>
      </c>
      <c r="G186" t="str">
        <f>IF(LEN($C186)&gt;0,"",'Casos de Prueba'!F185&amp;CHAR(10)&amp;'Casos de Prueba'!G185)</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v>
      </c>
    </row>
    <row r="187" spans="4:7" x14ac:dyDescent="0.35">
      <c r="D187" t="str">
        <f>IF('Casos de Prueba'!B186&lt;&gt;0,'Casos de Prueba'!B186&amp;"-"&amp;'Casos de Prueba'!C186,"")</f>
        <v/>
      </c>
      <c r="E187">
        <f>IF(LEN($C187)&gt;0,"",'Casos de Prueba'!D186)</f>
        <v>5</v>
      </c>
      <c r="F187" t="str">
        <f>IF(LEN($C187)&gt;0,"",'Casos de Prueba'!E186)</f>
        <v>De los resultados, se selecciona un registro y se da clic en el boton de "Ver detalle".</v>
      </c>
      <c r="G187" t="str">
        <f>IF(LEN($C187)&gt;0,"",'Casos de Prueba'!F186&amp;CHAR(10)&amp;'Casos de Prueba'!G186)</f>
        <v>El sistema muestra una subpantalla con la siguiente información:
•	RFC PAC: El RFC del Proveedor.
•	Nombre o Razón Social: La razón social del Proveedor.
•	Clave de evento: Clave del evento de incidencia de recepción
•	Evento: Descripción del evento de incidencia de recepción.
Tabla: (Registros de Incidentes)
o	UUID: Folio Fiscal de los comprobantes asociados al incidente
o	Fecha de registro del incidente: Fecha en que se recibió el incidente.* 
Botones:
.Exportar Detalle a PDF
.Exportar Resultados a JSON
El orden de los registros es ordenada por el valor del campo “Fecha de registro del incidente” del más reciente a los más antiguos.</v>
      </c>
    </row>
    <row r="188" spans="4:7" x14ac:dyDescent="0.35">
      <c r="D188" t="str">
        <f>IF('Casos de Prueba'!B187&lt;&gt;0,'Casos de Prueba'!B187&amp;"-"&amp;'Casos de Prueba'!C187,"")</f>
        <v/>
      </c>
      <c r="E188">
        <f>IF(LEN($C188)&gt;0,"",'Casos de Prueba'!D187)</f>
        <v>6</v>
      </c>
      <c r="F188" t="str">
        <f>IF(LEN($C188)&gt;0,"",'Casos de Prueba'!E187)</f>
        <v>Dar clic en el botón "Exportar Resultados a JSON"</v>
      </c>
      <c r="G188" t="str">
        <f>IF(LEN($C188)&gt;0,"",'Casos de Prueba'!F187&amp;CHAR(10)&amp;'Casos de Prueba'!G187)</f>
        <v xml:space="preserve">Al seleccionar este botón se debe generar una petición de descarga para los registros de incidentes que se muestran en la ventana ‘Detalle de Consulta’ en formato JSON.
A.	Máximo 100 registros de incidencias. 
Al seleccionar el botón ‘Exportar Detalle a JSON se debe mostrar que el JSON se encuentra en proceso de descarga.
</v>
      </c>
    </row>
    <row r="189" spans="4:7" x14ac:dyDescent="0.35">
      <c r="D189" t="str">
        <f>IF('Casos de Prueba'!B188&lt;&gt;0,'Casos de Prueba'!B188&amp;"-"&amp;'Casos de Prueba'!C188,"")</f>
        <v/>
      </c>
      <c r="E189">
        <f>IF(LEN($C189)&gt;0,"",'Casos de Prueba'!D188)</f>
        <v>7</v>
      </c>
      <c r="F189" t="str">
        <f>IF(LEN($C189)&gt;0,"",'Casos de Prueba'!E188)</f>
        <v>Da clic en  Cerrar Sesion</v>
      </c>
      <c r="G189" t="str">
        <f>IF(LEN($C189)&gt;0,"",'Casos de Prueba'!F188&amp;CHAR(10)&amp;'Casos de Prueba'!G188)</f>
        <v>Cierra la sesión del RFC
Fin del caso</v>
      </c>
    </row>
    <row r="190" spans="4:7" x14ac:dyDescent="0.35">
      <c r="D190" t="str">
        <f>IF('Casos de Prueba'!B189&lt;&gt;0,'Casos de Prueba'!B189&amp;"-"&amp;'Casos de Prueba'!C189,"")</f>
        <v>CP26-/Recuperar descargas/Sin Peticiones</v>
      </c>
      <c r="G190" t="str">
        <f>IF(LEN($C190)&gt;0,"",'Casos de Prueba'!F189&amp;CHAR(10)&amp;'Casos de Prueba'!G189)</f>
        <v xml:space="preserve">
</v>
      </c>
    </row>
    <row r="191" spans="4:7" x14ac:dyDescent="0.35">
      <c r="D191" t="str">
        <f>IF('Casos de Prueba'!B190&lt;&gt;0,'Casos de Prueba'!B190&amp;"-"&amp;'Casos de Prueba'!C190,"")</f>
        <v/>
      </c>
      <c r="E191">
        <f>IF(LEN($C191)&gt;0,"",'Casos de Prueba'!D190)</f>
        <v>1</v>
      </c>
      <c r="F191" t="str">
        <f>IF(LEN($C191)&gt;0,"",'Casos de Prueba'!E190)</f>
        <v xml:space="preserve">Usuario ingresa al Portal de Incidentes </v>
      </c>
      <c r="G191" t="str">
        <f>IF(LEN($C191)&gt;0,"",'Casos de Prueba'!F190&amp;CHAR(10)&amp;'Casos de Prueba'!G190)</f>
        <v>El sistema muestra las siguientes opciones:
- Consulta incidentes CFDI
- Consulta incidentes CFDI Retenciones
-Recuperar descargas Detalle de consulta de incidencias’
El Usuario previamente se autenticó  y accedió al portal de Incidentes</v>
      </c>
    </row>
    <row r="192" spans="4:7" x14ac:dyDescent="0.35">
      <c r="D192" t="str">
        <f>IF('Casos de Prueba'!B191&lt;&gt;0,'Casos de Prueba'!B191&amp;"-"&amp;'Casos de Prueba'!C191,"")</f>
        <v/>
      </c>
      <c r="E192">
        <f>IF(LEN($C192)&gt;0,"",'Casos de Prueba'!D191)</f>
        <v>2</v>
      </c>
      <c r="F192" t="str">
        <f>IF(LEN($C192)&gt;0,"",'Casos de Prueba'!E191)</f>
        <v>Da clic en "Recuperar descargas Detalle de consulta de incidencias’"</v>
      </c>
      <c r="G192" t="str">
        <f>IF(LEN($C192)&gt;0,"",'Casos de Prueba'!F191&amp;CHAR(10)&amp;'Casos de Prueba'!G191)</f>
        <v xml:space="preserve">El sistema valida si hay peticiones pendientes. En caso de no existir peticiones en proceso deberá arrojar el siguiente mensaje: “No existen registros de descargas desde los últimos 3 días a la fecha.”
</v>
      </c>
    </row>
    <row r="193" spans="4:7" x14ac:dyDescent="0.35">
      <c r="D193" t="str">
        <f>IF('Casos de Prueba'!B192&lt;&gt;0,'Casos de Prueba'!B192&amp;"-"&amp;'Casos de Prueba'!C192,"")</f>
        <v/>
      </c>
      <c r="E193">
        <f>IF(LEN($C193)&gt;0,"",'Casos de Prueba'!D192)</f>
        <v>3</v>
      </c>
      <c r="F193" t="str">
        <f>IF(LEN($C193)&gt;0,"",'Casos de Prueba'!E192)</f>
        <v>Da clic en  Cerrar Sesion</v>
      </c>
      <c r="G193" t="str">
        <f>IF(LEN($C193)&gt;0,"",'Casos de Prueba'!F192&amp;CHAR(10)&amp;'Casos de Prueba'!G192)</f>
        <v>Cierra la sesión del RFC
Fin del caso</v>
      </c>
    </row>
    <row r="194" spans="4:7" x14ac:dyDescent="0.35">
      <c r="D194" t="str">
        <f>IF('Casos de Prueba'!B193&lt;&gt;0,'Casos de Prueba'!B193&amp;"-"&amp;'Casos de Prueba'!C193,"")</f>
        <v>CP27-/Recuperar descargas/Con Archivos</v>
      </c>
      <c r="G194" t="str">
        <f>IF(LEN($C194)&gt;0,"",'Casos de Prueba'!F193&amp;CHAR(10)&amp;'Casos de Prueba'!G193)</f>
        <v xml:space="preserve">
</v>
      </c>
    </row>
    <row r="195" spans="4:7" x14ac:dyDescent="0.35">
      <c r="D195" t="str">
        <f>IF('Casos de Prueba'!B194&lt;&gt;0,'Casos de Prueba'!B194&amp;"-"&amp;'Casos de Prueba'!C194,"")</f>
        <v/>
      </c>
      <c r="E195">
        <f>IF(LEN($C195)&gt;0,"",'Casos de Prueba'!D194)</f>
        <v>1</v>
      </c>
      <c r="F195" t="str">
        <f>IF(LEN($C195)&gt;0,"",'Casos de Prueba'!E194)</f>
        <v xml:space="preserve">Usuario ingresa al Portal de Incidentes </v>
      </c>
      <c r="G195" t="str">
        <f>IF(LEN($C195)&gt;0,"",'Casos de Prueba'!F194&amp;CHAR(10)&amp;'Casos de Prueba'!G194)</f>
        <v>El sistema muestra las siguientes opciones:
- Consulta incidentes CFDI
- Consulta incidentes CFDI Retenciones
-Recuperar descargas Detalle de consulta de incidencias’
El Usuario previamente se autenticó  y accedió al portal de Incidentes</v>
      </c>
    </row>
    <row r="196" spans="4:7" x14ac:dyDescent="0.35">
      <c r="D196" t="str">
        <f>IF('Casos de Prueba'!B195&lt;&gt;0,'Casos de Prueba'!B195&amp;"-"&amp;'Casos de Prueba'!C195,"")</f>
        <v/>
      </c>
      <c r="E196">
        <f>IF(LEN($C196)&gt;0,"",'Casos de Prueba'!D195)</f>
        <v>2</v>
      </c>
      <c r="F196" t="str">
        <f>IF(LEN($C196)&gt;0,"",'Casos de Prueba'!E195)</f>
        <v>Da clic en "Recuperar descargas Detalle de consulta de incidencias’"</v>
      </c>
      <c r="G196" t="str">
        <f>IF(LEN($C196)&gt;0,"",'Casos de Prueba'!F195&amp;CHAR(10)&amp;'Casos de Prueba'!G195)</f>
        <v xml:space="preserve">En caso de existir solicitudes de descarga en proceso, se visualizarán los registros de descarga con la siguiente estructura:
•	Descargar Paquete: Opción que permite la descarga solicitada.  Icono que representa la funcionalidad de descarga del paquete de archivos correspondiente. 
•	Folio de Descarga: Indica el número de folio que genera el sistema al realizar la descarga.
•	Evento: Indica la clave del evento del detalle de la solicitud de descarga.
•	RFC PAC: Indica el RFC del PAC del detalle de la solicitud de descarga.
•	Tipo Descarga: Indica el tipo de descarga solicitada la cual puede ser: PDF o JSON. 
•	Cantidad de Documentos: Indica el total de documentos que contiene el archivo.
•	Fecha de la Solicitud: Indica la fecha en la que se realizó la solicitud.
•	Estatus de solicitud: Indica si está en proceso o atendida.
•	Fecha de atención de solicitud: Indica la fecha en la que se pusieron a disposición los archivos para descarga
Este paquete se generará únicamente para los registros de incidencias que superaron el límite de descarga de 100 registros.
</v>
      </c>
    </row>
    <row r="197" spans="4:7" x14ac:dyDescent="0.35">
      <c r="D197" t="str">
        <f>IF('Casos de Prueba'!B196&lt;&gt;0,'Casos de Prueba'!B196&amp;"-"&amp;'Casos de Prueba'!C196,"")</f>
        <v/>
      </c>
      <c r="E197">
        <f>IF(LEN($C197)&gt;0,"",'Casos de Prueba'!D196)</f>
        <v>3</v>
      </c>
      <c r="F197" t="str">
        <f>IF(LEN($C197)&gt;0,"",'Casos de Prueba'!E196)</f>
        <v>Seleccionar registro y dar clic "Descargar Paquete"</v>
      </c>
      <c r="G197" t="str">
        <f>IF(LEN($C197)&gt;0,"",'Casos de Prueba'!F196&amp;CHAR(10)&amp;'Casos de Prueba'!G196)</f>
        <v xml:space="preserve">El sistema realiza la descarga de los archivos PDF o JASON
</v>
      </c>
    </row>
    <row r="198" spans="4:7" x14ac:dyDescent="0.35">
      <c r="D198" t="str">
        <f>IF('Casos de Prueba'!B197&lt;&gt;0,'Casos de Prueba'!B197&amp;"-"&amp;'Casos de Prueba'!C197,"")</f>
        <v/>
      </c>
      <c r="E198">
        <f>IF(LEN($C198)&gt;0,"",'Casos de Prueba'!D197)</f>
        <v>4</v>
      </c>
      <c r="F198" t="str">
        <f>IF(LEN($C198)&gt;0,"",'Casos de Prueba'!E197)</f>
        <v>Da clic en  Cerrar Sesion</v>
      </c>
      <c r="G198" t="str">
        <f>IF(LEN($C198)&gt;0,"",'Casos de Prueba'!F197&amp;CHAR(10)&amp;'Casos de Prueba'!G197)</f>
        <v>Cierra la sesión del RFC
Fin del caso</v>
      </c>
    </row>
    <row r="199" spans="4:7" x14ac:dyDescent="0.35">
      <c r="D199" t="str">
        <f>IF('Casos de Prueba'!B198&lt;&gt;0,'Casos de Prueba'!B198&amp;"-"&amp;'Casos de Prueba'!C198,"")</f>
        <v>CP28-/Retenciones/FechaExportarPDFmas100Registros</v>
      </c>
      <c r="G199" t="str">
        <f>IF(LEN($C199)&gt;0,"",'Casos de Prueba'!F198&amp;CHAR(10)&amp;'Casos de Prueba'!G198)</f>
        <v xml:space="preserve">
</v>
      </c>
    </row>
    <row r="200" spans="4:7" x14ac:dyDescent="0.35">
      <c r="D200" t="str">
        <f>IF('Casos de Prueba'!B199&lt;&gt;0,'Casos de Prueba'!B199&amp;"-"&amp;'Casos de Prueba'!C199,"")</f>
        <v/>
      </c>
      <c r="E200">
        <f>IF(LEN($C200)&gt;0,"",'Casos de Prueba'!D199)</f>
        <v>1</v>
      </c>
      <c r="F200" t="str">
        <f>IF(LEN($C200)&gt;0,"",'Casos de Prueba'!E199)</f>
        <v xml:space="preserve">Usuario ingresa al Portal de Incidentes </v>
      </c>
      <c r="G200" t="str">
        <f>IF(LEN($C200)&gt;0,"",'Casos de Prueba'!F199&amp;CHAR(10)&amp;'Casos de Prueba'!G199)</f>
        <v>El sistema muestra las siguientes opciones:
- Consulta incidentes CFDI
- Consulta incidentes CFDI Retenciones
-Recuperar descargas Detalle de consulta de incidencias’
El Usuario previamente se autenticó  y accedió al portal de Incidentes</v>
      </c>
    </row>
    <row r="201" spans="4:7" x14ac:dyDescent="0.35">
      <c r="D201" t="str">
        <f>IF('Casos de Prueba'!B200&lt;&gt;0,'Casos de Prueba'!B200&amp;"-"&amp;'Casos de Prueba'!C200,"")</f>
        <v/>
      </c>
      <c r="E201">
        <f>IF(LEN($C201)&gt;0,"",'Casos de Prueba'!D200)</f>
        <v>2</v>
      </c>
      <c r="F201" t="str">
        <f>IF(LEN($C201)&gt;0,"",'Casos de Prueba'!E200)</f>
        <v>Da clic en "Consulta Incidentes CFDI Retenciones"</v>
      </c>
      <c r="G201" t="str">
        <f>IF(LEN($C201)&gt;0,"",'Casos de Prueba'!F200&amp;CHAR(10)&amp;'Casos de Prueba'!G200)</f>
        <v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2.0)
PAC 
Botón "Consultar Incidentes"
</v>
      </c>
    </row>
    <row r="202" spans="4:7" x14ac:dyDescent="0.35">
      <c r="D202" t="str">
        <f>IF('Casos de Prueba'!B201&lt;&gt;0,'Casos de Prueba'!B201&amp;"-"&amp;'Casos de Prueba'!C201,"")</f>
        <v/>
      </c>
      <c r="E202">
        <f>IF(LEN($C202)&gt;0,"",'Casos de Prueba'!D201)</f>
        <v>3</v>
      </c>
      <c r="F202" t="str">
        <f>IF(LEN($C202)&gt;0,"",'Casos de Prueba'!E201)</f>
        <v>Selecciona en el campo "Tipo de Consulta":
Incidentes Servicio de Recepción</v>
      </c>
      <c r="G202" t="str">
        <f>IF(LEN($C202)&gt;0,"",'Casos de Prueba'!F201&amp;CHAR(10)&amp;'Casos de Prueba'!G201)</f>
        <v xml:space="preserve">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2.0)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
      </c>
    </row>
    <row r="203" spans="4:7" x14ac:dyDescent="0.35">
      <c r="D203" t="str">
        <f>IF('Casos de Prueba'!B202&lt;&gt;0,'Casos de Prueba'!B202&amp;"-"&amp;'Casos de Prueba'!C202,"")</f>
        <v/>
      </c>
      <c r="E203">
        <f>IF(LEN($C203)&gt;0,"",'Casos de Prueba'!D202)</f>
        <v>4</v>
      </c>
      <c r="F203" t="str">
        <f>IF(LEN($C203)&gt;0,"",'Casos de Prueba'!E202)</f>
        <v xml:space="preserve">Seleccionar la opcion Por Fechas y agregar los valores:
Campo Fecha Inicial de Recepción*
Campo Fecha Final de Recepción.*
PAC
Los campos marcados con (*) son obligatorios
Dar clic en el botón "Consultar Incidentes".
</v>
      </c>
      <c r="G203" t="str">
        <f>IF(LEN($C203)&gt;0,"",'Casos de Prueba'!F202&amp;CHAR(10)&amp;'Casos de Prueba'!G202)</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v>
      </c>
    </row>
    <row r="204" spans="4:7" x14ac:dyDescent="0.35">
      <c r="D204" t="str">
        <f>IF('Casos de Prueba'!B203&lt;&gt;0,'Casos de Prueba'!B203&amp;"-"&amp;'Casos de Prueba'!C203,"")</f>
        <v/>
      </c>
      <c r="E204">
        <f>IF(LEN($C204)&gt;0,"",'Casos de Prueba'!D203)</f>
        <v>5</v>
      </c>
      <c r="F204" t="str">
        <f>IF(LEN($C204)&gt;0,"",'Casos de Prueba'!E203)</f>
        <v>De los resultados, se selecciona un registro y se da clic en el boton de "Ver detalle".</v>
      </c>
      <c r="G204" t="str">
        <f>IF(LEN($C204)&gt;0,"",'Casos de Prueba'!F203&amp;CHAR(10)&amp;'Casos de Prueba'!G203)</f>
        <v>El sistema muestra una subpantalla con la siguiente información:
•	RFC PAC: El RFC del Proveedor.
•	Nombre o Razón Social: La razón social del Proveedor.
•	Clave de evento: Clave del evento de incidencia de recepción
•	Evento: Descripción del evento de incidencia de recepción.
Tabla: (Registros de Incidentes)
o	UUID: Folio Fiscal de los comprobantes asociados al incidente
o	Fecha de registro del incidente: Fecha en que se recibió el incidente.* 
Botones:
.Exportar Detalle a PDF
.Exportar Resultados a JSON
Si el total de incidencias es mayor a 100 registros, al dar clic en el botón   (Ver detalle), el sistema va a mostrar únicamente los primeros 100 en la pantalla y el siguiente mensaje en la pantalla modal:
¡Aviso!
El resultado Detalle de Consulta contiene mas de 100 registros de incidentes.
Solo se muestran los primeros 100
Importante: La descarga total de los registros se puede realizar mediante los botones 
"Exportar Detalle a PDF" o "Exportar resultados a JSON"
El orden de los registros es ordenada por el valor del campo “Fecha de registro del incidente” del más reciente a los más antiguos.</v>
      </c>
    </row>
    <row r="205" spans="4:7" x14ac:dyDescent="0.35">
      <c r="D205" t="str">
        <f>IF('Casos de Prueba'!B204&lt;&gt;0,'Casos de Prueba'!B204&amp;"-"&amp;'Casos de Prueba'!C204,"")</f>
        <v/>
      </c>
      <c r="E205">
        <f>IF(LEN($C205)&gt;0,"",'Casos de Prueba'!D204)</f>
        <v>6</v>
      </c>
      <c r="F205" t="str">
        <f>IF(LEN($C205)&gt;0,"",'Casos de Prueba'!E204)</f>
        <v>Dar clic en el botón "Exportar Detalle a PDF"</v>
      </c>
      <c r="G205" t="str">
        <f>IF(LEN($C205)&gt;0,"",'Casos de Prueba'!F204&amp;CHAR(10)&amp;'Casos de Prueba'!G204)</f>
        <v xml:space="preserve">Al seleccionar este botón se debe generar una petición de descarga para los registros de incidentes que se muestran en la ventana ‘Detalle de Consulta’.
•	Mas de 100 registros de incidencias
Al seleccionar el botón ‘Exportar Detalle a PDF’ el sistema cierra la pantalla modal y genera la descarga con la totalidad de registros de incidencias de manera asíncrona, mostrando en pantalla un mensaje con el número de ‘Folio de Descarga’ conforme a las siguientes características:
	Letras mayúsculas.
	Números.
	Guiones.
	Longitud de 32 caracteres (sin contar el guion)
El folio de descarga se proporciona mediante el siguiente mensaje: 
¡Descarga realizada con éxito!
La descarga del Detalle de la Consulta (PDF) se encuentra en proceso y podrás obtener el resultado con el folio de descarga: xxxxxxxx-xxxx-xxxx-xxxx-xxxxxxxxxxxx, en la opción: 
Recuperar descargas ‘Detalle de consulta de incidencias’.
Importante: el tiempo máximo para atender la solicitud es de 48 horas a partir de este momento.
</v>
      </c>
    </row>
    <row r="206" spans="4:7" x14ac:dyDescent="0.35">
      <c r="D206" t="str">
        <f>IF('Casos de Prueba'!B205&lt;&gt;0,'Casos de Prueba'!B205&amp;"-"&amp;'Casos de Prueba'!C205,"")</f>
        <v/>
      </c>
      <c r="E206">
        <f>IF(LEN($C206)&gt;0,"",'Casos de Prueba'!D205)</f>
        <v>7</v>
      </c>
      <c r="F206" t="str">
        <f>IF(LEN($C206)&gt;0,"",'Casos de Prueba'!E205)</f>
        <v>Da clic en  Cerrar Sesion</v>
      </c>
      <c r="G206" t="str">
        <f>IF(LEN($C206)&gt;0,"",'Casos de Prueba'!F205&amp;CHAR(10)&amp;'Casos de Prueba'!G205)</f>
        <v>Cierra la sesión del RFC
Fin del caso</v>
      </c>
    </row>
    <row r="207" spans="4:7" x14ac:dyDescent="0.35">
      <c r="D207" t="str">
        <f>IF('Casos de Prueba'!B206&lt;&gt;0,'Casos de Prueba'!B206&amp;"-"&amp;'Casos de Prueba'!C206,"")</f>
        <v>CP29-/Retenciones/FechaExportarJSONmas100Registros</v>
      </c>
      <c r="G207" t="str">
        <f>IF(LEN($C207)&gt;0,"",'Casos de Prueba'!F206&amp;CHAR(10)&amp;'Casos de Prueba'!G206)</f>
        <v xml:space="preserve">
</v>
      </c>
    </row>
    <row r="208" spans="4:7" x14ac:dyDescent="0.35">
      <c r="D208" t="str">
        <f>IF('Casos de Prueba'!B207&lt;&gt;0,'Casos de Prueba'!B207&amp;"-"&amp;'Casos de Prueba'!C207,"")</f>
        <v/>
      </c>
      <c r="E208">
        <f>IF(LEN($C208)&gt;0,"",'Casos de Prueba'!D207)</f>
        <v>1</v>
      </c>
      <c r="F208" t="str">
        <f>IF(LEN($C208)&gt;0,"",'Casos de Prueba'!E207)</f>
        <v xml:space="preserve">Usuario ingresa al Portal de Incidentes </v>
      </c>
      <c r="G208" t="str">
        <f>IF(LEN($C208)&gt;0,"",'Casos de Prueba'!F207&amp;CHAR(10)&amp;'Casos de Prueba'!G207)</f>
        <v>El sistema muestra las siguientes opciones:
- Consulta incidentes CFDI
- Consulta incidentes CFDI Retenciones
-Recuperar descargas Detalle de consulta de incidencias’
El Usuario previamente se autenticó  y accedió al portal de Incidentes</v>
      </c>
    </row>
    <row r="209" spans="4:7" x14ac:dyDescent="0.35">
      <c r="D209" t="str">
        <f>IF('Casos de Prueba'!B208&lt;&gt;0,'Casos de Prueba'!B208&amp;"-"&amp;'Casos de Prueba'!C208,"")</f>
        <v/>
      </c>
      <c r="E209">
        <f>IF(LEN($C209)&gt;0,"",'Casos de Prueba'!D208)</f>
        <v>2</v>
      </c>
      <c r="F209" t="str">
        <f>IF(LEN($C209)&gt;0,"",'Casos de Prueba'!E208)</f>
        <v>Da clic en "Consulta Incidentes CFDI Retenciones"</v>
      </c>
      <c r="G209" t="str">
        <f>IF(LEN($C209)&gt;0,"",'Casos de Prueba'!F208&amp;CHAR(10)&amp;'Casos de Prueba'!G208)</f>
        <v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2.0)
PAC 
Botón "Consultar Incidentes"
</v>
      </c>
    </row>
    <row r="210" spans="4:7" x14ac:dyDescent="0.35">
      <c r="D210" t="str">
        <f>IF('Casos de Prueba'!B209&lt;&gt;0,'Casos de Prueba'!B209&amp;"-"&amp;'Casos de Prueba'!C209,"")</f>
        <v/>
      </c>
      <c r="E210">
        <f>IF(LEN($C210)&gt;0,"",'Casos de Prueba'!D209)</f>
        <v>3</v>
      </c>
      <c r="F210" t="str">
        <f>IF(LEN($C210)&gt;0,"",'Casos de Prueba'!E209)</f>
        <v>Selecciona en el campo "Tipo de Consulta":
Incidentes Servicio de Recepción</v>
      </c>
      <c r="G210" t="str">
        <f>IF(LEN($C210)&gt;0,"",'Casos de Prueba'!F209&amp;CHAR(10)&amp;'Casos de Prueba'!G209)</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2.0)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2.0</v>
      </c>
    </row>
    <row r="211" spans="4:7" x14ac:dyDescent="0.35">
      <c r="D211" t="str">
        <f>IF('Casos de Prueba'!B210&lt;&gt;0,'Casos de Prueba'!B210&amp;"-"&amp;'Casos de Prueba'!C210,"")</f>
        <v/>
      </c>
      <c r="E211">
        <f>IF(LEN($C211)&gt;0,"",'Casos de Prueba'!D210)</f>
        <v>4</v>
      </c>
      <c r="F211" t="str">
        <f>IF(LEN($C211)&gt;0,"",'Casos de Prueba'!E210)</f>
        <v xml:space="preserve">Seleccionar la opcion Por Fechas y agregar los valores:
Campo Fecha Inicial de Recepción*
Campo Fecha Final de Recepción.*
PAC
Los campos marcados con (*) son obligatorios
Dar clic en el botón "Consultar Incidentes".
</v>
      </c>
      <c r="G211" t="str">
        <f>IF(LEN($C211)&gt;0,"",'Casos de Prueba'!F210&amp;CHAR(10)&amp;'Casos de Prueba'!G210)</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v>
      </c>
    </row>
    <row r="212" spans="4:7" x14ac:dyDescent="0.35">
      <c r="D212" t="str">
        <f>IF('Casos de Prueba'!B211&lt;&gt;0,'Casos de Prueba'!B211&amp;"-"&amp;'Casos de Prueba'!C211,"")</f>
        <v/>
      </c>
      <c r="E212">
        <f>IF(LEN($C212)&gt;0,"",'Casos de Prueba'!D211)</f>
        <v>5</v>
      </c>
      <c r="F212" t="str">
        <f>IF(LEN($C212)&gt;0,"",'Casos de Prueba'!E211)</f>
        <v>De los resultados, se selecciona un registro y se da clic en el boton de "Ver detalle".</v>
      </c>
      <c r="G212" t="str">
        <f>IF(LEN($C212)&gt;0,"",'Casos de Prueba'!F211&amp;CHAR(10)&amp;'Casos de Prueba'!G211)</f>
        <v>El sistema muestra una subpantalla con la siguiente información:
•	RFC PAC: El RFC del Proveedor.
•	Nombre o Razón Social: La razón social del Proveedor.
•	Clave de evento: Clave del evento de incidencia de recepción
•	Evento: Descripción del evento de incidencia de recepción.
Tabla: (Registros de Incidentes)
o	UUID: Folio Fiscal de los comprobantes asociados al incidente
o	Fecha de registro del incidente: Fecha en que se recibió el incidente.* 
Botones:
.Exportar Detalle a PDF
.Exportar Resultados a JSON
Si el total de incidencias es mayor a 100 registros, al dar clic en el botón   (Ver detalle), el sistema va a mostrar únicamente los primeros 100 en la pantalla y el siguiente mensaje en la pantalla modal:
¡Aviso!
El resultado Detalle de Consulta contiene mas de 100 registros de incidentes.
Solo se muestran los primeros 100
Importante: La descarga total de los registros se puede realizar mediante los botones 
"Exportar Detalle a PDF" o "Exportar resultados a JSON"
El orden de los registros es ordenada por el valor del campo “Fecha de registro del incidente” del más reciente a los más antiguos.</v>
      </c>
    </row>
    <row r="213" spans="4:7" x14ac:dyDescent="0.35">
      <c r="D213" t="str">
        <f>IF('Casos de Prueba'!B212&lt;&gt;0,'Casos de Prueba'!B212&amp;"-"&amp;'Casos de Prueba'!C212,"")</f>
        <v/>
      </c>
      <c r="E213">
        <f>IF(LEN($C213)&gt;0,"",'Casos de Prueba'!D212)</f>
        <v>6</v>
      </c>
      <c r="F213" t="str">
        <f>IF(LEN($C213)&gt;0,"",'Casos de Prueba'!E212)</f>
        <v>Dar clic en el botón "Exportar Resultados a JSON"</v>
      </c>
      <c r="G213" t="str">
        <f>IF(LEN($C213)&gt;0,"",'Casos de Prueba'!F212&amp;CHAR(10)&amp;'Casos de Prueba'!G212)</f>
        <v xml:space="preserve">Al seleccionar este botón se debe generar una petición de descarga para los registros de incidentes que se muestran en la ventana ‘Detalle de Consulta’ en formato JSON.
B.	Más de 100 registros de incidencias.
 Al seleccionar el botón ‘Exportar Detalle a JSON’ el sistema cierra la pantalla modal y genera la descarga con la totalidad de registros de incidencias de manera asíncrona, mostrando en pantalla un mensaje con el número de ‘Folio de Descarga’ conforme a las siguientes características:
•	Letras mayúsculas.
•	Números.
•	Guiones.
•	Longitud de 32 caracteres (sin contar el guion).
El folio de descarga se proporciona mediante el siguiente mensaje: 
¡Descarga realizada con éxito!
La descarga del Detalle de la Consulta (JSON) se encuentra en proceso y podrás obtener el resultado con el folio de descarga: xxxxxxxx-xxxx-xxxx-xxxx-xxxxxxxxxxxx, en la opción: 
Recuperar descargas ‘Detalle de consulta de incidencias’.
Importante: el tiempo máximo para atender la solicitud es de 48 horas a partir de este momento.
</v>
      </c>
    </row>
    <row r="214" spans="4:7" x14ac:dyDescent="0.35">
      <c r="D214" t="str">
        <f>IF('Casos de Prueba'!B213&lt;&gt;0,'Casos de Prueba'!B213&amp;"-"&amp;'Casos de Prueba'!C213,"")</f>
        <v/>
      </c>
      <c r="E214">
        <f>IF(LEN($C214)&gt;0,"",'Casos de Prueba'!D213)</f>
        <v>7</v>
      </c>
      <c r="F214" t="str">
        <f>IF(LEN($C214)&gt;0,"",'Casos de Prueba'!E213)</f>
        <v>Da clic en  Cerrar Sesion</v>
      </c>
      <c r="G214" t="str">
        <f>IF(LEN($C214)&gt;0,"",'Casos de Prueba'!F213&amp;CHAR(10)&amp;'Casos de Prueba'!G213)</f>
        <v>Cierra la sesión del RFC
Fin del caso</v>
      </c>
    </row>
    <row r="215" spans="4:7" x14ac:dyDescent="0.35">
      <c r="D215" t="str">
        <f>IF('Casos de Prueba'!B214&lt;&gt;0,'Casos de Prueba'!B214&amp;"-"&amp;'Casos de Prueba'!C214,"")</f>
        <v>CP30-/FechaExportarPDFmas100Registros</v>
      </c>
      <c r="G215" t="str">
        <f>IF(LEN($C215)&gt;0,"",'Casos de Prueba'!F214&amp;CHAR(10)&amp;'Casos de Prueba'!G214)</f>
        <v xml:space="preserve">
</v>
      </c>
    </row>
    <row r="216" spans="4:7" x14ac:dyDescent="0.35">
      <c r="D216" t="str">
        <f>IF('Casos de Prueba'!B215&lt;&gt;0,'Casos de Prueba'!B215&amp;"-"&amp;'Casos de Prueba'!C215,"")</f>
        <v/>
      </c>
      <c r="E216">
        <f>IF(LEN($C216)&gt;0,"",'Casos de Prueba'!D215)</f>
        <v>1</v>
      </c>
      <c r="F216" t="str">
        <f>IF(LEN($C216)&gt;0,"",'Casos de Prueba'!E215)</f>
        <v xml:space="preserve">Usuario ingresa al Portal de Incidentes </v>
      </c>
      <c r="G216" t="str">
        <f>IF(LEN($C216)&gt;0,"",'Casos de Prueba'!F215&amp;CHAR(10)&amp;'Casos de Prueba'!G215)</f>
        <v>El sistema muestra las siguientes opciones:
- Consulta incidentes CFDI
- Consulta incidentes CFDI Retenciones
-Recuperar descargas Detalle de consulta de incidencias’
El Usuario previamente se autenticó  y accedió al portal de Incidentes</v>
      </c>
    </row>
    <row r="217" spans="4:7" x14ac:dyDescent="0.35">
      <c r="D217" t="str">
        <f>IF('Casos de Prueba'!B216&lt;&gt;0,'Casos de Prueba'!B216&amp;"-"&amp;'Casos de Prueba'!C216,"")</f>
        <v/>
      </c>
      <c r="E217">
        <f>IF(LEN($C217)&gt;0,"",'Casos de Prueba'!D216)</f>
        <v>2</v>
      </c>
      <c r="F217" t="str">
        <f>IF(LEN($C217)&gt;0,"",'Casos de Prueba'!E216)</f>
        <v>Da clic en "Consulta incidentes CFDI"</v>
      </c>
      <c r="G217" t="str">
        <f>IF(LEN($C217)&gt;0,"",'Casos de Prueba'!F216&amp;CHAR(10)&amp;'Casos de Prueba'!G216)</f>
        <v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4.0)
PAC 
Botón "Consultar Incidentes"
</v>
      </c>
    </row>
    <row r="218" spans="4:7" x14ac:dyDescent="0.35">
      <c r="D218" t="str">
        <f>IF('Casos de Prueba'!B217&lt;&gt;0,'Casos de Prueba'!B217&amp;"-"&amp;'Casos de Prueba'!C217,"")</f>
        <v/>
      </c>
      <c r="E218">
        <f>IF(LEN($C218)&gt;0,"",'Casos de Prueba'!D217)</f>
        <v>3</v>
      </c>
      <c r="F218" t="str">
        <f>IF(LEN($C218)&gt;0,"",'Casos de Prueba'!E217)</f>
        <v>Selecciona en el campo "Tipo de Consulta":
Incidentes Servicio de Recepción</v>
      </c>
      <c r="G218" t="str">
        <f>IF(LEN($C218)&gt;0,"",'Casos de Prueba'!F217&amp;CHAR(10)&amp;'Casos de Prueba'!G217)</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v>
      </c>
    </row>
    <row r="219" spans="4:7" x14ac:dyDescent="0.35">
      <c r="D219" t="str">
        <f>IF('Casos de Prueba'!B218&lt;&gt;0,'Casos de Prueba'!B218&amp;"-"&amp;'Casos de Prueba'!C218,"")</f>
        <v/>
      </c>
      <c r="E219">
        <f>IF(LEN($C219)&gt;0,"",'Casos de Prueba'!D218)</f>
        <v>4</v>
      </c>
      <c r="F219" t="str">
        <f>IF(LEN($C219)&gt;0,"",'Casos de Prueba'!E218)</f>
        <v xml:space="preserve">Seleccionar la opcion Por Fechas y agregar los valores:
Campo Fecha Inicial de Recepción*
Campo Fecha Final de Recepción.*
PAC
Los campos marcados con (*) son obligatorios
Dar clic en el botón "Consultar Incidentes".
</v>
      </c>
      <c r="G219" t="str">
        <f>IF(LEN($C219)&gt;0,"",'Casos de Prueba'!F218&amp;CHAR(10)&amp;'Casos de Prueba'!G218)</f>
        <v>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Version por default 4.0</v>
      </c>
    </row>
    <row r="220" spans="4:7" x14ac:dyDescent="0.35">
      <c r="D220" t="str">
        <f>IF('Casos de Prueba'!B219&lt;&gt;0,'Casos de Prueba'!B219&amp;"-"&amp;'Casos de Prueba'!C219,"")</f>
        <v/>
      </c>
      <c r="E220">
        <f>IF(LEN($C220)&gt;0,"",'Casos de Prueba'!D219)</f>
        <v>5</v>
      </c>
      <c r="F220" t="str">
        <f>IF(LEN($C220)&gt;0,"",'Casos de Prueba'!E219)</f>
        <v>De los resultados, se selecciona un registro y se da clic en el boton de "Ver detalle".</v>
      </c>
      <c r="G220" t="str">
        <f>IF(LEN($C220)&gt;0,"",'Casos de Prueba'!F219&amp;CHAR(10)&amp;'Casos de Prueba'!G219)</f>
        <v>El sistema muestra una subpantalla con la siguiente información:
•	RFC PAC: El RFC del Proveedor.
•	Nombre o Razón Social: La razón social del Proveedor.
•	Clave de evento: Clave del evento de incidencia de recepción
•	Evento: Descripción del evento de incidencia de recepción.
Tabla: (Registros de Incidentes)
o	UUID: Folio Fiscal de los comprobantes asociados al incidente
o	Fecha de registro del incidente: Fecha en que se recibió el incidente.* 
Botones:
.Exportar Detalle a PDF
.Exportar Resultados a JSON
Si el total de incidencias es mayor a 100 registros, al dar clic en el botón   (Ver detalle), el sistema va a mostrar únicamente los primeros 100 en la pantalla y el siguiente mensaje en la pantalla modal:
¡Aviso!
El resultado Detalle de Consulta contiene mas de 100 registros de incidentes.
Solo se muestran los primeros 100
Importante: La descarga total de los registros se puede realizar mediante los botones 
"Exportar Detalle a PDF" o "Exportar resultados a JSON"
El orden de los registros es ordenada por el valor del campo “Fecha de registro del incidente” del más reciente a los más antiguos.</v>
      </c>
    </row>
    <row r="221" spans="4:7" x14ac:dyDescent="0.35">
      <c r="D221" t="str">
        <f>IF('Casos de Prueba'!B220&lt;&gt;0,'Casos de Prueba'!B220&amp;"-"&amp;'Casos de Prueba'!C220,"")</f>
        <v/>
      </c>
      <c r="E221">
        <f>IF(LEN($C221)&gt;0,"",'Casos de Prueba'!D220)</f>
        <v>6</v>
      </c>
      <c r="F221" t="str">
        <f>IF(LEN($C221)&gt;0,"",'Casos de Prueba'!E220)</f>
        <v>Dar clic en el botón "Exportar Detalle a PDF"</v>
      </c>
      <c r="G221" t="str">
        <f>IF(LEN($C221)&gt;0,"",'Casos de Prueba'!F220&amp;CHAR(10)&amp;'Casos de Prueba'!G220)</f>
        <v xml:space="preserve">Al seleccionar este botón se debe generar una petición de descarga para los registros de incidentes que se muestran en la ventana ‘Detalle de Consulta’.
•	Mas de 100 registros de incidencias
Al seleccionar el botón ‘Exportar Detalle a PDF’ el sistema cierra la pantalla modal y genera la descarga con la totalidad de registros de incidencias de manera asíncrona, mostrando en pantalla un mensaje con el número de ‘Folio de Descarga’ conforme a las siguientes características:
	Letras mayúsculas.
	Números.
	Guiones.
	Longitud de 32 caracteres (sin contar el guion)
El folio de descarga se proporciona mediante el siguiente mensaje: 
¡Descarga realizada con éxito!
La descarga del Detalle de la Consulta (PDF) se encuentra en proceso y podrás obtener el resultado con el folio de descarga: xxxxxxxx-xxxx-xxxx-xxxx-xxxxxxxxxxxx, en la opción: 
Recuperar descargas ‘Detalle de consulta de incidencias’.
Importante: el tiempo máximo para atender la solicitud es de 48 horas a partir de este momento.
</v>
      </c>
    </row>
    <row r="222" spans="4:7" x14ac:dyDescent="0.35">
      <c r="D222" t="str">
        <f>IF('Casos de Prueba'!B221&lt;&gt;0,'Casos de Prueba'!B221&amp;"-"&amp;'Casos de Prueba'!C221,"")</f>
        <v/>
      </c>
      <c r="E222">
        <f>IF(LEN($C222)&gt;0,"",'Casos de Prueba'!D221)</f>
        <v>7</v>
      </c>
      <c r="F222" t="str">
        <f>IF(LEN($C222)&gt;0,"",'Casos de Prueba'!E221)</f>
        <v>Da clic en  Cerrar Sesion</v>
      </c>
      <c r="G222" t="str">
        <f>IF(LEN($C222)&gt;0,"",'Casos de Prueba'!F221&amp;CHAR(10)&amp;'Casos de Prueba'!G221)</f>
        <v>Cierra la sesión del RFC
Fin del caso</v>
      </c>
    </row>
    <row r="223" spans="4:7" x14ac:dyDescent="0.35">
      <c r="D223" t="str">
        <f>IF('Casos de Prueba'!B222&lt;&gt;0,'Casos de Prueba'!B222&amp;"-"&amp;'Casos de Prueba'!C222,"")</f>
        <v>CP31-/FechaExportarJSONmas100Registros</v>
      </c>
      <c r="G223" t="str">
        <f>IF(LEN($C223)&gt;0,"",'Casos de Prueba'!F222&amp;CHAR(10)&amp;'Casos de Prueba'!G222)</f>
        <v xml:space="preserve">
</v>
      </c>
    </row>
    <row r="224" spans="4:7" x14ac:dyDescent="0.35">
      <c r="D224" t="str">
        <f>IF('Casos de Prueba'!B223&lt;&gt;0,'Casos de Prueba'!B223&amp;"-"&amp;'Casos de Prueba'!C223,"")</f>
        <v/>
      </c>
      <c r="E224">
        <f>IF(LEN($C224)&gt;0,"",'Casos de Prueba'!D223)</f>
        <v>1</v>
      </c>
      <c r="F224" t="str">
        <f>IF(LEN($C224)&gt;0,"",'Casos de Prueba'!E223)</f>
        <v xml:space="preserve">Usuario ingresa al Portal de Incidentes </v>
      </c>
      <c r="G224" t="str">
        <f>IF(LEN($C224)&gt;0,"",'Casos de Prueba'!F223&amp;CHAR(10)&amp;'Casos de Prueba'!G223)</f>
        <v>El sistema muestra las siguientes opciones:
- Consulta incidentes CFDI
- Consulta incidentes CFDI Retenciones
-Recuperar descargas Detalle de consulta de incidencias’
El Usuario previamente se autenticó  y accedió al portal de Incidentes</v>
      </c>
    </row>
    <row r="225" spans="4:7" x14ac:dyDescent="0.35">
      <c r="D225" t="str">
        <f>IF('Casos de Prueba'!B224&lt;&gt;0,'Casos de Prueba'!B224&amp;"-"&amp;'Casos de Prueba'!C224,"")</f>
        <v/>
      </c>
      <c r="E225">
        <f>IF(LEN($C225)&gt;0,"",'Casos de Prueba'!D224)</f>
        <v>2</v>
      </c>
      <c r="F225" t="str">
        <f>IF(LEN($C225)&gt;0,"",'Casos de Prueba'!E224)</f>
        <v>Da clic en "Consulta incidentes CFDI"</v>
      </c>
      <c r="G225" t="str">
        <f>IF(LEN($C225)&gt;0,"",'Casos de Prueba'!F224&amp;CHAR(10)&amp;'Casos de Prueba'!G224)</f>
        <v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4.0)
PAC 
Botón "Consultar Incidentes"
</v>
      </c>
    </row>
    <row r="226" spans="4:7" x14ac:dyDescent="0.35">
      <c r="D226" t="str">
        <f>IF('Casos de Prueba'!B225&lt;&gt;0,'Casos de Prueba'!B225&amp;"-"&amp;'Casos de Prueba'!C225,"")</f>
        <v/>
      </c>
      <c r="E226">
        <f>IF(LEN($C226)&gt;0,"",'Casos de Prueba'!D225)</f>
        <v>3</v>
      </c>
      <c r="F226" t="str">
        <f>IF(LEN($C226)&gt;0,"",'Casos de Prueba'!E225)</f>
        <v>Selecciona en el campo "Tipo de Consulta":
Incidentes Servicio de Recepción</v>
      </c>
      <c r="G226" t="str">
        <f>IF(LEN($C226)&gt;0,"",'Casos de Prueba'!F225&amp;CHAR(10)&amp;'Casos de Prueba'!G225)</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v>
      </c>
    </row>
    <row r="227" spans="4:7" x14ac:dyDescent="0.35">
      <c r="D227" t="str">
        <f>IF('Casos de Prueba'!B226&lt;&gt;0,'Casos de Prueba'!B226&amp;"-"&amp;'Casos de Prueba'!C226,"")</f>
        <v/>
      </c>
      <c r="E227">
        <f>IF(LEN($C227)&gt;0,"",'Casos de Prueba'!D226)</f>
        <v>4</v>
      </c>
      <c r="F227" t="str">
        <f>IF(LEN($C227)&gt;0,"",'Casos de Prueba'!E226)</f>
        <v xml:space="preserve">Seleccionar la opcion Por Fechas y agregar los valores:
Campo Fecha Inicial de Recepción*
Campo Fecha Final de Recepción.*
PAC
Los campos marcados con (*) son obligatorios
Dar clic en el botón "Consultar Incidentes".
</v>
      </c>
      <c r="G227" t="str">
        <f>IF(LEN($C227)&gt;0,"",'Casos de Prueba'!F226&amp;CHAR(10)&amp;'Casos de Prueba'!G226)</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v>
      </c>
    </row>
    <row r="228" spans="4:7" x14ac:dyDescent="0.35">
      <c r="D228" t="str">
        <f>IF('Casos de Prueba'!B227&lt;&gt;0,'Casos de Prueba'!B227&amp;"-"&amp;'Casos de Prueba'!C227,"")</f>
        <v/>
      </c>
      <c r="E228">
        <f>IF(LEN($C228)&gt;0,"",'Casos de Prueba'!D227)</f>
        <v>5</v>
      </c>
      <c r="F228" t="str">
        <f>IF(LEN($C228)&gt;0,"",'Casos de Prueba'!E227)</f>
        <v>De los resultados, se selecciona un registro y se da clic en el boton de "Ver detalle".</v>
      </c>
      <c r="G228" t="str">
        <f>IF(LEN($C228)&gt;0,"",'Casos de Prueba'!F227&amp;CHAR(10)&amp;'Casos de Prueba'!G227)</f>
        <v>El sistema muestra una subpantalla con la siguiente información:
•	RFC PAC: El RFC del Proveedor.
•	Nombre o Razón Social: La razón social del Proveedor.
•	Clave de evento: Clave del evento de incidencia de recepción
•	Evento: Descripción del evento de incidencia de recepción.
Tabla: (Registros de Incidentes)
o	UUID: Folio Fiscal de los comprobantes asociados al incidente
o	Fecha de registro del incidente: Fecha en que se recibió el incidente.* 
Botones:
.Exportar Detalle a PDF
.Exportar Resultados a JSON
Si el total de incidencias es mayor a 100 registros, al dar clic en el botón   (Ver detalle), el sistema va a mostrar únicamente los primeros 100 en la pantalla y el siguiente mensaje en la pantalla modal:
¡Aviso!
El resultado Detalle de Consulta contiene mas de 100 registros de incidentes.
Solo se muestran los primeros 100
Importante: La descarga total de los registros se puede realizar mediante los botones 
"Exportar Detalle a PDF" o "Exportar resultados a JSON"
El orden de los registros es ordenada por el valor del campo “Fecha de registro del incidente” del más reciente a los más antiguos.</v>
      </c>
    </row>
    <row r="229" spans="4:7" x14ac:dyDescent="0.35">
      <c r="D229" t="str">
        <f>IF('Casos de Prueba'!B228&lt;&gt;0,'Casos de Prueba'!B228&amp;"-"&amp;'Casos de Prueba'!C228,"")</f>
        <v/>
      </c>
      <c r="E229">
        <f>IF(LEN($C229)&gt;0,"",'Casos de Prueba'!D228)</f>
        <v>6</v>
      </c>
      <c r="F229" t="str">
        <f>IF(LEN($C229)&gt;0,"",'Casos de Prueba'!E228)</f>
        <v>Dar clic en el botón "Exportar Resultados a JSON"</v>
      </c>
      <c r="G229" t="str">
        <f>IF(LEN($C229)&gt;0,"",'Casos de Prueba'!F228&amp;CHAR(10)&amp;'Casos de Prueba'!G228)</f>
        <v xml:space="preserve">Al seleccionar este botón se debe generar una petición de descarga para los registros de incidentes que se muestran en la ventana ‘Detalle de Consulta’ en formato JSON.
A.	Máximo 100 registros de incidencias. 
Al seleccionar el botón ‘Exportar Detalle a JSON se debe mostrar que el JSON se encuentra en proceso de descarga.
</v>
      </c>
    </row>
    <row r="230" spans="4:7" x14ac:dyDescent="0.35">
      <c r="D230" t="str">
        <f>IF('Casos de Prueba'!B229&lt;&gt;0,'Casos de Prueba'!B229&amp;"-"&amp;'Casos de Prueba'!C229,"")</f>
        <v/>
      </c>
      <c r="E230">
        <f>IF(LEN($C230)&gt;0,"",'Casos de Prueba'!D229)</f>
        <v>7</v>
      </c>
      <c r="F230" t="str">
        <f>IF(LEN($C230)&gt;0,"",'Casos de Prueba'!E229)</f>
        <v>Da clic en  Cerrar Sesion</v>
      </c>
      <c r="G230" t="str">
        <f>IF(LEN($C230)&gt;0,"",'Casos de Prueba'!F229&amp;CHAR(10)&amp;'Casos de Prueba'!G229)</f>
        <v>Cierra la sesión del RFC
Fin del caso</v>
      </c>
    </row>
    <row r="231" spans="4:7" x14ac:dyDescent="0.35">
      <c r="D231" t="str">
        <f>IF('Casos de Prueba'!B230&lt;&gt;0,'Casos de Prueba'!B230&amp;"-"&amp;'Casos de Prueba'!C230,"")</f>
        <v>CP32-/Lineamientos Gráficos/Encabezado</v>
      </c>
      <c r="G231" t="str">
        <f>IF(LEN($C231)&gt;0,"",'Casos de Prueba'!F230&amp;CHAR(10)&amp;'Casos de Prueba'!G230)</f>
        <v xml:space="preserve">
</v>
      </c>
    </row>
    <row r="232" spans="4:7" x14ac:dyDescent="0.35">
      <c r="D232" t="str">
        <f>IF('Casos de Prueba'!B231&lt;&gt;0,'Casos de Prueba'!B231&amp;"-"&amp;'Casos de Prueba'!C231,"")</f>
        <v/>
      </c>
      <c r="E232">
        <f>IF(LEN($C232)&gt;0,"",'Casos de Prueba'!D231)</f>
        <v>1</v>
      </c>
      <c r="F232" t="str">
        <f>IF(LEN($C232)&gt;0,"",'Casos de Prueba'!E231)</f>
        <v>Usuario abre explorador</v>
      </c>
      <c r="G232" t="str">
        <f>IF(LEN($C232)&gt;0,"",'Casos de Prueba'!F231&amp;CHAR(10)&amp;'Casos de Prueba'!G231)</f>
        <v xml:space="preserve">
</v>
      </c>
    </row>
    <row r="233" spans="4:7" x14ac:dyDescent="0.35">
      <c r="D233" t="str">
        <f>IF('Casos de Prueba'!B232&lt;&gt;0,'Casos de Prueba'!B232&amp;"-"&amp;'Casos de Prueba'!C232,"")</f>
        <v/>
      </c>
      <c r="E233">
        <f>IF(LEN($C233)&gt;0,"",'Casos de Prueba'!D232)</f>
        <v>2</v>
      </c>
      <c r="F233" t="str">
        <f>IF(LEN($C233)&gt;0,"",'Casos de Prueba'!E232)</f>
        <v xml:space="preserve">Usuario ingresa a la URL correspondiente del Portal de Incidentes.
-Selecciona la opción por e.firma
</v>
      </c>
      <c r="G233" t="str">
        <f>IF(LEN($C233)&gt;0,"",'Casos de Prueba'!F232&amp;CHAR(10)&amp;'Casos de Prueba'!G232)</f>
        <v xml:space="preserve">Se muestran los datos para ingresar:
Certificado (.cer)
Clave privada (.Key)
Contraseña de clave privada: 
Se muestra el campo RFC
</v>
      </c>
    </row>
    <row r="234" spans="4:7" x14ac:dyDescent="0.35">
      <c r="D234" t="str">
        <f>IF('Casos de Prueba'!B233&lt;&gt;0,'Casos de Prueba'!B233&amp;"-"&amp;'Casos de Prueba'!C233,"")</f>
        <v/>
      </c>
      <c r="E234">
        <f>IF(LEN($C234)&gt;0,"",'Casos de Prueba'!D233)</f>
        <v>3</v>
      </c>
      <c r="F234" t="str">
        <f>IF(LEN($C234)&gt;0,"",'Casos de Prueba'!E233)</f>
        <v>Usuario da clic en buscar y  en el explorador de documentos selecciona el archivo correspondiente a su certificado</v>
      </c>
      <c r="G234" t="str">
        <f>IF(LEN($C234)&gt;0,"",'Casos de Prueba'!F233&amp;CHAR(10)&amp;'Casos de Prueba'!G233)</f>
        <v xml:space="preserve">Se muestra el dato en el  campo certificado y en el campo RFC el dato del RFC del Contribuyente
</v>
      </c>
    </row>
    <row r="235" spans="4:7" x14ac:dyDescent="0.35">
      <c r="D235" t="str">
        <f>IF('Casos de Prueba'!B234&lt;&gt;0,'Casos de Prueba'!B234&amp;"-"&amp;'Casos de Prueba'!C234,"")</f>
        <v/>
      </c>
      <c r="E235">
        <f>IF(LEN($C235)&gt;0,"",'Casos de Prueba'!D234)</f>
        <v>4</v>
      </c>
      <c r="F235" t="str">
        <f>IF(LEN($C235)&gt;0,"",'Casos de Prueba'!E234)</f>
        <v>Usuario da clic en buscar y en el explorador de documentos selecciona el archivo correspondiente a su clave privada</v>
      </c>
      <c r="G235" t="str">
        <f>IF(LEN($C235)&gt;0,"",'Casos de Prueba'!F234&amp;CHAR(10)&amp;'Casos de Prueba'!G234)</f>
        <v xml:space="preserve">Se muestra el dato en el campo clave privada
</v>
      </c>
    </row>
    <row r="236" spans="4:7" x14ac:dyDescent="0.35">
      <c r="D236" t="str">
        <f>IF('Casos de Prueba'!B235&lt;&gt;0,'Casos de Prueba'!B235&amp;"-"&amp;'Casos de Prueba'!C235,"")</f>
        <v/>
      </c>
      <c r="E236">
        <f>IF(LEN($C236)&gt;0,"",'Casos de Prueba'!D235)</f>
        <v>5</v>
      </c>
      <c r="F236" t="str">
        <f>IF(LEN($C236)&gt;0,"",'Casos de Prueba'!E235)</f>
        <v>Usuario ingresa su contraseña</v>
      </c>
      <c r="G236" t="str">
        <f>IF(LEN($C236)&gt;0,"",'Casos de Prueba'!F235&amp;CHAR(10)&amp;'Casos de Prueba'!G235)</f>
        <v xml:space="preserve">Se muestra oculto el dato en el campo contraseña
</v>
      </c>
    </row>
    <row r="237" spans="4:7" x14ac:dyDescent="0.35">
      <c r="D237" t="str">
        <f>IF('Casos de Prueba'!B236&lt;&gt;0,'Casos de Prueba'!B236&amp;"-"&amp;'Casos de Prueba'!C236,"")</f>
        <v/>
      </c>
      <c r="E237">
        <f>IF(LEN($C237)&gt;0,"",'Casos de Prueba'!D236)</f>
        <v>6</v>
      </c>
      <c r="F237" t="str">
        <f>IF(LEN($C237)&gt;0,"",'Casos de Prueba'!E236)</f>
        <v>Da clic en enviar</v>
      </c>
      <c r="G237" t="str">
        <f>IF(LEN($C237)&gt;0,"",'Casos de Prueba'!F236&amp;CHAR(10)&amp;'Casos de Prueba'!G236)</f>
        <v xml:space="preserve">Si la autenticación es correcta, el aplicativo abre la página principal del Portal Privado Contribuyente CFDI .
En caso de que el Contribuyente no cuente con los permisos, el aplicativo mostrará el mensaje: “El Usuario no cuenta con los privilegios de acceso” y no va a permitir su acceso. </v>
      </c>
    </row>
    <row r="238" spans="4:7" x14ac:dyDescent="0.35">
      <c r="D238" t="str">
        <f>IF('Casos de Prueba'!B237&lt;&gt;0,'Casos de Prueba'!B237&amp;"-"&amp;'Casos de Prueba'!C237,"")</f>
        <v/>
      </c>
      <c r="E238">
        <f>IF(LEN($C238)&gt;0,"",'Casos de Prueba'!D237)</f>
        <v>7</v>
      </c>
      <c r="F238" t="str">
        <f>IF(LEN($C238)&gt;0,"",'Casos de Prueba'!E237)</f>
        <v>El usuario  valida que se muestren los lineamientos gŕaficos encabezado</v>
      </c>
      <c r="G238" t="str">
        <f>IF(LEN($C238)&gt;0,"",'Casos de Prueba'!F237&amp;CHAR(10)&amp;'Casos de Prueba'!G237)</f>
        <v xml:space="preserve">Encabezado con lo siguiente:
(Fondo color guinda)
El imagotipo de "Gobierno de México" -Alineado en parte superior izquierda
Link "Tramites" -Alineado a la derecha
Link "Gobierno" 
Link lupa "Buscador"
(Fondo color guinda obscuro)
"PORTAL EMPLEADOS" -Alineado a la izquierda
Logosimbolo horizontal "Gobierno de México"
Está compuesto por las palabras "Gobierno de
México" en tipografía institucional, junto al Escudo
Nacional.
En la versión horizontal, el Escudo Nacional debe
situarse a la izquierda de la frase "Gobierno
de México"
</v>
      </c>
    </row>
    <row r="239" spans="4:7" x14ac:dyDescent="0.35">
      <c r="D239" t="str">
        <f>IF('Casos de Prueba'!B238&lt;&gt;0,'Casos de Prueba'!B238&amp;"-"&amp;'Casos de Prueba'!C238,"")</f>
        <v>CP33-/Lineamientos Gráficos/Pie de página</v>
      </c>
      <c r="G239" t="str">
        <f>IF(LEN($C239)&gt;0,"",'Casos de Prueba'!F238&amp;CHAR(10)&amp;'Casos de Prueba'!G238)</f>
        <v xml:space="preserve">
</v>
      </c>
    </row>
    <row r="240" spans="4:7" x14ac:dyDescent="0.35">
      <c r="D240" t="str">
        <f>IF('Casos de Prueba'!B239&lt;&gt;0,'Casos de Prueba'!B239&amp;"-"&amp;'Casos de Prueba'!C239,"")</f>
        <v/>
      </c>
      <c r="E240">
        <f>IF(LEN($C240)&gt;0,"",'Casos de Prueba'!D239)</f>
        <v>1</v>
      </c>
      <c r="F240" t="str">
        <f>IF(LEN($C240)&gt;0,"",'Casos de Prueba'!E239)</f>
        <v>Usuario abre explorador</v>
      </c>
      <c r="G240" t="str">
        <f>IF(LEN($C240)&gt;0,"",'Casos de Prueba'!F239&amp;CHAR(10)&amp;'Casos de Prueba'!G239)</f>
        <v xml:space="preserve">
</v>
      </c>
    </row>
    <row r="241" spans="4:7" x14ac:dyDescent="0.35">
      <c r="D241" t="str">
        <f>IF('Casos de Prueba'!B240&lt;&gt;0,'Casos de Prueba'!B240&amp;"-"&amp;'Casos de Prueba'!C240,"")</f>
        <v/>
      </c>
      <c r="E241">
        <f>IF(LEN($C241)&gt;0,"",'Casos de Prueba'!D240)</f>
        <v>2</v>
      </c>
      <c r="F241" t="str">
        <f>IF(LEN($C241)&gt;0,"",'Casos de Prueba'!E240)</f>
        <v xml:space="preserve">Usuario ingresa a la URL correspondiente del Portal de incidentes .
-Selecciona la opción por e.firma
</v>
      </c>
      <c r="G241" t="str">
        <f>IF(LEN($C241)&gt;0,"",'Casos de Prueba'!F240&amp;CHAR(10)&amp;'Casos de Prueba'!G240)</f>
        <v xml:space="preserve">Se muestran los datos para ingresar:
Certificado (.cer)
Clave privada (.Key)
Contraseña de clave privada: 
Se muestra el campo RFC
</v>
      </c>
    </row>
    <row r="242" spans="4:7" x14ac:dyDescent="0.35">
      <c r="D242" t="str">
        <f>IF('Casos de Prueba'!B241&lt;&gt;0,'Casos de Prueba'!B241&amp;"-"&amp;'Casos de Prueba'!C241,"")</f>
        <v/>
      </c>
      <c r="E242">
        <f>IF(LEN($C242)&gt;0,"",'Casos de Prueba'!D241)</f>
        <v>3</v>
      </c>
      <c r="F242" t="str">
        <f>IF(LEN($C242)&gt;0,"",'Casos de Prueba'!E241)</f>
        <v>Usuario da clic en buscar y  en el explorador de documentos selecciona el archivo correspondiente a su certificado</v>
      </c>
      <c r="G242" t="str">
        <f>IF(LEN($C242)&gt;0,"",'Casos de Prueba'!F241&amp;CHAR(10)&amp;'Casos de Prueba'!G241)</f>
        <v xml:space="preserve">Se muestra el dato en el  campo certificado y en el campo RFC el dato del RFC del Contribuyente
</v>
      </c>
    </row>
    <row r="243" spans="4:7" x14ac:dyDescent="0.35">
      <c r="D243" t="str">
        <f>IF('Casos de Prueba'!B242&lt;&gt;0,'Casos de Prueba'!B242&amp;"-"&amp;'Casos de Prueba'!C242,"")</f>
        <v/>
      </c>
      <c r="E243">
        <f>IF(LEN($C243)&gt;0,"",'Casos de Prueba'!D242)</f>
        <v>4</v>
      </c>
      <c r="F243" t="str">
        <f>IF(LEN($C243)&gt;0,"",'Casos de Prueba'!E242)</f>
        <v>Usuario da clic en buscar y en el explorador de documentos selecciona el archivo correspondiente a su clave privada</v>
      </c>
      <c r="G243" t="str">
        <f>IF(LEN($C243)&gt;0,"",'Casos de Prueba'!F242&amp;CHAR(10)&amp;'Casos de Prueba'!G242)</f>
        <v xml:space="preserve">Se muestra el dato en el campo clave privada
</v>
      </c>
    </row>
    <row r="244" spans="4:7" x14ac:dyDescent="0.35">
      <c r="D244" t="str">
        <f>IF('Casos de Prueba'!B243&lt;&gt;0,'Casos de Prueba'!B243&amp;"-"&amp;'Casos de Prueba'!C243,"")</f>
        <v/>
      </c>
      <c r="E244">
        <f>IF(LEN($C244)&gt;0,"",'Casos de Prueba'!D243)</f>
        <v>5</v>
      </c>
      <c r="F244" t="str">
        <f>IF(LEN($C244)&gt;0,"",'Casos de Prueba'!E243)</f>
        <v>Usuario ingresa su contraseña</v>
      </c>
      <c r="G244" t="str">
        <f>IF(LEN($C244)&gt;0,"",'Casos de Prueba'!F243&amp;CHAR(10)&amp;'Casos de Prueba'!G243)</f>
        <v xml:space="preserve">Se muestra oculto el dato en el campo contraseña
</v>
      </c>
    </row>
    <row r="245" spans="4:7" x14ac:dyDescent="0.35">
      <c r="D245" t="str">
        <f>IF('Casos de Prueba'!B244&lt;&gt;0,'Casos de Prueba'!B244&amp;"-"&amp;'Casos de Prueba'!C244,"")</f>
        <v/>
      </c>
      <c r="E245">
        <f>IF(LEN($C245)&gt;0,"",'Casos de Prueba'!D244)</f>
        <v>6</v>
      </c>
      <c r="F245" t="str">
        <f>IF(LEN($C245)&gt;0,"",'Casos de Prueba'!E244)</f>
        <v>Da clic en enviar</v>
      </c>
      <c r="G245" t="str">
        <f>IF(LEN($C245)&gt;0,"",'Casos de Prueba'!F244&amp;CHAR(10)&amp;'Casos de Prueba'!G244)</f>
        <v xml:space="preserve">Si la autenticación es correcta, el aplicativo abre la página principal del Portal de Incidentes.
</v>
      </c>
    </row>
    <row r="246" spans="4:7" x14ac:dyDescent="0.35">
      <c r="D246" t="str">
        <f>IF('Casos de Prueba'!B245&lt;&gt;0,'Casos de Prueba'!B245&amp;"-"&amp;'Casos de Prueba'!C245,"")</f>
        <v/>
      </c>
      <c r="E246">
        <f>IF(LEN($C246)&gt;0,"",'Casos de Prueba'!D245)</f>
        <v>7</v>
      </c>
      <c r="F246" t="str">
        <f>IF(LEN($C246)&gt;0,"",'Casos de Prueba'!E245)</f>
        <v>El usuario  valida que se muestren los lineamientos gŕaficos pie de página</v>
      </c>
      <c r="G246" t="str">
        <f>IF(LEN($C246)&gt;0,"",'Casos de Prueba'!F245&amp;CHAR(10)&amp;'Casos de Prueba'!G245)</f>
        <v xml:space="preserve">Pie de página con lo siguiente:
(Fondo color guinda)
El imagotipo de "Gobierno de México" - Alineado a la izquierda
Sección "Enlaces" de lado derecho del imagotipo 
Link "Participa"
Link "Marco Jurídico"
Link "Plataforma Nacional de Transparencia"
Link "Transparencia para el pueblo"
Link "Alerta"
Sección "¿Qué es gob?" del lado derecho de la sección "Enlaces"
Leyenda "Es el portal único de trámites, información y participación ciudadana." Link "Leer más"
Link "Portal de datos abiertos"
Link "Declaración de accesibilidad"
Link "Términos y Condiciones"
Link "Denuncia contra servidores públicos" - Alineado a la derecha
Sección "Síguenos en"
Enlace (Logo de Facebook)
Enlace (Logo de Twitter)
Enlace (Logo de Instagram)
Enlace (Logo de YouTube)
Enlace (Logo de una flor) "079 Comunícate, estamos para ayudarte"
</v>
      </c>
    </row>
    <row r="247" spans="4:7" x14ac:dyDescent="0.35">
      <c r="D247" t="str">
        <f>IF('Casos de Prueba'!B246&lt;&gt;0,'Casos de Prueba'!B246&amp;"-"&amp;'Casos de Prueba'!C246,"")</f>
        <v>CP34-/FechaConsulta/SinPAC</v>
      </c>
      <c r="G247" t="str">
        <f>IF(LEN($C247)&gt;0,"",'Casos de Prueba'!F246&amp;CHAR(10)&amp;'Casos de Prueba'!G246)</f>
        <v xml:space="preserve">
</v>
      </c>
    </row>
    <row r="248" spans="4:7" x14ac:dyDescent="0.35">
      <c r="D248" t="str">
        <f>IF('Casos de Prueba'!B247&lt;&gt;0,'Casos de Prueba'!B247&amp;"-"&amp;'Casos de Prueba'!C247,"")</f>
        <v/>
      </c>
      <c r="E248">
        <f>IF(LEN($C248)&gt;0,"",'Casos de Prueba'!D247)</f>
        <v>1</v>
      </c>
      <c r="F248" t="str">
        <f>IF(LEN($C248)&gt;0,"",'Casos de Prueba'!E247)</f>
        <v xml:space="preserve">Usuario ingresa al Portal de Incidentes </v>
      </c>
      <c r="G248" t="str">
        <f>IF(LEN($C248)&gt;0,"",'Casos de Prueba'!F247&amp;CHAR(10)&amp;'Casos de Prueba'!G247)</f>
        <v>El sistema muestra las siguientes opciones:
- Consulta incidentes CFDI
- Consulta incidentes CFDI Retenciones
-Recuperar descargas Detalle de consulta de incidencias’
El Usuario previamente se autenticó  y accedió al portal de Incidentes</v>
      </c>
    </row>
    <row r="249" spans="4:7" x14ac:dyDescent="0.35">
      <c r="D249" t="str">
        <f>IF('Casos de Prueba'!B248&lt;&gt;0,'Casos de Prueba'!B248&amp;"-"&amp;'Casos de Prueba'!C248,"")</f>
        <v/>
      </c>
      <c r="E249">
        <f>IF(LEN($C249)&gt;0,"",'Casos de Prueba'!D248)</f>
        <v>2</v>
      </c>
      <c r="F249" t="str">
        <f>IF(LEN($C249)&gt;0,"",'Casos de Prueba'!E248)</f>
        <v>Da clic en "Consulta incidentes CFDI"</v>
      </c>
      <c r="G249" t="str">
        <f>IF(LEN($C249)&gt;0,"",'Casos de Prueba'!F248&amp;CHAR(10)&amp;'Casos de Prueba'!G248)</f>
        <v xml:space="preserve">El sistema muestra el RFC del empleado autenticado con la opción Salir.
El sistema muestra las opciones:
Tipo de consulta
Lista desplegable
(Opciones inhabilitadas)
Folio Fiscal
Por Fechas
Fecha Inicial de Recepción*
Fecha Final de Recepción*
Versión del comprobante (Valor es por default 4.0)
PAC 
Botón "Consultar Incidentes"
</v>
      </c>
    </row>
    <row r="250" spans="4:7" x14ac:dyDescent="0.35">
      <c r="D250" t="str">
        <f>IF('Casos de Prueba'!B249&lt;&gt;0,'Casos de Prueba'!B249&amp;"-"&amp;'Casos de Prueba'!C249,"")</f>
        <v/>
      </c>
      <c r="E250">
        <f>IF(LEN($C250)&gt;0,"",'Casos de Prueba'!D249)</f>
        <v>3</v>
      </c>
      <c r="F250" t="str">
        <f>IF(LEN($C250)&gt;0,"",'Casos de Prueba'!E249)</f>
        <v>Selecciona en el campo "Tipo de Consulta":
Incidentes Servicio de Recepción</v>
      </c>
      <c r="G250" t="str">
        <f>IF(LEN($C250)&gt;0,"",'Casos de Prueba'!F249&amp;CHAR(10)&amp;'Casos de Prueba'!G249)</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v>
      </c>
    </row>
    <row r="251" spans="4:7" x14ac:dyDescent="0.35">
      <c r="D251" t="str">
        <f>IF('Casos de Prueba'!B250&lt;&gt;0,'Casos de Prueba'!B250&amp;"-"&amp;'Casos de Prueba'!C250,"")</f>
        <v/>
      </c>
      <c r="E251">
        <f>IF(LEN($C251)&gt;0,"",'Casos de Prueba'!D250)</f>
        <v>4</v>
      </c>
      <c r="F251" t="str">
        <f>IF(LEN($C251)&gt;0,"",'Casos de Prueba'!E250)</f>
        <v xml:space="preserve">Seleccionar la opcion Por Fechas y agregar los valores:
Campo Fecha Inicial de Recepción*
Campo Fecha Final de Recepción.*
PAC
Los campos marcados con (*) son obligatorios
Dar clic en el botón "Consultar Incidentes".
</v>
      </c>
      <c r="G251" t="str">
        <f>IF(LEN($C251)&gt;0,"",'Casos de Prueba'!F250&amp;CHAR(10)&amp;'Casos de Prueba'!G250)</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v>
      </c>
    </row>
    <row r="252" spans="4:7" x14ac:dyDescent="0.35">
      <c r="D252" t="str">
        <f>IF('Casos de Prueba'!B251&lt;&gt;0,'Casos de Prueba'!B251&amp;"-"&amp;'Casos de Prueba'!C251,"")</f>
        <v/>
      </c>
      <c r="E252">
        <f>IF(LEN($C252)&gt;0,"",'Casos de Prueba'!D251)</f>
        <v>5</v>
      </c>
      <c r="F252" t="str">
        <f>IF(LEN($C252)&gt;0,"",'Casos de Prueba'!E251)</f>
        <v>Da clic en  Cerrar Sesion</v>
      </c>
      <c r="G252" t="str">
        <f>IF(LEN($C252)&gt;0,"",'Casos de Prueba'!F251&amp;CHAR(10)&amp;'Casos de Prueba'!G251)</f>
        <v>Cierra la sesión del RFC
Fin del caso</v>
      </c>
    </row>
    <row r="253" spans="4:7" x14ac:dyDescent="0.35">
      <c r="D253" t="str">
        <f>IF('Casos de Prueba'!B252&lt;&gt;0,'Casos de Prueba'!B252&amp;"-"&amp;'Casos de Prueba'!C252,"")</f>
        <v>CP35-/Retenciones/FechaConsulta/SinPAC</v>
      </c>
      <c r="G253" t="str">
        <f>IF(LEN($C253)&gt;0,"",'Casos de Prueba'!F252&amp;CHAR(10)&amp;'Casos de Prueba'!G252)</f>
        <v xml:space="preserve">
</v>
      </c>
    </row>
    <row r="254" spans="4:7" x14ac:dyDescent="0.35">
      <c r="D254" t="str">
        <f>IF('Casos de Prueba'!B253&lt;&gt;0,'Casos de Prueba'!B253&amp;"-"&amp;'Casos de Prueba'!C253,"")</f>
        <v/>
      </c>
      <c r="E254">
        <f>IF(LEN($C254)&gt;0,"",'Casos de Prueba'!D253)</f>
        <v>1</v>
      </c>
      <c r="F254" t="str">
        <f>IF(LEN($C254)&gt;0,"",'Casos de Prueba'!E253)</f>
        <v xml:space="preserve">Usuario ingresa al Portal de Incidentes </v>
      </c>
      <c r="G254" t="str">
        <f>IF(LEN($C254)&gt;0,"",'Casos de Prueba'!F253&amp;CHAR(10)&amp;'Casos de Prueba'!G253)</f>
        <v>El sistema muestra las siguientes opciones:
- Consulta incidentes CFDI
- Consulta incidentes CFDI Retenciones
-Recuperar descargas Detalle de consulta de incidencias’
El Usuario previamente se autenticó  y accedió al portal de Incidentes</v>
      </c>
    </row>
    <row r="255" spans="4:7" x14ac:dyDescent="0.35">
      <c r="D255" t="str">
        <f>IF('Casos de Prueba'!B254&lt;&gt;0,'Casos de Prueba'!B254&amp;"-"&amp;'Casos de Prueba'!C254,"")</f>
        <v/>
      </c>
      <c r="E255">
        <f>IF(LEN($C255)&gt;0,"",'Casos de Prueba'!D254)</f>
        <v>2</v>
      </c>
      <c r="F255" t="str">
        <f>IF(LEN($C255)&gt;0,"",'Casos de Prueba'!E254)</f>
        <v>Da clic en "Consulta Incidentes CFDI Retenciones"</v>
      </c>
      <c r="G255" t="str">
        <f>IF(LEN($C255)&gt;0,"",'Casos de Prueba'!F254&amp;CHAR(10)&amp;'Casos de Prueba'!G254)</f>
        <v xml:space="preserve">El sistema muestra el RFC del empleado autenticado con la opción Salir.
El sistema muestra las opciones:
Tipo de consulta
Opciones inhabilitadas
Folio Fiscal
Por Fechas
Fecha Inicial de Recepción*
Fecha Final de Recepción*
Versión del comprobante (Valor es por default 2.0)
PAC 
Botón "Consultar Incidentes"
</v>
      </c>
    </row>
    <row r="256" spans="4:7" x14ac:dyDescent="0.35">
      <c r="D256" t="str">
        <f>IF('Casos de Prueba'!B255&lt;&gt;0,'Casos de Prueba'!B255&amp;"-"&amp;'Casos de Prueba'!C255,"")</f>
        <v/>
      </c>
      <c r="E256">
        <f>IF(LEN($C256)&gt;0,"",'Casos de Prueba'!D255)</f>
        <v>3</v>
      </c>
      <c r="F256" t="str">
        <f>IF(LEN($C256)&gt;0,"",'Casos de Prueba'!E255)</f>
        <v>Selecciona en el campo "Tipo de Consulta":
Incidentes Servicio de Recepción</v>
      </c>
      <c r="G256" t="str">
        <f>IF(LEN($C256)&gt;0,"",'Casos de Prueba'!F255&amp;CHAR(10)&amp;'Casos de Prueba'!G255)</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2.0)
PAC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2.0</v>
      </c>
    </row>
    <row r="257" spans="4:7" x14ac:dyDescent="0.35">
      <c r="D257" t="str">
        <f>IF('Casos de Prueba'!B256&lt;&gt;0,'Casos de Prueba'!B256&amp;"-"&amp;'Casos de Prueba'!C256,"")</f>
        <v/>
      </c>
      <c r="E257">
        <f>IF(LEN($C257)&gt;0,"",'Casos de Prueba'!D256)</f>
        <v>4</v>
      </c>
      <c r="F257" t="str">
        <f>IF(LEN($C257)&gt;0,"",'Casos de Prueba'!E256)</f>
        <v xml:space="preserve">Seleccionar la opcion Por Fechas y agregar los valores:
Campo Fecha Inicial de Recepción*
Campo Fecha Final de Recepción.*
PAC
Los campos marcados con (*) son obligatorios
Dar clic en el botón "Consultar Incidentes".
</v>
      </c>
      <c r="G257" t="str">
        <f>IF(LEN($C257)&gt;0,"",'Casos de Prueba'!F256&amp;CHAR(10)&amp;'Casos de Prueba'!G256)</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Campo "Versión del comprobante" por default tiene el valor 2.0 </v>
      </c>
    </row>
    <row r="258" spans="4:7" x14ac:dyDescent="0.35">
      <c r="D258" t="str">
        <f>IF('Casos de Prueba'!B257&lt;&gt;0,'Casos de Prueba'!B257&amp;"-"&amp;'Casos de Prueba'!C257,"")</f>
        <v/>
      </c>
      <c r="E258">
        <f>IF(LEN($C258)&gt;0,"",'Casos de Prueba'!D257)</f>
        <v>5</v>
      </c>
      <c r="F258" t="str">
        <f>IF(LEN($C258)&gt;0,"",'Casos de Prueba'!E257)</f>
        <v>Da clic en  Cerrar Sesion</v>
      </c>
      <c r="G258" t="str">
        <f>IF(LEN($C258)&gt;0,"",'Casos de Prueba'!F257&amp;CHAR(10)&amp;'Casos de Prueba'!G257)</f>
        <v>Cierra la sesión del RFC
Fin del caso</v>
      </c>
    </row>
    <row r="259" spans="4:7" x14ac:dyDescent="0.35">
      <c r="D259" t="str">
        <f>IF('Casos de Prueba'!B258&lt;&gt;0,'Casos de Prueba'!B258&amp;"-"&amp;'Casos de Prueba'!C258,"")</f>
        <v/>
      </c>
      <c r="G259" t="str">
        <f>IF(LEN($C259)&gt;0,"",'Casos de Prueba'!F278&amp;CHAR(10)&amp;'Casos de Prueba'!F278)</f>
        <v xml:space="preserve">
</v>
      </c>
    </row>
    <row r="260" spans="4:7" x14ac:dyDescent="0.35">
      <c r="D260" t="str">
        <f>IF('Casos de Prueba'!B259&lt;&gt;0,'Casos de Prueba'!B259&amp;"-"&amp;'Casos de Prueba'!C259,"")</f>
        <v/>
      </c>
      <c r="G260" t="str">
        <f>IF(LEN($C260)&gt;0,"",'Casos de Prueba'!F279&amp;CHAR(10)&amp;'Casos de Prueba'!F279)</f>
        <v xml:space="preserve">
</v>
      </c>
    </row>
    <row r="261" spans="4:7" x14ac:dyDescent="0.35">
      <c r="D261" t="str">
        <f>IF('Casos de Prueba'!B260&lt;&gt;0,'Casos de Prueba'!B260&amp;"-"&amp;'Casos de Prueba'!C260,"")</f>
        <v/>
      </c>
      <c r="G261" t="str">
        <f>IF(LEN($C261)&gt;0,"",'Casos de Prueba'!F280&amp;CHAR(10)&amp;'Casos de Prueba'!F280)</f>
        <v xml:space="preserve">
</v>
      </c>
    </row>
    <row r="262" spans="4:7" x14ac:dyDescent="0.35">
      <c r="D262" t="str">
        <f>IF('Casos de Prueba'!B261&lt;&gt;0,'Casos de Prueba'!B261&amp;"-"&amp;'Casos de Prueba'!C261,"")</f>
        <v/>
      </c>
      <c r="G262" t="str">
        <f>IF(LEN($C262)&gt;0,"",'Casos de Prueba'!F281&amp;CHAR(10)&amp;'Casos de Prueba'!F281)</f>
        <v xml:space="preserve">
</v>
      </c>
    </row>
    <row r="263" spans="4:7" x14ac:dyDescent="0.35">
      <c r="D263" t="str">
        <f>IF('Casos de Prueba'!B262&lt;&gt;0,'Casos de Prueba'!B262&amp;"-"&amp;'Casos de Prueba'!C262,"")</f>
        <v/>
      </c>
      <c r="G263" t="str">
        <f>IF(LEN($C263)&gt;0,"",'Casos de Prueba'!F282&amp;CHAR(10)&amp;'Casos de Prueba'!F282)</f>
        <v xml:space="preserve">
</v>
      </c>
    </row>
    <row r="264" spans="4:7" x14ac:dyDescent="0.35">
      <c r="D264" t="str">
        <f>IF('Casos de Prueba'!B263&lt;&gt;0,'Casos de Prueba'!B263&amp;"-"&amp;'Casos de Prueba'!C263,"")</f>
        <v/>
      </c>
      <c r="G264" t="str">
        <f>IF(LEN($C264)&gt;0,"",'Casos de Prueba'!F283&amp;CHAR(10)&amp;'Casos de Prueba'!F283)</f>
        <v xml:space="preserve">
</v>
      </c>
    </row>
    <row r="265" spans="4:7" x14ac:dyDescent="0.35">
      <c r="D265" t="str">
        <f>IF('Casos de Prueba'!B284&lt;&gt;0,'Casos de Prueba'!B284&amp;"-"&amp;'Casos de Prueba'!C284,"")</f>
        <v/>
      </c>
      <c r="G265" t="str">
        <f>IF(LEN($C265)&gt;0,"",'Casos de Prueba'!F284&amp;CHAR(10)&amp;'Casos de Prueba'!F284)</f>
        <v xml:space="preserve">
</v>
      </c>
    </row>
    <row r="266" spans="4:7" x14ac:dyDescent="0.35">
      <c r="D266" t="str">
        <f>IF('Casos de Prueba'!B285&lt;&gt;0,'Casos de Prueba'!B285&amp;"-"&amp;'Casos de Prueba'!C285,"")</f>
        <v/>
      </c>
      <c r="G266" t="str">
        <f>IF(LEN($C266)&gt;0,"",'Casos de Prueba'!F285&amp;CHAR(10)&amp;'Casos de Prueba'!F285)</f>
        <v xml:space="preserve">
</v>
      </c>
    </row>
    <row r="267" spans="4:7" x14ac:dyDescent="0.35">
      <c r="D267" t="str">
        <f>IF('Casos de Prueba'!B286&lt;&gt;0,'Casos de Prueba'!B286&amp;"-"&amp;'Casos de Prueba'!C286,"")</f>
        <v/>
      </c>
      <c r="G267" t="str">
        <f>IF(LEN($C267)&gt;0,"",'Casos de Prueba'!F286&amp;CHAR(10)&amp;'Casos de Prueba'!F286)</f>
        <v xml:space="preserve">
</v>
      </c>
    </row>
    <row r="268" spans="4:7" x14ac:dyDescent="0.35">
      <c r="G268" t="str">
        <f>IF(LEN($C268)&gt;0,"",'Casos de Prueba'!F287&amp;CHAR(10)&amp;'Casos de Prueba'!F287)</f>
        <v xml:space="preserve">
</v>
      </c>
    </row>
    <row r="269" spans="4:7" x14ac:dyDescent="0.35">
      <c r="G269" t="str">
        <f>IF(LEN($C269)&gt;0,"",'Casos de Prueba'!F288&amp;CHAR(10)&amp;'Casos de Prueba'!F288)</f>
        <v xml:space="preserve">
</v>
      </c>
    </row>
    <row r="270" spans="4:7" x14ac:dyDescent="0.35">
      <c r="G270" t="str">
        <f>IF(LEN($C270)&gt;0,"",'Casos de Prueba'!F289&amp;CHAR(10)&amp;'Casos de Prueba'!F289)</f>
        <v xml:space="preserve">
</v>
      </c>
    </row>
    <row r="271" spans="4:7" x14ac:dyDescent="0.35">
      <c r="G271" t="str">
        <f>IF(LEN($C271)&gt;0,"",'Casos de Prueba'!F290&amp;CHAR(10)&amp;'Casos de Prueba'!F290)</f>
        <v xml:space="preserve">
</v>
      </c>
    </row>
    <row r="272" spans="4:7" x14ac:dyDescent="0.35">
      <c r="G272" t="str">
        <f>IF(LEN($C272)&gt;0,"",'Casos de Prueba'!F291&amp;CHAR(10)&amp;'Casos de Prueba'!F291)</f>
        <v xml:space="preserve">
</v>
      </c>
    </row>
    <row r="273" spans="7:7" x14ac:dyDescent="0.35">
      <c r="G273" t="str">
        <f>IF(LEN($C273)&gt;0,"",'Casos de Prueba'!F292&amp;CHAR(10)&amp;'Casos de Prueba'!F292)</f>
        <v xml:space="preserve">
</v>
      </c>
    </row>
    <row r="274" spans="7:7" x14ac:dyDescent="0.35">
      <c r="G274" t="str">
        <f>IF(LEN($C274)&gt;0,"",'Casos de Prueba'!F293&amp;CHAR(10)&amp;'Casos de Prueba'!F293)</f>
        <v xml:space="preserve">
</v>
      </c>
    </row>
    <row r="275" spans="7:7" x14ac:dyDescent="0.35">
      <c r="G275" t="str">
        <f>IF(LEN($C275)&gt;0,"",'Casos de Prueba'!F294&amp;CHAR(10)&amp;'Casos de Prueba'!F294)</f>
        <v xml:space="preserve">
</v>
      </c>
    </row>
    <row r="276" spans="7:7" x14ac:dyDescent="0.35">
      <c r="G276" t="str">
        <f>IF(LEN($C276)&gt;0,"",'Casos de Prueba'!F295&amp;CHAR(10)&amp;'Casos de Prueba'!F295)</f>
        <v xml:space="preserve">
</v>
      </c>
    </row>
    <row r="277" spans="7:7" x14ac:dyDescent="0.35">
      <c r="G277" t="str">
        <f>IF(LEN($C277)&gt;0,"",'Casos de Prueba'!F296&amp;CHAR(10)&amp;'Casos de Prueba'!F296)</f>
        <v xml:space="preserve">
</v>
      </c>
    </row>
    <row r="278" spans="7:7" x14ac:dyDescent="0.35">
      <c r="G278" t="str">
        <f>IF(LEN($C278)&gt;0,"",'Casos de Prueba'!F297&amp;CHAR(10)&amp;'Casos de Prueba'!F297)</f>
        <v xml:space="preserve">
</v>
      </c>
    </row>
    <row r="279" spans="7:7" x14ac:dyDescent="0.35">
      <c r="G279" t="str">
        <f>IF(LEN($C279)&gt;0,"",'Casos de Prueba'!F298&amp;CHAR(10)&amp;'Casos de Prueba'!F298)</f>
        <v xml:space="preserve">
</v>
      </c>
    </row>
    <row r="280" spans="7:7" x14ac:dyDescent="0.35">
      <c r="G280" t="str">
        <f>IF(LEN($C280)&gt;0,"",'Casos de Prueba'!F299&amp;CHAR(10)&amp;'Casos de Prueba'!F299)</f>
        <v xml:space="preserve">
</v>
      </c>
    </row>
    <row r="281" spans="7:7" x14ac:dyDescent="0.35">
      <c r="G281" t="str">
        <f>IF(LEN($C281)&gt;0,"",'Casos de Prueba'!F300&amp;CHAR(10)&amp;'Casos de Prueba'!F300)</f>
        <v xml:space="preserve">
</v>
      </c>
    </row>
    <row r="282" spans="7:7" x14ac:dyDescent="0.35">
      <c r="G282" t="str">
        <f>IF(LEN($C282)&gt;0,"",'Casos de Prueba'!F301&amp;CHAR(10)&amp;'Casos de Prueba'!F301)</f>
        <v xml:space="preserve">
</v>
      </c>
    </row>
    <row r="283" spans="7:7" x14ac:dyDescent="0.35">
      <c r="G283" t="str">
        <f>IF(LEN($C283)&gt;0,"",'Casos de Prueba'!F302&amp;CHAR(10)&amp;'Casos de Prueba'!F302)</f>
        <v xml:space="preserve">
</v>
      </c>
    </row>
    <row r="284" spans="7:7" x14ac:dyDescent="0.35">
      <c r="G284" t="str">
        <f>IF(LEN($C284)&gt;0,"",'Casos de Prueba'!F303&amp;CHAR(10)&amp;'Casos de Prueba'!F303)</f>
        <v xml:space="preserve">
</v>
      </c>
    </row>
    <row r="285" spans="7:7" x14ac:dyDescent="0.35">
      <c r="G285" t="str">
        <f>IF(LEN($C285)&gt;0,"",'Casos de Prueba'!F304&amp;CHAR(10)&amp;'Casos de Prueba'!F304)</f>
        <v xml:space="preserve">
</v>
      </c>
    </row>
    <row r="286" spans="7:7" x14ac:dyDescent="0.35">
      <c r="G286" t="str">
        <f>IF(LEN($C286)&gt;0,"",'Casos de Prueba'!F305&amp;CHAR(10)&amp;'Casos de Prueba'!F305)</f>
        <v xml:space="preserve">
</v>
      </c>
    </row>
    <row r="287" spans="7:7" x14ac:dyDescent="0.35">
      <c r="G287" t="str">
        <f>IF(LEN($C287)&gt;0,"",'Casos de Prueba'!F306&amp;CHAR(10)&amp;'Casos de Prueba'!F306)</f>
        <v xml:space="preserve">
</v>
      </c>
    </row>
    <row r="288" spans="7:7" x14ac:dyDescent="0.35">
      <c r="G288" t="str">
        <f>IF(LEN($C288)&gt;0,"",'Casos de Prueba'!F307&amp;CHAR(10)&amp;'Casos de Prueba'!F307)</f>
        <v xml:space="preserve">
</v>
      </c>
    </row>
    <row r="289" spans="7:7" x14ac:dyDescent="0.35">
      <c r="G289" t="str">
        <f>IF(LEN($C289)&gt;0,"",'Casos de Prueba'!F308&amp;CHAR(10)&amp;'Casos de Prueba'!F308)</f>
        <v xml:space="preserve">
</v>
      </c>
    </row>
    <row r="290" spans="7:7" x14ac:dyDescent="0.35">
      <c r="G290" t="str">
        <f>IF(LEN($C290)&gt;0,"",'Casos de Prueba'!F309&amp;CHAR(10)&amp;'Casos de Prueba'!F309)</f>
        <v xml:space="preserve">
</v>
      </c>
    </row>
    <row r="291" spans="7:7" x14ac:dyDescent="0.35">
      <c r="G291" t="str">
        <f>IF(LEN($C291)&gt;0,"",'Casos de Prueba'!F310&amp;CHAR(10)&amp;'Casos de Prueba'!F310)</f>
        <v xml:space="preserve">
</v>
      </c>
    </row>
    <row r="292" spans="7:7" x14ac:dyDescent="0.35">
      <c r="G292" t="str">
        <f>IF(LEN($C292)&gt;0,"",'Casos de Prueba'!F311&amp;CHAR(10)&amp;'Casos de Prueba'!F311)</f>
        <v xml:space="preserve">
</v>
      </c>
    </row>
    <row r="293" spans="7:7" x14ac:dyDescent="0.35">
      <c r="G293" t="str">
        <f>IF(LEN($C293)&gt;0,"",'Casos de Prueba'!F312&amp;CHAR(10)&amp;'Casos de Prueba'!F312)</f>
        <v xml:space="preserve">
</v>
      </c>
    </row>
    <row r="294" spans="7:7" x14ac:dyDescent="0.35">
      <c r="G294" t="str">
        <f>IF(LEN($C294)&gt;0,"",'Casos de Prueba'!F313&amp;CHAR(10)&amp;'Casos de Prueba'!F313)</f>
        <v xml:space="preserve">
</v>
      </c>
    </row>
    <row r="295" spans="7:7" x14ac:dyDescent="0.35">
      <c r="G295" t="str">
        <f>IF(LEN($C295)&gt;0,"",'Casos de Prueba'!F314&amp;CHAR(10)&amp;'Casos de Prueba'!F314)</f>
        <v xml:space="preserve">
</v>
      </c>
    </row>
    <row r="296" spans="7:7" x14ac:dyDescent="0.35">
      <c r="G296" t="str">
        <f>IF(LEN($C296)&gt;0,"",'Casos de Prueba'!F315&amp;CHAR(10)&amp;'Casos de Prueba'!F315)</f>
        <v xml:space="preserve">
</v>
      </c>
    </row>
    <row r="297" spans="7:7" x14ac:dyDescent="0.35">
      <c r="G297" t="str">
        <f>IF(LEN($C297)&gt;0,"",'Casos de Prueba'!F316&amp;CHAR(10)&amp;'Casos de Prueba'!F316)</f>
        <v xml:space="preserve">
</v>
      </c>
    </row>
    <row r="298" spans="7:7" x14ac:dyDescent="0.35">
      <c r="G298" t="str">
        <f>IF(LEN($C298)&gt;0,"",'Casos de Prueba'!F317&amp;CHAR(10)&amp;'Casos de Prueba'!F317)</f>
        <v xml:space="preserve">
</v>
      </c>
    </row>
    <row r="299" spans="7:7" x14ac:dyDescent="0.35">
      <c r="G299" t="str">
        <f>IF(LEN($C299)&gt;0,"",'Casos de Prueba'!F318&amp;CHAR(10)&amp;'Casos de Prueba'!F318)</f>
        <v xml:space="preserve">
</v>
      </c>
    </row>
    <row r="300" spans="7:7" x14ac:dyDescent="0.35">
      <c r="G300" t="str">
        <f>IF(LEN($C300)&gt;0,"",'Casos de Prueba'!F319&amp;CHAR(10)&amp;'Casos de Prueba'!F319)</f>
        <v xml:space="preserve">
</v>
      </c>
    </row>
    <row r="301" spans="7:7" x14ac:dyDescent="0.35">
      <c r="G301" t="str">
        <f>IF(LEN($C301)&gt;0,"",'Casos de Prueba'!F320&amp;CHAR(10)&amp;'Casos de Prueba'!F320)</f>
        <v xml:space="preserve">
</v>
      </c>
    </row>
    <row r="302" spans="7:7" x14ac:dyDescent="0.35">
      <c r="G302" t="str">
        <f>IF(LEN($C302)&gt;0,"",'Casos de Prueba'!F321&amp;CHAR(10)&amp;'Casos de Prueba'!F321)</f>
        <v xml:space="preserve">
</v>
      </c>
    </row>
    <row r="303" spans="7:7" x14ac:dyDescent="0.35">
      <c r="G303" t="str">
        <f>IF(LEN($C303)&gt;0,"",'Casos de Prueba'!F322&amp;CHAR(10)&amp;'Casos de Prueba'!F322)</f>
        <v xml:space="preserve">
</v>
      </c>
    </row>
    <row r="304" spans="7:7" x14ac:dyDescent="0.35">
      <c r="G304" t="str">
        <f>IF(LEN($C304)&gt;0,"",'Casos de Prueba'!F323&amp;CHAR(10)&amp;'Casos de Prueba'!F323)</f>
        <v xml:space="preserve">
</v>
      </c>
    </row>
    <row r="305" spans="7:7" x14ac:dyDescent="0.35">
      <c r="G305" t="str">
        <f>IF(LEN($C305)&gt;0,"",'Casos de Prueba'!F324&amp;CHAR(10)&amp;'Casos de Prueba'!F324)</f>
        <v xml:space="preserve">
</v>
      </c>
    </row>
    <row r="306" spans="7:7" x14ac:dyDescent="0.35">
      <c r="G306" t="str">
        <f>IF(LEN($C306)&gt;0,"",'Casos de Prueba'!F325&amp;CHAR(10)&amp;'Casos de Prueba'!F325)</f>
        <v xml:space="preserve">
</v>
      </c>
    </row>
    <row r="307" spans="7:7" x14ac:dyDescent="0.35">
      <c r="G307" t="str">
        <f>IF(LEN($C307)&gt;0,"",'Casos de Prueba'!F326&amp;CHAR(10)&amp;'Casos de Prueba'!F326)</f>
        <v xml:space="preserve">
</v>
      </c>
    </row>
    <row r="308" spans="7:7" x14ac:dyDescent="0.35">
      <c r="G308" t="str">
        <f>IF(LEN($C308)&gt;0,"",'Casos de Prueba'!F327&amp;CHAR(10)&amp;'Casos de Prueba'!F327)</f>
        <v xml:space="preserve">
</v>
      </c>
    </row>
    <row r="309" spans="7:7" x14ac:dyDescent="0.35">
      <c r="G309" t="str">
        <f>IF(LEN($C309)&gt;0,"",'Casos de Prueba'!F328&amp;CHAR(10)&amp;'Casos de Prueba'!F328)</f>
        <v xml:space="preserve">
</v>
      </c>
    </row>
    <row r="310" spans="7:7" x14ac:dyDescent="0.35">
      <c r="G310" t="str">
        <f>IF(LEN($C310)&gt;0,"",'Casos de Prueba'!F329&amp;CHAR(10)&amp;'Casos de Prueba'!F329)</f>
        <v xml:space="preserve">
</v>
      </c>
    </row>
    <row r="311" spans="7:7" x14ac:dyDescent="0.35">
      <c r="G311" t="str">
        <f>IF(LEN($C311)&gt;0,"",'Casos de Prueba'!F330&amp;CHAR(10)&amp;'Casos de Prueba'!F330)</f>
        <v xml:space="preserve">
</v>
      </c>
    </row>
    <row r="312" spans="7:7" x14ac:dyDescent="0.35">
      <c r="G312" t="str">
        <f>IF(LEN($C312)&gt;0,"",'Casos de Prueba'!F331&amp;CHAR(10)&amp;'Casos de Prueba'!F331)</f>
        <v xml:space="preserve">
</v>
      </c>
    </row>
    <row r="313" spans="7:7" x14ac:dyDescent="0.35">
      <c r="G313" t="str">
        <f>IF(LEN($C313)&gt;0,"",'Casos de Prueba'!F332&amp;CHAR(10)&amp;'Casos de Prueba'!F332)</f>
        <v xml:space="preserve">
</v>
      </c>
    </row>
    <row r="314" spans="7:7" x14ac:dyDescent="0.35">
      <c r="G314" t="str">
        <f>IF(LEN($C314)&gt;0,"",'Casos de Prueba'!F333&amp;CHAR(10)&amp;'Casos de Prueba'!F333)</f>
        <v xml:space="preserve">
</v>
      </c>
    </row>
    <row r="315" spans="7:7" x14ac:dyDescent="0.35">
      <c r="G315" t="str">
        <f>IF(LEN($C315)&gt;0,"",'Casos de Prueba'!F334&amp;CHAR(10)&amp;'Casos de Prueba'!F334)</f>
        <v xml:space="preserve">
</v>
      </c>
    </row>
    <row r="316" spans="7:7" x14ac:dyDescent="0.35">
      <c r="G316" t="str">
        <f>IF(LEN($C316)&gt;0,"",'Casos de Prueba'!F335&amp;CHAR(10)&amp;'Casos de Prueba'!F335)</f>
        <v xml:space="preserve">
</v>
      </c>
    </row>
    <row r="317" spans="7:7" x14ac:dyDescent="0.35">
      <c r="G317" t="str">
        <f>IF(LEN($C317)&gt;0,"",'Casos de Prueba'!F336&amp;CHAR(10)&amp;'Casos de Prueba'!F336)</f>
        <v xml:space="preserve">
</v>
      </c>
    </row>
    <row r="318" spans="7:7" x14ac:dyDescent="0.35">
      <c r="G318" t="str">
        <f>IF(LEN($C318)&gt;0,"",'Casos de Prueba'!F337&amp;CHAR(10)&amp;'Casos de Prueba'!F337)</f>
        <v xml:space="preserve">
</v>
      </c>
    </row>
    <row r="319" spans="7:7" x14ac:dyDescent="0.35">
      <c r="G319" t="str">
        <f>IF(LEN($C319)&gt;0,"",'Casos de Prueba'!F338&amp;CHAR(10)&amp;'Casos de Prueba'!F338)</f>
        <v xml:space="preserve">
</v>
      </c>
    </row>
    <row r="320" spans="7:7" x14ac:dyDescent="0.35">
      <c r="G320" t="str">
        <f>IF(LEN($C320)&gt;0,"",'Casos de Prueba'!F339&amp;CHAR(10)&amp;'Casos de Prueba'!F339)</f>
        <v xml:space="preserve">
</v>
      </c>
    </row>
    <row r="321" spans="7:7" x14ac:dyDescent="0.35">
      <c r="G321" t="str">
        <f>IF(LEN($C321)&gt;0,"",'Casos de Prueba'!F340&amp;CHAR(10)&amp;'Casos de Prueba'!F340)</f>
        <v xml:space="preserve">
</v>
      </c>
    </row>
    <row r="322" spans="7:7" x14ac:dyDescent="0.35">
      <c r="G322" t="str">
        <f>IF(LEN($C322)&gt;0,"",'Casos de Prueba'!F341&amp;CHAR(10)&amp;'Casos de Prueba'!F341)</f>
        <v xml:space="preserve">
</v>
      </c>
    </row>
    <row r="323" spans="7:7" x14ac:dyDescent="0.35">
      <c r="G323" t="str">
        <f>IF(LEN($C323)&gt;0,"",'Casos de Prueba'!F342&amp;CHAR(10)&amp;'Casos de Prueba'!F342)</f>
        <v xml:space="preserve">
</v>
      </c>
    </row>
    <row r="324" spans="7:7" x14ac:dyDescent="0.35">
      <c r="G324" t="str">
        <f>IF(LEN($C324)&gt;0,"",'Casos de Prueba'!F343&amp;CHAR(10)&amp;'Casos de Prueba'!F343)</f>
        <v xml:space="preserve">
</v>
      </c>
    </row>
    <row r="325" spans="7:7" x14ac:dyDescent="0.35">
      <c r="G325" t="str">
        <f>IF(LEN($C325)&gt;0,"",'Casos de Prueba'!F344&amp;CHAR(10)&amp;'Casos de Prueba'!F344)</f>
        <v xml:space="preserve">
</v>
      </c>
    </row>
    <row r="326" spans="7:7" x14ac:dyDescent="0.35">
      <c r="G326" t="str">
        <f>IF(LEN($C326)&gt;0,"",'Casos de Prueba'!F345&amp;CHAR(10)&amp;'Casos de Prueba'!F345)</f>
        <v xml:space="preserve">
</v>
      </c>
    </row>
    <row r="327" spans="7:7" x14ac:dyDescent="0.35">
      <c r="G327" t="str">
        <f>IF(LEN($C327)&gt;0,"",'Casos de Prueba'!F346&amp;CHAR(10)&amp;'Casos de Prueba'!F346)</f>
        <v xml:space="preserve">
</v>
      </c>
    </row>
    <row r="328" spans="7:7" x14ac:dyDescent="0.35">
      <c r="G328" t="str">
        <f>IF(LEN($C328)&gt;0,"",'Casos de Prueba'!F347&amp;CHAR(10)&amp;'Casos de Prueba'!F347)</f>
        <v xml:space="preserve">
</v>
      </c>
    </row>
    <row r="329" spans="7:7" x14ac:dyDescent="0.35">
      <c r="G329" t="str">
        <f>IF(LEN($C329)&gt;0,"",'Casos de Prueba'!F348&amp;CHAR(10)&amp;'Casos de Prueba'!F348)</f>
        <v xml:space="preserve">
</v>
      </c>
    </row>
    <row r="330" spans="7:7" x14ac:dyDescent="0.35">
      <c r="G330" t="str">
        <f>IF(LEN($C330)&gt;0,"",'Casos de Prueba'!F349&amp;CHAR(10)&amp;'Casos de Prueba'!F349)</f>
        <v xml:space="preserve">
</v>
      </c>
    </row>
    <row r="331" spans="7:7" x14ac:dyDescent="0.35">
      <c r="G331" t="str">
        <f>IF(LEN($C331)&gt;0,"",'Casos de Prueba'!F350&amp;CHAR(10)&amp;'Casos de Prueba'!F350)</f>
        <v xml:space="preserve">
</v>
      </c>
    </row>
    <row r="332" spans="7:7" x14ac:dyDescent="0.35">
      <c r="G332" t="str">
        <f>IF(LEN($C332)&gt;0,"",'Casos de Prueba'!F351&amp;CHAR(10)&amp;'Casos de Prueba'!F351)</f>
        <v xml:space="preserve">
</v>
      </c>
    </row>
    <row r="333" spans="7:7" x14ac:dyDescent="0.35">
      <c r="G333" t="str">
        <f>IF(LEN($C333)&gt;0,"",'Casos de Prueba'!F352&amp;CHAR(10)&amp;'Casos de Prueba'!F352)</f>
        <v xml:space="preserve">
</v>
      </c>
    </row>
    <row r="334" spans="7:7" x14ac:dyDescent="0.35">
      <c r="G334" t="str">
        <f>IF(LEN($C334)&gt;0,"",'Casos de Prueba'!F353&amp;CHAR(10)&amp;'Casos de Prueba'!F353)</f>
        <v xml:space="preserve">
</v>
      </c>
    </row>
    <row r="335" spans="7:7" x14ac:dyDescent="0.35">
      <c r="G335" t="str">
        <f>IF(LEN($C335)&gt;0,"",'Casos de Prueba'!F354&amp;CHAR(10)&amp;'Casos de Prueba'!F354)</f>
        <v xml:space="preserve">
</v>
      </c>
    </row>
    <row r="336" spans="7:7" x14ac:dyDescent="0.35">
      <c r="G336" t="str">
        <f>IF(LEN($C336)&gt;0,"",'Casos de Prueba'!F355&amp;CHAR(10)&amp;'Casos de Prueba'!F355)</f>
        <v xml:space="preserve">
</v>
      </c>
    </row>
    <row r="337" spans="7:7" x14ac:dyDescent="0.35">
      <c r="G337" t="str">
        <f>IF(LEN($C337)&gt;0,"",'Casos de Prueba'!F356&amp;CHAR(10)&amp;'Casos de Prueba'!F356)</f>
        <v xml:space="preserve">
</v>
      </c>
    </row>
    <row r="338" spans="7:7" x14ac:dyDescent="0.35">
      <c r="G338" t="str">
        <f>IF(LEN($C338)&gt;0,"",'Casos de Prueba'!F357&amp;CHAR(10)&amp;'Casos de Prueba'!F357)</f>
        <v xml:space="preserve">
</v>
      </c>
    </row>
    <row r="339" spans="7:7" x14ac:dyDescent="0.35">
      <c r="G339" t="str">
        <f>IF(LEN($C339)&gt;0,"",'Casos de Prueba'!F358&amp;CHAR(10)&amp;'Casos de Prueba'!F358)</f>
        <v xml:space="preserve">
</v>
      </c>
    </row>
    <row r="340" spans="7:7" x14ac:dyDescent="0.35">
      <c r="G340" t="str">
        <f>IF(LEN($C340)&gt;0,"",'Casos de Prueba'!F359&amp;CHAR(10)&amp;'Casos de Prueba'!F359)</f>
        <v xml:space="preserve">
</v>
      </c>
    </row>
    <row r="341" spans="7:7" x14ac:dyDescent="0.35">
      <c r="G341" t="str">
        <f>IF(LEN($C341)&gt;0,"",'Casos de Prueba'!F360&amp;CHAR(10)&amp;'Casos de Prueba'!F360)</f>
        <v xml:space="preserve">
</v>
      </c>
    </row>
    <row r="342" spans="7:7" x14ac:dyDescent="0.35">
      <c r="G342" t="str">
        <f>IF(LEN($C342)&gt;0,"",'Casos de Prueba'!F361&amp;CHAR(10)&amp;'Casos de Prueba'!F361)</f>
        <v xml:space="preserve">
</v>
      </c>
    </row>
    <row r="343" spans="7:7" x14ac:dyDescent="0.35">
      <c r="G343" t="str">
        <f>IF(LEN($C343)&gt;0,"",'Casos de Prueba'!F362&amp;CHAR(10)&amp;'Casos de Prueba'!F362)</f>
        <v xml:space="preserve">
</v>
      </c>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241"/>
  <sheetViews>
    <sheetView zoomScaleNormal="100" workbookViewId="0">
      <selection activeCell="F4" sqref="F4"/>
    </sheetView>
  </sheetViews>
  <sheetFormatPr baseColWidth="10" defaultColWidth="10.54296875" defaultRowHeight="14.5" x14ac:dyDescent="0.35"/>
  <cols>
    <col min="2" max="2" width="13.7265625" bestFit="1" customWidth="1"/>
    <col min="5" max="5" width="22.36328125" customWidth="1"/>
  </cols>
  <sheetData>
    <row r="1" spans="2:6" x14ac:dyDescent="0.35">
      <c r="B1" t="s">
        <v>193</v>
      </c>
      <c r="C1" t="s">
        <v>194</v>
      </c>
      <c r="D1" t="s">
        <v>195</v>
      </c>
      <c r="E1" t="s">
        <v>196</v>
      </c>
    </row>
    <row r="2" spans="2:6" x14ac:dyDescent="0.35">
      <c r="B2" t="s">
        <v>192</v>
      </c>
      <c r="C2" t="s">
        <v>197</v>
      </c>
    </row>
    <row r="3" spans="2:6" ht="29" x14ac:dyDescent="0.35">
      <c r="C3" t="s">
        <v>375</v>
      </c>
      <c r="D3">
        <v>1</v>
      </c>
      <c r="E3" t="s">
        <v>76</v>
      </c>
      <c r="F3" s="26" t="s">
        <v>198</v>
      </c>
    </row>
    <row r="4" spans="2:6" ht="409.5" x14ac:dyDescent="0.35">
      <c r="C4" t="s">
        <v>375</v>
      </c>
      <c r="D4">
        <v>2</v>
      </c>
      <c r="E4" t="s">
        <v>79</v>
      </c>
      <c r="F4" s="26" t="s">
        <v>199</v>
      </c>
    </row>
    <row r="5" spans="2:6" ht="145" x14ac:dyDescent="0.35">
      <c r="C5" t="s">
        <v>375</v>
      </c>
      <c r="D5">
        <v>3</v>
      </c>
      <c r="E5" t="s">
        <v>83</v>
      </c>
      <c r="F5" s="26" t="s">
        <v>200</v>
      </c>
    </row>
    <row r="6" spans="2:6" ht="87" x14ac:dyDescent="0.35">
      <c r="C6" t="s">
        <v>375</v>
      </c>
      <c r="D6">
        <v>4</v>
      </c>
      <c r="E6" t="s">
        <v>85</v>
      </c>
      <c r="F6" s="26" t="s">
        <v>201</v>
      </c>
    </row>
    <row r="7" spans="2:6" ht="87" x14ac:dyDescent="0.35">
      <c r="C7" t="s">
        <v>375</v>
      </c>
      <c r="D7">
        <v>5</v>
      </c>
      <c r="E7" t="s">
        <v>87</v>
      </c>
      <c r="F7" s="26" t="s">
        <v>202</v>
      </c>
    </row>
    <row r="8" spans="2:6" ht="409.5" x14ac:dyDescent="0.35">
      <c r="C8" t="s">
        <v>375</v>
      </c>
      <c r="D8">
        <v>6</v>
      </c>
      <c r="E8" t="s">
        <v>89</v>
      </c>
      <c r="F8" s="26" t="s">
        <v>376</v>
      </c>
    </row>
    <row r="9" spans="2:6" ht="29" x14ac:dyDescent="0.35">
      <c r="C9" t="s">
        <v>203</v>
      </c>
      <c r="F9" s="26" t="s">
        <v>198</v>
      </c>
    </row>
    <row r="10" spans="2:6" ht="29" x14ac:dyDescent="0.35">
      <c r="C10" t="s">
        <v>375</v>
      </c>
      <c r="D10">
        <v>1</v>
      </c>
      <c r="E10" t="s">
        <v>76</v>
      </c>
      <c r="F10" s="26" t="s">
        <v>198</v>
      </c>
    </row>
    <row r="11" spans="2:6" ht="246.5" x14ac:dyDescent="0.35">
      <c r="C11" t="s">
        <v>375</v>
      </c>
      <c r="D11">
        <v>2</v>
      </c>
      <c r="E11" t="s">
        <v>79</v>
      </c>
      <c r="F11" s="26" t="s">
        <v>204</v>
      </c>
    </row>
    <row r="12" spans="2:6" ht="217.5" x14ac:dyDescent="0.35">
      <c r="C12" t="s">
        <v>375</v>
      </c>
      <c r="D12">
        <v>3</v>
      </c>
      <c r="E12" t="s">
        <v>83</v>
      </c>
      <c r="F12" s="26" t="s">
        <v>205</v>
      </c>
    </row>
    <row r="13" spans="2:6" ht="87" x14ac:dyDescent="0.35">
      <c r="C13" t="s">
        <v>375</v>
      </c>
      <c r="D13">
        <v>4</v>
      </c>
      <c r="E13" t="s">
        <v>85</v>
      </c>
      <c r="F13" s="26" t="s">
        <v>201</v>
      </c>
    </row>
    <row r="14" spans="2:6" ht="87" x14ac:dyDescent="0.35">
      <c r="C14" t="s">
        <v>375</v>
      </c>
      <c r="D14">
        <v>5</v>
      </c>
      <c r="E14" t="s">
        <v>87</v>
      </c>
      <c r="F14" s="26" t="s">
        <v>202</v>
      </c>
    </row>
    <row r="15" spans="2:6" ht="203" x14ac:dyDescent="0.35">
      <c r="C15" t="s">
        <v>375</v>
      </c>
      <c r="D15">
        <v>6</v>
      </c>
      <c r="E15" t="s">
        <v>89</v>
      </c>
      <c r="F15" s="26" t="s">
        <v>377</v>
      </c>
    </row>
    <row r="16" spans="2:6" x14ac:dyDescent="0.35">
      <c r="C16" t="s">
        <v>206</v>
      </c>
      <c r="F16" t="s">
        <v>198</v>
      </c>
    </row>
    <row r="17" spans="3:6" ht="29" x14ac:dyDescent="0.35">
      <c r="C17" t="s">
        <v>375</v>
      </c>
      <c r="D17">
        <v>1</v>
      </c>
      <c r="E17" t="s">
        <v>76</v>
      </c>
      <c r="F17" s="26" t="s">
        <v>198</v>
      </c>
    </row>
    <row r="18" spans="3:6" ht="246.5" x14ac:dyDescent="0.35">
      <c r="C18" t="s">
        <v>375</v>
      </c>
      <c r="D18">
        <v>2</v>
      </c>
      <c r="E18" t="s">
        <v>79</v>
      </c>
      <c r="F18" s="26" t="s">
        <v>204</v>
      </c>
    </row>
    <row r="19" spans="3:6" ht="145" x14ac:dyDescent="0.35">
      <c r="C19" t="s">
        <v>375</v>
      </c>
      <c r="D19">
        <v>3</v>
      </c>
      <c r="E19" t="s">
        <v>83</v>
      </c>
      <c r="F19" s="26" t="s">
        <v>200</v>
      </c>
    </row>
    <row r="20" spans="3:6" ht="87" x14ac:dyDescent="0.35">
      <c r="C20" t="s">
        <v>375</v>
      </c>
      <c r="D20">
        <v>4</v>
      </c>
      <c r="E20" t="s">
        <v>85</v>
      </c>
      <c r="F20" s="26" t="s">
        <v>201</v>
      </c>
    </row>
    <row r="21" spans="3:6" ht="87" x14ac:dyDescent="0.35">
      <c r="C21" t="s">
        <v>375</v>
      </c>
      <c r="D21">
        <v>5</v>
      </c>
      <c r="E21" t="s">
        <v>99</v>
      </c>
      <c r="F21" s="26" t="s">
        <v>202</v>
      </c>
    </row>
    <row r="22" spans="3:6" ht="203" x14ac:dyDescent="0.35">
      <c r="C22" t="s">
        <v>375</v>
      </c>
      <c r="D22">
        <v>6</v>
      </c>
      <c r="E22" t="s">
        <v>89</v>
      </c>
      <c r="F22" s="26" t="s">
        <v>378</v>
      </c>
    </row>
    <row r="23" spans="3:6" x14ac:dyDescent="0.35">
      <c r="C23" t="s">
        <v>207</v>
      </c>
      <c r="F23" t="s">
        <v>198</v>
      </c>
    </row>
    <row r="24" spans="3:6" ht="348" x14ac:dyDescent="0.35">
      <c r="C24" t="s">
        <v>375</v>
      </c>
      <c r="D24">
        <v>1</v>
      </c>
      <c r="E24" t="s">
        <v>103</v>
      </c>
      <c r="F24" s="26" t="s">
        <v>208</v>
      </c>
    </row>
    <row r="25" spans="3:6" ht="409.5" x14ac:dyDescent="0.35">
      <c r="C25" t="s">
        <v>375</v>
      </c>
      <c r="D25">
        <v>2</v>
      </c>
      <c r="E25" t="s">
        <v>108</v>
      </c>
      <c r="F25" s="26" t="s">
        <v>379</v>
      </c>
    </row>
    <row r="26" spans="3:6" ht="409.5" x14ac:dyDescent="0.35">
      <c r="C26" t="s">
        <v>375</v>
      </c>
      <c r="D26">
        <v>3</v>
      </c>
      <c r="E26" t="s">
        <v>109</v>
      </c>
      <c r="F26" s="26" t="s">
        <v>380</v>
      </c>
    </row>
    <row r="27" spans="3:6" x14ac:dyDescent="0.35">
      <c r="C27" t="s">
        <v>209</v>
      </c>
      <c r="F27" t="s">
        <v>198</v>
      </c>
    </row>
    <row r="28" spans="3:6" ht="362.5" x14ac:dyDescent="0.35">
      <c r="C28" t="s">
        <v>375</v>
      </c>
      <c r="D28">
        <v>1</v>
      </c>
      <c r="E28" t="s">
        <v>103</v>
      </c>
      <c r="F28" s="26" t="s">
        <v>381</v>
      </c>
    </row>
    <row r="29" spans="3:6" ht="409.5" x14ac:dyDescent="0.35">
      <c r="C29" t="s">
        <v>375</v>
      </c>
      <c r="D29">
        <v>2</v>
      </c>
      <c r="E29" t="s">
        <v>382</v>
      </c>
      <c r="F29" s="26" t="s">
        <v>383</v>
      </c>
    </row>
    <row r="30" spans="3:6" ht="58" x14ac:dyDescent="0.35">
      <c r="C30" t="s">
        <v>375</v>
      </c>
      <c r="D30">
        <v>3</v>
      </c>
      <c r="E30" t="s">
        <v>384</v>
      </c>
      <c r="F30" s="26" t="s">
        <v>210</v>
      </c>
    </row>
    <row r="31" spans="3:6" x14ac:dyDescent="0.35">
      <c r="C31" t="s">
        <v>211</v>
      </c>
      <c r="F31" t="s">
        <v>198</v>
      </c>
    </row>
    <row r="32" spans="3:6" ht="348" x14ac:dyDescent="0.35">
      <c r="C32" t="s">
        <v>375</v>
      </c>
      <c r="D32">
        <v>1</v>
      </c>
      <c r="E32" t="s">
        <v>103</v>
      </c>
      <c r="F32" s="26" t="s">
        <v>208</v>
      </c>
    </row>
    <row r="33" spans="3:6" ht="409.5" x14ac:dyDescent="0.35">
      <c r="C33" t="s">
        <v>375</v>
      </c>
      <c r="D33">
        <v>2</v>
      </c>
      <c r="E33" t="s">
        <v>108</v>
      </c>
      <c r="F33" s="26" t="s">
        <v>385</v>
      </c>
    </row>
    <row r="34" spans="3:6" ht="409.5" x14ac:dyDescent="0.35">
      <c r="C34" t="s">
        <v>375</v>
      </c>
      <c r="D34">
        <v>3</v>
      </c>
      <c r="E34" s="26" t="s">
        <v>119</v>
      </c>
      <c r="F34" s="26" t="s">
        <v>386</v>
      </c>
    </row>
    <row r="35" spans="3:6" ht="87" x14ac:dyDescent="0.35">
      <c r="C35" t="s">
        <v>375</v>
      </c>
      <c r="D35">
        <v>4</v>
      </c>
      <c r="E35" t="s">
        <v>120</v>
      </c>
      <c r="F35" s="26" t="s">
        <v>212</v>
      </c>
    </row>
    <row r="36" spans="3:6" ht="391.5" x14ac:dyDescent="0.35">
      <c r="C36" t="s">
        <v>375</v>
      </c>
      <c r="D36">
        <v>5</v>
      </c>
      <c r="E36" t="s">
        <v>122</v>
      </c>
      <c r="F36" s="26" t="s">
        <v>387</v>
      </c>
    </row>
    <row r="37" spans="3:6" ht="58" x14ac:dyDescent="0.35">
      <c r="C37" t="s">
        <v>375</v>
      </c>
      <c r="D37">
        <v>6</v>
      </c>
      <c r="E37" t="s">
        <v>384</v>
      </c>
      <c r="F37" s="26" t="s">
        <v>213</v>
      </c>
    </row>
    <row r="38" spans="3:6" x14ac:dyDescent="0.35">
      <c r="C38" t="s">
        <v>214</v>
      </c>
      <c r="F38" t="s">
        <v>198</v>
      </c>
    </row>
    <row r="39" spans="3:6" ht="348" x14ac:dyDescent="0.35">
      <c r="C39" t="s">
        <v>375</v>
      </c>
      <c r="D39">
        <v>1</v>
      </c>
      <c r="E39" t="s">
        <v>103</v>
      </c>
      <c r="F39" s="26" t="s">
        <v>208</v>
      </c>
    </row>
    <row r="40" spans="3:6" ht="409.5" x14ac:dyDescent="0.35">
      <c r="C40" t="s">
        <v>375</v>
      </c>
      <c r="D40">
        <v>2</v>
      </c>
      <c r="E40" t="s">
        <v>108</v>
      </c>
      <c r="F40" s="26" t="s">
        <v>385</v>
      </c>
    </row>
    <row r="41" spans="3:6" ht="409.5" x14ac:dyDescent="0.35">
      <c r="C41" t="s">
        <v>375</v>
      </c>
      <c r="D41">
        <v>3</v>
      </c>
      <c r="E41" s="26" t="s">
        <v>119</v>
      </c>
      <c r="F41" s="26" t="s">
        <v>386</v>
      </c>
    </row>
    <row r="42" spans="3:6" ht="145" x14ac:dyDescent="0.35">
      <c r="C42" t="s">
        <v>375</v>
      </c>
      <c r="D42">
        <v>4</v>
      </c>
      <c r="E42" s="26" t="s">
        <v>127</v>
      </c>
      <c r="F42" s="26" t="s">
        <v>215</v>
      </c>
    </row>
    <row r="43" spans="3:6" ht="58" x14ac:dyDescent="0.35">
      <c r="C43" t="s">
        <v>375</v>
      </c>
      <c r="D43">
        <v>5</v>
      </c>
      <c r="E43" t="s">
        <v>384</v>
      </c>
      <c r="F43" s="26" t="s">
        <v>213</v>
      </c>
    </row>
    <row r="44" spans="3:6" x14ac:dyDescent="0.35">
      <c r="C44" t="s">
        <v>216</v>
      </c>
      <c r="F44" t="s">
        <v>198</v>
      </c>
    </row>
    <row r="45" spans="3:6" ht="348" x14ac:dyDescent="0.35">
      <c r="C45" t="s">
        <v>375</v>
      </c>
      <c r="D45">
        <v>1</v>
      </c>
      <c r="E45" t="s">
        <v>103</v>
      </c>
      <c r="F45" s="26" t="s">
        <v>208</v>
      </c>
    </row>
    <row r="46" spans="3:6" ht="409.5" x14ac:dyDescent="0.35">
      <c r="C46" t="s">
        <v>375</v>
      </c>
      <c r="D46">
        <v>2</v>
      </c>
      <c r="E46" t="s">
        <v>108</v>
      </c>
      <c r="F46" s="26" t="s">
        <v>385</v>
      </c>
    </row>
    <row r="47" spans="3:6" ht="409.5" x14ac:dyDescent="0.35">
      <c r="C47" t="s">
        <v>375</v>
      </c>
      <c r="D47">
        <v>3</v>
      </c>
      <c r="E47" s="26" t="s">
        <v>119</v>
      </c>
      <c r="F47" s="26" t="s">
        <v>386</v>
      </c>
    </row>
    <row r="48" spans="3:6" ht="232" x14ac:dyDescent="0.35">
      <c r="C48" t="s">
        <v>375</v>
      </c>
      <c r="D48">
        <v>4</v>
      </c>
      <c r="E48" t="s">
        <v>131</v>
      </c>
      <c r="F48" s="26" t="s">
        <v>217</v>
      </c>
    </row>
    <row r="49" spans="3:6" ht="58" x14ac:dyDescent="0.35">
      <c r="C49" t="s">
        <v>375</v>
      </c>
      <c r="D49">
        <v>5</v>
      </c>
      <c r="E49" t="s">
        <v>384</v>
      </c>
      <c r="F49" s="26" t="s">
        <v>213</v>
      </c>
    </row>
    <row r="50" spans="3:6" x14ac:dyDescent="0.35">
      <c r="C50" t="s">
        <v>218</v>
      </c>
      <c r="F50" t="s">
        <v>198</v>
      </c>
    </row>
    <row r="51" spans="3:6" ht="348" x14ac:dyDescent="0.35">
      <c r="C51" t="s">
        <v>375</v>
      </c>
      <c r="D51">
        <v>1</v>
      </c>
      <c r="E51" t="s">
        <v>103</v>
      </c>
      <c r="F51" s="26" t="s">
        <v>208</v>
      </c>
    </row>
    <row r="52" spans="3:6" ht="409.5" x14ac:dyDescent="0.35">
      <c r="C52" t="s">
        <v>375</v>
      </c>
      <c r="D52">
        <v>2</v>
      </c>
      <c r="E52" t="s">
        <v>108</v>
      </c>
      <c r="F52" s="26" t="s">
        <v>385</v>
      </c>
    </row>
    <row r="53" spans="3:6" ht="409.5" x14ac:dyDescent="0.35">
      <c r="C53" t="s">
        <v>375</v>
      </c>
      <c r="D53">
        <v>3</v>
      </c>
      <c r="E53" s="26" t="s">
        <v>119</v>
      </c>
      <c r="F53" s="26" t="s">
        <v>388</v>
      </c>
    </row>
    <row r="54" spans="3:6" ht="377" x14ac:dyDescent="0.35">
      <c r="C54" t="s">
        <v>375</v>
      </c>
      <c r="D54">
        <v>4</v>
      </c>
      <c r="E54" t="s">
        <v>219</v>
      </c>
      <c r="F54" s="26" t="s">
        <v>220</v>
      </c>
    </row>
    <row r="55" spans="3:6" ht="58" x14ac:dyDescent="0.35">
      <c r="C55" t="s">
        <v>375</v>
      </c>
      <c r="D55">
        <v>5</v>
      </c>
      <c r="E55" t="s">
        <v>384</v>
      </c>
      <c r="F55" s="26" t="s">
        <v>213</v>
      </c>
    </row>
    <row r="56" spans="3:6" x14ac:dyDescent="0.35">
      <c r="C56" t="s">
        <v>221</v>
      </c>
      <c r="F56" t="s">
        <v>198</v>
      </c>
    </row>
    <row r="57" spans="3:6" ht="348" x14ac:dyDescent="0.35">
      <c r="C57" t="s">
        <v>375</v>
      </c>
      <c r="D57">
        <v>1</v>
      </c>
      <c r="E57" t="s">
        <v>103</v>
      </c>
      <c r="F57" s="26" t="s">
        <v>208</v>
      </c>
    </row>
    <row r="58" spans="3:6" ht="409.5" x14ac:dyDescent="0.35">
      <c r="C58" t="s">
        <v>375</v>
      </c>
      <c r="D58">
        <v>2</v>
      </c>
      <c r="E58" t="s">
        <v>108</v>
      </c>
      <c r="F58" s="26" t="s">
        <v>385</v>
      </c>
    </row>
    <row r="59" spans="3:6" ht="409.5" x14ac:dyDescent="0.35">
      <c r="C59" t="s">
        <v>375</v>
      </c>
      <c r="D59">
        <v>3</v>
      </c>
      <c r="E59" s="26" t="s">
        <v>119</v>
      </c>
      <c r="F59" s="26" t="s">
        <v>386</v>
      </c>
    </row>
    <row r="60" spans="3:6" ht="87" x14ac:dyDescent="0.35">
      <c r="C60" t="s">
        <v>375</v>
      </c>
      <c r="D60">
        <v>4</v>
      </c>
      <c r="E60" t="s">
        <v>120</v>
      </c>
      <c r="F60" s="26" t="s">
        <v>212</v>
      </c>
    </row>
    <row r="61" spans="3:6" ht="391.5" x14ac:dyDescent="0.35">
      <c r="C61" t="s">
        <v>375</v>
      </c>
      <c r="D61">
        <v>5</v>
      </c>
      <c r="E61" t="s">
        <v>122</v>
      </c>
      <c r="F61" s="26" t="s">
        <v>387</v>
      </c>
    </row>
    <row r="62" spans="3:6" ht="409.5" x14ac:dyDescent="0.35">
      <c r="C62" t="s">
        <v>375</v>
      </c>
      <c r="D62">
        <v>6</v>
      </c>
      <c r="E62" t="s">
        <v>389</v>
      </c>
      <c r="F62" s="26" t="s">
        <v>390</v>
      </c>
    </row>
    <row r="63" spans="3:6" ht="409.5" x14ac:dyDescent="0.35">
      <c r="C63" t="s">
        <v>375</v>
      </c>
      <c r="D63">
        <v>7</v>
      </c>
      <c r="E63" t="s">
        <v>222</v>
      </c>
      <c r="F63" s="26" t="s">
        <v>391</v>
      </c>
    </row>
    <row r="64" spans="3:6" ht="58" x14ac:dyDescent="0.35">
      <c r="C64" t="s">
        <v>375</v>
      </c>
      <c r="D64">
        <v>8</v>
      </c>
      <c r="E64" t="s">
        <v>384</v>
      </c>
      <c r="F64" s="26" t="s">
        <v>213</v>
      </c>
    </row>
    <row r="65" spans="3:6" x14ac:dyDescent="0.35">
      <c r="C65" t="s">
        <v>223</v>
      </c>
      <c r="F65" t="s">
        <v>198</v>
      </c>
    </row>
    <row r="66" spans="3:6" ht="348" x14ac:dyDescent="0.35">
      <c r="C66" t="s">
        <v>375</v>
      </c>
      <c r="D66">
        <v>1</v>
      </c>
      <c r="E66" t="s">
        <v>103</v>
      </c>
      <c r="F66" s="26" t="s">
        <v>208</v>
      </c>
    </row>
    <row r="67" spans="3:6" ht="409.5" x14ac:dyDescent="0.35">
      <c r="C67" t="s">
        <v>375</v>
      </c>
      <c r="D67">
        <v>2</v>
      </c>
      <c r="E67" t="s">
        <v>108</v>
      </c>
      <c r="F67" s="26" t="s">
        <v>385</v>
      </c>
    </row>
    <row r="68" spans="3:6" ht="409.5" x14ac:dyDescent="0.35">
      <c r="C68" t="s">
        <v>375</v>
      </c>
      <c r="D68">
        <v>3</v>
      </c>
      <c r="E68" s="26" t="s">
        <v>119</v>
      </c>
      <c r="F68" s="26" t="s">
        <v>386</v>
      </c>
    </row>
    <row r="69" spans="3:6" ht="87" x14ac:dyDescent="0.35">
      <c r="C69" t="s">
        <v>375</v>
      </c>
      <c r="D69">
        <v>4</v>
      </c>
      <c r="E69" t="s">
        <v>120</v>
      </c>
      <c r="F69" s="26" t="s">
        <v>212</v>
      </c>
    </row>
    <row r="70" spans="3:6" ht="391.5" x14ac:dyDescent="0.35">
      <c r="C70" t="s">
        <v>375</v>
      </c>
      <c r="D70">
        <v>5</v>
      </c>
      <c r="E70" t="s">
        <v>122</v>
      </c>
      <c r="F70" s="26" t="s">
        <v>387</v>
      </c>
    </row>
    <row r="71" spans="3:6" ht="409.5" x14ac:dyDescent="0.35">
      <c r="C71" t="s">
        <v>375</v>
      </c>
      <c r="D71">
        <v>6</v>
      </c>
      <c r="E71" t="s">
        <v>389</v>
      </c>
      <c r="F71" s="26" t="s">
        <v>390</v>
      </c>
    </row>
    <row r="72" spans="3:6" ht="409.5" x14ac:dyDescent="0.35">
      <c r="C72" t="s">
        <v>375</v>
      </c>
      <c r="D72">
        <v>7</v>
      </c>
      <c r="E72" t="s">
        <v>141</v>
      </c>
      <c r="F72" s="26" t="s">
        <v>392</v>
      </c>
    </row>
    <row r="73" spans="3:6" ht="58" x14ac:dyDescent="0.35">
      <c r="C73" t="s">
        <v>375</v>
      </c>
      <c r="D73">
        <v>8</v>
      </c>
      <c r="E73" t="s">
        <v>384</v>
      </c>
      <c r="F73" s="26" t="s">
        <v>213</v>
      </c>
    </row>
    <row r="74" spans="3:6" x14ac:dyDescent="0.35">
      <c r="C74" t="s">
        <v>224</v>
      </c>
      <c r="F74" t="s">
        <v>198</v>
      </c>
    </row>
    <row r="75" spans="3:6" ht="348" x14ac:dyDescent="0.35">
      <c r="C75" t="s">
        <v>375</v>
      </c>
      <c r="D75">
        <v>1</v>
      </c>
      <c r="E75" t="s">
        <v>103</v>
      </c>
      <c r="F75" s="26" t="s">
        <v>208</v>
      </c>
    </row>
    <row r="76" spans="3:6" ht="409.5" x14ac:dyDescent="0.35">
      <c r="C76" t="s">
        <v>375</v>
      </c>
      <c r="D76">
        <v>2</v>
      </c>
      <c r="E76" t="s">
        <v>108</v>
      </c>
      <c r="F76" s="26" t="s">
        <v>385</v>
      </c>
    </row>
    <row r="77" spans="3:6" ht="409.5" x14ac:dyDescent="0.35">
      <c r="C77" t="s">
        <v>375</v>
      </c>
      <c r="D77">
        <v>3</v>
      </c>
      <c r="E77" s="26" t="s">
        <v>119</v>
      </c>
      <c r="F77" s="26" t="s">
        <v>393</v>
      </c>
    </row>
    <row r="78" spans="3:6" ht="409.5" x14ac:dyDescent="0.35">
      <c r="C78" t="s">
        <v>375</v>
      </c>
      <c r="D78">
        <v>4</v>
      </c>
      <c r="E78" s="26" t="s">
        <v>394</v>
      </c>
      <c r="F78" s="26" t="s">
        <v>395</v>
      </c>
    </row>
    <row r="79" spans="3:6" ht="58" x14ac:dyDescent="0.35">
      <c r="C79" t="s">
        <v>375</v>
      </c>
      <c r="D79">
        <v>5</v>
      </c>
      <c r="E79" t="s">
        <v>384</v>
      </c>
      <c r="F79" s="26" t="s">
        <v>213</v>
      </c>
    </row>
    <row r="80" spans="3:6" x14ac:dyDescent="0.35">
      <c r="C80" t="s">
        <v>225</v>
      </c>
      <c r="F80" t="s">
        <v>198</v>
      </c>
    </row>
    <row r="81" spans="3:6" ht="348" x14ac:dyDescent="0.35">
      <c r="C81" t="s">
        <v>375</v>
      </c>
      <c r="D81">
        <v>1</v>
      </c>
      <c r="E81" t="s">
        <v>103</v>
      </c>
      <c r="F81" s="26" t="s">
        <v>208</v>
      </c>
    </row>
    <row r="82" spans="3:6" ht="409.5" x14ac:dyDescent="0.35">
      <c r="C82" t="s">
        <v>375</v>
      </c>
      <c r="D82">
        <v>2</v>
      </c>
      <c r="E82" t="s">
        <v>108</v>
      </c>
      <c r="F82" s="26" t="s">
        <v>385</v>
      </c>
    </row>
    <row r="83" spans="3:6" ht="409.5" x14ac:dyDescent="0.35">
      <c r="C83" t="s">
        <v>375</v>
      </c>
      <c r="D83">
        <v>3</v>
      </c>
      <c r="E83" s="26" t="s">
        <v>119</v>
      </c>
      <c r="F83" s="26" t="s">
        <v>393</v>
      </c>
    </row>
    <row r="84" spans="3:6" ht="409.5" x14ac:dyDescent="0.35">
      <c r="C84" t="s">
        <v>375</v>
      </c>
      <c r="D84">
        <v>4</v>
      </c>
      <c r="E84" s="26" t="s">
        <v>396</v>
      </c>
      <c r="F84" s="26" t="s">
        <v>226</v>
      </c>
    </row>
    <row r="85" spans="3:6" ht="58" x14ac:dyDescent="0.35">
      <c r="C85" t="s">
        <v>375</v>
      </c>
      <c r="D85">
        <v>5</v>
      </c>
      <c r="E85" t="s">
        <v>384</v>
      </c>
      <c r="F85" s="26" t="s">
        <v>213</v>
      </c>
    </row>
    <row r="86" spans="3:6" x14ac:dyDescent="0.35">
      <c r="C86" t="s">
        <v>397</v>
      </c>
      <c r="F86" t="s">
        <v>198</v>
      </c>
    </row>
    <row r="87" spans="3:6" ht="348" x14ac:dyDescent="0.35">
      <c r="C87" t="s">
        <v>375</v>
      </c>
      <c r="D87">
        <v>1</v>
      </c>
      <c r="E87" t="s">
        <v>103</v>
      </c>
      <c r="F87" s="26" t="s">
        <v>208</v>
      </c>
    </row>
    <row r="88" spans="3:6" ht="409.5" x14ac:dyDescent="0.35">
      <c r="C88" t="s">
        <v>375</v>
      </c>
      <c r="D88">
        <v>2</v>
      </c>
      <c r="E88" t="s">
        <v>108</v>
      </c>
      <c r="F88" s="26" t="s">
        <v>385</v>
      </c>
    </row>
    <row r="89" spans="3:6" ht="409.5" x14ac:dyDescent="0.35">
      <c r="C89" t="s">
        <v>375</v>
      </c>
      <c r="D89">
        <v>3</v>
      </c>
      <c r="E89" s="26" t="s">
        <v>119</v>
      </c>
      <c r="F89" s="26" t="s">
        <v>393</v>
      </c>
    </row>
    <row r="90" spans="3:6" ht="409.5" x14ac:dyDescent="0.35">
      <c r="C90" t="s">
        <v>375</v>
      </c>
      <c r="D90">
        <v>4</v>
      </c>
      <c r="E90" s="26" t="s">
        <v>394</v>
      </c>
      <c r="F90" s="26" t="s">
        <v>398</v>
      </c>
    </row>
    <row r="91" spans="3:6" ht="409.5" x14ac:dyDescent="0.35">
      <c r="C91" t="s">
        <v>375</v>
      </c>
      <c r="D91">
        <v>5</v>
      </c>
      <c r="E91" t="s">
        <v>399</v>
      </c>
      <c r="F91" s="26" t="s">
        <v>400</v>
      </c>
    </row>
    <row r="92" spans="3:6" x14ac:dyDescent="0.35">
      <c r="C92" t="s">
        <v>375</v>
      </c>
      <c r="D92">
        <v>6</v>
      </c>
      <c r="E92" t="s">
        <v>222</v>
      </c>
      <c r="F92" t="s">
        <v>401</v>
      </c>
    </row>
    <row r="93" spans="3:6" ht="58" x14ac:dyDescent="0.35">
      <c r="C93" t="s">
        <v>375</v>
      </c>
      <c r="D93">
        <v>7</v>
      </c>
      <c r="E93" t="s">
        <v>384</v>
      </c>
      <c r="F93" s="26" t="s">
        <v>213</v>
      </c>
    </row>
    <row r="94" spans="3:6" ht="29" x14ac:dyDescent="0.35">
      <c r="C94" t="s">
        <v>402</v>
      </c>
      <c r="F94" s="26" t="s">
        <v>198</v>
      </c>
    </row>
    <row r="95" spans="3:6" ht="348" x14ac:dyDescent="0.35">
      <c r="C95" t="s">
        <v>375</v>
      </c>
      <c r="D95">
        <v>1</v>
      </c>
      <c r="E95" s="26" t="s">
        <v>103</v>
      </c>
      <c r="F95" s="26" t="s">
        <v>208</v>
      </c>
    </row>
    <row r="96" spans="3:6" ht="409.5" x14ac:dyDescent="0.35">
      <c r="C96" t="s">
        <v>375</v>
      </c>
      <c r="D96">
        <v>2</v>
      </c>
      <c r="E96" s="26" t="s">
        <v>108</v>
      </c>
      <c r="F96" s="26" t="s">
        <v>385</v>
      </c>
    </row>
    <row r="97" spans="3:6" ht="409.5" x14ac:dyDescent="0.35">
      <c r="C97" t="s">
        <v>375</v>
      </c>
      <c r="D97">
        <v>3</v>
      </c>
      <c r="E97" t="s">
        <v>119</v>
      </c>
      <c r="F97" s="26" t="s">
        <v>393</v>
      </c>
    </row>
    <row r="98" spans="3:6" ht="409.5" x14ac:dyDescent="0.35">
      <c r="C98" t="s">
        <v>375</v>
      </c>
      <c r="D98">
        <v>4</v>
      </c>
      <c r="E98" t="s">
        <v>394</v>
      </c>
      <c r="F98" s="26" t="s">
        <v>403</v>
      </c>
    </row>
    <row r="99" spans="3:6" ht="409.5" x14ac:dyDescent="0.35">
      <c r="C99" t="s">
        <v>375</v>
      </c>
      <c r="D99">
        <v>5</v>
      </c>
      <c r="E99" t="s">
        <v>399</v>
      </c>
      <c r="F99" s="26" t="s">
        <v>400</v>
      </c>
    </row>
    <row r="100" spans="3:6" x14ac:dyDescent="0.35">
      <c r="C100" t="s">
        <v>375</v>
      </c>
      <c r="D100">
        <v>6</v>
      </c>
      <c r="E100" t="s">
        <v>141</v>
      </c>
      <c r="F100" t="s">
        <v>404</v>
      </c>
    </row>
    <row r="101" spans="3:6" ht="58" x14ac:dyDescent="0.35">
      <c r="C101" t="s">
        <v>375</v>
      </c>
      <c r="D101">
        <v>7</v>
      </c>
      <c r="E101" t="s">
        <v>384</v>
      </c>
      <c r="F101" s="26" t="s">
        <v>213</v>
      </c>
    </row>
    <row r="102" spans="3:6" ht="29" x14ac:dyDescent="0.35">
      <c r="C102" t="s">
        <v>405</v>
      </c>
      <c r="F102" s="26" t="s">
        <v>198</v>
      </c>
    </row>
    <row r="103" spans="3:6" ht="348" x14ac:dyDescent="0.35">
      <c r="C103" t="s">
        <v>375</v>
      </c>
      <c r="D103">
        <v>1</v>
      </c>
      <c r="E103" s="26" t="s">
        <v>103</v>
      </c>
      <c r="F103" s="26" t="s">
        <v>208</v>
      </c>
    </row>
    <row r="104" spans="3:6" ht="409.5" x14ac:dyDescent="0.35">
      <c r="C104" t="s">
        <v>375</v>
      </c>
      <c r="D104">
        <v>2</v>
      </c>
      <c r="E104" s="26" t="s">
        <v>161</v>
      </c>
      <c r="F104" s="26" t="s">
        <v>406</v>
      </c>
    </row>
    <row r="105" spans="3:6" ht="409.5" x14ac:dyDescent="0.35">
      <c r="C105" t="s">
        <v>375</v>
      </c>
      <c r="D105">
        <v>3</v>
      </c>
      <c r="E105" t="s">
        <v>119</v>
      </c>
      <c r="F105" s="26" t="s">
        <v>407</v>
      </c>
    </row>
    <row r="106" spans="3:6" ht="87" x14ac:dyDescent="0.35">
      <c r="C106" t="s">
        <v>375</v>
      </c>
      <c r="D106">
        <v>4</v>
      </c>
      <c r="E106" t="s">
        <v>120</v>
      </c>
      <c r="F106" s="26" t="s">
        <v>212</v>
      </c>
    </row>
    <row r="107" spans="3:6" ht="391.5" x14ac:dyDescent="0.35">
      <c r="C107" t="s">
        <v>375</v>
      </c>
      <c r="D107">
        <v>5</v>
      </c>
      <c r="E107" t="s">
        <v>122</v>
      </c>
      <c r="F107" s="26" t="s">
        <v>387</v>
      </c>
    </row>
    <row r="108" spans="3:6" x14ac:dyDescent="0.35">
      <c r="C108" t="s">
        <v>375</v>
      </c>
      <c r="D108">
        <v>6</v>
      </c>
      <c r="E108" t="s">
        <v>384</v>
      </c>
      <c r="F108" t="s">
        <v>213</v>
      </c>
    </row>
    <row r="109" spans="3:6" ht="29" x14ac:dyDescent="0.35">
      <c r="C109" t="s">
        <v>408</v>
      </c>
      <c r="F109" s="26" t="s">
        <v>198</v>
      </c>
    </row>
    <row r="110" spans="3:6" ht="348" x14ac:dyDescent="0.35">
      <c r="C110" t="s">
        <v>375</v>
      </c>
      <c r="D110">
        <v>1</v>
      </c>
      <c r="E110" t="s">
        <v>103</v>
      </c>
      <c r="F110" s="26" t="s">
        <v>208</v>
      </c>
    </row>
    <row r="111" spans="3:6" ht="409.5" x14ac:dyDescent="0.35">
      <c r="C111" t="s">
        <v>375</v>
      </c>
      <c r="D111">
        <v>2</v>
      </c>
      <c r="E111" s="26" t="s">
        <v>161</v>
      </c>
      <c r="F111" s="26" t="s">
        <v>406</v>
      </c>
    </row>
    <row r="112" spans="3:6" ht="409.5" x14ac:dyDescent="0.35">
      <c r="C112" t="s">
        <v>375</v>
      </c>
      <c r="D112">
        <v>3</v>
      </c>
      <c r="E112" t="s">
        <v>119</v>
      </c>
      <c r="F112" s="26" t="s">
        <v>409</v>
      </c>
    </row>
    <row r="113" spans="3:6" ht="145" x14ac:dyDescent="0.35">
      <c r="C113" t="s">
        <v>375</v>
      </c>
      <c r="D113">
        <v>4</v>
      </c>
      <c r="E113" t="s">
        <v>164</v>
      </c>
      <c r="F113" s="26" t="s">
        <v>215</v>
      </c>
    </row>
    <row r="114" spans="3:6" ht="58" x14ac:dyDescent="0.35">
      <c r="C114" t="s">
        <v>375</v>
      </c>
      <c r="D114">
        <v>5</v>
      </c>
      <c r="E114" t="s">
        <v>384</v>
      </c>
      <c r="F114" s="26" t="s">
        <v>213</v>
      </c>
    </row>
    <row r="115" spans="3:6" x14ac:dyDescent="0.35">
      <c r="C115" t="s">
        <v>410</v>
      </c>
      <c r="F115" t="s">
        <v>198</v>
      </c>
    </row>
    <row r="116" spans="3:6" ht="348" x14ac:dyDescent="0.35">
      <c r="C116" t="s">
        <v>375</v>
      </c>
      <c r="D116">
        <v>1</v>
      </c>
      <c r="E116" t="s">
        <v>103</v>
      </c>
      <c r="F116" s="26" t="s">
        <v>208</v>
      </c>
    </row>
    <row r="117" spans="3:6" ht="409.5" x14ac:dyDescent="0.35">
      <c r="C117" t="s">
        <v>375</v>
      </c>
      <c r="D117">
        <v>2</v>
      </c>
      <c r="E117" t="s">
        <v>161</v>
      </c>
      <c r="F117" s="26" t="s">
        <v>406</v>
      </c>
    </row>
    <row r="118" spans="3:6" ht="409.5" x14ac:dyDescent="0.35">
      <c r="C118" t="s">
        <v>375</v>
      </c>
      <c r="D118">
        <v>3</v>
      </c>
      <c r="E118" s="26" t="s">
        <v>119</v>
      </c>
      <c r="F118" s="26" t="s">
        <v>409</v>
      </c>
    </row>
    <row r="119" spans="3:6" ht="217.5" x14ac:dyDescent="0.35">
      <c r="C119" t="s">
        <v>375</v>
      </c>
      <c r="D119">
        <v>4</v>
      </c>
      <c r="E119" s="26" t="s">
        <v>131</v>
      </c>
      <c r="F119" s="26" t="s">
        <v>227</v>
      </c>
    </row>
    <row r="120" spans="3:6" ht="58" x14ac:dyDescent="0.35">
      <c r="C120" t="s">
        <v>375</v>
      </c>
      <c r="D120">
        <v>5</v>
      </c>
      <c r="E120" t="s">
        <v>384</v>
      </c>
      <c r="F120" s="26" t="s">
        <v>213</v>
      </c>
    </row>
    <row r="121" spans="3:6" x14ac:dyDescent="0.35">
      <c r="C121" t="s">
        <v>411</v>
      </c>
      <c r="F121" t="s">
        <v>198</v>
      </c>
    </row>
    <row r="122" spans="3:6" ht="348" x14ac:dyDescent="0.35">
      <c r="C122" t="s">
        <v>375</v>
      </c>
      <c r="D122">
        <v>1</v>
      </c>
      <c r="E122" t="s">
        <v>103</v>
      </c>
      <c r="F122" s="26" t="s">
        <v>208</v>
      </c>
    </row>
    <row r="123" spans="3:6" ht="409.5" x14ac:dyDescent="0.35">
      <c r="C123" t="s">
        <v>375</v>
      </c>
      <c r="D123">
        <v>2</v>
      </c>
      <c r="E123" t="s">
        <v>161</v>
      </c>
      <c r="F123" s="26" t="s">
        <v>406</v>
      </c>
    </row>
    <row r="124" spans="3:6" ht="409.5" x14ac:dyDescent="0.35">
      <c r="C124" t="s">
        <v>375</v>
      </c>
      <c r="D124">
        <v>3</v>
      </c>
      <c r="E124" s="26" t="s">
        <v>119</v>
      </c>
      <c r="F124" s="26" t="s">
        <v>409</v>
      </c>
    </row>
    <row r="125" spans="3:6" ht="406" x14ac:dyDescent="0.35">
      <c r="C125" t="s">
        <v>375</v>
      </c>
      <c r="D125">
        <v>4</v>
      </c>
      <c r="E125" t="s">
        <v>228</v>
      </c>
      <c r="F125" s="26" t="s">
        <v>412</v>
      </c>
    </row>
    <row r="126" spans="3:6" ht="58" x14ac:dyDescent="0.35">
      <c r="C126" t="s">
        <v>375</v>
      </c>
      <c r="D126">
        <v>5</v>
      </c>
      <c r="E126" t="s">
        <v>384</v>
      </c>
      <c r="F126" s="26" t="s">
        <v>213</v>
      </c>
    </row>
    <row r="127" spans="3:6" x14ac:dyDescent="0.35">
      <c r="C127" t="s">
        <v>413</v>
      </c>
      <c r="F127" t="s">
        <v>198</v>
      </c>
    </row>
    <row r="128" spans="3:6" ht="348" x14ac:dyDescent="0.35">
      <c r="C128" t="s">
        <v>375</v>
      </c>
      <c r="D128">
        <v>1</v>
      </c>
      <c r="E128" t="s">
        <v>103</v>
      </c>
      <c r="F128" s="26" t="s">
        <v>208</v>
      </c>
    </row>
    <row r="129" spans="3:6" ht="409.5" x14ac:dyDescent="0.35">
      <c r="C129" t="s">
        <v>375</v>
      </c>
      <c r="D129">
        <v>2</v>
      </c>
      <c r="E129" t="s">
        <v>161</v>
      </c>
      <c r="F129" s="26" t="s">
        <v>406</v>
      </c>
    </row>
    <row r="130" spans="3:6" ht="409.5" x14ac:dyDescent="0.35">
      <c r="C130" t="s">
        <v>375</v>
      </c>
      <c r="D130">
        <v>3</v>
      </c>
      <c r="E130" s="26" t="s">
        <v>119</v>
      </c>
      <c r="F130" s="26" t="s">
        <v>409</v>
      </c>
    </row>
    <row r="131" spans="3:6" ht="87" x14ac:dyDescent="0.35">
      <c r="C131" t="s">
        <v>375</v>
      </c>
      <c r="D131">
        <v>4</v>
      </c>
      <c r="E131" t="s">
        <v>120</v>
      </c>
      <c r="F131" s="26" t="s">
        <v>212</v>
      </c>
    </row>
    <row r="132" spans="3:6" ht="391.5" x14ac:dyDescent="0.35">
      <c r="C132" t="s">
        <v>375</v>
      </c>
      <c r="D132">
        <v>5</v>
      </c>
      <c r="E132" t="s">
        <v>122</v>
      </c>
      <c r="F132" s="26" t="s">
        <v>387</v>
      </c>
    </row>
    <row r="133" spans="3:6" x14ac:dyDescent="0.35">
      <c r="C133" t="s">
        <v>375</v>
      </c>
      <c r="D133">
        <v>6</v>
      </c>
      <c r="E133" t="s">
        <v>389</v>
      </c>
      <c r="F133" t="s">
        <v>390</v>
      </c>
    </row>
    <row r="134" spans="3:6" ht="409.5" x14ac:dyDescent="0.35">
      <c r="C134" t="s">
        <v>375</v>
      </c>
      <c r="D134">
        <v>7</v>
      </c>
      <c r="E134" t="s">
        <v>222</v>
      </c>
      <c r="F134" s="26" t="s">
        <v>414</v>
      </c>
    </row>
    <row r="135" spans="3:6" ht="58" x14ac:dyDescent="0.35">
      <c r="C135" t="s">
        <v>375</v>
      </c>
      <c r="D135">
        <v>8</v>
      </c>
      <c r="E135" t="s">
        <v>384</v>
      </c>
      <c r="F135" s="26" t="s">
        <v>213</v>
      </c>
    </row>
    <row r="136" spans="3:6" ht="29" x14ac:dyDescent="0.35">
      <c r="C136" t="s">
        <v>415</v>
      </c>
      <c r="E136" s="26"/>
      <c r="F136" s="26" t="s">
        <v>198</v>
      </c>
    </row>
    <row r="137" spans="3:6" ht="348" x14ac:dyDescent="0.35">
      <c r="C137" t="s">
        <v>375</v>
      </c>
      <c r="D137">
        <v>1</v>
      </c>
      <c r="E137" t="s">
        <v>103</v>
      </c>
      <c r="F137" s="26" t="s">
        <v>208</v>
      </c>
    </row>
    <row r="138" spans="3:6" ht="409.5" x14ac:dyDescent="0.35">
      <c r="C138" t="s">
        <v>375</v>
      </c>
      <c r="D138">
        <v>2</v>
      </c>
      <c r="E138" t="s">
        <v>161</v>
      </c>
      <c r="F138" s="26" t="s">
        <v>416</v>
      </c>
    </row>
    <row r="139" spans="3:6" ht="409.5" x14ac:dyDescent="0.35">
      <c r="C139" t="s">
        <v>375</v>
      </c>
      <c r="D139">
        <v>3</v>
      </c>
      <c r="E139" t="s">
        <v>119</v>
      </c>
      <c r="F139" s="26" t="s">
        <v>417</v>
      </c>
    </row>
    <row r="140" spans="3:6" ht="87" x14ac:dyDescent="0.35">
      <c r="C140" t="s">
        <v>375</v>
      </c>
      <c r="D140">
        <v>4</v>
      </c>
      <c r="E140" t="s">
        <v>120</v>
      </c>
      <c r="F140" s="26" t="s">
        <v>212</v>
      </c>
    </row>
    <row r="141" spans="3:6" ht="406" x14ac:dyDescent="0.35">
      <c r="C141" t="s">
        <v>375</v>
      </c>
      <c r="D141">
        <v>5</v>
      </c>
      <c r="E141" t="s">
        <v>122</v>
      </c>
      <c r="F141" s="26" t="s">
        <v>418</v>
      </c>
    </row>
    <row r="142" spans="3:6" x14ac:dyDescent="0.35">
      <c r="C142" t="s">
        <v>375</v>
      </c>
      <c r="D142">
        <v>6</v>
      </c>
      <c r="E142" t="s">
        <v>389</v>
      </c>
      <c r="F142" t="s">
        <v>390</v>
      </c>
    </row>
    <row r="143" spans="3:6" ht="409.5" x14ac:dyDescent="0.35">
      <c r="C143" t="s">
        <v>375</v>
      </c>
      <c r="D143">
        <v>7</v>
      </c>
      <c r="E143" t="s">
        <v>141</v>
      </c>
      <c r="F143" s="26" t="s">
        <v>419</v>
      </c>
    </row>
    <row r="144" spans="3:6" ht="58" x14ac:dyDescent="0.35">
      <c r="C144" t="s">
        <v>375</v>
      </c>
      <c r="D144">
        <v>8</v>
      </c>
      <c r="E144" t="s">
        <v>384</v>
      </c>
      <c r="F144" s="26" t="s">
        <v>213</v>
      </c>
    </row>
    <row r="145" spans="3:6" ht="29" x14ac:dyDescent="0.35">
      <c r="C145" t="s">
        <v>420</v>
      </c>
      <c r="E145" s="26"/>
      <c r="F145" s="26" t="s">
        <v>198</v>
      </c>
    </row>
    <row r="146" spans="3:6" ht="348" x14ac:dyDescent="0.35">
      <c r="C146" t="s">
        <v>375</v>
      </c>
      <c r="D146">
        <v>1</v>
      </c>
      <c r="E146" t="s">
        <v>103</v>
      </c>
      <c r="F146" s="26" t="s">
        <v>208</v>
      </c>
    </row>
    <row r="147" spans="3:6" ht="409.5" x14ac:dyDescent="0.35">
      <c r="C147" t="s">
        <v>375</v>
      </c>
      <c r="D147">
        <v>2</v>
      </c>
      <c r="E147" t="s">
        <v>161</v>
      </c>
      <c r="F147" s="26" t="s">
        <v>406</v>
      </c>
    </row>
    <row r="148" spans="3:6" ht="409.5" x14ac:dyDescent="0.35">
      <c r="C148" t="s">
        <v>375</v>
      </c>
      <c r="D148">
        <v>3</v>
      </c>
      <c r="E148" t="s">
        <v>119</v>
      </c>
      <c r="F148" s="26" t="s">
        <v>421</v>
      </c>
    </row>
    <row r="149" spans="3:6" ht="409.5" x14ac:dyDescent="0.35">
      <c r="C149" t="s">
        <v>375</v>
      </c>
      <c r="D149">
        <v>4</v>
      </c>
      <c r="E149" t="s">
        <v>394</v>
      </c>
      <c r="F149" s="26" t="s">
        <v>422</v>
      </c>
    </row>
    <row r="150" spans="3:6" ht="58" x14ac:dyDescent="0.35">
      <c r="C150" t="s">
        <v>375</v>
      </c>
      <c r="D150">
        <v>5</v>
      </c>
      <c r="E150" t="s">
        <v>384</v>
      </c>
      <c r="F150" s="26" t="s">
        <v>213</v>
      </c>
    </row>
    <row r="151" spans="3:6" x14ac:dyDescent="0.35">
      <c r="C151" t="s">
        <v>423</v>
      </c>
      <c r="F151" t="s">
        <v>198</v>
      </c>
    </row>
    <row r="152" spans="3:6" ht="348" x14ac:dyDescent="0.35">
      <c r="C152" t="s">
        <v>375</v>
      </c>
      <c r="D152">
        <v>1</v>
      </c>
      <c r="E152" t="s">
        <v>103</v>
      </c>
      <c r="F152" s="26" t="s">
        <v>208</v>
      </c>
    </row>
    <row r="153" spans="3:6" ht="409.5" x14ac:dyDescent="0.35">
      <c r="C153" t="s">
        <v>375</v>
      </c>
      <c r="D153">
        <v>2</v>
      </c>
      <c r="E153" t="s">
        <v>424</v>
      </c>
      <c r="F153" s="26" t="s">
        <v>406</v>
      </c>
    </row>
    <row r="154" spans="3:6" ht="409.5" x14ac:dyDescent="0.35">
      <c r="C154" t="s">
        <v>375</v>
      </c>
      <c r="D154">
        <v>3</v>
      </c>
      <c r="E154" s="26" t="s">
        <v>119</v>
      </c>
      <c r="F154" s="26" t="s">
        <v>425</v>
      </c>
    </row>
    <row r="155" spans="3:6" ht="409.5" x14ac:dyDescent="0.35">
      <c r="C155" t="s">
        <v>375</v>
      </c>
      <c r="D155">
        <v>4</v>
      </c>
      <c r="E155" s="26" t="s">
        <v>396</v>
      </c>
      <c r="F155" s="26" t="s">
        <v>229</v>
      </c>
    </row>
    <row r="156" spans="3:6" ht="58" x14ac:dyDescent="0.35">
      <c r="C156" t="s">
        <v>375</v>
      </c>
      <c r="D156">
        <v>5</v>
      </c>
      <c r="E156" t="s">
        <v>384</v>
      </c>
      <c r="F156" s="26" t="s">
        <v>213</v>
      </c>
    </row>
    <row r="157" spans="3:6" x14ac:dyDescent="0.35">
      <c r="C157" t="s">
        <v>426</v>
      </c>
      <c r="F157" t="s">
        <v>198</v>
      </c>
    </row>
    <row r="158" spans="3:6" ht="348" x14ac:dyDescent="0.35">
      <c r="C158" t="s">
        <v>375</v>
      </c>
      <c r="D158">
        <v>1</v>
      </c>
      <c r="E158" t="s">
        <v>103</v>
      </c>
      <c r="F158" s="26" t="s">
        <v>208</v>
      </c>
    </row>
    <row r="159" spans="3:6" ht="409.5" x14ac:dyDescent="0.35">
      <c r="C159" t="s">
        <v>375</v>
      </c>
      <c r="D159">
        <v>2</v>
      </c>
      <c r="E159" t="s">
        <v>161</v>
      </c>
      <c r="F159" s="26" t="s">
        <v>406</v>
      </c>
    </row>
    <row r="160" spans="3:6" ht="409.5" x14ac:dyDescent="0.35">
      <c r="C160" t="s">
        <v>375</v>
      </c>
      <c r="D160">
        <v>3</v>
      </c>
      <c r="E160" s="26" t="s">
        <v>119</v>
      </c>
      <c r="F160" s="26" t="s">
        <v>425</v>
      </c>
    </row>
    <row r="161" spans="3:6" ht="409.5" x14ac:dyDescent="0.35">
      <c r="C161" t="s">
        <v>375</v>
      </c>
      <c r="D161">
        <v>4</v>
      </c>
      <c r="E161" s="26" t="s">
        <v>394</v>
      </c>
      <c r="F161" s="26" t="s">
        <v>403</v>
      </c>
    </row>
    <row r="162" spans="3:6" ht="409.5" x14ac:dyDescent="0.35">
      <c r="C162" t="s">
        <v>375</v>
      </c>
      <c r="D162">
        <v>5</v>
      </c>
      <c r="E162" t="s">
        <v>399</v>
      </c>
      <c r="F162" s="26" t="s">
        <v>400</v>
      </c>
    </row>
    <row r="163" spans="3:6" x14ac:dyDescent="0.35">
      <c r="C163" t="s">
        <v>375</v>
      </c>
      <c r="D163">
        <v>6</v>
      </c>
      <c r="E163" t="s">
        <v>222</v>
      </c>
      <c r="F163" t="s">
        <v>401</v>
      </c>
    </row>
    <row r="164" spans="3:6" ht="58" x14ac:dyDescent="0.35">
      <c r="C164" t="s">
        <v>375</v>
      </c>
      <c r="D164">
        <v>7</v>
      </c>
      <c r="E164" t="s">
        <v>384</v>
      </c>
      <c r="F164" s="26" t="s">
        <v>213</v>
      </c>
    </row>
    <row r="165" spans="3:6" ht="29" x14ac:dyDescent="0.35">
      <c r="C165" t="s">
        <v>427</v>
      </c>
      <c r="F165" s="26" t="s">
        <v>198</v>
      </c>
    </row>
    <row r="166" spans="3:6" ht="348" x14ac:dyDescent="0.35">
      <c r="C166" t="s">
        <v>375</v>
      </c>
      <c r="D166">
        <v>1</v>
      </c>
      <c r="E166" s="26" t="s">
        <v>103</v>
      </c>
      <c r="F166" s="26" t="s">
        <v>208</v>
      </c>
    </row>
    <row r="167" spans="3:6" ht="409.5" x14ac:dyDescent="0.35">
      <c r="C167" t="s">
        <v>375</v>
      </c>
      <c r="D167">
        <v>2</v>
      </c>
      <c r="E167" s="26" t="s">
        <v>161</v>
      </c>
      <c r="F167" s="26" t="s">
        <v>428</v>
      </c>
    </row>
    <row r="168" spans="3:6" ht="409.5" x14ac:dyDescent="0.35">
      <c r="C168" t="s">
        <v>375</v>
      </c>
      <c r="D168">
        <v>3</v>
      </c>
      <c r="E168" t="s">
        <v>119</v>
      </c>
      <c r="F168" s="26" t="s">
        <v>421</v>
      </c>
    </row>
    <row r="169" spans="3:6" x14ac:dyDescent="0.35">
      <c r="C169" t="s">
        <v>375</v>
      </c>
      <c r="D169">
        <v>4</v>
      </c>
      <c r="E169" t="s">
        <v>394</v>
      </c>
      <c r="F169" t="s">
        <v>403</v>
      </c>
    </row>
    <row r="170" spans="3:6" ht="409.5" x14ac:dyDescent="0.35">
      <c r="C170" t="s">
        <v>375</v>
      </c>
      <c r="D170">
        <v>5</v>
      </c>
      <c r="E170" t="s">
        <v>399</v>
      </c>
      <c r="F170" s="26" t="s">
        <v>400</v>
      </c>
    </row>
    <row r="171" spans="3:6" ht="409.5" x14ac:dyDescent="0.35">
      <c r="C171" t="s">
        <v>375</v>
      </c>
      <c r="D171">
        <v>6</v>
      </c>
      <c r="E171" t="s">
        <v>141</v>
      </c>
      <c r="F171" s="26" t="s">
        <v>404</v>
      </c>
    </row>
    <row r="172" spans="3:6" ht="58" x14ac:dyDescent="0.35">
      <c r="C172" t="s">
        <v>375</v>
      </c>
      <c r="D172">
        <v>7</v>
      </c>
      <c r="E172" s="26" t="s">
        <v>384</v>
      </c>
      <c r="F172" s="26" t="s">
        <v>213</v>
      </c>
    </row>
    <row r="173" spans="3:6" ht="29" x14ac:dyDescent="0.35">
      <c r="C173" t="s">
        <v>429</v>
      </c>
      <c r="E173" s="26"/>
      <c r="F173" s="26" t="s">
        <v>198</v>
      </c>
    </row>
    <row r="174" spans="3:6" ht="348" x14ac:dyDescent="0.35">
      <c r="C174" t="s">
        <v>375</v>
      </c>
      <c r="D174">
        <v>1</v>
      </c>
      <c r="E174" t="s">
        <v>103</v>
      </c>
      <c r="F174" s="26" t="s">
        <v>208</v>
      </c>
    </row>
    <row r="175" spans="3:6" ht="319" x14ac:dyDescent="0.35">
      <c r="C175" t="s">
        <v>375</v>
      </c>
      <c r="D175">
        <v>2</v>
      </c>
      <c r="E175" t="s">
        <v>185</v>
      </c>
      <c r="F175" s="26" t="s">
        <v>230</v>
      </c>
    </row>
    <row r="176" spans="3:6" ht="58" x14ac:dyDescent="0.35">
      <c r="C176" t="s">
        <v>375</v>
      </c>
      <c r="D176">
        <v>3</v>
      </c>
      <c r="E176" t="s">
        <v>384</v>
      </c>
      <c r="F176" s="26" t="s">
        <v>213</v>
      </c>
    </row>
    <row r="177" spans="3:6" x14ac:dyDescent="0.35">
      <c r="C177" t="s">
        <v>430</v>
      </c>
      <c r="F177" t="s">
        <v>198</v>
      </c>
    </row>
    <row r="178" spans="3:6" ht="348" x14ac:dyDescent="0.35">
      <c r="C178" t="s">
        <v>375</v>
      </c>
      <c r="D178">
        <v>1</v>
      </c>
      <c r="E178" t="s">
        <v>103</v>
      </c>
      <c r="F178" s="26" t="s">
        <v>208</v>
      </c>
    </row>
    <row r="179" spans="3:6" ht="409.5" x14ac:dyDescent="0.35">
      <c r="C179" t="s">
        <v>375</v>
      </c>
      <c r="D179">
        <v>2</v>
      </c>
      <c r="E179" t="s">
        <v>185</v>
      </c>
      <c r="F179" s="26" t="s">
        <v>431</v>
      </c>
    </row>
    <row r="180" spans="3:6" ht="116" x14ac:dyDescent="0.35">
      <c r="C180" t="s">
        <v>375</v>
      </c>
      <c r="D180">
        <v>3</v>
      </c>
      <c r="E180" s="26" t="s">
        <v>190</v>
      </c>
      <c r="F180" s="26" t="s">
        <v>231</v>
      </c>
    </row>
    <row r="181" spans="3:6" ht="58" x14ac:dyDescent="0.35">
      <c r="C181" t="s">
        <v>375</v>
      </c>
      <c r="D181">
        <v>4</v>
      </c>
      <c r="E181" s="26" t="s">
        <v>384</v>
      </c>
      <c r="F181" s="26" t="s">
        <v>213</v>
      </c>
    </row>
    <row r="182" spans="3:6" ht="29" x14ac:dyDescent="0.35">
      <c r="C182" t="s">
        <v>432</v>
      </c>
      <c r="F182" s="26" t="s">
        <v>198</v>
      </c>
    </row>
    <row r="183" spans="3:6" ht="348" x14ac:dyDescent="0.35">
      <c r="C183" t="s">
        <v>375</v>
      </c>
      <c r="D183">
        <v>1</v>
      </c>
      <c r="E183" t="s">
        <v>103</v>
      </c>
      <c r="F183" s="26" t="s">
        <v>208</v>
      </c>
    </row>
    <row r="184" spans="3:6" ht="409.5" x14ac:dyDescent="0.35">
      <c r="C184" t="s">
        <v>375</v>
      </c>
      <c r="D184">
        <v>2</v>
      </c>
      <c r="E184" t="s">
        <v>161</v>
      </c>
      <c r="F184" s="26" t="s">
        <v>406</v>
      </c>
    </row>
    <row r="185" spans="3:6" x14ac:dyDescent="0.35">
      <c r="C185" t="s">
        <v>375</v>
      </c>
      <c r="D185">
        <v>3</v>
      </c>
      <c r="E185" t="s">
        <v>119</v>
      </c>
      <c r="F185" t="s">
        <v>425</v>
      </c>
    </row>
    <row r="186" spans="3:6" ht="409.5" x14ac:dyDescent="0.35">
      <c r="C186" t="s">
        <v>375</v>
      </c>
      <c r="D186">
        <v>4</v>
      </c>
      <c r="E186" t="s">
        <v>394</v>
      </c>
      <c r="F186" s="26" t="s">
        <v>403</v>
      </c>
    </row>
    <row r="187" spans="3:6" ht="409.5" x14ac:dyDescent="0.35">
      <c r="C187" t="s">
        <v>375</v>
      </c>
      <c r="D187">
        <v>5</v>
      </c>
      <c r="E187" t="s">
        <v>399</v>
      </c>
      <c r="F187" s="26" t="s">
        <v>433</v>
      </c>
    </row>
    <row r="188" spans="3:6" ht="409.5" x14ac:dyDescent="0.35">
      <c r="C188" t="s">
        <v>375</v>
      </c>
      <c r="D188">
        <v>6</v>
      </c>
      <c r="E188" t="s">
        <v>222</v>
      </c>
      <c r="F188" s="26" t="s">
        <v>434</v>
      </c>
    </row>
    <row r="189" spans="3:6" x14ac:dyDescent="0.35">
      <c r="C189" t="s">
        <v>375</v>
      </c>
      <c r="D189">
        <v>7</v>
      </c>
      <c r="E189" t="s">
        <v>384</v>
      </c>
      <c r="F189" t="s">
        <v>213</v>
      </c>
    </row>
    <row r="190" spans="3:6" ht="29" x14ac:dyDescent="0.35">
      <c r="C190" t="s">
        <v>435</v>
      </c>
      <c r="F190" s="26" t="s">
        <v>198</v>
      </c>
    </row>
    <row r="191" spans="3:6" ht="348" x14ac:dyDescent="0.35">
      <c r="C191" t="s">
        <v>375</v>
      </c>
      <c r="D191">
        <v>1</v>
      </c>
      <c r="E191" t="s">
        <v>103</v>
      </c>
      <c r="F191" s="26" t="s">
        <v>208</v>
      </c>
    </row>
    <row r="192" spans="3:6" ht="409.5" x14ac:dyDescent="0.35">
      <c r="C192" t="s">
        <v>375</v>
      </c>
      <c r="D192">
        <v>2</v>
      </c>
      <c r="E192" t="s">
        <v>161</v>
      </c>
      <c r="F192" s="26" t="s">
        <v>428</v>
      </c>
    </row>
    <row r="193" spans="3:6" ht="409.5" x14ac:dyDescent="0.35">
      <c r="C193" t="s">
        <v>375</v>
      </c>
      <c r="D193">
        <v>3</v>
      </c>
      <c r="E193" t="s">
        <v>119</v>
      </c>
      <c r="F193" s="26" t="s">
        <v>421</v>
      </c>
    </row>
    <row r="194" spans="3:6" x14ac:dyDescent="0.35">
      <c r="C194" t="s">
        <v>375</v>
      </c>
      <c r="D194">
        <v>4</v>
      </c>
      <c r="E194" t="s">
        <v>394</v>
      </c>
      <c r="F194" t="s">
        <v>403</v>
      </c>
    </row>
    <row r="195" spans="3:6" x14ac:dyDescent="0.35">
      <c r="C195" t="s">
        <v>375</v>
      </c>
      <c r="D195">
        <v>5</v>
      </c>
      <c r="E195" t="s">
        <v>399</v>
      </c>
      <c r="F195" t="s">
        <v>433</v>
      </c>
    </row>
    <row r="196" spans="3:6" x14ac:dyDescent="0.35">
      <c r="C196" t="s">
        <v>375</v>
      </c>
      <c r="D196">
        <v>6</v>
      </c>
      <c r="E196" t="s">
        <v>141</v>
      </c>
      <c r="F196" t="s">
        <v>436</v>
      </c>
    </row>
    <row r="197" spans="3:6" x14ac:dyDescent="0.35">
      <c r="C197" t="s">
        <v>375</v>
      </c>
      <c r="D197">
        <v>7</v>
      </c>
      <c r="E197" t="s">
        <v>384</v>
      </c>
      <c r="F197" t="s">
        <v>213</v>
      </c>
    </row>
    <row r="198" spans="3:6" x14ac:dyDescent="0.35">
      <c r="C198" t="s">
        <v>437</v>
      </c>
      <c r="F198" t="s">
        <v>198</v>
      </c>
    </row>
    <row r="199" spans="3:6" x14ac:dyDescent="0.35">
      <c r="C199" t="s">
        <v>375</v>
      </c>
      <c r="D199">
        <v>1</v>
      </c>
      <c r="E199" t="s">
        <v>103</v>
      </c>
      <c r="F199" t="s">
        <v>208</v>
      </c>
    </row>
    <row r="200" spans="3:6" x14ac:dyDescent="0.35">
      <c r="C200" t="s">
        <v>375</v>
      </c>
      <c r="D200">
        <v>2</v>
      </c>
      <c r="E200" t="s">
        <v>108</v>
      </c>
      <c r="F200" t="s">
        <v>428</v>
      </c>
    </row>
    <row r="201" spans="3:6" x14ac:dyDescent="0.35">
      <c r="C201" t="s">
        <v>375</v>
      </c>
      <c r="D201">
        <v>3</v>
      </c>
      <c r="E201" t="s">
        <v>119</v>
      </c>
      <c r="F201" t="s">
        <v>393</v>
      </c>
    </row>
    <row r="202" spans="3:6" x14ac:dyDescent="0.35">
      <c r="C202" t="s">
        <v>375</v>
      </c>
      <c r="D202">
        <v>4</v>
      </c>
      <c r="E202" t="s">
        <v>394</v>
      </c>
      <c r="F202" t="s">
        <v>398</v>
      </c>
    </row>
    <row r="203" spans="3:6" x14ac:dyDescent="0.35">
      <c r="C203" t="s">
        <v>375</v>
      </c>
      <c r="D203">
        <v>5</v>
      </c>
      <c r="E203" t="s">
        <v>399</v>
      </c>
      <c r="F203" t="s">
        <v>433</v>
      </c>
    </row>
    <row r="204" spans="3:6" x14ac:dyDescent="0.35">
      <c r="C204" t="s">
        <v>375</v>
      </c>
      <c r="D204">
        <v>6</v>
      </c>
      <c r="E204" t="s">
        <v>222</v>
      </c>
      <c r="F204" t="s">
        <v>434</v>
      </c>
    </row>
    <row r="205" spans="3:6" x14ac:dyDescent="0.35">
      <c r="C205" t="s">
        <v>375</v>
      </c>
      <c r="D205">
        <v>7</v>
      </c>
      <c r="E205" t="s">
        <v>384</v>
      </c>
      <c r="F205" t="s">
        <v>213</v>
      </c>
    </row>
    <row r="206" spans="3:6" x14ac:dyDescent="0.35">
      <c r="C206" t="s">
        <v>438</v>
      </c>
      <c r="F206" t="s">
        <v>198</v>
      </c>
    </row>
    <row r="207" spans="3:6" x14ac:dyDescent="0.35">
      <c r="C207" t="s">
        <v>375</v>
      </c>
      <c r="D207">
        <v>1</v>
      </c>
      <c r="E207" t="s">
        <v>103</v>
      </c>
      <c r="F207" t="s">
        <v>208</v>
      </c>
    </row>
    <row r="208" spans="3:6" x14ac:dyDescent="0.35">
      <c r="C208" t="s">
        <v>375</v>
      </c>
      <c r="D208">
        <v>2</v>
      </c>
      <c r="E208" t="s">
        <v>108</v>
      </c>
      <c r="F208" t="s">
        <v>428</v>
      </c>
    </row>
    <row r="209" spans="3:6" x14ac:dyDescent="0.35">
      <c r="C209" t="s">
        <v>375</v>
      </c>
      <c r="D209">
        <v>3</v>
      </c>
      <c r="E209" t="s">
        <v>119</v>
      </c>
      <c r="F209" t="s">
        <v>393</v>
      </c>
    </row>
    <row r="210" spans="3:6" x14ac:dyDescent="0.35">
      <c r="C210" t="s">
        <v>375</v>
      </c>
      <c r="D210">
        <v>4</v>
      </c>
      <c r="E210" t="s">
        <v>394</v>
      </c>
      <c r="F210" t="s">
        <v>403</v>
      </c>
    </row>
    <row r="211" spans="3:6" x14ac:dyDescent="0.35">
      <c r="C211" t="s">
        <v>375</v>
      </c>
      <c r="D211">
        <v>5</v>
      </c>
      <c r="E211" t="s">
        <v>399</v>
      </c>
      <c r="F211" t="s">
        <v>433</v>
      </c>
    </row>
    <row r="212" spans="3:6" x14ac:dyDescent="0.35">
      <c r="C212" t="s">
        <v>375</v>
      </c>
      <c r="D212">
        <v>6</v>
      </c>
      <c r="E212" t="s">
        <v>141</v>
      </c>
      <c r="F212" t="s">
        <v>404</v>
      </c>
    </row>
    <row r="213" spans="3:6" x14ac:dyDescent="0.35">
      <c r="C213" t="s">
        <v>375</v>
      </c>
      <c r="D213">
        <v>7</v>
      </c>
      <c r="E213" t="s">
        <v>384</v>
      </c>
      <c r="F213" t="s">
        <v>213</v>
      </c>
    </row>
    <row r="214" spans="3:6" x14ac:dyDescent="0.35">
      <c r="C214" t="s">
        <v>439</v>
      </c>
      <c r="F214" t="s">
        <v>198</v>
      </c>
    </row>
    <row r="215" spans="3:6" x14ac:dyDescent="0.35">
      <c r="C215" t="s">
        <v>375</v>
      </c>
      <c r="D215">
        <v>1</v>
      </c>
      <c r="E215" t="s">
        <v>76</v>
      </c>
      <c r="F215" t="s">
        <v>198</v>
      </c>
    </row>
    <row r="216" spans="3:6" x14ac:dyDescent="0.35">
      <c r="C216" t="s">
        <v>375</v>
      </c>
      <c r="D216">
        <v>2</v>
      </c>
      <c r="E216" t="s">
        <v>354</v>
      </c>
      <c r="F216" t="s">
        <v>440</v>
      </c>
    </row>
    <row r="217" spans="3:6" x14ac:dyDescent="0.35">
      <c r="C217" t="s">
        <v>375</v>
      </c>
      <c r="D217">
        <v>3</v>
      </c>
      <c r="E217" t="s">
        <v>310</v>
      </c>
      <c r="F217" t="s">
        <v>441</v>
      </c>
    </row>
    <row r="218" spans="3:6" x14ac:dyDescent="0.35">
      <c r="C218" t="s">
        <v>375</v>
      </c>
      <c r="D218">
        <v>4</v>
      </c>
      <c r="E218" t="s">
        <v>312</v>
      </c>
      <c r="F218" t="s">
        <v>201</v>
      </c>
    </row>
    <row r="219" spans="3:6" x14ac:dyDescent="0.35">
      <c r="C219" t="s">
        <v>375</v>
      </c>
      <c r="D219">
        <v>5</v>
      </c>
      <c r="E219" t="s">
        <v>87</v>
      </c>
      <c r="F219" t="s">
        <v>202</v>
      </c>
    </row>
    <row r="220" spans="3:6" x14ac:dyDescent="0.35">
      <c r="C220" t="s">
        <v>375</v>
      </c>
      <c r="D220">
        <v>6</v>
      </c>
      <c r="E220" t="s">
        <v>89</v>
      </c>
      <c r="F220" t="s">
        <v>442</v>
      </c>
    </row>
    <row r="221" spans="3:6" x14ac:dyDescent="0.35">
      <c r="C221" t="s">
        <v>375</v>
      </c>
      <c r="D221">
        <v>7</v>
      </c>
      <c r="E221" t="s">
        <v>315</v>
      </c>
      <c r="F221" t="s">
        <v>443</v>
      </c>
    </row>
    <row r="222" spans="3:6" x14ac:dyDescent="0.35">
      <c r="C222" t="s">
        <v>444</v>
      </c>
      <c r="F222" t="s">
        <v>198</v>
      </c>
    </row>
    <row r="223" spans="3:6" x14ac:dyDescent="0.35">
      <c r="C223" t="s">
        <v>375</v>
      </c>
      <c r="D223">
        <v>1</v>
      </c>
      <c r="E223" t="s">
        <v>76</v>
      </c>
      <c r="F223" t="s">
        <v>198</v>
      </c>
    </row>
    <row r="224" spans="3:6" x14ac:dyDescent="0.35">
      <c r="C224" t="s">
        <v>375</v>
      </c>
      <c r="D224">
        <v>2</v>
      </c>
      <c r="E224" t="s">
        <v>352</v>
      </c>
      <c r="F224" t="s">
        <v>440</v>
      </c>
    </row>
    <row r="225" spans="3:6" x14ac:dyDescent="0.35">
      <c r="C225" t="s">
        <v>375</v>
      </c>
      <c r="D225">
        <v>3</v>
      </c>
      <c r="E225" t="s">
        <v>310</v>
      </c>
      <c r="F225" t="s">
        <v>441</v>
      </c>
    </row>
    <row r="226" spans="3:6" x14ac:dyDescent="0.35">
      <c r="C226" t="s">
        <v>375</v>
      </c>
      <c r="D226">
        <v>4</v>
      </c>
      <c r="E226" t="s">
        <v>312</v>
      </c>
      <c r="F226" t="s">
        <v>201</v>
      </c>
    </row>
    <row r="227" spans="3:6" x14ac:dyDescent="0.35">
      <c r="C227" t="s">
        <v>375</v>
      </c>
      <c r="D227">
        <v>5</v>
      </c>
      <c r="E227" t="s">
        <v>87</v>
      </c>
      <c r="F227" t="s">
        <v>202</v>
      </c>
    </row>
    <row r="228" spans="3:6" x14ac:dyDescent="0.35">
      <c r="C228" t="s">
        <v>375</v>
      </c>
      <c r="D228">
        <v>6</v>
      </c>
      <c r="E228" t="s">
        <v>89</v>
      </c>
      <c r="F228" t="s">
        <v>445</v>
      </c>
    </row>
    <row r="229" spans="3:6" x14ac:dyDescent="0.35">
      <c r="C229" t="s">
        <v>375</v>
      </c>
      <c r="D229">
        <v>7</v>
      </c>
      <c r="E229" t="s">
        <v>318</v>
      </c>
      <c r="F229" t="s">
        <v>446</v>
      </c>
    </row>
    <row r="230" spans="3:6" x14ac:dyDescent="0.35">
      <c r="C230" t="s">
        <v>447</v>
      </c>
      <c r="F230" t="s">
        <v>198</v>
      </c>
    </row>
    <row r="231" spans="3:6" x14ac:dyDescent="0.35">
      <c r="C231" t="s">
        <v>375</v>
      </c>
      <c r="D231">
        <v>1</v>
      </c>
      <c r="E231" t="s">
        <v>103</v>
      </c>
      <c r="F231" t="s">
        <v>208</v>
      </c>
    </row>
    <row r="232" spans="3:6" x14ac:dyDescent="0.35">
      <c r="C232" t="s">
        <v>375</v>
      </c>
      <c r="D232">
        <v>2</v>
      </c>
      <c r="E232" t="s">
        <v>108</v>
      </c>
      <c r="F232" t="s">
        <v>385</v>
      </c>
    </row>
    <row r="233" spans="3:6" x14ac:dyDescent="0.35">
      <c r="C233" t="s">
        <v>375</v>
      </c>
      <c r="D233">
        <v>3</v>
      </c>
      <c r="E233" t="s">
        <v>119</v>
      </c>
      <c r="F233" t="s">
        <v>393</v>
      </c>
    </row>
    <row r="234" spans="3:6" x14ac:dyDescent="0.35">
      <c r="C234" t="s">
        <v>375</v>
      </c>
      <c r="D234">
        <v>4</v>
      </c>
      <c r="E234" t="s">
        <v>394</v>
      </c>
      <c r="F234" t="s">
        <v>395</v>
      </c>
    </row>
    <row r="235" spans="3:6" x14ac:dyDescent="0.35">
      <c r="C235" t="s">
        <v>375</v>
      </c>
      <c r="D235">
        <v>5</v>
      </c>
      <c r="E235" t="s">
        <v>384</v>
      </c>
      <c r="F235" t="s">
        <v>213</v>
      </c>
    </row>
    <row r="236" spans="3:6" x14ac:dyDescent="0.35">
      <c r="C236" t="s">
        <v>448</v>
      </c>
      <c r="F236" t="s">
        <v>198</v>
      </c>
    </row>
    <row r="237" spans="3:6" x14ac:dyDescent="0.35">
      <c r="C237" t="s">
        <v>375</v>
      </c>
      <c r="D237">
        <v>1</v>
      </c>
      <c r="E237" t="s">
        <v>103</v>
      </c>
      <c r="F237" t="s">
        <v>208</v>
      </c>
    </row>
    <row r="238" spans="3:6" x14ac:dyDescent="0.35">
      <c r="C238" t="s">
        <v>375</v>
      </c>
      <c r="D238">
        <v>2</v>
      </c>
      <c r="E238" t="s">
        <v>161</v>
      </c>
      <c r="F238" t="s">
        <v>406</v>
      </c>
    </row>
    <row r="239" spans="3:6" x14ac:dyDescent="0.35">
      <c r="C239" t="s">
        <v>375</v>
      </c>
      <c r="D239">
        <v>3</v>
      </c>
      <c r="E239" t="s">
        <v>119</v>
      </c>
      <c r="F239" t="s">
        <v>421</v>
      </c>
    </row>
    <row r="240" spans="3:6" x14ac:dyDescent="0.35">
      <c r="C240" t="s">
        <v>375</v>
      </c>
      <c r="D240">
        <v>4</v>
      </c>
      <c r="E240" t="s">
        <v>394</v>
      </c>
      <c r="F240" t="s">
        <v>422</v>
      </c>
    </row>
    <row r="241" spans="3:6" x14ac:dyDescent="0.35">
      <c r="C241" t="s">
        <v>375</v>
      </c>
      <c r="D241">
        <v>5</v>
      </c>
      <c r="E241" t="s">
        <v>384</v>
      </c>
      <c r="F241" t="s">
        <v>213</v>
      </c>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L23"/>
  <sheetViews>
    <sheetView showGridLines="0" zoomScale="80" zoomScaleNormal="80" workbookViewId="0">
      <selection activeCell="E16" sqref="E16"/>
    </sheetView>
  </sheetViews>
  <sheetFormatPr baseColWidth="10" defaultColWidth="11.453125" defaultRowHeight="14.5" x14ac:dyDescent="0.35"/>
  <cols>
    <col min="1" max="1" width="5.453125" customWidth="1"/>
    <col min="2" max="2" width="54.1796875" customWidth="1"/>
    <col min="3" max="3" width="57.6328125" customWidth="1"/>
    <col min="4" max="4" width="19.81640625" customWidth="1"/>
    <col min="5" max="5" width="12.453125" customWidth="1"/>
    <col min="6" max="7" width="17.7265625" customWidth="1"/>
    <col min="10" max="10" width="16.1796875" customWidth="1"/>
    <col min="11" max="11" width="18.453125" customWidth="1"/>
    <col min="12" max="12" width="59.1796875" customWidth="1"/>
    <col min="13" max="13" width="3.81640625" customWidth="1"/>
    <col min="14" max="14" width="3.453125" customWidth="1"/>
    <col min="15" max="15" width="8.453125" customWidth="1"/>
    <col min="16" max="17" width="15.7265625" customWidth="1"/>
    <col min="18" max="18" width="8.453125" customWidth="1"/>
    <col min="19" max="20" width="15.7265625" customWidth="1"/>
    <col min="21" max="21" width="7.7265625" customWidth="1"/>
    <col min="22" max="22" width="15.453125" customWidth="1"/>
    <col min="23" max="23" width="62.1796875" customWidth="1"/>
  </cols>
  <sheetData>
    <row r="2" spans="2:12" s="31" customFormat="1" ht="15" x14ac:dyDescent="0.4">
      <c r="B2" s="55" t="s">
        <v>232</v>
      </c>
    </row>
    <row r="3" spans="2:12" s="31" customFormat="1" ht="15" x14ac:dyDescent="0.4">
      <c r="B3" s="56" t="s">
        <v>233</v>
      </c>
    </row>
    <row r="4" spans="2:12" s="31" customFormat="1" ht="16.5" customHeight="1" x14ac:dyDescent="0.4">
      <c r="B4" s="56" t="s">
        <v>234</v>
      </c>
      <c r="K4" s="57"/>
      <c r="L4" s="58"/>
    </row>
    <row r="5" spans="2:12" s="31" customFormat="1" ht="12" customHeight="1" x14ac:dyDescent="0.4">
      <c r="K5" s="59"/>
      <c r="L5" s="60"/>
    </row>
    <row r="7" spans="2:12" ht="15" customHeight="1" x14ac:dyDescent="0.35">
      <c r="B7" s="134" t="s">
        <v>235</v>
      </c>
      <c r="C7" s="134"/>
    </row>
    <row r="8" spans="2:12" ht="14.25" customHeight="1" x14ac:dyDescent="0.35">
      <c r="B8" s="135" t="s">
        <v>236</v>
      </c>
      <c r="C8" s="135" t="s">
        <v>236</v>
      </c>
    </row>
    <row r="9" spans="2:12" x14ac:dyDescent="0.35">
      <c r="B9" s="135"/>
      <c r="C9" s="135"/>
    </row>
    <row r="10" spans="2:12" ht="15" x14ac:dyDescent="0.35">
      <c r="B10" s="61" t="s">
        <v>237</v>
      </c>
      <c r="C10" s="62" t="s">
        <v>238</v>
      </c>
    </row>
    <row r="11" spans="2:12" ht="30" x14ac:dyDescent="0.35">
      <c r="B11" s="61" t="s">
        <v>239</v>
      </c>
      <c r="C11" s="62" t="s">
        <v>240</v>
      </c>
    </row>
    <row r="12" spans="2:12" ht="15" x14ac:dyDescent="0.35">
      <c r="B12" s="61" t="s">
        <v>241</v>
      </c>
      <c r="C12" s="62" t="s">
        <v>242</v>
      </c>
    </row>
    <row r="13" spans="2:12" ht="81" customHeight="1" x14ac:dyDescent="0.35">
      <c r="B13" s="63" t="s">
        <v>243</v>
      </c>
      <c r="C13" s="62"/>
    </row>
    <row r="14" spans="2:12" ht="15" x14ac:dyDescent="0.35">
      <c r="B14" s="64" t="s">
        <v>244</v>
      </c>
      <c r="C14" s="65" t="s">
        <v>244</v>
      </c>
    </row>
    <row r="15" spans="2:12" ht="15" x14ac:dyDescent="0.35">
      <c r="B15" s="61" t="s">
        <v>245</v>
      </c>
      <c r="C15" s="62" t="s">
        <v>246</v>
      </c>
    </row>
    <row r="16" spans="2:12" ht="30" x14ac:dyDescent="0.35">
      <c r="B16" s="61" t="s">
        <v>247</v>
      </c>
      <c r="C16" s="62" t="s">
        <v>248</v>
      </c>
    </row>
    <row r="17" spans="2:3" ht="15" x14ac:dyDescent="0.35">
      <c r="B17" s="61" t="s">
        <v>241</v>
      </c>
      <c r="C17" s="62" t="s">
        <v>249</v>
      </c>
    </row>
    <row r="18" spans="2:3" ht="81" customHeight="1" x14ac:dyDescent="0.35">
      <c r="B18" s="66"/>
      <c r="C18" s="67"/>
    </row>
    <row r="19" spans="2:3" ht="15" x14ac:dyDescent="0.35">
      <c r="B19" s="64" t="s">
        <v>250</v>
      </c>
      <c r="C19" s="65" t="s">
        <v>250</v>
      </c>
    </row>
    <row r="20" spans="2:3" ht="15" x14ac:dyDescent="0.35">
      <c r="B20" s="61" t="s">
        <v>251</v>
      </c>
      <c r="C20" s="62" t="s">
        <v>252</v>
      </c>
    </row>
    <row r="21" spans="2:3" ht="30" x14ac:dyDescent="0.35">
      <c r="B21" s="61" t="s">
        <v>253</v>
      </c>
      <c r="C21" s="62" t="s">
        <v>254</v>
      </c>
    </row>
    <row r="22" spans="2:3" ht="15" x14ac:dyDescent="0.35">
      <c r="B22" s="61" t="s">
        <v>241</v>
      </c>
      <c r="C22" s="62" t="s">
        <v>242</v>
      </c>
    </row>
    <row r="23" spans="2:3" ht="81" customHeight="1" x14ac:dyDescent="0.35">
      <c r="B23" s="68"/>
      <c r="C23" s="61"/>
    </row>
  </sheetData>
  <mergeCells count="3">
    <mergeCell ref="B7:C7"/>
    <mergeCell ref="B8:B9"/>
    <mergeCell ref="C8:C9"/>
  </mergeCell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C1:K16"/>
  <sheetViews>
    <sheetView showGridLines="0" topLeftCell="A6" zoomScale="110" zoomScaleNormal="110" workbookViewId="0">
      <selection activeCell="F19" sqref="F19"/>
    </sheetView>
  </sheetViews>
  <sheetFormatPr baseColWidth="10" defaultColWidth="11.453125" defaultRowHeight="14.5" x14ac:dyDescent="0.35"/>
  <cols>
    <col min="1" max="1" width="3.453125" customWidth="1"/>
    <col min="2" max="2" width="2.453125" customWidth="1"/>
    <col min="5" max="5" width="14" customWidth="1"/>
    <col min="6" max="6" width="13.7265625" customWidth="1"/>
    <col min="7" max="7" width="13.26953125" customWidth="1"/>
    <col min="8" max="8" width="13.453125" customWidth="1"/>
    <col min="9" max="9" width="12.1796875" customWidth="1"/>
    <col min="15" max="15" width="9.81640625" customWidth="1"/>
    <col min="16" max="16" width="2.1796875" customWidth="1"/>
  </cols>
  <sheetData>
    <row r="1" spans="3:11" ht="41.25" customHeight="1" x14ac:dyDescent="0.35">
      <c r="C1" s="69" t="s">
        <v>255</v>
      </c>
    </row>
    <row r="3" spans="3:11" s="70" customFormat="1" ht="12" customHeight="1" x14ac:dyDescent="0.3"/>
    <row r="4" spans="3:11" s="70" customFormat="1" ht="13.5" customHeight="1" x14ac:dyDescent="0.3">
      <c r="H4" s="136" t="s">
        <v>256</v>
      </c>
      <c r="I4" s="136"/>
      <c r="J4" s="136"/>
      <c r="K4" s="136"/>
    </row>
    <row r="5" spans="3:11" s="70" customFormat="1" ht="13.5" x14ac:dyDescent="0.3">
      <c r="H5" s="136"/>
      <c r="I5" s="136"/>
      <c r="J5" s="136"/>
      <c r="K5" s="136"/>
    </row>
    <row r="6" spans="3:11" s="70" customFormat="1" ht="14" x14ac:dyDescent="0.3">
      <c r="H6" s="137" t="s">
        <v>257</v>
      </c>
      <c r="I6" s="137"/>
      <c r="J6" s="137"/>
      <c r="K6" s="137"/>
    </row>
    <row r="7" spans="3:11" s="70" customFormat="1" ht="99.75" customHeight="1" x14ac:dyDescent="0.3">
      <c r="C7" s="140" t="s">
        <v>258</v>
      </c>
      <c r="D7" s="140"/>
      <c r="E7" s="139" t="s">
        <v>259</v>
      </c>
      <c r="F7" s="139"/>
      <c r="G7" s="139"/>
      <c r="H7" s="139"/>
      <c r="I7" s="139"/>
      <c r="J7" s="140" t="s">
        <v>260</v>
      </c>
      <c r="K7" s="140"/>
    </row>
    <row r="8" spans="3:11" s="70" customFormat="1" ht="13.5" x14ac:dyDescent="0.3"/>
    <row r="9" spans="3:11" s="70" customFormat="1" ht="13.5" x14ac:dyDescent="0.3"/>
    <row r="10" spans="3:11" s="70" customFormat="1" ht="13.5" x14ac:dyDescent="0.3"/>
    <row r="11" spans="3:11" s="70" customFormat="1" ht="13.5" x14ac:dyDescent="0.3"/>
    <row r="12" spans="3:11" s="70" customFormat="1" ht="13.5" x14ac:dyDescent="0.3"/>
    <row r="13" spans="3:11" s="70" customFormat="1" ht="13.5" customHeight="1" x14ac:dyDescent="0.3">
      <c r="H13" s="136" t="s">
        <v>256</v>
      </c>
      <c r="I13" s="136"/>
      <c r="J13" s="136"/>
      <c r="K13" s="136"/>
    </row>
    <row r="14" spans="3:11" s="70" customFormat="1" ht="13.5" x14ac:dyDescent="0.3">
      <c r="H14" s="136"/>
      <c r="I14" s="136"/>
      <c r="J14" s="136"/>
      <c r="K14" s="136"/>
    </row>
    <row r="15" spans="3:11" s="70" customFormat="1" ht="14" x14ac:dyDescent="0.3">
      <c r="H15" s="137" t="s">
        <v>257</v>
      </c>
      <c r="I15" s="137"/>
      <c r="J15" s="137"/>
      <c r="K15" s="137"/>
    </row>
    <row r="16" spans="3:11" s="70" customFormat="1" ht="51.75" customHeight="1" x14ac:dyDescent="0.4">
      <c r="C16" s="138" t="s">
        <v>258</v>
      </c>
      <c r="D16" s="138"/>
      <c r="E16" s="139" t="s">
        <v>261</v>
      </c>
      <c r="F16" s="139"/>
      <c r="G16" s="139"/>
      <c r="H16" s="139"/>
      <c r="I16" s="139"/>
      <c r="J16" s="140" t="s">
        <v>260</v>
      </c>
      <c r="K16" s="140"/>
    </row>
  </sheetData>
  <mergeCells count="10">
    <mergeCell ref="H4:K5"/>
    <mergeCell ref="H6:K6"/>
    <mergeCell ref="C7:D7"/>
    <mergeCell ref="E7:I7"/>
    <mergeCell ref="J7:K7"/>
    <mergeCell ref="H13:K14"/>
    <mergeCell ref="H15:K15"/>
    <mergeCell ref="C16:D16"/>
    <mergeCell ref="E16:I16"/>
    <mergeCell ref="J16:K16"/>
  </mergeCells>
  <pageMargins left="0.7" right="0.7" top="0.75" bottom="0.75" header="0.511811023622047" footer="0.511811023622047"/>
  <pageSetup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4" baseType="variant">
      <vt:variant>
        <vt:lpstr>Hojas de cálculo</vt:lpstr>
      </vt:variant>
      <vt:variant>
        <vt:i4>8</vt:i4>
      </vt:variant>
      <vt:variant>
        <vt:lpstr>Rangos con nombre</vt:lpstr>
      </vt:variant>
      <vt:variant>
        <vt:i4>3</vt:i4>
      </vt:variant>
    </vt:vector>
  </HeadingPairs>
  <TitlesOfParts>
    <vt:vector size="11" baseType="lpstr">
      <vt:lpstr>Instrucciones</vt:lpstr>
      <vt:lpstr>Versionamiento</vt:lpstr>
      <vt:lpstr>ListadoCP</vt:lpstr>
      <vt:lpstr>Casos de Prueba</vt:lpstr>
      <vt:lpstr>Devops</vt:lpstr>
      <vt:lpstr>Devops_Carga</vt:lpstr>
      <vt:lpstr>Firmas Conformidad</vt:lpstr>
      <vt:lpstr>Encabezado</vt:lpstr>
      <vt:lpstr>Instrucciones!Área_de_impresión</vt:lpstr>
      <vt:lpstr>Versionamiento!Área_de_impresión</vt:lpstr>
      <vt:lpstr>'Casos de Prueba'!Títulos_a_imprimir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PEHC819Q</dc:creator>
  <dc:description/>
  <cp:lastModifiedBy>Licencia Office</cp:lastModifiedBy>
  <cp:revision>1</cp:revision>
  <dcterms:created xsi:type="dcterms:W3CDTF">2010-09-30T14:54:59Z</dcterms:created>
  <dcterms:modified xsi:type="dcterms:W3CDTF">2026-03-30T16:12:50Z</dcterms:modified>
  <dc:language>es-MX</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0x010100F09E9EC11D07394E8148E22451318D79</vt:lpwstr>
  </property>
</Properties>
</file>