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niel Robles\Desktop\WEB SERVICE SP\UAT\"/>
    </mc:Choice>
  </mc:AlternateContent>
  <xr:revisionPtr revIDLastSave="0" documentId="13_ncr:1_{27E22CAC-A043-4108-8120-2E7D3B27334A}" xr6:coauthVersionLast="47" xr6:coauthVersionMax="47" xr10:uidLastSave="{00000000-0000-0000-0000-000000000000}"/>
  <bookViews>
    <workbookView xWindow="-110" yWindow="-110" windowWidth="19420" windowHeight="10300" firstSheet="1" activeTab="2" xr2:uid="{EEFA02A7-E4FC-4790-8FE9-55D032403B17}"/>
  </bookViews>
  <sheets>
    <sheet name="RFCs" sheetId="3" r:id="rId1"/>
    <sheet name="Pruebas Portal" sheetId="14" r:id="rId2"/>
    <sheet name="Pruebas WS" sheetId="15" r:id="rId3"/>
    <sheet name="Pruebas Negocio" sheetId="16" r:id="rId4"/>
  </sheets>
  <definedNames>
    <definedName name="_xlnm._FilterDatabase" localSheetId="1" hidden="1">'Pruebas Portal'!$D$1:$D$216</definedName>
    <definedName name="_xlnm._FilterDatabase" localSheetId="0" hidden="1">RFCs!$B$2:$H$123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7" i="14" l="1"/>
  <c r="M208" i="14"/>
  <c r="M209" i="14"/>
  <c r="N2" i="14" l="1"/>
  <c r="N3" i="14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O16" i="14" s="1"/>
  <c r="N17" i="14"/>
  <c r="N18" i="14"/>
  <c r="N19" i="14"/>
  <c r="N20" i="14"/>
  <c r="N21" i="14"/>
  <c r="O21" i="14" s="1"/>
  <c r="N22" i="14"/>
  <c r="O22" i="14" s="1"/>
  <c r="N23" i="14"/>
  <c r="N24" i="14"/>
  <c r="N25" i="14"/>
  <c r="N26" i="14"/>
  <c r="N27" i="14"/>
  <c r="N28" i="14"/>
  <c r="O28" i="14" s="1"/>
  <c r="N29" i="14"/>
  <c r="N30" i="14"/>
  <c r="N31" i="14"/>
  <c r="N32" i="14"/>
  <c r="N33" i="14"/>
  <c r="N34" i="14"/>
  <c r="N35" i="14"/>
  <c r="N36" i="14"/>
  <c r="N37" i="14"/>
  <c r="N38" i="14"/>
  <c r="N39" i="14"/>
  <c r="N40" i="14"/>
  <c r="O40" i="14" s="1"/>
  <c r="N41" i="14"/>
  <c r="N42" i="14"/>
  <c r="N43" i="14"/>
  <c r="N44" i="14"/>
  <c r="N45" i="14"/>
  <c r="N46" i="14"/>
  <c r="N47" i="14"/>
  <c r="N48" i="14"/>
  <c r="N49" i="14"/>
  <c r="N50" i="14"/>
  <c r="N51" i="14"/>
  <c r="N52" i="14"/>
  <c r="O52" i="14" s="1"/>
  <c r="N53" i="14"/>
  <c r="N54" i="14"/>
  <c r="N55" i="14"/>
  <c r="N56" i="14"/>
  <c r="N57" i="14"/>
  <c r="O57" i="14" s="1"/>
  <c r="N58" i="14"/>
  <c r="O58" i="14" s="1"/>
  <c r="N59" i="14"/>
  <c r="N60" i="14"/>
  <c r="N61" i="14"/>
  <c r="N62" i="14"/>
  <c r="N63" i="14"/>
  <c r="N64" i="14"/>
  <c r="O64" i="14" s="1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80" i="14"/>
  <c r="N81" i="14"/>
  <c r="N82" i="14"/>
  <c r="O82" i="14" s="1"/>
  <c r="N83" i="14"/>
  <c r="N84" i="14"/>
  <c r="N85" i="14"/>
  <c r="N86" i="14"/>
  <c r="N87" i="14"/>
  <c r="N88" i="14"/>
  <c r="O88" i="14" s="1"/>
  <c r="N89" i="14"/>
  <c r="N90" i="14"/>
  <c r="N91" i="14"/>
  <c r="N92" i="14"/>
  <c r="N93" i="14"/>
  <c r="N94" i="14"/>
  <c r="N95" i="14"/>
  <c r="N96" i="14"/>
  <c r="N97" i="14"/>
  <c r="N98" i="14"/>
  <c r="N99" i="14"/>
  <c r="N100" i="14"/>
  <c r="O100" i="14" s="1"/>
  <c r="N101" i="14"/>
  <c r="N102" i="14"/>
  <c r="N103" i="14"/>
  <c r="N104" i="14"/>
  <c r="N105" i="14"/>
  <c r="N106" i="14"/>
  <c r="N107" i="14"/>
  <c r="N108" i="14"/>
  <c r="N109" i="14"/>
  <c r="N110" i="14"/>
  <c r="N111" i="14"/>
  <c r="N112" i="14"/>
  <c r="O112" i="14" s="1"/>
  <c r="N113" i="14"/>
  <c r="N114" i="14"/>
  <c r="N115" i="14"/>
  <c r="N116" i="14"/>
  <c r="O116" i="14" s="1"/>
  <c r="N117" i="14"/>
  <c r="O117" i="14" s="1"/>
  <c r="N118" i="14"/>
  <c r="O118" i="14" s="1"/>
  <c r="N119" i="14"/>
  <c r="N120" i="14"/>
  <c r="N121" i="14"/>
  <c r="N122" i="14"/>
  <c r="N123" i="14"/>
  <c r="N124" i="14"/>
  <c r="O124" i="14" s="1"/>
  <c r="N125" i="14"/>
  <c r="N126" i="14"/>
  <c r="N127" i="14"/>
  <c r="N128" i="14"/>
  <c r="N129" i="14"/>
  <c r="N130" i="14"/>
  <c r="N131" i="14"/>
  <c r="N132" i="14"/>
  <c r="N133" i="14"/>
  <c r="N134" i="14"/>
  <c r="N135" i="14"/>
  <c r="N136" i="14"/>
  <c r="O136" i="14" s="1"/>
  <c r="N137" i="14"/>
  <c r="N138" i="14"/>
  <c r="N139" i="14"/>
  <c r="N140" i="14"/>
  <c r="N141" i="14"/>
  <c r="N142" i="14"/>
  <c r="N143" i="14"/>
  <c r="N144" i="14"/>
  <c r="N145" i="14"/>
  <c r="N146" i="14"/>
  <c r="N147" i="14"/>
  <c r="N148" i="14"/>
  <c r="O148" i="14" s="1"/>
  <c r="N149" i="14"/>
  <c r="N150" i="14"/>
  <c r="N151" i="14"/>
  <c r="N152" i="14"/>
  <c r="N153" i="14"/>
  <c r="N154" i="14"/>
  <c r="N155" i="14"/>
  <c r="N156" i="14"/>
  <c r="N157" i="14"/>
  <c r="N158" i="14"/>
  <c r="N159" i="14"/>
  <c r="N160" i="14"/>
  <c r="O160" i="14" s="1"/>
  <c r="N161" i="14"/>
  <c r="N162" i="14"/>
  <c r="N163" i="14"/>
  <c r="N164" i="14"/>
  <c r="N165" i="14"/>
  <c r="N166" i="14"/>
  <c r="N167" i="14"/>
  <c r="N168" i="14"/>
  <c r="N169" i="14"/>
  <c r="N170" i="14"/>
  <c r="N171" i="14"/>
  <c r="N172" i="14"/>
  <c r="O172" i="14" s="1"/>
  <c r="N173" i="14"/>
  <c r="N174" i="14"/>
  <c r="N175" i="14"/>
  <c r="N176" i="14"/>
  <c r="O176" i="14" s="1"/>
  <c r="N177" i="14"/>
  <c r="O177" i="14" s="1"/>
  <c r="N178" i="14"/>
  <c r="N179" i="14"/>
  <c r="N180" i="14"/>
  <c r="N181" i="14"/>
  <c r="N182" i="14"/>
  <c r="N183" i="14"/>
  <c r="N184" i="14"/>
  <c r="O184" i="14" s="1"/>
  <c r="N185" i="14"/>
  <c r="N186" i="14"/>
  <c r="N187" i="14"/>
  <c r="N188" i="14"/>
  <c r="N189" i="14"/>
  <c r="N190" i="14"/>
  <c r="N191" i="14"/>
  <c r="N192" i="14"/>
  <c r="N193" i="14"/>
  <c r="N194" i="14"/>
  <c r="N195" i="14"/>
  <c r="N196" i="14"/>
  <c r="O196" i="14" s="1"/>
  <c r="N197" i="14"/>
  <c r="N198" i="14"/>
  <c r="N199" i="14"/>
  <c r="N200" i="14"/>
  <c r="N201" i="14"/>
  <c r="N202" i="14"/>
  <c r="N203" i="14"/>
  <c r="N204" i="14"/>
  <c r="N205" i="14"/>
  <c r="N206" i="14"/>
  <c r="N207" i="14"/>
  <c r="N208" i="14"/>
  <c r="O208" i="14" s="1"/>
  <c r="N209" i="14"/>
  <c r="N210" i="14"/>
  <c r="N211" i="14"/>
  <c r="N212" i="14"/>
  <c r="O212" i="14" s="1"/>
  <c r="N213" i="14"/>
  <c r="O213" i="14" s="1"/>
  <c r="N214" i="14"/>
  <c r="O214" i="14" s="1"/>
  <c r="N215" i="14"/>
  <c r="N216" i="14"/>
  <c r="M15" i="14"/>
  <c r="M16" i="14"/>
  <c r="M17" i="14"/>
  <c r="M18" i="14"/>
  <c r="M19" i="14"/>
  <c r="O19" i="14" s="1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O60" i="14" s="1"/>
  <c r="M61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O79" i="14" s="1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102" i="14"/>
  <c r="M103" i="14"/>
  <c r="M104" i="14"/>
  <c r="M105" i="14"/>
  <c r="M106" i="14"/>
  <c r="M107" i="14"/>
  <c r="M108" i="14"/>
  <c r="M109" i="14"/>
  <c r="M110" i="14"/>
  <c r="M111" i="14"/>
  <c r="M112" i="14"/>
  <c r="M113" i="14"/>
  <c r="M114" i="14"/>
  <c r="M115" i="14"/>
  <c r="M116" i="14"/>
  <c r="M117" i="14"/>
  <c r="M118" i="14"/>
  <c r="M119" i="14"/>
  <c r="M120" i="14"/>
  <c r="O120" i="14" s="1"/>
  <c r="M121" i="14"/>
  <c r="M122" i="14"/>
  <c r="M123" i="14"/>
  <c r="M124" i="14"/>
  <c r="M125" i="14"/>
  <c r="M126" i="14"/>
  <c r="M127" i="14"/>
  <c r="M128" i="14"/>
  <c r="M129" i="14"/>
  <c r="M130" i="14"/>
  <c r="M131" i="14"/>
  <c r="M132" i="14"/>
  <c r="M133" i="14"/>
  <c r="M134" i="14"/>
  <c r="M135" i="14"/>
  <c r="M136" i="14"/>
  <c r="M137" i="14"/>
  <c r="M138" i="14"/>
  <c r="M139" i="14"/>
  <c r="M140" i="14"/>
  <c r="M141" i="14"/>
  <c r="M142" i="14"/>
  <c r="M143" i="14"/>
  <c r="M144" i="14"/>
  <c r="M145" i="14"/>
  <c r="M146" i="14"/>
  <c r="M147" i="14"/>
  <c r="M148" i="14"/>
  <c r="M149" i="14"/>
  <c r="M150" i="14"/>
  <c r="M151" i="14"/>
  <c r="M152" i="14"/>
  <c r="M153" i="14"/>
  <c r="M154" i="14"/>
  <c r="M155" i="14"/>
  <c r="M156" i="14"/>
  <c r="M157" i="14"/>
  <c r="M158" i="14"/>
  <c r="M159" i="14"/>
  <c r="M160" i="14"/>
  <c r="M161" i="14"/>
  <c r="M162" i="14"/>
  <c r="M163" i="14"/>
  <c r="M164" i="14"/>
  <c r="M165" i="14"/>
  <c r="M166" i="14"/>
  <c r="M167" i="14"/>
  <c r="M168" i="14"/>
  <c r="M169" i="14"/>
  <c r="M170" i="14"/>
  <c r="M171" i="14"/>
  <c r="M172" i="14"/>
  <c r="M173" i="14"/>
  <c r="M174" i="14"/>
  <c r="M175" i="14"/>
  <c r="M176" i="14"/>
  <c r="M177" i="14"/>
  <c r="M178" i="14"/>
  <c r="M179" i="14"/>
  <c r="M180" i="14"/>
  <c r="O180" i="14" s="1"/>
  <c r="M181" i="14"/>
  <c r="M182" i="14"/>
  <c r="M183" i="14"/>
  <c r="M184" i="14"/>
  <c r="M185" i="14"/>
  <c r="M186" i="14"/>
  <c r="M187" i="14"/>
  <c r="M188" i="14"/>
  <c r="M189" i="14"/>
  <c r="M190" i="14"/>
  <c r="M191" i="14"/>
  <c r="M192" i="14"/>
  <c r="M193" i="14"/>
  <c r="M194" i="14"/>
  <c r="M195" i="14"/>
  <c r="M196" i="14"/>
  <c r="M197" i="14"/>
  <c r="M198" i="14"/>
  <c r="M199" i="14"/>
  <c r="M200" i="14"/>
  <c r="M201" i="14"/>
  <c r="M202" i="14"/>
  <c r="M203" i="14"/>
  <c r="M204" i="14"/>
  <c r="M205" i="14"/>
  <c r="M206" i="14"/>
  <c r="M210" i="14"/>
  <c r="M211" i="14"/>
  <c r="M212" i="14"/>
  <c r="M213" i="14"/>
  <c r="M214" i="14"/>
  <c r="M215" i="14"/>
  <c r="M216" i="14"/>
  <c r="M12" i="14"/>
  <c r="M13" i="14"/>
  <c r="M14" i="14"/>
  <c r="M6" i="14"/>
  <c r="M7" i="14"/>
  <c r="M8" i="14"/>
  <c r="M9" i="14"/>
  <c r="M10" i="14"/>
  <c r="M11" i="14"/>
  <c r="M2" i="14"/>
  <c r="M3" i="14"/>
  <c r="M4" i="14"/>
  <c r="M5" i="14"/>
  <c r="O76" i="14" l="1"/>
  <c r="O179" i="14"/>
  <c r="O59" i="14"/>
  <c r="O165" i="14"/>
  <c r="O164" i="14"/>
  <c r="O163" i="14"/>
  <c r="O142" i="14"/>
  <c r="O201" i="14"/>
  <c r="O104" i="14"/>
  <c r="O199" i="14"/>
  <c r="O103" i="14"/>
  <c r="O141" i="14"/>
  <c r="O81" i="14"/>
  <c r="O200" i="14"/>
  <c r="O140" i="14"/>
  <c r="O80" i="14"/>
  <c r="O139" i="14"/>
  <c r="O127" i="14"/>
  <c r="O178" i="14"/>
  <c r="O20" i="14"/>
  <c r="O105" i="14"/>
  <c r="O68" i="14"/>
  <c r="O32" i="14"/>
  <c r="O92" i="14"/>
  <c r="O44" i="14"/>
  <c r="O9" i="14"/>
  <c r="O43" i="14"/>
  <c r="O198" i="14"/>
  <c r="O162" i="14"/>
  <c r="O14" i="14"/>
  <c r="O13" i="14"/>
  <c r="O216" i="14"/>
  <c r="O12" i="14"/>
  <c r="O181" i="14"/>
  <c r="O121" i="14"/>
  <c r="O61" i="14"/>
  <c r="O215" i="14"/>
  <c r="O143" i="14"/>
  <c r="O119" i="14"/>
  <c r="O83" i="14"/>
  <c r="O207" i="14"/>
  <c r="O183" i="14"/>
  <c r="O159" i="14"/>
  <c r="O135" i="14"/>
  <c r="O123" i="14"/>
  <c r="O99" i="14"/>
  <c r="O75" i="14"/>
  <c r="O51" i="14"/>
  <c r="O27" i="14"/>
  <c r="O5" i="14"/>
  <c r="O206" i="14"/>
  <c r="O158" i="14"/>
  <c r="O37" i="14"/>
  <c r="O56" i="14"/>
  <c r="O10" i="14"/>
  <c r="O189" i="14"/>
  <c r="O153" i="14"/>
  <c r="O129" i="14"/>
  <c r="O93" i="14"/>
  <c r="O69" i="14"/>
  <c r="O45" i="14"/>
  <c r="O33" i="14"/>
  <c r="O211" i="14"/>
  <c r="O187" i="14"/>
  <c r="O175" i="14"/>
  <c r="O151" i="14"/>
  <c r="O115" i="14"/>
  <c r="O91" i="14"/>
  <c r="O67" i="14"/>
  <c r="O55" i="14"/>
  <c r="O31" i="14"/>
  <c r="O8" i="14"/>
  <c r="O195" i="14"/>
  <c r="O171" i="14"/>
  <c r="O147" i="14"/>
  <c r="O111" i="14"/>
  <c r="O87" i="14"/>
  <c r="O63" i="14"/>
  <c r="O39" i="14"/>
  <c r="O15" i="14"/>
  <c r="O194" i="14"/>
  <c r="O182" i="14"/>
  <c r="O170" i="14"/>
  <c r="O146" i="14"/>
  <c r="O134" i="14"/>
  <c r="O122" i="14"/>
  <c r="O110" i="14"/>
  <c r="O98" i="14"/>
  <c r="O86" i="14"/>
  <c r="O74" i="14"/>
  <c r="O62" i="14"/>
  <c r="O50" i="14"/>
  <c r="O38" i="14"/>
  <c r="O26" i="14"/>
  <c r="O4" i="14"/>
  <c r="O3" i="14"/>
  <c r="O144" i="14"/>
  <c r="O188" i="14"/>
  <c r="O152" i="14"/>
  <c r="O128" i="14"/>
  <c r="O210" i="14"/>
  <c r="O186" i="14"/>
  <c r="O174" i="14"/>
  <c r="O150" i="14"/>
  <c r="O138" i="14"/>
  <c r="O126" i="14"/>
  <c r="O114" i="14"/>
  <c r="O102" i="14"/>
  <c r="O90" i="14"/>
  <c r="O78" i="14"/>
  <c r="O66" i="14"/>
  <c r="O54" i="14"/>
  <c r="O42" i="14"/>
  <c r="O30" i="14"/>
  <c r="O18" i="14"/>
  <c r="O7" i="14"/>
  <c r="O209" i="14"/>
  <c r="O197" i="14"/>
  <c r="O185" i="14"/>
  <c r="O173" i="14"/>
  <c r="O161" i="14"/>
  <c r="O149" i="14"/>
  <c r="O137" i="14"/>
  <c r="O125" i="14"/>
  <c r="O113" i="14"/>
  <c r="O101" i="14"/>
  <c r="O89" i="14"/>
  <c r="O77" i="14"/>
  <c r="O65" i="14"/>
  <c r="O53" i="14"/>
  <c r="O41" i="14"/>
  <c r="O29" i="14"/>
  <c r="O17" i="14"/>
  <c r="O6" i="14"/>
  <c r="O193" i="14"/>
  <c r="O157" i="14"/>
  <c r="O145" i="14"/>
  <c r="O133" i="14"/>
  <c r="O109" i="14"/>
  <c r="O73" i="14"/>
  <c r="O49" i="14"/>
  <c r="O204" i="14"/>
  <c r="O168" i="14"/>
  <c r="O108" i="14"/>
  <c r="O72" i="14"/>
  <c r="O24" i="14"/>
  <c r="O205" i="14"/>
  <c r="O169" i="14"/>
  <c r="O97" i="14"/>
  <c r="O25" i="14"/>
  <c r="O192" i="14"/>
  <c r="O156" i="14"/>
  <c r="O96" i="14"/>
  <c r="O84" i="14"/>
  <c r="O48" i="14"/>
  <c r="O36" i="14"/>
  <c r="O2" i="14"/>
  <c r="O203" i="14"/>
  <c r="O191" i="14"/>
  <c r="O167" i="14"/>
  <c r="O155" i="14"/>
  <c r="O131" i="14"/>
  <c r="O107" i="14"/>
  <c r="O95" i="14"/>
  <c r="O71" i="14"/>
  <c r="O47" i="14"/>
  <c r="O35" i="14"/>
  <c r="O23" i="14"/>
  <c r="O85" i="14"/>
  <c r="O132" i="14"/>
  <c r="O11" i="14"/>
  <c r="O202" i="14"/>
  <c r="O190" i="14"/>
  <c r="O166" i="14"/>
  <c r="O154" i="14"/>
  <c r="O130" i="14"/>
  <c r="O106" i="14"/>
  <c r="O94" i="14"/>
  <c r="O70" i="14"/>
  <c r="O46" i="14"/>
  <c r="O34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tc={793327C0-2C86-457E-B9C6-AC78A14842F8}</author>
    <author>tc={24D3C258-9E52-4BAE-9B8A-A2FAD2BA80B6}</author>
    <author>tc={64154E85-ECC9-45DE-8CD4-98E56445B9BE}</author>
  </authors>
  <commentList>
    <comment ref="G5" authorId="0" shapeId="0" xr:uid="{793327C0-2C86-457E-B9C6-AC78A14842F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agrega 884</t>
      </text>
    </comment>
    <comment ref="G112" authorId="1" shapeId="0" xr:uid="{24D3C258-9E52-4BAE-9B8A-A2FAD2BA80B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agrega 1132</t>
      </text>
    </comment>
    <comment ref="G116" authorId="2" shapeId="0" xr:uid="{64154E85-ECC9-45DE-8CD4-98E56445B9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agrega 632</t>
      </text>
    </comment>
  </commentList>
</comments>
</file>

<file path=xl/sharedStrings.xml><?xml version="1.0" encoding="utf-8"?>
<sst xmlns="http://schemas.openxmlformats.org/spreadsheetml/2006/main" count="2526" uniqueCount="661">
  <si>
    <t>RFC</t>
  </si>
  <si>
    <t>Régimen</t>
  </si>
  <si>
    <t>CECR840904UI6</t>
  </si>
  <si>
    <t>OISB750324KL2</t>
  </si>
  <si>
    <t>AUAR6704193R1</t>
  </si>
  <si>
    <t>MEBB740726PL3</t>
  </si>
  <si>
    <t>OISD850709LL2</t>
  </si>
  <si>
    <t>LISM8007175X7</t>
  </si>
  <si>
    <t>SOSR8903218GA</t>
  </si>
  <si>
    <t>LISL770624GFA</t>
  </si>
  <si>
    <t>SIPJ7701252K6</t>
  </si>
  <si>
    <t>MERJ810501RU9</t>
  </si>
  <si>
    <t>TERC5907248N2</t>
  </si>
  <si>
    <t>OISM840515T37</t>
  </si>
  <si>
    <t>OIAF881228HJ2</t>
  </si>
  <si>
    <t>SIER6502063K4</t>
  </si>
  <si>
    <t>CEOM610502QV3</t>
  </si>
  <si>
    <t>MOHP750504359</t>
  </si>
  <si>
    <t>OIGA5909039K0</t>
  </si>
  <si>
    <t>MOHA670828BY1</t>
  </si>
  <si>
    <t>AUJT670922VE3</t>
  </si>
  <si>
    <t>RORS7308252Y4</t>
  </si>
  <si>
    <t>MERA761226DN0</t>
  </si>
  <si>
    <t>OEOL6602178H5</t>
  </si>
  <si>
    <t>OIVM670429NF5</t>
  </si>
  <si>
    <t>AAO0906029N5</t>
  </si>
  <si>
    <t>ECH130516B29</t>
  </si>
  <si>
    <t>IFL880814NJ2</t>
  </si>
  <si>
    <t>ISP0603149B7</t>
  </si>
  <si>
    <t>GPU0812178MA</t>
  </si>
  <si>
    <t>CNA091107CZ0</t>
  </si>
  <si>
    <t>RXE9707293W8</t>
  </si>
  <si>
    <t>MAC0209142L8</t>
  </si>
  <si>
    <t>KDI061003P34</t>
  </si>
  <si>
    <t>HUV080702I39</t>
  </si>
  <si>
    <t>EUUD9608054A0</t>
  </si>
  <si>
    <t>ACTIVO</t>
  </si>
  <si>
    <t>Tabla Cancelados</t>
  </si>
  <si>
    <t>JOMG8001105L0</t>
  </si>
  <si>
    <t>MANL540622PA2</t>
  </si>
  <si>
    <t>ROCI870318AJ5</t>
  </si>
  <si>
    <t>Tabla Bloqueados</t>
  </si>
  <si>
    <t>AAAE761227VE0</t>
  </si>
  <si>
    <t>Tabla Excluidos</t>
  </si>
  <si>
    <t>PM</t>
  </si>
  <si>
    <t>LORG8109066P7</t>
  </si>
  <si>
    <t>GOUA500223BP9</t>
  </si>
  <si>
    <t>AEGB580504DDA</t>
  </si>
  <si>
    <t>REACTIVADO</t>
  </si>
  <si>
    <t>EIGG550131151</t>
  </si>
  <si>
    <t>SAGJ790902T13</t>
  </si>
  <si>
    <t>PUVE3501265A9</t>
  </si>
  <si>
    <t>SUSPENDIDO</t>
  </si>
  <si>
    <t>ZASR5401272Y2</t>
  </si>
  <si>
    <t>SURA900828DS5</t>
  </si>
  <si>
    <t>GOMV640914RU9</t>
  </si>
  <si>
    <t>COME921226KH7</t>
  </si>
  <si>
    <t>CIMS880918UN6</t>
  </si>
  <si>
    <t>SODJ820412I18</t>
  </si>
  <si>
    <t>MUEE6303231H4</t>
  </si>
  <si>
    <t>GOAC830909HD0</t>
  </si>
  <si>
    <t>MUEV671210UL7</t>
  </si>
  <si>
    <t>CEPN4403278H1*</t>
  </si>
  <si>
    <t>MOGN781102V66*</t>
  </si>
  <si>
    <t>ZUGA500721BJA*</t>
  </si>
  <si>
    <t>AEAJ9004233H2</t>
  </si>
  <si>
    <t>SAGI6709236S7</t>
  </si>
  <si>
    <t>PUQR470910976</t>
  </si>
  <si>
    <t>EICC791202C69</t>
  </si>
  <si>
    <t>BUQL870328BK4</t>
  </si>
  <si>
    <t>MAOM690217CYA</t>
  </si>
  <si>
    <t>PARA581114H66</t>
  </si>
  <si>
    <t>AEAA7412085SA</t>
  </si>
  <si>
    <t>VAVD880310JY5</t>
  </si>
  <si>
    <t>SISD900719AQ8</t>
  </si>
  <si>
    <t>LACB8306218F1</t>
  </si>
  <si>
    <t>SAGF730206ICA</t>
  </si>
  <si>
    <t>EICN870414UR7</t>
  </si>
  <si>
    <t>BUQD731003JH5</t>
  </si>
  <si>
    <t>WIAI760708RV8</t>
  </si>
  <si>
    <t>HOEL751123G90</t>
  </si>
  <si>
    <t>HOEB720910PJ6</t>
  </si>
  <si>
    <t>LULF6702182P0</t>
  </si>
  <si>
    <t>MOTR520607N58</t>
  </si>
  <si>
    <t>METM910919RP7</t>
  </si>
  <si>
    <t>EIGA450723BD7</t>
  </si>
  <si>
    <t>AEAA7911249G7</t>
  </si>
  <si>
    <t>ROVD601216PX3</t>
  </si>
  <si>
    <t>https://peuat.siat.sat.gob.mx/app/PE/faces/index.jsp</t>
  </si>
  <si>
    <t>ESTATUS</t>
  </si>
  <si>
    <t>ROLES ZONA FRONTERIZA</t>
  </si>
  <si>
    <t>OBLIGACIÓN</t>
  </si>
  <si>
    <t>ACTIVIDAD</t>
  </si>
  <si>
    <t>MAMJ880630UA6</t>
  </si>
  <si>
    <t>COCI540620TD5</t>
  </si>
  <si>
    <t xml:space="preserve">	300665</t>
  </si>
  <si>
    <t>EICL840608GQ9</t>
  </si>
  <si>
    <t>EIAD870130Q60</t>
  </si>
  <si>
    <t xml:space="preserve">	601</t>
  </si>
  <si>
    <t>EICJ820719TD5</t>
  </si>
  <si>
    <t>COCH450529A22</t>
  </si>
  <si>
    <t>MODF831005239</t>
  </si>
  <si>
    <t>621, 612</t>
  </si>
  <si>
    <t>COCC701105BX8</t>
  </si>
  <si>
    <t xml:space="preserve">	612</t>
  </si>
  <si>
    <t xml:space="preserve">	606</t>
  </si>
  <si>
    <t xml:space="preserve">	
REACTIVADO</t>
  </si>
  <si>
    <t xml:space="preserve">	909</t>
  </si>
  <si>
    <t xml:space="preserve">	616</t>
  </si>
  <si>
    <t>300665, 300682</t>
  </si>
  <si>
    <t xml:space="preserve">	605</t>
  </si>
  <si>
    <t>605, 611</t>
  </si>
  <si>
    <t>1112, 71</t>
  </si>
  <si>
    <t>495, 828, 824</t>
  </si>
  <si>
    <t xml:space="preserve">	608</t>
  </si>
  <si>
    <t>AEAT8601081T6</t>
  </si>
  <si>
    <t>AEAS901122DK2</t>
  </si>
  <si>
    <t xml:space="preserve">	462</t>
  </si>
  <si>
    <t>VAVB480831L8A</t>
  </si>
  <si>
    <t>VAVD5404091F0</t>
  </si>
  <si>
    <t>VAVO891021RC8</t>
  </si>
  <si>
    <t>CAAE830322IF6</t>
  </si>
  <si>
    <t>PEAE8409065L6</t>
  </si>
  <si>
    <t xml:space="preserve">	276</t>
  </si>
  <si>
    <t>EIGE740910HW5</t>
  </si>
  <si>
    <t xml:space="preserve">	876</t>
  </si>
  <si>
    <t>VAOJ640822H49</t>
  </si>
  <si>
    <t xml:space="preserve">	450</t>
  </si>
  <si>
    <t>AEGM510604VA9</t>
  </si>
  <si>
    <t>SOAA760319GF9</t>
  </si>
  <si>
    <t xml:space="preserve">	615</t>
  </si>
  <si>
    <t xml:space="preserve">	636</t>
  </si>
  <si>
    <t>FOAA940117HN3</t>
  </si>
  <si>
    <t>FOAA730615EW7</t>
  </si>
  <si>
    <t xml:space="preserve">	83</t>
  </si>
  <si>
    <t>FOAD830807FI2</t>
  </si>
  <si>
    <t xml:space="preserve">	52</t>
  </si>
  <si>
    <t>PABJ380128544</t>
  </si>
  <si>
    <t xml:space="preserve">	571</t>
  </si>
  <si>
    <t xml:space="preserve">	621</t>
  </si>
  <si>
    <t>695, 	675</t>
  </si>
  <si>
    <t>SISJ840426V55</t>
  </si>
  <si>
    <t>VAVI881031ML4</t>
  </si>
  <si>
    <t xml:space="preserve">	632</t>
  </si>
  <si>
    <t>VALJ851211JF4</t>
  </si>
  <si>
    <t>ROVJ4304083HA</t>
  </si>
  <si>
    <t>VAVJ720212CH2</t>
  </si>
  <si>
    <t xml:space="preserve">
612, 605</t>
  </si>
  <si>
    <t>LISJ670127HL9</t>
  </si>
  <si>
    <t xml:space="preserve">	609</t>
  </si>
  <si>
    <t>OISA780226CG9</t>
  </si>
  <si>
    <t xml:space="preserve">	664</t>
  </si>
  <si>
    <t>FCA901215MN3</t>
  </si>
  <si>
    <t xml:space="preserve">	300665, 300682, 	300155</t>
  </si>
  <si>
    <t xml:space="preserve">	300033, 300155, 	300452, 	300475, 	300665, 	300667</t>
  </si>
  <si>
    <t>735, 738</t>
  </si>
  <si>
    <t>300155, 300484, 300665, 300514</t>
  </si>
  <si>
    <t>20,26,597,218,79,189,203,61</t>
  </si>
  <si>
    <t xml:space="preserve">	300066, 300055, 	300030, 300483</t>
  </si>
  <si>
    <t xml:space="preserve">	300665, 300155</t>
  </si>
  <si>
    <t>300365,	300031, 300155</t>
  </si>
  <si>
    <t xml:space="preserve">	300665, 300475, 300155</t>
  </si>
  <si>
    <t>3,9, 20,26,597,31,33,203,579,30</t>
  </si>
  <si>
    <t>300317, 300482, 300250, 300429, 300155, 300505, 300682</t>
  </si>
  <si>
    <t>300475, 300155, 300682</t>
  </si>
  <si>
    <t>300155, 300476, 300505, 300682</t>
  </si>
  <si>
    <t xml:space="preserve">	300682, 300031, 300155</t>
  </si>
  <si>
    <t>738, 735</t>
  </si>
  <si>
    <t xml:space="preserve">	300682, 300514, 300505	, 300476, 300155</t>
  </si>
  <si>
    <t>300682, 300512,300155</t>
  </si>
  <si>
    <t>300682, 300475, 300155</t>
  </si>
  <si>
    <t>300682, 300155, 300475</t>
  </si>
  <si>
    <t>3, 9, 30, 31,203,579</t>
  </si>
  <si>
    <t xml:space="preserve">	300682, 	300505, 300476, 300155</t>
  </si>
  <si>
    <t>33, 3</t>
  </si>
  <si>
    <t>300682, 	300476, 300295, 300155</t>
  </si>
  <si>
    <t>300665, 300682,300155,300031</t>
  </si>
  <si>
    <t>300665, 300682,300155, 300031</t>
  </si>
  <si>
    <t xml:space="preserve">300665, 300682,300155, 300031,300295,300476,300505	</t>
  </si>
  <si>
    <t>300665, 300682,300514,300505,300155</t>
  </si>
  <si>
    <t xml:space="preserve">	300682, 	300665, 	300155, 	300033</t>
  </si>
  <si>
    <t xml:space="preserve">	300155, 300512, 	300452, 	300033</t>
  </si>
  <si>
    <t xml:space="preserve">	300155, 	300031</t>
  </si>
  <si>
    <t>3,9,30,31,203,579</t>
  </si>
  <si>
    <t>300155, 	300476, 300509</t>
  </si>
  <si>
    <t xml:space="preserve">	300155, 300031</t>
  </si>
  <si>
    <t>3,9,30,579,33,203,31</t>
  </si>
  <si>
    <t xml:space="preserve">	300429, 300155</t>
  </si>
  <si>
    <t xml:space="preserve">	300155,	300031</t>
  </si>
  <si>
    <t xml:space="preserve">	300514,300505,	300476,300155</t>
  </si>
  <si>
    <t xml:space="preserve">	300031,	300155,	300452,300033</t>
  </si>
  <si>
    <t>9,20,26,30,597,46,203,579,44</t>
  </si>
  <si>
    <t xml:space="preserve">	300016,300506,	300061,	300030,	300055, 	300066</t>
  </si>
  <si>
    <t>8,9,30,218,2024,26,44,46,79,203,579,597</t>
  </si>
  <si>
    <t>300477,300066,	300030,	300055</t>
  </si>
  <si>
    <t>9,30,46,203,579,44</t>
  </si>
  <si>
    <t xml:space="preserve">	300506,	300483,
300066,	300055</t>
  </si>
  <si>
    <t>9,20,26,30,579,46,72,203,597,44</t>
  </si>
  <si>
    <t>300506,	300510,	300481,300030,	300055,300066</t>
  </si>
  <si>
    <t>8,597,20,24,26,27,30,9,46,61,79,203,218,579,44</t>
  </si>
  <si>
    <t xml:space="preserve">	300506,	300481,	300030,300051,	300061,	300055,300066</t>
  </si>
  <si>
    <t>8,9,79,20,24,26,30,218,44,46,61,203,579,597</t>
  </si>
  <si>
    <t>8,9,20,24,218,26,30,203,79,46,61,44,579,597</t>
  </si>
  <si>
    <t xml:space="preserve">
300506,300477,	300066,300030,	300055</t>
  </si>
  <si>
    <t>9,20,26,30,579,46,203,44,597</t>
  </si>
  <si>
    <t>300487,	300061,	300030,	300055,	300066</t>
  </si>
  <si>
    <t>189, 203, 196, 716, 715, 574, 717, 718</t>
  </si>
  <si>
    <t xml:space="preserve">	300506, 300067, 	300024, 	300153, 	300483, 	300055,	300066</t>
  </si>
  <si>
    <t xml:space="preserve">	300440,	300056, 	300441</t>
  </si>
  <si>
    <t xml:space="preserve">	300155, 300475</t>
  </si>
  <si>
    <t xml:space="preserve">	300155</t>
  </si>
  <si>
    <t>300155, 	300031</t>
  </si>
  <si>
    <t xml:space="preserve">	300490, 	300476, 	300155</t>
  </si>
  <si>
    <t xml:space="preserve">	300476, 300155, 300490</t>
  </si>
  <si>
    <t xml:space="preserve">	300031, 300155</t>
  </si>
  <si>
    <t xml:space="preserve">	300475, 	300155</t>
  </si>
  <si>
    <t xml:space="preserve">	300682, 	300056</t>
  </si>
  <si>
    <t>300031, 300155</t>
  </si>
  <si>
    <t xml:space="preserve">	300524, 	300440,	300505, 	300478, 	300441, 	300155</t>
  </si>
  <si>
    <t xml:space="preserve">	300514, 	300476, 300155</t>
  </si>
  <si>
    <t xml:space="preserve">	300514, 	300476, 300155, 300031</t>
  </si>
  <si>
    <t xml:space="preserve">	300155, 300452, 	300033, 300475</t>
  </si>
  <si>
    <t xml:space="preserve">	300155, 	300031, 	300452, 	300033</t>
  </si>
  <si>
    <t xml:space="preserve">	735, 738</t>
  </si>
  <si>
    <t xml:space="preserve">	300033, 300452, 	300514, 	300476, 	300155</t>
  </si>
  <si>
    <t xml:space="preserve">	300033, 300452, 	300155, 300031</t>
  </si>
  <si>
    <t>300665, 300033, 300452, 300031, 300155</t>
  </si>
  <si>
    <t>3, 9, 579, 31,30</t>
  </si>
  <si>
    <t xml:space="preserve">	300155, 	300476, 300505</t>
  </si>
  <si>
    <t>735, 	738</t>
  </si>
  <si>
    <t xml:space="preserve">	300514, 	300505, 	300476, 	300155</t>
  </si>
  <si>
    <t>300155, 300031</t>
  </si>
  <si>
    <t>8,9, 30, 218, 203, 79, 20, 24,26, 61, 579, 597, 46, 44</t>
  </si>
  <si>
    <t xml:space="preserve">	300506, 	300477, 	300066, 	300153, 300030, 300055</t>
  </si>
  <si>
    <t xml:space="preserve">	611</t>
  </si>
  <si>
    <t xml:space="preserve">	300505, 	300295, 	300155</t>
  </si>
  <si>
    <t xml:space="preserve">300031, 300155 </t>
  </si>
  <si>
    <t xml:space="preserve">	300505, 	300476, 	300155</t>
  </si>
  <si>
    <t xml:space="preserve">	1112, 	880</t>
  </si>
  <si>
    <t xml:space="preserve">
300155, 300031</t>
  </si>
  <si>
    <t>CANCELADO POR CESE TOTAL DE OPERACIONES</t>
  </si>
  <si>
    <t xml:space="preserve">	612, 	605</t>
  </si>
  <si>
    <t>3, 9, 30, 33, 203, 579</t>
  </si>
  <si>
    <t xml:space="preserve">	300155, 
300031, 	300317, 	300484</t>
  </si>
  <si>
    <t xml:space="preserve">	679</t>
  </si>
  <si>
    <t xml:space="preserve">	300031,  300155</t>
  </si>
  <si>
    <t xml:space="preserve">	300050, 	300155</t>
  </si>
  <si>
    <t xml:space="preserve">	332</t>
  </si>
  <si>
    <t xml:space="preserve">	2223</t>
  </si>
  <si>
    <t>no existe</t>
  </si>
  <si>
    <t xml:space="preserve">	300155, 	300317</t>
  </si>
  <si>
    <t xml:space="preserve">	735</t>
  </si>
  <si>
    <t xml:space="preserve">	300514, 300476, 300155</t>
  </si>
  <si>
    <t xml:space="preserve">	622</t>
  </si>
  <si>
    <t>300524, 300440, 	300476, 	300155</t>
  </si>
  <si>
    <t xml:space="preserve">	300155, 	300475</t>
  </si>
  <si>
    <t xml:space="preserve">
399</t>
  </si>
  <si>
    <t xml:space="preserve">	300440, 	300441, 	300155</t>
  </si>
  <si>
    <t xml:space="preserve">	300440, 	300524, 	300476, 300441, 300155
300429, </t>
  </si>
  <si>
    <t xml:space="preserve">	29</t>
  </si>
  <si>
    <t xml:space="preserve">	618</t>
  </si>
  <si>
    <t xml:space="preserve">
300031, 	300155</t>
  </si>
  <si>
    <t xml:space="preserve">	907</t>
  </si>
  <si>
    <t xml:space="preserve">	946</t>
  </si>
  <si>
    <t xml:space="preserve">	300440, 	300155, 	300441</t>
  </si>
  <si>
    <t xml:space="preserve">	300155, 	300441</t>
  </si>
  <si>
    <t xml:space="preserve">	3</t>
  </si>
  <si>
    <t xml:space="preserve">	300155, 		300031</t>
  </si>
  <si>
    <t xml:space="preserve">	300031, 	300155</t>
  </si>
  <si>
    <t>300031, 	300155</t>
  </si>
  <si>
    <t xml:space="preserve">	510</t>
  </si>
  <si>
    <t>CEPN4403278H1</t>
  </si>
  <si>
    <t>COGZ9009256C0</t>
  </si>
  <si>
    <t>MOGN781102V66</t>
  </si>
  <si>
    <t>ZUGA500721BJA</t>
  </si>
  <si>
    <t>CEGJ801110GE2</t>
  </si>
  <si>
    <t>ROVC631203RD9</t>
  </si>
  <si>
    <t>300031, 300155, 	300665, 	300682</t>
  </si>
  <si>
    <t xml:space="preserve">	131</t>
  </si>
  <si>
    <t xml:space="preserve">	923</t>
  </si>
  <si>
    <t xml:space="preserve">
923</t>
  </si>
  <si>
    <t xml:space="preserve">	ACTIVO</t>
  </si>
  <si>
    <t xml:space="preserve">	738, 	735</t>
  </si>
  <si>
    <t>300155, 	300505, 	300514, 	300665, 	300682</t>
  </si>
  <si>
    <t xml:space="preserve">	122</t>
  </si>
  <si>
    <t>Tabla</t>
  </si>
  <si>
    <t>Tabla Cancelados,  17HBis</t>
  </si>
  <si>
    <t xml:space="preserve">	871, 70</t>
  </si>
  <si>
    <t>834, 157</t>
  </si>
  <si>
    <t>907, 1132</t>
  </si>
  <si>
    <t xml:space="preserve">
1112, 632</t>
  </si>
  <si>
    <t>TO</t>
  </si>
  <si>
    <t>Emisor</t>
  </si>
  <si>
    <t>Receptor</t>
  </si>
  <si>
    <t>Request</t>
  </si>
  <si>
    <t>Obligaciones</t>
  </si>
  <si>
    <t>Roles</t>
  </si>
  <si>
    <t>PILY750909JI9</t>
  </si>
  <si>
    <t>N/A</t>
  </si>
  <si>
    <t>Actividades</t>
  </si>
  <si>
    <t>605, 612</t>
  </si>
  <si>
    <t>IATF410605E89</t>
  </si>
  <si>
    <t>MEMA800818BU8</t>
  </si>
  <si>
    <t>77, 773</t>
  </si>
  <si>
    <t>MESA301116B47</t>
  </si>
  <si>
    <t>BAJA730719QY9</t>
  </si>
  <si>
    <t>1, 274</t>
  </si>
  <si>
    <t xml:space="preserve">REGIMEN </t>
  </si>
  <si>
    <t>VISL760602BK8</t>
  </si>
  <si>
    <t>616, 621</t>
  </si>
  <si>
    <t>300475, 300155</t>
  </si>
  <si>
    <t>AAGM871005UH7</t>
  </si>
  <si>
    <t>605, 626</t>
  </si>
  <si>
    <t>611, 626</t>
  </si>
  <si>
    <t>621, 626</t>
  </si>
  <si>
    <t>300505, 300155,
300033, 300452</t>
  </si>
  <si>
    <t>LAMC6004276Q3</t>
  </si>
  <si>
    <t>90, 182</t>
  </si>
  <si>
    <t>605, 621</t>
  </si>
  <si>
    <t>CAMD301211QE2</t>
  </si>
  <si>
    <t>300155, 300476,
300514</t>
  </si>
  <si>
    <t>216, 94</t>
  </si>
  <si>
    <t>GAHI871105NQ0</t>
  </si>
  <si>
    <t>GAPI781227NS6</t>
  </si>
  <si>
    <t>3, 9, 30, 203,
 579, 33</t>
  </si>
  <si>
    <t>300031, 300155,
300484</t>
  </si>
  <si>
    <t>907, 116</t>
  </si>
  <si>
    <t>MOGE491001HQ7</t>
  </si>
  <si>
    <t>CAMP850507SZ4</t>
  </si>
  <si>
    <t>CACX730623IMA</t>
  </si>
  <si>
    <t>300155, 300476
300514</t>
  </si>
  <si>
    <t>CAPN790518LL1</t>
  </si>
  <si>
    <t>HICI811004EH7</t>
  </si>
  <si>
    <t>300490, 300155, 300476</t>
  </si>
  <si>
    <t>PEMA690424LY9</t>
  </si>
  <si>
    <t>300056, 300441, 300440</t>
  </si>
  <si>
    <t>OICE850512LB3</t>
  </si>
  <si>
    <t>616, 626</t>
  </si>
  <si>
    <t>TEGS860519DM0</t>
  </si>
  <si>
    <t>BAMA9109179Z0</t>
  </si>
  <si>
    <t>83, 1132</t>
  </si>
  <si>
    <t>909, 345</t>
  </si>
  <si>
    <t>SAMC640104A8A</t>
  </si>
  <si>
    <t>300155, 300317, 300476</t>
  </si>
  <si>
    <t>848, 884</t>
  </si>
  <si>
    <t>MEAG4509116E4</t>
  </si>
  <si>
    <t>300155, 300475</t>
  </si>
  <si>
    <t>ROTC910125C1A</t>
  </si>
  <si>
    <t>POVA521205734</t>
  </si>
  <si>
    <t>2, 3</t>
  </si>
  <si>
    <t>300033, 300155, 300480</t>
  </si>
  <si>
    <t>RAMR320727HE2</t>
  </si>
  <si>
    <t>300441, 300155, 300440</t>
  </si>
  <si>
    <t>GOIC821104MZ8</t>
  </si>
  <si>
    <t>BAAL540713KP5</t>
  </si>
  <si>
    <t>300155, 300476, 300031
300514</t>
  </si>
  <si>
    <t>GASE820904133</t>
  </si>
  <si>
    <t>3, 9, 30, 33, 
203, 579</t>
  </si>
  <si>
    <t>300033, 300155, 300476</t>
  </si>
  <si>
    <t>LESJ6004207K1</t>
  </si>
  <si>
    <t>EOMJ840701VA8</t>
  </si>
  <si>
    <t>300155, 300476, 300514</t>
  </si>
  <si>
    <t>GATJ8808047D5</t>
  </si>
  <si>
    <t>COTB930709IT6</t>
  </si>
  <si>
    <t>FUMM840229HK5</t>
  </si>
  <si>
    <t>LASC610522KBA</t>
  </si>
  <si>
    <t>MOSI8003278I3</t>
  </si>
  <si>
    <t>605, 606</t>
  </si>
  <si>
    <t>AOME8805126L5</t>
  </si>
  <si>
    <t>SACC831027B52</t>
  </si>
  <si>
    <t>300464, 300155</t>
  </si>
  <si>
    <t>GUTS660710RB8</t>
  </si>
  <si>
    <t>3, 9, 30, 203,
579, 33</t>
  </si>
  <si>
    <t>300031, 300155, 300476,
300505</t>
  </si>
  <si>
    <t>JUPI9412121BA</t>
  </si>
  <si>
    <t>MEGR8604038Z4</t>
  </si>
  <si>
    <t>PEGK900604C3A</t>
  </si>
  <si>
    <t>GAZE931230J82</t>
  </si>
  <si>
    <t>PEZN680104SS2</t>
  </si>
  <si>
    <t>MEJE8211143U5</t>
  </si>
  <si>
    <t>MEJN660116FJ9</t>
  </si>
  <si>
    <t>PECN650201TK3</t>
  </si>
  <si>
    <t>PEIN730415NJ0</t>
  </si>
  <si>
    <t>BACF891210PH0</t>
  </si>
  <si>
    <t>300155,300295, 300505</t>
  </si>
  <si>
    <t>COMB811017PUA</t>
  </si>
  <si>
    <t>COBB941002HL5</t>
  </si>
  <si>
    <t>LADB9205132N5</t>
  </si>
  <si>
    <t>BECE870824R19</t>
  </si>
  <si>
    <t>GOHK9511044X8</t>
  </si>
  <si>
    <t>VAGE410918GBA</t>
  </si>
  <si>
    <t>IAPI810923LP9</t>
  </si>
  <si>
    <t>CAGM630514EA6</t>
  </si>
  <si>
    <t>100, 1122</t>
  </si>
  <si>
    <t>OITR910202CY9</t>
  </si>
  <si>
    <t>OIRL790904BW1</t>
  </si>
  <si>
    <t>VAHA920703749</t>
  </si>
  <si>
    <t>GATJ840104P55</t>
  </si>
  <si>
    <t>RITJ780624FS5</t>
  </si>
  <si>
    <t>REVJ7602249B4</t>
  </si>
  <si>
    <t>300031, 300155, 300033, 300452</t>
  </si>
  <si>
    <t>TEGJ440427T86</t>
  </si>
  <si>
    <t>3, 27, 203, 26, 30, 9, 579, 597, 33</t>
  </si>
  <si>
    <t>300155, 300250, 300476</t>
  </si>
  <si>
    <t>BAGJ8803124R5</t>
  </si>
  <si>
    <t>3, 9 ,579, 30, 203, 33</t>
  </si>
  <si>
    <t>300155, 300429</t>
  </si>
  <si>
    <t>862, 884</t>
  </si>
  <si>
    <t>FAGJ760203QH4</t>
  </si>
  <si>
    <t>RIGJ870824L34</t>
  </si>
  <si>
    <t>3, 9, 579, 30, 203, 33</t>
  </si>
  <si>
    <t>300429, 300155, 300317</t>
  </si>
  <si>
    <t>BAAJ6405113Z1</t>
  </si>
  <si>
    <t>AECJ630309C12</t>
  </si>
  <si>
    <t>BAOJ850621TZ4</t>
  </si>
  <si>
    <t>DIAJ590707A6A</t>
  </si>
  <si>
    <t>RESJ730128HX3</t>
  </si>
  <si>
    <t>AUFJ790405DA5</t>
  </si>
  <si>
    <t>TEBJ700901UQ7</t>
  </si>
  <si>
    <t>FARJ8901276F7</t>
  </si>
  <si>
    <t>SEAJ840217SU1</t>
  </si>
  <si>
    <t>26, 597, 736, 735, 738</t>
  </si>
  <si>
    <t>300155, 300476, 300250, 300514</t>
  </si>
  <si>
    <t>646, 1133</t>
  </si>
  <si>
    <t>PEAJ791129GK1</t>
  </si>
  <si>
    <t>2223, 1131</t>
  </si>
  <si>
    <t>BAOJ780206PQ0</t>
  </si>
  <si>
    <t>RIRJ9106098L4</t>
  </si>
  <si>
    <t>300480, 300155, 300514</t>
  </si>
  <si>
    <t>GARJ860610L57</t>
  </si>
  <si>
    <t>DIXJ7410127G5</t>
  </si>
  <si>
    <t>BAOJ880708DJ8</t>
  </si>
  <si>
    <t>REDJ840924TI2</t>
  </si>
  <si>
    <t>ZEDJ6802123F4</t>
  </si>
  <si>
    <t>PAGJ7608292Y6</t>
  </si>
  <si>
    <t>TEVJ881202PP4</t>
  </si>
  <si>
    <t>300441, 300440, 300155</t>
  </si>
  <si>
    <t>QUJJ830623JL0</t>
  </si>
  <si>
    <t>BAJJ580724KU7</t>
  </si>
  <si>
    <t>SERJ870405LA0</t>
  </si>
  <si>
    <t>BALJ610518ES0</t>
  </si>
  <si>
    <t xml:space="preserve">300317	</t>
  </si>
  <si>
    <t>TELJ8709298U5</t>
  </si>
  <si>
    <t>BARJ570127MD3</t>
  </si>
  <si>
    <t>SELJ881003DP9</t>
  </si>
  <si>
    <t>EIRJ780723QE3</t>
  </si>
  <si>
    <t>SERJ511227GC7</t>
  </si>
  <si>
    <t>DOSJ730102D8A</t>
  </si>
  <si>
    <t>DOSJ710102D84</t>
  </si>
  <si>
    <t>300317, 300295, 300155, 300476</t>
  </si>
  <si>
    <t>VEMA851004RV1</t>
  </si>
  <si>
    <t>VEBA9501271P9</t>
  </si>
  <si>
    <t>665, 632</t>
  </si>
  <si>
    <t>1056, 632</t>
  </si>
  <si>
    <t>OECB620119A17</t>
  </si>
  <si>
    <t>300155, 300317, 300050</t>
  </si>
  <si>
    <t>812, 632</t>
  </si>
  <si>
    <t>VEEA9302069E0</t>
  </si>
  <si>
    <t>405, 632</t>
  </si>
  <si>
    <t>NOTD8302237B0</t>
  </si>
  <si>
    <t>982, 632</t>
  </si>
  <si>
    <t>NEGA880410498</t>
  </si>
  <si>
    <t>CAUI830917RA5</t>
  </si>
  <si>
    <t>VECA921119HD1</t>
  </si>
  <si>
    <t>MEVE861019DK6</t>
  </si>
  <si>
    <t>300155, 300476, 300524, 300440</t>
  </si>
  <si>
    <t>300033, 300155</t>
  </si>
  <si>
    <t>654, 75</t>
  </si>
  <si>
    <t>300155, 300514, 300033</t>
  </si>
  <si>
    <t>300155, 300512</t>
  </si>
  <si>
    <t>300033, 300452,300031, 300155</t>
  </si>
  <si>
    <t>300475, 300452, 300033, 300155</t>
  </si>
  <si>
    <t>EAMJ840131DW0</t>
  </si>
  <si>
    <t>RAGR760807952</t>
  </si>
  <si>
    <t>RARR830920UJ1</t>
  </si>
  <si>
    <t>CARS9311212S8</t>
  </si>
  <si>
    <t>ROCH511116LI6</t>
  </si>
  <si>
    <t>REFJ860507MT8</t>
  </si>
  <si>
    <t>RAFM720405F67</t>
  </si>
  <si>
    <t>RAAJ5106192M4</t>
  </si>
  <si>
    <t>3, 9, 30, 203, 579, 33</t>
  </si>
  <si>
    <t>300155, 300480</t>
  </si>
  <si>
    <t>AELC900321MB8</t>
  </si>
  <si>
    <t>TUAR6401301G4</t>
  </si>
  <si>
    <t>MORK930617MG9</t>
  </si>
  <si>
    <t>RAHA820325ER7</t>
  </si>
  <si>
    <t>AERA660921L4A</t>
  </si>
  <si>
    <t>AERA660921JA4</t>
  </si>
  <si>
    <t>RACA9509245K7</t>
  </si>
  <si>
    <t>RAAL720826PX0</t>
  </si>
  <si>
    <t>GORJ520704KS0</t>
  </si>
  <si>
    <t>ROME871130C99</t>
  </si>
  <si>
    <t>GOJC930424PG9</t>
  </si>
  <si>
    <t>AEPC930615PM9</t>
  </si>
  <si>
    <t>RAGN671208IE0</t>
  </si>
  <si>
    <t>ROMC9207269Q7</t>
  </si>
  <si>
    <t>RAMC8207227P0</t>
  </si>
  <si>
    <t>RAHC851028PY0</t>
  </si>
  <si>
    <t>RARC920424NN3</t>
  </si>
  <si>
    <t>RARN720630QF2</t>
  </si>
  <si>
    <t>RAMP611019Q94</t>
  </si>
  <si>
    <t>ROCK890119273</t>
  </si>
  <si>
    <t>AESL870623D98</t>
  </si>
  <si>
    <t>RASL900301UZ6</t>
  </si>
  <si>
    <t>GODA850130SC6</t>
  </si>
  <si>
    <t>MOCK940425PP6</t>
  </si>
  <si>
    <t>1103, 2, 388, 488, 1065, 632, 785, 6, 32, 432</t>
  </si>
  <si>
    <t>632. 632, 600, 2, 2189, 2430, 2429, 1363, 1803, 18</t>
  </si>
  <si>
    <t>RASA760107GP7</t>
  </si>
  <si>
    <t>MOMK921104BF4</t>
  </si>
  <si>
    <t>MOBK9201138K9</t>
  </si>
  <si>
    <t>RACE841013CR3</t>
  </si>
  <si>
    <t>450, 632, 632, 632, 632</t>
  </si>
  <si>
    <t>MOLK920210RY2</t>
  </si>
  <si>
    <t>RARE830330KU5</t>
  </si>
  <si>
    <t>3, 9, 579, 33, 203, 30</t>
  </si>
  <si>
    <t>300155, 300429, 300317</t>
  </si>
  <si>
    <t>300155, 300317, 300429, 300524, 300440</t>
  </si>
  <si>
    <t>ROAE840831LU0</t>
  </si>
  <si>
    <t>EUDD720430MF4</t>
  </si>
  <si>
    <t>EUPD531207DQ9</t>
  </si>
  <si>
    <t>PEPH660719GP7</t>
  </si>
  <si>
    <t>MABJ861003PW1</t>
  </si>
  <si>
    <t>300031, 300155, 300317</t>
  </si>
  <si>
    <t>AAML920925E50</t>
  </si>
  <si>
    <t>AACL9007138A5</t>
  </si>
  <si>
    <t>PELL910719K92</t>
  </si>
  <si>
    <t>616, 612</t>
  </si>
  <si>
    <t>AAOL860322NW8</t>
  </si>
  <si>
    <t>300517, 3000155</t>
  </si>
  <si>
    <t>605, 605, 621</t>
  </si>
  <si>
    <t>EUOL830630TA2</t>
  </si>
  <si>
    <t>BITL761115RV3</t>
  </si>
  <si>
    <t>BIOL760329L66</t>
  </si>
  <si>
    <t>CUCL8105213C7</t>
  </si>
  <si>
    <t>AAGL820622FJ8</t>
  </si>
  <si>
    <t>300031, 300155, 300505</t>
  </si>
  <si>
    <t>MOVL940515KX8</t>
  </si>
  <si>
    <t>CUML541025FF8</t>
  </si>
  <si>
    <t>BIBJ850817F3A</t>
  </si>
  <si>
    <t>300031, 300155, 300476</t>
  </si>
  <si>
    <t>BARA611207RS2</t>
  </si>
  <si>
    <t>622, 626</t>
  </si>
  <si>
    <t>BIPY810208GV1</t>
  </si>
  <si>
    <t>MOZF490211JW2</t>
  </si>
  <si>
    <t xml:space="preserve">AAAH7705058H2	</t>
  </si>
  <si>
    <t>RELC9408103M9</t>
  </si>
  <si>
    <t>300512, 300155</t>
  </si>
  <si>
    <t>AARE580920FM8</t>
  </si>
  <si>
    <t>PEVA900802FZ9</t>
  </si>
  <si>
    <t>AAMH8003067G7</t>
  </si>
  <si>
    <t>EUVY920803871</t>
  </si>
  <si>
    <t>BARA851007B90</t>
  </si>
  <si>
    <t>AOMD911126KT9</t>
  </si>
  <si>
    <t>AOBR921126CT7</t>
  </si>
  <si>
    <t>CAGL870810M47</t>
  </si>
  <si>
    <t>AOAA910527SE1</t>
  </si>
  <si>
    <t>CAGW891112CC0</t>
  </si>
  <si>
    <t>AOEH820627HQ2</t>
  </si>
  <si>
    <t>AOBB881224G1A</t>
  </si>
  <si>
    <t>AOMW790330HS8</t>
  </si>
  <si>
    <t>AOFW800207AY7</t>
  </si>
  <si>
    <t>AOPW7710126PA</t>
  </si>
  <si>
    <t>105, 1124</t>
  </si>
  <si>
    <t>AOTE680812K3A</t>
  </si>
  <si>
    <t>CARG330210FS9</t>
  </si>
  <si>
    <t>820, 3</t>
  </si>
  <si>
    <t>AOTE700812K3A</t>
  </si>
  <si>
    <t>108, 914</t>
  </si>
  <si>
    <t>AOOM901231I96</t>
  </si>
  <si>
    <t>AODH5503161V4</t>
  </si>
  <si>
    <t>300155, 300441</t>
  </si>
  <si>
    <t>110, 83</t>
  </si>
  <si>
    <t>AOPO540805UI3</t>
  </si>
  <si>
    <t>300155, 300441, 300440</t>
  </si>
  <si>
    <t>111, 29</t>
  </si>
  <si>
    <t>CARD871124CR6</t>
  </si>
  <si>
    <t>112, 945</t>
  </si>
  <si>
    <t>AOJL590816R57</t>
  </si>
  <si>
    <t>CACX69111983A</t>
  </si>
  <si>
    <t>203, 9, 30, 579, 3, 33, 31</t>
  </si>
  <si>
    <t>300155, 300429, 300484, 300505</t>
  </si>
  <si>
    <t>114, 664, 799, 797</t>
  </si>
  <si>
    <t>AOCF550917M74</t>
  </si>
  <si>
    <t>115, 1123</t>
  </si>
  <si>
    <t>AOCF711004SK2</t>
  </si>
  <si>
    <t>116, 981</t>
  </si>
  <si>
    <t>AOMJ581003B35</t>
  </si>
  <si>
    <t>117, 2223</t>
  </si>
  <si>
    <t>RIRA840915RA1</t>
  </si>
  <si>
    <t>OAGY9106174T9</t>
  </si>
  <si>
    <t>DIJA830428AJ0</t>
  </si>
  <si>
    <t>3, 9, 579, 31, 203, 30</t>
  </si>
  <si>
    <t>OATJ7710302P2</t>
  </si>
  <si>
    <t>GUTA800126KJ1</t>
  </si>
  <si>
    <t>300317, 300480, 300429, 300155, 300237, 300505</t>
  </si>
  <si>
    <t>BALM8708151UA</t>
  </si>
  <si>
    <t>RERJ830912GT8</t>
  </si>
  <si>
    <t>REJR571014978</t>
  </si>
  <si>
    <t>RATM5407207Q5</t>
  </si>
  <si>
    <t>300155, 300476, 300505, 300524, 300440</t>
  </si>
  <si>
    <t>GOSD7705295D6</t>
  </si>
  <si>
    <t>COTM691023TDA</t>
  </si>
  <si>
    <t>RAEM690625DW0</t>
  </si>
  <si>
    <t>RACM7211181D7</t>
  </si>
  <si>
    <t>NUTC880716DD4</t>
  </si>
  <si>
    <t>622, 621</t>
  </si>
  <si>
    <t>611, 605, 626</t>
  </si>
  <si>
    <t>MOGR771202HE9</t>
  </si>
  <si>
    <t>AAMT450528NI0</t>
  </si>
  <si>
    <t>BAZA6106176K9</t>
  </si>
  <si>
    <t>AAUR760114I12</t>
  </si>
  <si>
    <t>30001000000500010884</t>
  </si>
  <si>
    <t>30001000000500010885</t>
  </si>
  <si>
    <t>30001000000500010886</t>
  </si>
  <si>
    <t>30001000000500010887</t>
  </si>
  <si>
    <t>30001000000500010888</t>
  </si>
  <si>
    <t>30001000000500010889</t>
  </si>
  <si>
    <t>30001000000500010890</t>
  </si>
  <si>
    <t>30001000000500010891</t>
  </si>
  <si>
    <t>30001000000500010892</t>
  </si>
  <si>
    <t>30001000000500010956</t>
  </si>
  <si>
    <t>30001000000500010951</t>
  </si>
  <si>
    <t>Num serie Receptor</t>
  </si>
  <si>
    <t xml:space="preserve">Resultado </t>
  </si>
  <si>
    <t>Petición Consulta - Primera firma EMISOR-RECEPTOR</t>
  </si>
  <si>
    <t>Petición Consulta - Segunda firma PAC</t>
  </si>
  <si>
    <t>30001000000500003456</t>
  </si>
  <si>
    <t>10-03-2026 18:00:00</t>
  </si>
  <si>
    <t>Peticion Token</t>
  </si>
  <si>
    <t>Response</t>
  </si>
  <si>
    <t>CERT RECEPTOR</t>
  </si>
  <si>
    <t>CERT PAC</t>
  </si>
  <si>
    <t>SELLO RECEPTOR</t>
  </si>
  <si>
    <t>SELLO PAC</t>
  </si>
  <si>
    <t>Aprobado</t>
  </si>
  <si>
    <t>Rechazado</t>
  </si>
  <si>
    <t>300155, 300665</t>
  </si>
  <si>
    <t>300031, 300155, 300665, 300682</t>
  </si>
  <si>
    <t>300031, 300155, 300667</t>
  </si>
  <si>
    <t>300155, 300684</t>
  </si>
  <si>
    <t>300031, 300155, 300665</t>
  </si>
  <si>
    <t>300475, 300155, 300665, 300682</t>
  </si>
  <si>
    <t>626, 616</t>
  </si>
  <si>
    <t>300031, 300155, 300682</t>
  </si>
  <si>
    <t>626, 622</t>
  </si>
  <si>
    <t>626, 612, 605</t>
  </si>
  <si>
    <t>612, 605</t>
  </si>
  <si>
    <t>621, 616</t>
  </si>
  <si>
    <t>30001000000500010977</t>
  </si>
  <si>
    <t>Resultado esperado</t>
  </si>
  <si>
    <t>9, 20, 26, 30, 597, 46, 203, 579</t>
  </si>
  <si>
    <t>300066, 300055, 300030, 300061</t>
  </si>
  <si>
    <t>{
    "rfcEmisor": "QUJJ830623JL0",
    "rfcReceptor": "PEPH660719GP7",
    "rfcPrestador": "SPR190613I52",
    "tipoOperacion": "1",
    "fechaHoraPeticion": "28-04-2026 18:00:00",
    "certReceptor": "",
    "selloReceptor": "",
    "numeroSerieReceptor":"30001000000500010886",
    "certPrestador": "",
    "selloPrestador": "",
    "numeroSeriePrestador": "30001000000500003456",
    "accesToken": ""
}</t>
  </si>
  <si>
    <t>Rechazado porque el emisor esta en listado de Bloqueados</t>
  </si>
  <si>
    <t xml:space="preserve">Rechazado porque esta Cancelado el receptor </t>
  </si>
  <si>
    <t>Rechazado porque el emisor esta en el listado de Cancelados</t>
  </si>
  <si>
    <t>Rechazado porque el receptor esta exluido</t>
  </si>
  <si>
    <t>MIIF5DCCA8ygAwIBAgIUMzAwMDEwMDAwMDA1MDAwMTA4ODk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yMjM0ODA1WhcNMjkxMjAxMjM0ODA1WjCB2TEiMCAGA1UEAxQZQU5BIEJFUlRIQSBCQVJSRVJBIFpV0UlHQTEiMCAGA1UEKRQZQU5BIEJFUlRIQSBCQVJSRVJBIFpV0UlHQTEiMCAGA1UEChQZQU5BIEJFUlRIQSBCQVJSRVJBIFpV0UlHQTELMAkGA1UEBhMCTVgxKTAnBgkqhkiG9w0BCQEWGnBydWViYXMuc2F0QHBydWViYXMuZ29iLm14MRYwFAYDVQQtEw1CQVpBNjEwNjE3Nks5MRswGQYDVQQFExJCQVpBNjEwNjE3TU5MUlhOMDIwggEiMA0GCSqGSIb3DQEBAQUAA4IBDwAwggEKAoIBAQCp2ZJXT9/FokbMzyzVTXA6+4qXf1Sg4o3JpACrYUETpXT2LKP6/pesUqqqjDDENXkaXpA0Bf93O1NDOOjNxQuoMV787+jJqPkN1EQl0nf1WSRMToStgMZ+6VbRI3dee/TbCm2MFtJzR6Vav0MBHroWjR8OSoQ8RWGGR1HX83vl18+y70YbbHo5SlNsmrODB+TR2Dp3A+OHAn3zuoKZD74JxyPhN3i4vKnKbSXZmf4d63/sbDfYRJaEcE/cNWVYNWXIM28J+8vkvKmGR/Vssc4ChJLzKogcDYo0QkNObovnkVnpH9TgrYi5AK7WNgak74hhhz9ZO8XVMc4UFYgOfT/NAgMBAAGjTzBNMAwGA1UdEwEB/wQCMAAwCwYDVR0PBAQDAgPYMBEGCWCGSAGG+EIBAQQEAwIFoDAdBgNVHSUEFjAUBggrBgEFBQcDBAYIKwYBBQUHAwIwDQYJKoZIhvcNAQELBQADggIBAEklNs7hoG1uO/5YnzVkCd97QAm5RrdkDjGCfjxPC1OdnU+bov7xQvuh4PXaKSCtAcHLbLas6qIrwTzZ66meYmZR46YK1eXRNeSqrZ9OTCELTE/Gs20Hj1gNY2dYFv71pGYc1EJafnM0c7rOm7APVD1/4AnNorsjWFya9164CH/ocLTHi0izjGeXGphlC7ZtB/AaaUDEBTr0+D9XXUN1rlZt4aX/n+sLyHhO5NTEPJBPMjqK8UDRnN0Awubr4qK0XZg5SggQYVUFC7Gwfx5viA1NspQ8TvTvSP8Q7oo4vlhhrwvZSj48ZuZoml3e8vWVUBWaB8ehEJQLQPlyavjO8NbWsjJR3bEF5Kfbww8FEOM4x87mqXDMTNY6CyDUf4zpVJGWyYud4QVNjOOZr9oEggZsm6fn3qwhFmdcy4gqwzrd+o5wTdnqQJscgt/OrEVuL235+SoRZk4mrT7sOb/SH+L0m/uGjWstj1JqYGmEfNhm4L2Gk0OcjezBp22gG+P2qQsyFj1z2cfW+M1I4e8QzXqHwpsz5HJA/zwLxMBQc55+zTyPf+BMrD1WJcwPwZrzOb9ZycKfLCQ0+w7+ozI4msQWuJu+kT2DuU5YUzSmpTt72JV8l99zHlVvldL5eY0fS8Zo4YCLPZCPkgvHRrPn35IEjCnj/KyMBmbnxb848F/TAA==</t>
  </si>
  <si>
    <t>MIIF3jCCA8agAwIBAgIUMzAwMDEwMDAwMDA1MDAwMTA4OTA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yMjM1MDIzWhcNMjkxMjAxMjM1MDIzWjCB0zEgMB4GA1UEAxMXQU5BIENBUkxBIEJBUlJFUkEgSVNBSVMxIDAeBgNVBCkTF0FOQSBDQVJMQSBCQVJSRVJBIElTQUlTMSAwHgYDVQQKExdBTkEgQ0FSTEEgQkFSUkVSQSBJU0FJUzELMAkGA1UEBhMCTVgxKTAnBgkqhkiG9w0BCQEWGnBydWViYXMuc2F0QHBydWViYXMuZ29iLm14MRYwFAYDVQQtEw1BQVVSNzYwMTE0STEyMRswGQYDVQQFExJBQVVSNzYwMTE0SFNSTFJOMDgwggEiMA0GCSqGSIb3DQEBAQUAA4IBDwAwggEKAoIBAQC01TxfxZPhKNk+wfuDWKtbvXwxGp5Nrq/ZVDdfANSjekiVAPF/y12wz5+o17P1UQafeqdTgls02sqF5aHHUkt3pIUCxuPP8mSdb7m7ztxcyYXLfUWYdTn5NzNetcQNwGtf9rpAo2IixybFxda9NMeez2mk/8/GKe1aW5kBygh9jCHtXCv4QAny6evoPqxOK15IgLb6Wyn/RbPbqEiHAeZly6vX7mnQdrVsgJM3X+mJM1O7sDlKHpyVe1KYyU+mZeGZaSRj91IsRQpgtvVciChembQkp7F8/t4+suAcFw5L6Le9ACE/IKk1hnOz5DxGEoJGkcmP0THivubkyEceNPkRAgMBAAGjTzBNMAwGA1UdEwEB/wQCMAAwCwYDVR0PBAQDAgPYMBEGCWCGSAGG+EIBAQQEAwIFoDAdBgNVHSUEFjAUBggrBgEFBQcDBAYIKwYBBQUHAwIwDQYJKoZIhvcNAQELBQADggIBAAzGRV22ldfW8l9c7Sn3puo/iOhLJoZBmZHhTm2IgQshnSfTYrV1qkCfJPqV1MwUxn1IRYCsSou5IUsKpeoSvhtX/7x8Agh6lTyCLshSnyGe89mIp7XG8BIQT4VY78tGfz4zsEQWYKswT4DdpF44NUPxxbqsg19OaEKQQZQ0LFz6XlhClfwpUUazF26YW7YNq4mtuv5UZJ4VMPFYu7NU5reSOg9+cZH/fJhojG99imPNejyvN3Ckcg6mpgXpFYFNbIBmvofpQVhKhI5STuD3iFhum7KIMw+sJn8DjjGxUWaiPceim304equGky0+IN/tXQ6wvwGAj5oxRtmLRZ5AktR5KPSkq3dWD6RW7FLdUl4MucYYOP/ma0XSCYQIqfCw+qo/SChBADrwX0MyVlvMLEoGZwBssw0HBoZWZz4t/43h38pWhlZv4jdXamPw85EH9t+MwH3e2pkGFLLl3MWDL7ViUcO5hPH0YpjdSHfsMkd6Tfy3cR69LTAuygPt3MCVTnoEA1lq7MZoMMZgNvlXkfBQwfd2CVa6qNbXi/4p5IGd2aqh36oYbR8pnFPHffhmvLgw1F5dqlT6Z1zigiexh87+p1MsPswXzT0W0AFLs4JEOokv7zMSgE4UOeWecDkRzhj0ugAPr5azLlr+bd9LTXh8PKEAZOuJQcOTKoJUEhf6</t>
  </si>
  <si>
    <t>MIIF0jCCA7qgAwIBAgIUMzAwMDEwMDAwMDA1MDAwMTA4OTE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yMjM1MzQyWhcNMjkxMjAxMjM1MzQyWjCBxzEcMBoGA1UEAxMTQU5BIENFQ0lMSUEgQkFSUkVSQTEcMBoGA1UEKRMTQU5BIENFQ0lMSUEgQkFSUkVSQTEcMBoGA1UEChMTQU5BIENFQ0lMSUEgQkFSUkVSQTELMAkGA1UEBhMCTVgxKTAnBgkqhkiG9w0BCQEWGnBydWViYXMuc2F0QHBydWViYXMuZ29iLm14MRYwFAYDVQQtEw1BQU1MOTIwOTI1RTUwMRswGQYDVQQFExJBQU1MOTIwOTI1SE1DTFJTMDEwggEiMA0GCSqGSIb3DQEBAQUAA4IBDwAwggEKAoIBAQCYoLVW2SqH9n3xZGezBArU0nQMfFCkfdAbmOljsXyZggaGJ1+dWxbbgay3z+jZQUafzlABt1s5QIUDBcRClGmu0U0+Z9lGg77g+l3GLSaBfHdzhe0PJEPaO3uGkeawY/XCr4ic73zRrXK7I9RITqMyuviwLy1cAyZv4+dE/JTEUABOcz5+25Ak60N7XOZvwQNqm8JG2/C+1o8gUxF+U6qLT4+MlaHva3GyZkgp9RBNfRLZoLAdpyKq/xPRgaCpTTLtVUrPJqcu+k0PYbb3mg/klWksYfAaPlJgCF99t4LKmym9Bw44xTsBAzsxKQjC8E5uwplH84+QgKTLq8G/J9ZJAgMBAAGjTzBNMAwGA1UdEwEB/wQCMAAwCwYDVR0PBAQDAgPYMBEGCWCGSAGG+EIBAQQEAwIFoDAdBgNVHSUEFjAUBggrBgEFBQcDBAYIKwYBBQUHAwIwDQYJKoZIhvcNAQELBQADggIBACFEmDCoZTNBNr4o3mdDm+GZUSuvKF/WFKXZSn3Q9l7aaBBqXrd3GTDc2srhgHzyMBWRaz8OS68j/SiVuotId0xQkW1MOpumsbk0GE02CEHR2uCiip00rH670zjMLl9ZokiUnR6JRBcAoSUQikWmhXcyrQwnFm5UKOcJk53oQNMSvBBz5rd/ACtpcxngN2sYubrKNmqrYKwBZv963gFA+lPFjQ1QUSm0LviMhFgGugb3Kec08RA4c7qzGndNsky+fSP0UdCcUoE/q7g0ENkrWyPCbK2f5MDyZMe5qMLvjz8b4Qz6VwS0JeYQ12NQpua/m/UhQsv9IMtNikv3YZIsGN95JHkBgOZrzxQXT066MlEY8vvWmVT5abC5Iz5zFqiZz+jqXIKTDMj5LbKlOwAFiiIiP3tgASPvc6ZbSpj1BkoLWu+LeKVgEaMX/03OsE25a/aLlOlJkqII7gIR4QbRDptobfBqaKmv7hLwUlcIr0TFX05Q7jzGML9wyhYz6e4rFYox0gG4waP1ptb5aCOvBncJBed23xY0yY6zRdN0f4z1fibe+BaOVEN7jhLPITuUdGSL9GBySW1ubfWzurEdYpAKHPhlg8MPIb3a74HNYIeryjD+Z452Hn0UCfEB5UpFZdDwfcxunwAb2nGZeN0YerOmJDJuCGjXhrmvEvMyUl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</si>
</sst>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8"/>
      <color theme="1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4"/>
      <color theme="1"/>
      <name val="Aptos Black"/>
      <family val="2"/>
    </font>
    <font>
      <b/>
      <sz val="16"/>
      <name val="Aptos Black"/>
      <family val="2"/>
    </font>
    <font>
      <b/>
      <sz val="10"/>
      <color theme="1"/>
      <name val="Aptos Black"/>
      <family val="2"/>
    </font>
    <font>
      <b/>
      <sz val="16"/>
      <name val="Aptos Black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rgb="FFBFBFBF"/>
      </patternFill>
    </fill>
    <fill>
      <patternFill patternType="solid">
        <fgColor rgb="FF92D050"/>
        <bgColor rgb="FFAEAAAA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5" fillId="2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0" fontId="3" fillId="0" borderId="0" xfId="0" applyFont="1" applyAlignment="1">
      <alignment horizontal="left"/>
    </xf>
    <xf numFmtId="0" fontId="4" fillId="3" borderId="3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3" fontId="6" fillId="5" borderId="1" xfId="0" applyNumberFormat="1" applyFont="1" applyFill="1" applyBorder="1" applyAlignment="1">
      <alignment horizontal="left" vertical="center" wrapText="1"/>
    </xf>
    <xf numFmtId="0" fontId="4" fillId="0" borderId="1" xfId="0" applyFont="1" applyBorder="1"/>
    <xf numFmtId="0" fontId="7" fillId="6" borderId="0" xfId="0" applyFont="1" applyFill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/>
    <xf numFmtId="0" fontId="10" fillId="7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0" borderId="1" xfId="0" quotePrefix="1" applyBorder="1"/>
    <xf numFmtId="0" fontId="11" fillId="9" borderId="1" xfId="0" applyFont="1" applyFill="1" applyBorder="1" applyAlignment="1">
      <alignment vertical="center"/>
    </xf>
    <xf numFmtId="49" fontId="0" fillId="0" borderId="0" xfId="0" applyNumberFormat="1"/>
    <xf numFmtId="49" fontId="0" fillId="0" borderId="0" xfId="0" applyNumberFormat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9" fillId="11" borderId="4" xfId="0" applyFont="1" applyFill="1" applyBorder="1" applyAlignment="1">
      <alignment vertical="center"/>
    </xf>
    <xf numFmtId="0" fontId="0" fillId="1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quotePrefix="1" applyBorder="1" applyAlignment="1">
      <alignment horizontal="center" vertical="center"/>
    </xf>
    <xf numFmtId="0" fontId="0" fillId="13" borderId="1" xfId="0" applyFill="1" applyBorder="1" applyAlignment="1">
      <alignment horizontal="center" vertical="center" wrapText="1"/>
    </xf>
    <xf numFmtId="0" fontId="1" fillId="0" borderId="0" xfId="1" applyAlignment="1">
      <alignment horizontal="center"/>
    </xf>
    <xf numFmtId="0" fontId="2" fillId="0" borderId="0" xfId="1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icencia Office" id="{1DAFA04E-8A08-4FD5-B4AE-5E98A6FCFCA2}" userId="S::licencia_sat_19@syesoftware.com::6bce23be-3bbd-45af-87a4-cb64ba9b7836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5" dT="2025-07-29T19:21:01.86" personId="{1DAFA04E-8A08-4FD5-B4AE-5E98A6FCFCA2}" id="{793327C0-2C86-457E-B9C6-AC78A14842F8}">
    <text>Se agrega 884</text>
  </threadedComment>
  <threadedComment ref="G112" dT="2025-07-29T19:23:26.15" personId="{1DAFA04E-8A08-4FD5-B4AE-5E98A6FCFCA2}" id="{24D3C258-9E52-4BAE-9B8A-A2FAD2BA80B6}">
    <text>Se agrega 1132</text>
  </threadedComment>
  <threadedComment ref="G116" dT="2025-07-29T23:13:32.83" personId="{1DAFA04E-8A08-4FD5-B4AE-5E98A6FCFCA2}" id="{64154E85-ECC9-45DE-8CD4-98E56445B9BE}">
    <text>Se agrega 632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euat.siat.sat.gob.mx/app/PE/faces/index.jsp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F56C4-0C54-406E-8EE7-130936900B2C}">
  <sheetPr codeName="Hoja2"/>
  <dimension ref="A1:J125"/>
  <sheetViews>
    <sheetView zoomScale="110" zoomScaleNormal="110" workbookViewId="0">
      <pane xSplit="2" ySplit="2" topLeftCell="C5" activePane="bottomRight" state="frozen"/>
      <selection pane="topRight" activeCell="B1" sqref="B1"/>
      <selection pane="bottomLeft" activeCell="A3" sqref="A3"/>
      <selection pane="bottomRight" activeCell="B82" sqref="B82"/>
    </sheetView>
  </sheetViews>
  <sheetFormatPr baseColWidth="10" defaultColWidth="43.54296875" defaultRowHeight="10.5" x14ac:dyDescent="0.25"/>
  <cols>
    <col min="1" max="1" width="1.08984375" style="1" customWidth="1"/>
    <col min="2" max="2" width="12.36328125" style="1" customWidth="1"/>
    <col min="3" max="3" width="10.81640625" style="1" customWidth="1"/>
    <col min="4" max="4" width="6.1796875" style="10" customWidth="1"/>
    <col min="5" max="5" width="21.1796875" style="10" customWidth="1"/>
    <col min="6" max="6" width="12.453125" style="10" customWidth="1"/>
    <col min="7" max="7" width="12.36328125" style="10" bestFit="1" customWidth="1"/>
    <col min="8" max="8" width="3.1796875" style="1" customWidth="1"/>
    <col min="9" max="9" width="16.1796875" style="1" customWidth="1"/>
    <col min="10" max="16384" width="43.54296875" style="1"/>
  </cols>
  <sheetData>
    <row r="1" spans="1:10" ht="14.5" customHeight="1" x14ac:dyDescent="0.35">
      <c r="A1" s="37" t="s">
        <v>88</v>
      </c>
      <c r="B1" s="38"/>
      <c r="C1" s="38"/>
      <c r="D1" s="38"/>
      <c r="E1" s="38"/>
      <c r="F1" s="38"/>
      <c r="G1" s="38"/>
      <c r="H1" s="38"/>
    </row>
    <row r="2" spans="1:10" ht="24.5" customHeight="1" x14ac:dyDescent="0.25">
      <c r="B2" s="4" t="s">
        <v>0</v>
      </c>
      <c r="C2" s="5" t="s">
        <v>89</v>
      </c>
      <c r="D2" s="11" t="s">
        <v>1</v>
      </c>
      <c r="E2" s="11" t="s">
        <v>90</v>
      </c>
      <c r="F2" s="11" t="s">
        <v>91</v>
      </c>
      <c r="G2" s="11" t="s">
        <v>92</v>
      </c>
      <c r="H2" s="5"/>
      <c r="I2" s="11" t="s">
        <v>285</v>
      </c>
    </row>
    <row r="3" spans="1:10" x14ac:dyDescent="0.25">
      <c r="B3" s="6" t="s">
        <v>84</v>
      </c>
      <c r="C3" s="7" t="s">
        <v>36</v>
      </c>
      <c r="D3" s="12">
        <v>621</v>
      </c>
      <c r="E3" s="12">
        <v>300665</v>
      </c>
      <c r="F3" s="12">
        <v>2</v>
      </c>
      <c r="G3" s="12">
        <v>30</v>
      </c>
      <c r="H3" s="8"/>
      <c r="I3" s="3"/>
    </row>
    <row r="4" spans="1:10" x14ac:dyDescent="0.25">
      <c r="B4" s="6" t="s">
        <v>93</v>
      </c>
      <c r="C4" s="7" t="s">
        <v>36</v>
      </c>
      <c r="D4" s="12">
        <v>612</v>
      </c>
      <c r="E4" s="12" t="s">
        <v>153</v>
      </c>
      <c r="F4" s="12">
        <v>3</v>
      </c>
      <c r="G4" s="12">
        <v>1</v>
      </c>
      <c r="H4" s="8"/>
      <c r="I4" s="3"/>
    </row>
    <row r="5" spans="1:10" ht="21" x14ac:dyDescent="0.25">
      <c r="B5" s="6" t="s">
        <v>74</v>
      </c>
      <c r="C5" s="7" t="s">
        <v>36</v>
      </c>
      <c r="D5" s="12">
        <v>626</v>
      </c>
      <c r="E5" s="12" t="s">
        <v>154</v>
      </c>
      <c r="F5" s="12"/>
      <c r="G5" s="12">
        <v>884</v>
      </c>
      <c r="H5" s="8"/>
      <c r="I5" s="3"/>
    </row>
    <row r="6" spans="1:10" x14ac:dyDescent="0.25">
      <c r="B6" s="6" t="s">
        <v>85</v>
      </c>
      <c r="C6" s="7" t="s">
        <v>36</v>
      </c>
      <c r="D6" s="12">
        <v>621</v>
      </c>
      <c r="E6" s="12" t="s">
        <v>156</v>
      </c>
      <c r="F6" s="12" t="s">
        <v>155</v>
      </c>
      <c r="G6" s="12">
        <v>90</v>
      </c>
      <c r="H6" s="8"/>
      <c r="I6" s="3"/>
    </row>
    <row r="7" spans="1:10" ht="21" x14ac:dyDescent="0.25">
      <c r="B7" s="6" t="s">
        <v>25</v>
      </c>
      <c r="C7" s="7" t="s">
        <v>36</v>
      </c>
      <c r="D7" s="12">
        <v>603</v>
      </c>
      <c r="E7" s="12" t="s">
        <v>158</v>
      </c>
      <c r="F7" s="12" t="s">
        <v>157</v>
      </c>
      <c r="G7" s="12">
        <v>1113</v>
      </c>
      <c r="H7" s="8" t="s">
        <v>44</v>
      </c>
      <c r="I7" s="3" t="s">
        <v>43</v>
      </c>
    </row>
    <row r="8" spans="1:10" s="2" customFormat="1" x14ac:dyDescent="0.25">
      <c r="B8" s="6" t="s">
        <v>94</v>
      </c>
      <c r="C8" s="7" t="s">
        <v>36</v>
      </c>
      <c r="D8" s="12">
        <v>621</v>
      </c>
      <c r="E8" s="12" t="s">
        <v>159</v>
      </c>
      <c r="F8" s="12"/>
      <c r="G8" s="12">
        <v>909</v>
      </c>
      <c r="H8" s="8"/>
      <c r="I8" s="14"/>
      <c r="J8" s="1"/>
    </row>
    <row r="9" spans="1:10" s="2" customFormat="1" x14ac:dyDescent="0.25">
      <c r="B9" s="6" t="s">
        <v>77</v>
      </c>
      <c r="C9" s="7" t="s">
        <v>36</v>
      </c>
      <c r="D9" s="12">
        <v>605</v>
      </c>
      <c r="E9" s="12" t="s">
        <v>160</v>
      </c>
      <c r="F9" s="12"/>
      <c r="G9" s="12">
        <v>1091</v>
      </c>
      <c r="H9" s="8"/>
      <c r="I9" s="14"/>
      <c r="J9" s="1"/>
    </row>
    <row r="10" spans="1:10" s="2" customFormat="1" x14ac:dyDescent="0.25">
      <c r="B10" s="6" t="s">
        <v>96</v>
      </c>
      <c r="C10" s="7" t="s">
        <v>36</v>
      </c>
      <c r="D10" s="12">
        <v>605</v>
      </c>
      <c r="E10" s="12" t="s">
        <v>160</v>
      </c>
      <c r="F10" s="12"/>
      <c r="G10" s="12">
        <v>898</v>
      </c>
      <c r="H10" s="8"/>
      <c r="I10" s="14"/>
      <c r="J10" s="1"/>
    </row>
    <row r="11" spans="1:10" s="2" customFormat="1" x14ac:dyDescent="0.25">
      <c r="B11" s="6" t="s">
        <v>97</v>
      </c>
      <c r="C11" s="7" t="s">
        <v>36</v>
      </c>
      <c r="D11" s="12">
        <v>605</v>
      </c>
      <c r="E11" s="12" t="s">
        <v>160</v>
      </c>
      <c r="F11" s="12"/>
      <c r="G11" s="12" t="s">
        <v>98</v>
      </c>
      <c r="H11" s="8"/>
      <c r="I11" s="14"/>
      <c r="J11" s="1"/>
    </row>
    <row r="12" spans="1:10" s="2" customFormat="1" x14ac:dyDescent="0.25">
      <c r="B12" s="6" t="s">
        <v>99</v>
      </c>
      <c r="C12" s="7" t="s">
        <v>36</v>
      </c>
      <c r="D12" s="12">
        <v>612</v>
      </c>
      <c r="E12" s="12" t="s">
        <v>95</v>
      </c>
      <c r="F12" s="12"/>
      <c r="G12" s="12">
        <v>632</v>
      </c>
      <c r="H12" s="8"/>
      <c r="I12" s="14"/>
      <c r="J12" s="1"/>
    </row>
    <row r="13" spans="1:10" s="2" customFormat="1" x14ac:dyDescent="0.25">
      <c r="B13" s="6" t="s">
        <v>100</v>
      </c>
      <c r="C13" s="7" t="s">
        <v>36</v>
      </c>
      <c r="D13" s="12">
        <v>612</v>
      </c>
      <c r="E13" s="12" t="s">
        <v>161</v>
      </c>
      <c r="F13" s="12"/>
      <c r="G13" s="12">
        <v>632</v>
      </c>
      <c r="H13" s="8"/>
      <c r="I13" s="14"/>
      <c r="J13" s="1"/>
    </row>
    <row r="14" spans="1:10" ht="31.5" x14ac:dyDescent="0.25">
      <c r="B14" s="6" t="s">
        <v>101</v>
      </c>
      <c r="C14" s="7" t="s">
        <v>48</v>
      </c>
      <c r="D14" s="13" t="s">
        <v>102</v>
      </c>
      <c r="E14" s="12" t="s">
        <v>163</v>
      </c>
      <c r="F14" s="12" t="s">
        <v>162</v>
      </c>
      <c r="G14" s="12" t="s">
        <v>288</v>
      </c>
      <c r="H14" s="8"/>
      <c r="I14" s="3"/>
    </row>
    <row r="15" spans="1:10" x14ac:dyDescent="0.25">
      <c r="B15" s="6" t="s">
        <v>103</v>
      </c>
      <c r="C15" s="7" t="s">
        <v>36</v>
      </c>
      <c r="D15" s="12" t="s">
        <v>104</v>
      </c>
      <c r="E15" s="12" t="s">
        <v>164</v>
      </c>
      <c r="F15" s="12"/>
      <c r="G15" s="12">
        <v>1</v>
      </c>
      <c r="H15" s="8"/>
      <c r="I15" s="3"/>
    </row>
    <row r="16" spans="1:10" s="2" customFormat="1" x14ac:dyDescent="0.25">
      <c r="B16" s="6" t="s">
        <v>75</v>
      </c>
      <c r="C16" s="7" t="s">
        <v>36</v>
      </c>
      <c r="D16" s="12" t="s">
        <v>105</v>
      </c>
      <c r="E16" s="12" t="s">
        <v>165</v>
      </c>
      <c r="F16" s="12">
        <v>3</v>
      </c>
      <c r="G16" s="12">
        <v>797</v>
      </c>
      <c r="H16" s="8"/>
      <c r="I16" s="14"/>
      <c r="J16" s="1"/>
    </row>
    <row r="17" spans="2:10" s="2" customFormat="1" x14ac:dyDescent="0.25">
      <c r="B17" s="6" t="s">
        <v>12</v>
      </c>
      <c r="C17" s="7" t="s">
        <v>36</v>
      </c>
      <c r="D17" s="12">
        <v>616</v>
      </c>
      <c r="E17" s="12" t="s">
        <v>257</v>
      </c>
      <c r="F17" s="12"/>
      <c r="G17" s="12">
        <v>83</v>
      </c>
      <c r="H17" s="8"/>
      <c r="I17" s="14"/>
      <c r="J17" s="1"/>
    </row>
    <row r="18" spans="2:10" s="2" customFormat="1" x14ac:dyDescent="0.25">
      <c r="B18" s="6" t="s">
        <v>55</v>
      </c>
      <c r="C18" s="7" t="s">
        <v>36</v>
      </c>
      <c r="D18" s="12">
        <v>605</v>
      </c>
      <c r="E18" s="12" t="s">
        <v>166</v>
      </c>
      <c r="F18" s="12"/>
      <c r="G18" s="12">
        <v>258</v>
      </c>
      <c r="H18" s="8"/>
      <c r="I18" s="14"/>
      <c r="J18" s="1"/>
    </row>
    <row r="19" spans="2:10" s="2" customFormat="1" ht="21" x14ac:dyDescent="0.25">
      <c r="B19" s="6" t="s">
        <v>47</v>
      </c>
      <c r="C19" s="8" t="s">
        <v>106</v>
      </c>
      <c r="D19" s="12">
        <v>621</v>
      </c>
      <c r="E19" s="12" t="s">
        <v>168</v>
      </c>
      <c r="F19" s="12" t="s">
        <v>167</v>
      </c>
      <c r="G19" s="12" t="s">
        <v>107</v>
      </c>
      <c r="H19" s="8"/>
      <c r="I19" s="14"/>
      <c r="J19" s="1"/>
    </row>
    <row r="20" spans="2:10" s="2" customFormat="1" x14ac:dyDescent="0.25">
      <c r="B20" s="6" t="s">
        <v>56</v>
      </c>
      <c r="C20" s="7" t="s">
        <v>36</v>
      </c>
      <c r="D20" s="12">
        <v>608</v>
      </c>
      <c r="E20" s="12" t="s">
        <v>169</v>
      </c>
      <c r="F20" s="12"/>
      <c r="G20" s="12"/>
      <c r="H20" s="8"/>
      <c r="I20" s="14"/>
      <c r="J20" s="1"/>
    </row>
    <row r="21" spans="2:10" s="2" customFormat="1" x14ac:dyDescent="0.25">
      <c r="B21" s="6" t="s">
        <v>57</v>
      </c>
      <c r="C21" s="7" t="s">
        <v>36</v>
      </c>
      <c r="D21" s="12">
        <v>616</v>
      </c>
      <c r="E21" s="12" t="s">
        <v>170</v>
      </c>
      <c r="F21" s="12"/>
      <c r="G21" s="12"/>
      <c r="H21" s="8"/>
      <c r="I21" s="14"/>
      <c r="J21" s="1"/>
    </row>
    <row r="22" spans="2:10" s="2" customFormat="1" x14ac:dyDescent="0.25">
      <c r="B22" s="6" t="s">
        <v>58</v>
      </c>
      <c r="C22" s="7" t="s">
        <v>36</v>
      </c>
      <c r="D22" s="12" t="s">
        <v>108</v>
      </c>
      <c r="E22" s="12" t="s">
        <v>171</v>
      </c>
      <c r="F22" s="12"/>
      <c r="G22" s="12"/>
      <c r="H22" s="8"/>
      <c r="I22" s="14"/>
      <c r="J22" s="1"/>
    </row>
    <row r="23" spans="2:10" s="2" customFormat="1" ht="21" x14ac:dyDescent="0.25">
      <c r="B23" s="6" t="s">
        <v>59</v>
      </c>
      <c r="C23" s="7" t="s">
        <v>36</v>
      </c>
      <c r="D23" s="12">
        <v>612</v>
      </c>
      <c r="E23" s="12" t="s">
        <v>173</v>
      </c>
      <c r="F23" s="12" t="s">
        <v>172</v>
      </c>
      <c r="G23" s="12">
        <v>632</v>
      </c>
      <c r="H23" s="8"/>
      <c r="I23" s="14"/>
      <c r="J23" s="1"/>
    </row>
    <row r="24" spans="2:10" s="2" customFormat="1" x14ac:dyDescent="0.25">
      <c r="B24" s="6" t="s">
        <v>60</v>
      </c>
      <c r="C24" s="7" t="s">
        <v>36</v>
      </c>
      <c r="D24" s="12">
        <v>612</v>
      </c>
      <c r="E24" s="12" t="s">
        <v>175</v>
      </c>
      <c r="F24" s="12" t="s">
        <v>174</v>
      </c>
      <c r="G24" s="12">
        <v>632</v>
      </c>
      <c r="H24" s="8"/>
      <c r="I24" s="14"/>
      <c r="J24" s="1"/>
    </row>
    <row r="25" spans="2:10" s="2" customFormat="1" x14ac:dyDescent="0.25">
      <c r="B25" s="6" t="s">
        <v>61</v>
      </c>
      <c r="C25" s="7" t="s">
        <v>36</v>
      </c>
      <c r="D25" s="12">
        <v>612</v>
      </c>
      <c r="E25" s="12" t="s">
        <v>109</v>
      </c>
      <c r="F25" s="12">
        <v>9</v>
      </c>
      <c r="G25" s="12">
        <v>664</v>
      </c>
      <c r="H25" s="8"/>
      <c r="I25" s="14"/>
      <c r="J25" s="1"/>
    </row>
    <row r="26" spans="2:10" s="2" customFormat="1" x14ac:dyDescent="0.25">
      <c r="B26" s="6" t="s">
        <v>76</v>
      </c>
      <c r="C26" s="7" t="s">
        <v>36</v>
      </c>
      <c r="D26" s="12">
        <v>606</v>
      </c>
      <c r="E26" s="12" t="s">
        <v>176</v>
      </c>
      <c r="F26" s="12"/>
      <c r="G26" s="12">
        <v>122</v>
      </c>
      <c r="H26" s="8"/>
      <c r="I26" s="14"/>
      <c r="J26" s="1"/>
    </row>
    <row r="27" spans="2:10" s="2" customFormat="1" x14ac:dyDescent="0.25">
      <c r="B27" s="6" t="s">
        <v>62</v>
      </c>
      <c r="C27" s="7" t="s">
        <v>36</v>
      </c>
      <c r="D27" s="12" t="s">
        <v>110</v>
      </c>
      <c r="E27" s="12" t="s">
        <v>176</v>
      </c>
      <c r="F27" s="12"/>
      <c r="G27" s="12">
        <v>131</v>
      </c>
      <c r="H27" s="8"/>
      <c r="I27" s="14"/>
      <c r="J27" s="1"/>
    </row>
    <row r="28" spans="2:10" s="2" customFormat="1" x14ac:dyDescent="0.25">
      <c r="B28" s="6" t="s">
        <v>272</v>
      </c>
      <c r="C28" s="7" t="s">
        <v>36</v>
      </c>
      <c r="D28" s="12">
        <v>612</v>
      </c>
      <c r="E28" s="12" t="s">
        <v>176</v>
      </c>
      <c r="F28" s="12"/>
      <c r="G28" s="12">
        <v>909</v>
      </c>
      <c r="H28" s="8"/>
      <c r="I28" s="14"/>
      <c r="J28" s="1"/>
    </row>
    <row r="29" spans="2:10" s="2" customFormat="1" x14ac:dyDescent="0.25">
      <c r="B29" s="6" t="s">
        <v>63</v>
      </c>
      <c r="C29" s="7" t="s">
        <v>36</v>
      </c>
      <c r="D29" s="12">
        <v>605</v>
      </c>
      <c r="E29" s="12" t="s">
        <v>177</v>
      </c>
      <c r="F29" s="12"/>
      <c r="G29" s="12">
        <v>923</v>
      </c>
      <c r="H29" s="8"/>
      <c r="I29" s="14"/>
      <c r="J29" s="1"/>
    </row>
    <row r="30" spans="2:10" s="2" customFormat="1" x14ac:dyDescent="0.25">
      <c r="B30" s="6" t="s">
        <v>64</v>
      </c>
      <c r="C30" s="7" t="s">
        <v>36</v>
      </c>
      <c r="D30" s="12">
        <v>605</v>
      </c>
      <c r="E30" s="12" t="s">
        <v>177</v>
      </c>
      <c r="F30" s="12"/>
      <c r="G30" s="12">
        <v>923</v>
      </c>
      <c r="H30" s="8"/>
      <c r="I30" s="14"/>
      <c r="J30" s="1"/>
    </row>
    <row r="31" spans="2:10" s="2" customFormat="1" ht="21" x14ac:dyDescent="0.25">
      <c r="B31" s="6" t="s">
        <v>275</v>
      </c>
      <c r="C31" s="7" t="s">
        <v>36</v>
      </c>
      <c r="D31" s="12" t="s">
        <v>111</v>
      </c>
      <c r="E31" s="12" t="s">
        <v>178</v>
      </c>
      <c r="F31" s="12"/>
      <c r="G31" s="12" t="s">
        <v>112</v>
      </c>
      <c r="H31" s="8"/>
      <c r="I31" s="14"/>
      <c r="J31" s="1"/>
    </row>
    <row r="32" spans="2:10" ht="21" x14ac:dyDescent="0.25">
      <c r="B32" s="6" t="s">
        <v>276</v>
      </c>
      <c r="C32" s="7" t="s">
        <v>36</v>
      </c>
      <c r="D32" s="12">
        <v>621</v>
      </c>
      <c r="E32" s="12" t="s">
        <v>179</v>
      </c>
      <c r="F32" s="13">
        <v>738735</v>
      </c>
      <c r="G32" s="12">
        <v>632</v>
      </c>
      <c r="H32" s="8"/>
      <c r="I32" s="3"/>
    </row>
    <row r="33" spans="2:10" s="2" customFormat="1" ht="21" x14ac:dyDescent="0.25">
      <c r="B33" s="6" t="s">
        <v>49</v>
      </c>
      <c r="C33" s="7" t="s">
        <v>48</v>
      </c>
      <c r="D33" s="12">
        <v>612</v>
      </c>
      <c r="E33" s="13" t="s">
        <v>180</v>
      </c>
      <c r="F33" s="12"/>
      <c r="G33" s="12">
        <v>632</v>
      </c>
      <c r="H33" s="8"/>
      <c r="I33" s="14"/>
      <c r="J33" s="1"/>
    </row>
    <row r="34" spans="2:10" s="2" customFormat="1" ht="21" x14ac:dyDescent="0.25">
      <c r="B34" s="6" t="s">
        <v>65</v>
      </c>
      <c r="C34" s="7" t="s">
        <v>36</v>
      </c>
      <c r="D34" s="12">
        <v>626</v>
      </c>
      <c r="E34" s="12" t="s">
        <v>181</v>
      </c>
      <c r="F34" s="12"/>
      <c r="G34" s="12">
        <v>1</v>
      </c>
      <c r="H34" s="8"/>
      <c r="I34" s="14"/>
      <c r="J34" s="1"/>
    </row>
    <row r="35" spans="2:10" s="2" customFormat="1" x14ac:dyDescent="0.25">
      <c r="B35" s="6" t="s">
        <v>66</v>
      </c>
      <c r="C35" s="7" t="s">
        <v>36</v>
      </c>
      <c r="D35" s="12">
        <v>606</v>
      </c>
      <c r="E35" s="12" t="s">
        <v>182</v>
      </c>
      <c r="F35" s="12"/>
      <c r="G35" s="12">
        <v>652</v>
      </c>
      <c r="H35" s="8"/>
      <c r="I35" s="14"/>
      <c r="J35" s="1"/>
    </row>
    <row r="36" spans="2:10" s="2" customFormat="1" x14ac:dyDescent="0.25">
      <c r="B36" s="6" t="s">
        <v>67</v>
      </c>
      <c r="C36" s="7" t="s">
        <v>36</v>
      </c>
      <c r="D36" s="12">
        <v>612</v>
      </c>
      <c r="E36" s="12" t="s">
        <v>184</v>
      </c>
      <c r="F36" s="12" t="s">
        <v>183</v>
      </c>
      <c r="G36" s="12">
        <v>94</v>
      </c>
      <c r="H36" s="8"/>
      <c r="I36" s="14"/>
      <c r="J36" s="1"/>
    </row>
    <row r="37" spans="2:10" s="2" customFormat="1" x14ac:dyDescent="0.25">
      <c r="B37" s="6" t="s">
        <v>68</v>
      </c>
      <c r="C37" s="7" t="s">
        <v>36</v>
      </c>
      <c r="D37" s="12">
        <v>606</v>
      </c>
      <c r="E37" s="12" t="s">
        <v>185</v>
      </c>
      <c r="F37" s="12">
        <v>3</v>
      </c>
      <c r="G37" s="12">
        <v>907</v>
      </c>
      <c r="H37" s="8"/>
      <c r="I37" s="14"/>
      <c r="J37" s="1"/>
    </row>
    <row r="38" spans="2:10" s="2" customFormat="1" ht="21" x14ac:dyDescent="0.25">
      <c r="B38" s="6" t="s">
        <v>69</v>
      </c>
      <c r="C38" s="7" t="s">
        <v>36</v>
      </c>
      <c r="D38" s="12">
        <v>612</v>
      </c>
      <c r="E38" s="12" t="s">
        <v>187</v>
      </c>
      <c r="F38" s="12" t="s">
        <v>186</v>
      </c>
      <c r="G38" s="12">
        <v>909</v>
      </c>
      <c r="H38" s="8"/>
      <c r="I38" s="14"/>
      <c r="J38" s="1"/>
    </row>
    <row r="39" spans="2:10" s="2" customFormat="1" x14ac:dyDescent="0.25">
      <c r="B39" s="6" t="s">
        <v>50</v>
      </c>
      <c r="C39" s="7" t="s">
        <v>48</v>
      </c>
      <c r="D39" s="12">
        <v>606</v>
      </c>
      <c r="E39" s="12" t="s">
        <v>188</v>
      </c>
      <c r="F39" s="12"/>
      <c r="G39" s="12">
        <v>664</v>
      </c>
      <c r="H39" s="8"/>
      <c r="I39" s="14"/>
      <c r="J39" s="1"/>
    </row>
    <row r="40" spans="2:10" s="2" customFormat="1" x14ac:dyDescent="0.25">
      <c r="B40" s="6" t="s">
        <v>70</v>
      </c>
      <c r="C40" s="7" t="s">
        <v>36</v>
      </c>
      <c r="D40" s="12">
        <v>606</v>
      </c>
      <c r="E40" s="12" t="s">
        <v>188</v>
      </c>
      <c r="F40" s="12"/>
      <c r="G40" s="12">
        <v>405</v>
      </c>
      <c r="H40" s="8"/>
      <c r="I40" s="14"/>
      <c r="J40" s="1"/>
    </row>
    <row r="41" spans="2:10" s="2" customFormat="1" x14ac:dyDescent="0.25">
      <c r="B41" s="6" t="s">
        <v>71</v>
      </c>
      <c r="C41" s="7" t="s">
        <v>36</v>
      </c>
      <c r="D41" s="12">
        <v>606</v>
      </c>
      <c r="E41" s="12" t="s">
        <v>188</v>
      </c>
      <c r="F41" s="12"/>
      <c r="G41" s="12">
        <v>450</v>
      </c>
      <c r="H41" s="8"/>
      <c r="I41" s="14"/>
      <c r="J41" s="1"/>
    </row>
    <row r="42" spans="2:10" s="2" customFormat="1" x14ac:dyDescent="0.25">
      <c r="B42" s="6" t="s">
        <v>72</v>
      </c>
      <c r="C42" s="7" t="s">
        <v>36</v>
      </c>
      <c r="D42" s="12">
        <v>621</v>
      </c>
      <c r="E42" s="12" t="s">
        <v>189</v>
      </c>
      <c r="F42" s="13">
        <v>738735</v>
      </c>
      <c r="G42" s="12">
        <v>632</v>
      </c>
      <c r="H42" s="8"/>
      <c r="I42" s="14"/>
      <c r="J42" s="1"/>
    </row>
    <row r="43" spans="2:10" s="2" customFormat="1" ht="21" x14ac:dyDescent="0.25">
      <c r="B43" s="6" t="s">
        <v>73</v>
      </c>
      <c r="C43" s="7" t="s">
        <v>36</v>
      </c>
      <c r="D43" s="12">
        <v>621</v>
      </c>
      <c r="E43" s="12" t="s">
        <v>190</v>
      </c>
      <c r="F43" s="12"/>
      <c r="G43" s="12">
        <v>632</v>
      </c>
      <c r="H43" s="8"/>
      <c r="I43" s="14"/>
      <c r="J43" s="1"/>
    </row>
    <row r="44" spans="2:10" s="2" customFormat="1" ht="21" x14ac:dyDescent="0.25">
      <c r="B44" s="6" t="s">
        <v>26</v>
      </c>
      <c r="C44" s="7" t="s">
        <v>36</v>
      </c>
      <c r="D44" s="12">
        <v>601</v>
      </c>
      <c r="E44" s="12" t="s">
        <v>192</v>
      </c>
      <c r="F44" s="12" t="s">
        <v>191</v>
      </c>
      <c r="G44" s="12">
        <v>849</v>
      </c>
      <c r="H44" s="8" t="s">
        <v>44</v>
      </c>
      <c r="I44" s="14" t="s">
        <v>43</v>
      </c>
      <c r="J44" s="1"/>
    </row>
    <row r="45" spans="2:10" s="2" customFormat="1" ht="31.5" x14ac:dyDescent="0.25">
      <c r="B45" s="6" t="s">
        <v>27</v>
      </c>
      <c r="C45" s="7" t="s">
        <v>36</v>
      </c>
      <c r="D45" s="12">
        <v>601</v>
      </c>
      <c r="E45" s="12" t="s">
        <v>194</v>
      </c>
      <c r="F45" s="12" t="s">
        <v>193</v>
      </c>
      <c r="G45" s="12">
        <v>2223</v>
      </c>
      <c r="H45" s="8" t="s">
        <v>44</v>
      </c>
      <c r="I45" s="14"/>
      <c r="J45" s="1"/>
    </row>
    <row r="46" spans="2:10" s="2" customFormat="1" ht="21" x14ac:dyDescent="0.25">
      <c r="B46" s="6" t="s">
        <v>28</v>
      </c>
      <c r="C46" s="7" t="s">
        <v>36</v>
      </c>
      <c r="D46" s="12">
        <v>601</v>
      </c>
      <c r="E46" s="12" t="s">
        <v>196</v>
      </c>
      <c r="F46" s="12" t="s">
        <v>195</v>
      </c>
      <c r="G46" s="12">
        <v>131</v>
      </c>
      <c r="H46" s="8" t="s">
        <v>44</v>
      </c>
      <c r="I46" s="14"/>
      <c r="J46" s="1"/>
    </row>
    <row r="47" spans="2:10" s="2" customFormat="1" ht="21" x14ac:dyDescent="0.25">
      <c r="B47" s="6" t="s">
        <v>29</v>
      </c>
      <c r="C47" s="7" t="s">
        <v>36</v>
      </c>
      <c r="D47" s="12">
        <v>601</v>
      </c>
      <c r="E47" s="12" t="s">
        <v>198</v>
      </c>
      <c r="F47" s="12" t="s">
        <v>197</v>
      </c>
      <c r="G47" s="12">
        <v>909</v>
      </c>
      <c r="H47" s="8" t="s">
        <v>44</v>
      </c>
      <c r="I47" s="14"/>
      <c r="J47" s="1"/>
    </row>
    <row r="48" spans="2:10" s="2" customFormat="1" ht="31.5" x14ac:dyDescent="0.25">
      <c r="B48" s="6" t="s">
        <v>30</v>
      </c>
      <c r="C48" s="7" t="s">
        <v>36</v>
      </c>
      <c r="D48" s="12">
        <v>601</v>
      </c>
      <c r="E48" s="12" t="s">
        <v>200</v>
      </c>
      <c r="F48" s="12" t="s">
        <v>199</v>
      </c>
      <c r="G48" s="12" t="s">
        <v>113</v>
      </c>
      <c r="H48" s="8" t="s">
        <v>44</v>
      </c>
      <c r="I48" s="14"/>
      <c r="J48" s="1"/>
    </row>
    <row r="49" spans="2:10" s="2" customFormat="1" ht="31.5" x14ac:dyDescent="0.25">
      <c r="B49" s="6" t="s">
        <v>31</v>
      </c>
      <c r="C49" s="7" t="s">
        <v>36</v>
      </c>
      <c r="D49" s="12">
        <v>601</v>
      </c>
      <c r="E49" s="13">
        <v>3.0048330006630001E+29</v>
      </c>
      <c r="F49" s="12" t="s">
        <v>201</v>
      </c>
      <c r="G49" s="12">
        <v>753</v>
      </c>
      <c r="H49" s="8" t="s">
        <v>44</v>
      </c>
      <c r="I49" s="14"/>
      <c r="J49" s="1"/>
    </row>
    <row r="50" spans="2:10" s="2" customFormat="1" ht="31.5" x14ac:dyDescent="0.25">
      <c r="B50" s="6" t="s">
        <v>32</v>
      </c>
      <c r="C50" s="7" t="s">
        <v>36</v>
      </c>
      <c r="D50" s="12">
        <v>601</v>
      </c>
      <c r="E50" s="12" t="s">
        <v>203</v>
      </c>
      <c r="F50" s="12" t="s">
        <v>202</v>
      </c>
      <c r="G50" s="12">
        <v>595</v>
      </c>
      <c r="H50" s="8" t="s">
        <v>44</v>
      </c>
      <c r="I50" s="14"/>
      <c r="J50" s="1"/>
    </row>
    <row r="51" spans="2:10" s="2" customFormat="1" ht="21" x14ac:dyDescent="0.25">
      <c r="B51" s="6" t="s">
        <v>33</v>
      </c>
      <c r="C51" s="7" t="s">
        <v>36</v>
      </c>
      <c r="D51" s="12">
        <v>601</v>
      </c>
      <c r="E51" s="12" t="s">
        <v>205</v>
      </c>
      <c r="F51" s="12" t="s">
        <v>204</v>
      </c>
      <c r="G51" s="12">
        <v>632</v>
      </c>
      <c r="H51" s="8" t="s">
        <v>44</v>
      </c>
      <c r="I51" s="14"/>
      <c r="J51" s="1"/>
    </row>
    <row r="52" spans="2:10" s="2" customFormat="1" ht="31.5" x14ac:dyDescent="0.25">
      <c r="B52" s="6" t="s">
        <v>34</v>
      </c>
      <c r="C52" s="7" t="s">
        <v>36</v>
      </c>
      <c r="D52" s="12">
        <v>603</v>
      </c>
      <c r="E52" s="12" t="s">
        <v>207</v>
      </c>
      <c r="F52" s="13" t="s">
        <v>206</v>
      </c>
      <c r="G52" s="12">
        <v>632</v>
      </c>
      <c r="H52" s="8" t="s">
        <v>44</v>
      </c>
      <c r="I52" s="14"/>
      <c r="J52" s="1"/>
    </row>
    <row r="53" spans="2:10" s="2" customFormat="1" x14ac:dyDescent="0.25">
      <c r="B53" s="6" t="s">
        <v>78</v>
      </c>
      <c r="C53" s="7" t="s">
        <v>36</v>
      </c>
      <c r="D53" s="12" t="s">
        <v>114</v>
      </c>
      <c r="E53" s="12" t="s">
        <v>182</v>
      </c>
      <c r="F53" s="12"/>
      <c r="G53" s="12">
        <v>1122</v>
      </c>
      <c r="H53" s="8"/>
      <c r="I53" s="14"/>
      <c r="J53" s="1"/>
    </row>
    <row r="54" spans="2:10" s="2" customFormat="1" x14ac:dyDescent="0.25">
      <c r="B54" s="6" t="s">
        <v>115</v>
      </c>
      <c r="C54" s="7" t="s">
        <v>36</v>
      </c>
      <c r="D54" s="12" t="s">
        <v>114</v>
      </c>
      <c r="E54" s="12" t="s">
        <v>182</v>
      </c>
      <c r="F54" s="12"/>
      <c r="G54" s="12">
        <v>355</v>
      </c>
      <c r="H54" s="8"/>
      <c r="I54" s="14"/>
      <c r="J54" s="1"/>
    </row>
    <row r="55" spans="2:10" s="2" customFormat="1" x14ac:dyDescent="0.25">
      <c r="B55" s="6" t="s">
        <v>79</v>
      </c>
      <c r="C55" s="7" t="s">
        <v>36</v>
      </c>
      <c r="D55" s="12" t="s">
        <v>114</v>
      </c>
      <c r="E55" s="12" t="s">
        <v>208</v>
      </c>
      <c r="F55" s="12"/>
      <c r="G55" s="12"/>
      <c r="H55" s="8"/>
      <c r="I55" s="14"/>
      <c r="J55" s="1"/>
    </row>
    <row r="56" spans="2:10" s="2" customFormat="1" x14ac:dyDescent="0.25">
      <c r="B56" s="6" t="s">
        <v>116</v>
      </c>
      <c r="C56" s="7" t="s">
        <v>36</v>
      </c>
      <c r="D56" s="12">
        <v>611</v>
      </c>
      <c r="E56" s="12" t="s">
        <v>182</v>
      </c>
      <c r="F56" s="12"/>
      <c r="G56" s="12" t="s">
        <v>117</v>
      </c>
      <c r="H56" s="8"/>
      <c r="I56" s="14"/>
      <c r="J56" s="1"/>
    </row>
    <row r="57" spans="2:10" s="2" customFormat="1" x14ac:dyDescent="0.25">
      <c r="B57" s="6" t="s">
        <v>118</v>
      </c>
      <c r="C57" s="7" t="s">
        <v>36</v>
      </c>
      <c r="D57" s="12">
        <v>611</v>
      </c>
      <c r="E57" s="12" t="s">
        <v>209</v>
      </c>
      <c r="F57" s="12"/>
      <c r="G57" s="12"/>
      <c r="H57" s="8"/>
      <c r="I57" s="14"/>
      <c r="J57" s="1"/>
    </row>
    <row r="58" spans="2:10" s="2" customFormat="1" x14ac:dyDescent="0.25">
      <c r="B58" s="6" t="s">
        <v>119</v>
      </c>
      <c r="C58" s="7" t="s">
        <v>36</v>
      </c>
      <c r="D58" s="12">
        <v>611</v>
      </c>
      <c r="E58" s="12">
        <v>300155</v>
      </c>
      <c r="F58" s="12"/>
      <c r="G58" s="12"/>
      <c r="H58" s="8"/>
      <c r="I58" s="14"/>
      <c r="J58" s="1"/>
    </row>
    <row r="59" spans="2:10" s="2" customFormat="1" x14ac:dyDescent="0.25">
      <c r="B59" s="6" t="s">
        <v>120</v>
      </c>
      <c r="C59" s="7" t="s">
        <v>36</v>
      </c>
      <c r="D59" s="12">
        <v>611</v>
      </c>
      <c r="E59" s="12" t="s">
        <v>210</v>
      </c>
      <c r="F59" s="12"/>
      <c r="G59" s="12"/>
      <c r="H59" s="8"/>
      <c r="I59" s="14"/>
      <c r="J59" s="1"/>
    </row>
    <row r="60" spans="2:10" s="2" customFormat="1" x14ac:dyDescent="0.25">
      <c r="B60" s="6" t="s">
        <v>121</v>
      </c>
      <c r="C60" s="7" t="s">
        <v>36</v>
      </c>
      <c r="D60" s="12" t="s">
        <v>104</v>
      </c>
      <c r="E60" s="12" t="s">
        <v>211</v>
      </c>
      <c r="F60" s="12"/>
      <c r="G60" s="12">
        <v>907</v>
      </c>
      <c r="H60" s="8"/>
      <c r="I60" s="14"/>
      <c r="J60" s="1"/>
    </row>
    <row r="61" spans="2:10" s="2" customFormat="1" x14ac:dyDescent="0.25">
      <c r="B61" s="6" t="s">
        <v>122</v>
      </c>
      <c r="C61" s="7" t="s">
        <v>36</v>
      </c>
      <c r="D61" s="12" t="s">
        <v>104</v>
      </c>
      <c r="E61" s="12" t="s">
        <v>211</v>
      </c>
      <c r="F61" s="12"/>
      <c r="G61" s="12" t="s">
        <v>123</v>
      </c>
      <c r="H61" s="8"/>
      <c r="I61" s="14"/>
      <c r="J61" s="1"/>
    </row>
    <row r="62" spans="2:10" s="2" customFormat="1" x14ac:dyDescent="0.25">
      <c r="B62" s="6" t="s">
        <v>124</v>
      </c>
      <c r="C62" s="7" t="s">
        <v>36</v>
      </c>
      <c r="D62" s="12">
        <v>614</v>
      </c>
      <c r="E62" s="12" t="s">
        <v>212</v>
      </c>
      <c r="F62" s="12"/>
      <c r="G62" s="12" t="s">
        <v>125</v>
      </c>
      <c r="H62" s="8"/>
      <c r="I62" s="14"/>
      <c r="J62" s="1"/>
    </row>
    <row r="63" spans="2:10" s="2" customFormat="1" x14ac:dyDescent="0.25">
      <c r="B63" s="6" t="s">
        <v>126</v>
      </c>
      <c r="C63" s="7" t="s">
        <v>36</v>
      </c>
      <c r="D63" s="12">
        <v>614</v>
      </c>
      <c r="E63" s="12" t="s">
        <v>213</v>
      </c>
      <c r="F63" s="12"/>
      <c r="G63" s="12">
        <v>876</v>
      </c>
      <c r="H63" s="8"/>
      <c r="I63" s="14"/>
      <c r="J63" s="1"/>
    </row>
    <row r="64" spans="2:10" s="2" customFormat="1" x14ac:dyDescent="0.25">
      <c r="B64" s="6" t="s">
        <v>80</v>
      </c>
      <c r="C64" s="7" t="s">
        <v>36</v>
      </c>
      <c r="D64" s="12">
        <v>614</v>
      </c>
      <c r="E64" s="12" t="s">
        <v>214</v>
      </c>
      <c r="F64" s="12"/>
      <c r="G64" s="12">
        <v>450</v>
      </c>
      <c r="H64" s="8"/>
      <c r="I64" s="14"/>
      <c r="J64" s="1"/>
    </row>
    <row r="65" spans="2:10" s="2" customFormat="1" x14ac:dyDescent="0.25">
      <c r="B65" s="6" t="s">
        <v>81</v>
      </c>
      <c r="C65" s="7" t="s">
        <v>36</v>
      </c>
      <c r="D65" s="12">
        <v>614</v>
      </c>
      <c r="E65" s="12" t="s">
        <v>214</v>
      </c>
      <c r="F65" s="12"/>
      <c r="G65" s="12" t="s">
        <v>127</v>
      </c>
      <c r="H65" s="8"/>
      <c r="I65" s="14"/>
      <c r="J65" s="1"/>
    </row>
    <row r="66" spans="2:10" s="2" customFormat="1" x14ac:dyDescent="0.25">
      <c r="B66" s="6" t="s">
        <v>82</v>
      </c>
      <c r="C66" s="7" t="s">
        <v>36</v>
      </c>
      <c r="D66" s="12" t="s">
        <v>108</v>
      </c>
      <c r="E66" s="12" t="s">
        <v>215</v>
      </c>
      <c r="F66" s="12"/>
      <c r="G66" s="12"/>
      <c r="H66" s="8"/>
      <c r="I66" s="14"/>
      <c r="J66" s="1"/>
    </row>
    <row r="67" spans="2:10" s="2" customFormat="1" x14ac:dyDescent="0.25">
      <c r="B67" s="6" t="s">
        <v>128</v>
      </c>
      <c r="C67" s="7" t="s">
        <v>36</v>
      </c>
      <c r="D67" s="12" t="s">
        <v>108</v>
      </c>
      <c r="E67" s="12" t="s">
        <v>216</v>
      </c>
      <c r="F67" s="12"/>
      <c r="G67" s="12"/>
      <c r="H67" s="8"/>
      <c r="I67" s="14"/>
      <c r="J67" s="1"/>
    </row>
    <row r="68" spans="2:10" s="2" customFormat="1" x14ac:dyDescent="0.25">
      <c r="B68" s="6" t="s">
        <v>129</v>
      </c>
      <c r="C68" s="7" t="s">
        <v>36</v>
      </c>
      <c r="D68" s="12" t="s">
        <v>130</v>
      </c>
      <c r="E68" s="12" t="s">
        <v>217</v>
      </c>
      <c r="F68" s="12"/>
      <c r="G68" s="12" t="s">
        <v>131</v>
      </c>
      <c r="H68" s="8"/>
      <c r="I68" s="14"/>
      <c r="J68" s="1"/>
    </row>
    <row r="69" spans="2:10" s="2" customFormat="1" x14ac:dyDescent="0.25">
      <c r="B69" s="6" t="s">
        <v>132</v>
      </c>
      <c r="C69" s="7" t="s">
        <v>36</v>
      </c>
      <c r="D69" s="12">
        <v>615</v>
      </c>
      <c r="E69" s="12"/>
      <c r="F69" s="12"/>
      <c r="G69" s="12" t="s">
        <v>117</v>
      </c>
      <c r="H69" s="8"/>
      <c r="I69" s="14"/>
      <c r="J69" s="1"/>
    </row>
    <row r="70" spans="2:10" s="2" customFormat="1" x14ac:dyDescent="0.25">
      <c r="B70" s="6" t="s">
        <v>133</v>
      </c>
      <c r="C70" s="7" t="s">
        <v>36</v>
      </c>
      <c r="D70" s="12" t="s">
        <v>130</v>
      </c>
      <c r="E70" s="12" t="s">
        <v>210</v>
      </c>
      <c r="F70" s="12"/>
      <c r="G70" s="12" t="s">
        <v>134</v>
      </c>
      <c r="H70" s="8"/>
      <c r="I70" s="14"/>
      <c r="J70" s="1"/>
    </row>
    <row r="71" spans="2:10" s="2" customFormat="1" x14ac:dyDescent="0.25">
      <c r="B71" s="6" t="s">
        <v>135</v>
      </c>
      <c r="C71" s="7" t="s">
        <v>36</v>
      </c>
      <c r="D71" s="12">
        <v>615</v>
      </c>
      <c r="E71" s="12">
        <v>300155</v>
      </c>
      <c r="F71" s="12"/>
      <c r="G71" s="12" t="s">
        <v>134</v>
      </c>
      <c r="H71" s="8"/>
      <c r="I71" s="14"/>
      <c r="J71" s="1"/>
    </row>
    <row r="72" spans="2:10" s="2" customFormat="1" ht="21" x14ac:dyDescent="0.25">
      <c r="B72" s="6" t="s">
        <v>83</v>
      </c>
      <c r="C72" s="7" t="s">
        <v>36</v>
      </c>
      <c r="D72" s="12">
        <v>607</v>
      </c>
      <c r="E72" s="12" t="s">
        <v>218</v>
      </c>
      <c r="F72" s="12">
        <v>203</v>
      </c>
      <c r="G72" s="12" t="s">
        <v>136</v>
      </c>
      <c r="H72" s="8"/>
      <c r="I72" s="14"/>
      <c r="J72" s="1"/>
    </row>
    <row r="73" spans="2:10" s="2" customFormat="1" x14ac:dyDescent="0.25">
      <c r="B73" s="6" t="s">
        <v>137</v>
      </c>
      <c r="C73" s="7" t="s">
        <v>36</v>
      </c>
      <c r="D73" s="12">
        <v>621</v>
      </c>
      <c r="E73" s="12" t="s">
        <v>219</v>
      </c>
      <c r="F73" s="12" t="s">
        <v>155</v>
      </c>
      <c r="G73" s="12" t="s">
        <v>138</v>
      </c>
      <c r="H73" s="8"/>
      <c r="I73" s="14"/>
      <c r="J73" s="1"/>
    </row>
    <row r="74" spans="2:10" s="2" customFormat="1" ht="21" x14ac:dyDescent="0.25">
      <c r="B74" s="6" t="s">
        <v>86</v>
      </c>
      <c r="C74" s="7" t="s">
        <v>36</v>
      </c>
      <c r="D74" s="12" t="s">
        <v>139</v>
      </c>
      <c r="E74" s="12" t="s">
        <v>220</v>
      </c>
      <c r="F74" s="12">
        <v>735</v>
      </c>
      <c r="G74" s="12" t="s">
        <v>140</v>
      </c>
      <c r="H74" s="8"/>
      <c r="I74" s="14"/>
      <c r="J74" s="1"/>
    </row>
    <row r="75" spans="2:10" s="2" customFormat="1" ht="21" x14ac:dyDescent="0.25">
      <c r="B75" s="6" t="s">
        <v>141</v>
      </c>
      <c r="C75" s="7" t="s">
        <v>36</v>
      </c>
      <c r="D75" s="12">
        <v>626</v>
      </c>
      <c r="E75" s="12" t="s">
        <v>221</v>
      </c>
      <c r="F75" s="12"/>
      <c r="G75" s="12">
        <v>117</v>
      </c>
      <c r="H75" s="8"/>
      <c r="I75" s="14"/>
      <c r="J75" s="1"/>
    </row>
    <row r="76" spans="2:10" s="2" customFormat="1" ht="21" x14ac:dyDescent="0.25">
      <c r="B76" s="6" t="s">
        <v>142</v>
      </c>
      <c r="C76" s="7" t="s">
        <v>36</v>
      </c>
      <c r="D76" s="12">
        <v>626</v>
      </c>
      <c r="E76" s="12" t="s">
        <v>222</v>
      </c>
      <c r="F76" s="12"/>
      <c r="G76" s="12" t="s">
        <v>107</v>
      </c>
      <c r="H76" s="8"/>
      <c r="I76" s="14"/>
      <c r="J76" s="1"/>
    </row>
    <row r="77" spans="2:10" s="2" customFormat="1" ht="21" x14ac:dyDescent="0.25">
      <c r="B77" s="6" t="s">
        <v>87</v>
      </c>
      <c r="C77" s="7" t="s">
        <v>36</v>
      </c>
      <c r="D77" s="12">
        <v>626</v>
      </c>
      <c r="E77" s="12" t="s">
        <v>224</v>
      </c>
      <c r="F77" s="12" t="s">
        <v>223</v>
      </c>
      <c r="G77" s="12" t="s">
        <v>143</v>
      </c>
      <c r="H77" s="8"/>
      <c r="I77" s="14"/>
      <c r="J77" s="1"/>
    </row>
    <row r="78" spans="2:10" s="2" customFormat="1" ht="21" x14ac:dyDescent="0.25">
      <c r="B78" s="6" t="s">
        <v>144</v>
      </c>
      <c r="C78" s="7" t="s">
        <v>36</v>
      </c>
      <c r="D78" s="12">
        <v>626</v>
      </c>
      <c r="E78" s="12" t="s">
        <v>225</v>
      </c>
      <c r="F78" s="12"/>
      <c r="G78" s="12">
        <v>434</v>
      </c>
      <c r="H78" s="8"/>
      <c r="I78" s="14"/>
      <c r="J78" s="1"/>
    </row>
    <row r="79" spans="2:10" s="2" customFormat="1" ht="21" x14ac:dyDescent="0.25">
      <c r="B79" s="6" t="s">
        <v>145</v>
      </c>
      <c r="C79" s="7" t="s">
        <v>36</v>
      </c>
      <c r="D79" s="12">
        <v>626</v>
      </c>
      <c r="E79" s="12" t="s">
        <v>225</v>
      </c>
      <c r="F79" s="12"/>
      <c r="G79" s="12">
        <v>632</v>
      </c>
      <c r="H79" s="8"/>
      <c r="I79" s="14"/>
      <c r="J79" s="1"/>
    </row>
    <row r="80" spans="2:10" s="2" customFormat="1" ht="21" x14ac:dyDescent="0.25">
      <c r="B80" s="6" t="s">
        <v>146</v>
      </c>
      <c r="C80" s="7" t="s">
        <v>36</v>
      </c>
      <c r="D80" s="12">
        <v>626</v>
      </c>
      <c r="E80" s="12" t="s">
        <v>226</v>
      </c>
      <c r="F80" s="12">
        <v>3</v>
      </c>
      <c r="G80" s="12">
        <v>632</v>
      </c>
      <c r="H80" s="8"/>
      <c r="I80" s="14"/>
      <c r="J80" s="1"/>
    </row>
    <row r="81" spans="2:10" s="2" customFormat="1" ht="21" x14ac:dyDescent="0.25">
      <c r="B81" s="6" t="s">
        <v>6</v>
      </c>
      <c r="C81" s="7" t="s">
        <v>36</v>
      </c>
      <c r="D81" s="12" t="s">
        <v>147</v>
      </c>
      <c r="E81" s="12" t="s">
        <v>228</v>
      </c>
      <c r="F81" s="12" t="s">
        <v>227</v>
      </c>
      <c r="G81" s="12" t="s">
        <v>287</v>
      </c>
      <c r="H81" s="8"/>
      <c r="I81" s="14"/>
      <c r="J81" s="1"/>
    </row>
    <row r="82" spans="2:10" s="2" customFormat="1" ht="21" x14ac:dyDescent="0.25">
      <c r="B82" s="6" t="s">
        <v>148</v>
      </c>
      <c r="C82" s="7" t="s">
        <v>36</v>
      </c>
      <c r="D82" s="12">
        <v>621</v>
      </c>
      <c r="E82" s="12" t="s">
        <v>230</v>
      </c>
      <c r="F82" s="12" t="s">
        <v>229</v>
      </c>
      <c r="G82" s="12" t="s">
        <v>149</v>
      </c>
      <c r="H82" s="8"/>
      <c r="I82" s="14"/>
      <c r="J82" s="1"/>
    </row>
    <row r="83" spans="2:10" s="2" customFormat="1" x14ac:dyDescent="0.25">
      <c r="B83" s="6" t="s">
        <v>150</v>
      </c>
      <c r="C83" s="7" t="s">
        <v>36</v>
      </c>
      <c r="D83" s="12">
        <v>605</v>
      </c>
      <c r="E83" s="12" t="s">
        <v>231</v>
      </c>
      <c r="F83" s="12">
        <v>3</v>
      </c>
      <c r="G83" s="12" t="s">
        <v>151</v>
      </c>
      <c r="H83" s="8"/>
      <c r="I83" s="14"/>
      <c r="J83" s="1"/>
    </row>
    <row r="84" spans="2:10" s="2" customFormat="1" ht="31.5" x14ac:dyDescent="0.25">
      <c r="B84" s="6" t="s">
        <v>152</v>
      </c>
      <c r="C84" s="7" t="s">
        <v>36</v>
      </c>
      <c r="D84" s="12" t="s">
        <v>98</v>
      </c>
      <c r="E84" s="12" t="s">
        <v>233</v>
      </c>
      <c r="F84" s="12" t="s">
        <v>232</v>
      </c>
      <c r="G84" s="12">
        <v>675</v>
      </c>
      <c r="H84" s="8" t="s">
        <v>44</v>
      </c>
      <c r="I84" s="14"/>
      <c r="J84" s="1"/>
    </row>
    <row r="85" spans="2:10" s="2" customFormat="1" x14ac:dyDescent="0.25">
      <c r="B85" s="6" t="s">
        <v>2</v>
      </c>
      <c r="C85" s="7" t="s">
        <v>36</v>
      </c>
      <c r="D85" s="12">
        <v>622</v>
      </c>
      <c r="E85" s="12">
        <v>300155</v>
      </c>
      <c r="F85" s="12"/>
      <c r="G85" s="12">
        <v>83</v>
      </c>
      <c r="H85" s="8"/>
      <c r="I85" s="14" t="s">
        <v>286</v>
      </c>
      <c r="J85" s="1"/>
    </row>
    <row r="86" spans="2:10" s="2" customFormat="1" x14ac:dyDescent="0.25">
      <c r="B86" s="6" t="s">
        <v>7</v>
      </c>
      <c r="C86" s="7" t="s">
        <v>36</v>
      </c>
      <c r="D86" s="12" t="s">
        <v>234</v>
      </c>
      <c r="E86" s="12" t="s">
        <v>235</v>
      </c>
      <c r="F86" s="12"/>
      <c r="G86" s="12">
        <v>2307</v>
      </c>
      <c r="H86" s="8"/>
      <c r="I86" s="14" t="s">
        <v>37</v>
      </c>
      <c r="J86" s="1"/>
    </row>
    <row r="87" spans="2:10" s="2" customFormat="1" x14ac:dyDescent="0.25">
      <c r="B87" s="6" t="s">
        <v>13</v>
      </c>
      <c r="C87" s="7" t="s">
        <v>36</v>
      </c>
      <c r="D87" s="12" t="s">
        <v>110</v>
      </c>
      <c r="E87" s="12" t="s">
        <v>236</v>
      </c>
      <c r="F87" s="12"/>
      <c r="G87" s="12">
        <v>491</v>
      </c>
      <c r="H87" s="8"/>
      <c r="I87" s="14" t="s">
        <v>37</v>
      </c>
      <c r="J87" s="1"/>
    </row>
    <row r="88" spans="2:10" s="2" customFormat="1" x14ac:dyDescent="0.25">
      <c r="B88" s="6" t="s">
        <v>14</v>
      </c>
      <c r="C88" s="7" t="s">
        <v>36</v>
      </c>
      <c r="D88" s="12">
        <v>605</v>
      </c>
      <c r="E88" s="12" t="s">
        <v>236</v>
      </c>
      <c r="F88" s="12"/>
      <c r="G88" s="12">
        <v>907</v>
      </c>
      <c r="H88" s="8"/>
      <c r="I88" s="14" t="s">
        <v>37</v>
      </c>
      <c r="J88" s="1"/>
    </row>
    <row r="89" spans="2:10" s="2" customFormat="1" x14ac:dyDescent="0.25">
      <c r="B89" s="6" t="s">
        <v>38</v>
      </c>
      <c r="C89" s="7" t="s">
        <v>36</v>
      </c>
      <c r="D89" s="12" t="s">
        <v>110</v>
      </c>
      <c r="E89" s="12" t="s">
        <v>236</v>
      </c>
      <c r="F89" s="12"/>
      <c r="G89" s="12">
        <v>405</v>
      </c>
      <c r="H89" s="8"/>
      <c r="I89" s="14" t="s">
        <v>37</v>
      </c>
      <c r="J89" s="1"/>
    </row>
    <row r="90" spans="2:10" s="2" customFormat="1" x14ac:dyDescent="0.25">
      <c r="B90" s="6" t="s">
        <v>39</v>
      </c>
      <c r="C90" s="7" t="s">
        <v>36</v>
      </c>
      <c r="D90" s="12" t="s">
        <v>114</v>
      </c>
      <c r="E90" s="12" t="s">
        <v>237</v>
      </c>
      <c r="F90" s="12"/>
      <c r="G90" s="12" t="s">
        <v>238</v>
      </c>
      <c r="H90" s="8"/>
      <c r="I90" s="14" t="s">
        <v>37</v>
      </c>
      <c r="J90" s="1"/>
    </row>
    <row r="91" spans="2:10" s="2" customFormat="1" ht="21" x14ac:dyDescent="0.25">
      <c r="B91" s="6" t="s">
        <v>40</v>
      </c>
      <c r="C91" s="7" t="s">
        <v>36</v>
      </c>
      <c r="D91" s="12" t="s">
        <v>110</v>
      </c>
      <c r="E91" s="12" t="s">
        <v>239</v>
      </c>
      <c r="F91" s="12"/>
      <c r="G91" s="12">
        <v>907</v>
      </c>
      <c r="H91" s="8"/>
      <c r="I91" s="14" t="s">
        <v>41</v>
      </c>
      <c r="J91" s="1"/>
    </row>
    <row r="92" spans="2:10" s="2" customFormat="1" ht="21" x14ac:dyDescent="0.25">
      <c r="B92" s="6" t="s">
        <v>42</v>
      </c>
      <c r="C92" s="7" t="s">
        <v>240</v>
      </c>
      <c r="D92" s="12" t="s">
        <v>241</v>
      </c>
      <c r="E92" s="12" t="s">
        <v>243</v>
      </c>
      <c r="F92" s="12" t="s">
        <v>242</v>
      </c>
      <c r="G92" s="12" t="s">
        <v>244</v>
      </c>
      <c r="H92" s="8"/>
      <c r="I92" s="14" t="s">
        <v>41</v>
      </c>
      <c r="J92" s="1"/>
    </row>
    <row r="93" spans="2:10" s="2" customFormat="1" x14ac:dyDescent="0.25">
      <c r="B93" s="6" t="s">
        <v>9</v>
      </c>
      <c r="C93" s="7" t="s">
        <v>36</v>
      </c>
      <c r="D93" s="12">
        <v>605</v>
      </c>
      <c r="E93" s="12" t="s">
        <v>245</v>
      </c>
      <c r="F93" s="12"/>
      <c r="G93" s="12">
        <v>525</v>
      </c>
      <c r="H93" s="8"/>
      <c r="I93" s="14" t="s">
        <v>41</v>
      </c>
      <c r="J93" s="1"/>
    </row>
    <row r="94" spans="2:10" s="2" customFormat="1" x14ac:dyDescent="0.25">
      <c r="B94" s="6" t="s">
        <v>10</v>
      </c>
      <c r="C94" s="7" t="s">
        <v>36</v>
      </c>
      <c r="D94" s="12" t="s">
        <v>110</v>
      </c>
      <c r="E94" s="12" t="s">
        <v>182</v>
      </c>
      <c r="F94" s="12"/>
      <c r="G94" s="12">
        <v>131</v>
      </c>
      <c r="H94" s="8"/>
      <c r="I94" s="9" t="s">
        <v>41</v>
      </c>
      <c r="J94" s="1"/>
    </row>
    <row r="95" spans="2:10" s="2" customFormat="1" x14ac:dyDescent="0.25">
      <c r="B95" s="6" t="s">
        <v>45</v>
      </c>
      <c r="C95" s="7" t="s">
        <v>36</v>
      </c>
      <c r="D95" s="12">
        <v>605</v>
      </c>
      <c r="E95" s="12" t="s">
        <v>246</v>
      </c>
      <c r="F95" s="12"/>
      <c r="G95" s="12" t="s">
        <v>247</v>
      </c>
      <c r="H95" s="8"/>
      <c r="I95" s="14" t="s">
        <v>43</v>
      </c>
      <c r="J95" s="1"/>
    </row>
    <row r="96" spans="2:10" s="2" customFormat="1" x14ac:dyDescent="0.25">
      <c r="B96" s="6" t="s">
        <v>46</v>
      </c>
      <c r="C96" s="7" t="s">
        <v>36</v>
      </c>
      <c r="D96" s="12" t="s">
        <v>110</v>
      </c>
      <c r="E96" s="12" t="s">
        <v>217</v>
      </c>
      <c r="F96" s="12">
        <v>3</v>
      </c>
      <c r="G96" s="12" t="s">
        <v>248</v>
      </c>
      <c r="H96" s="8"/>
      <c r="I96" s="14" t="s">
        <v>43</v>
      </c>
      <c r="J96" s="1"/>
    </row>
    <row r="97" spans="2:10" s="2" customFormat="1" x14ac:dyDescent="0.25">
      <c r="B97" s="6" t="s">
        <v>35</v>
      </c>
      <c r="C97" s="7" t="s">
        <v>249</v>
      </c>
      <c r="D97" s="12"/>
      <c r="E97" s="12"/>
      <c r="F97" s="12"/>
      <c r="G97" s="12"/>
      <c r="H97" s="8"/>
      <c r="I97" s="14"/>
      <c r="J97" s="1"/>
    </row>
    <row r="98" spans="2:10" s="2" customFormat="1" x14ac:dyDescent="0.25">
      <c r="B98" s="6" t="s">
        <v>51</v>
      </c>
      <c r="C98" s="7" t="s">
        <v>52</v>
      </c>
      <c r="D98" s="12"/>
      <c r="E98" s="12"/>
      <c r="F98" s="12"/>
      <c r="G98" s="12"/>
      <c r="H98" s="8"/>
      <c r="I98" s="14"/>
      <c r="J98" s="1"/>
    </row>
    <row r="99" spans="2:10" s="2" customFormat="1" x14ac:dyDescent="0.25">
      <c r="B99" s="6" t="s">
        <v>3</v>
      </c>
      <c r="C99" s="7" t="s">
        <v>36</v>
      </c>
      <c r="D99" s="12">
        <v>605</v>
      </c>
      <c r="E99" s="12" t="s">
        <v>250</v>
      </c>
      <c r="F99" s="12">
        <v>3</v>
      </c>
      <c r="G99" s="12">
        <v>1112</v>
      </c>
      <c r="H99" s="8"/>
      <c r="I99" s="14"/>
      <c r="J99" s="1"/>
    </row>
    <row r="100" spans="2:10" s="2" customFormat="1" x14ac:dyDescent="0.25">
      <c r="B100" s="6" t="s">
        <v>4</v>
      </c>
      <c r="C100" s="7" t="s">
        <v>36</v>
      </c>
      <c r="D100" s="12" t="s">
        <v>139</v>
      </c>
      <c r="E100" s="12" t="s">
        <v>252</v>
      </c>
      <c r="F100" s="12" t="s">
        <v>251</v>
      </c>
      <c r="G100" s="12">
        <v>695</v>
      </c>
      <c r="H100" s="8"/>
      <c r="I100" s="14"/>
      <c r="J100" s="1"/>
    </row>
    <row r="101" spans="2:10" s="2" customFormat="1" ht="21" x14ac:dyDescent="0.25">
      <c r="B101" s="6" t="s">
        <v>5</v>
      </c>
      <c r="C101" s="7" t="s">
        <v>36</v>
      </c>
      <c r="D101" s="12" t="s">
        <v>253</v>
      </c>
      <c r="E101" s="12" t="s">
        <v>254</v>
      </c>
      <c r="F101" s="12"/>
      <c r="G101" s="12">
        <v>42</v>
      </c>
      <c r="H101" s="8"/>
      <c r="I101" s="14"/>
      <c r="J101" s="1"/>
    </row>
    <row r="102" spans="2:10" s="2" customFormat="1" x14ac:dyDescent="0.25">
      <c r="B102" s="6" t="s">
        <v>8</v>
      </c>
      <c r="C102" s="7" t="s">
        <v>36</v>
      </c>
      <c r="D102" s="12">
        <v>616</v>
      </c>
      <c r="E102" s="12" t="s">
        <v>255</v>
      </c>
      <c r="F102" s="12"/>
      <c r="G102" s="12"/>
      <c r="H102" s="8"/>
      <c r="I102" s="14"/>
      <c r="J102" s="1"/>
    </row>
    <row r="103" spans="2:10" s="2" customFormat="1" ht="21" x14ac:dyDescent="0.25">
      <c r="B103" s="6" t="s">
        <v>11</v>
      </c>
      <c r="C103" s="7" t="s">
        <v>36</v>
      </c>
      <c r="D103" s="12" t="s">
        <v>110</v>
      </c>
      <c r="E103" s="12" t="s">
        <v>211</v>
      </c>
      <c r="F103" s="12"/>
      <c r="G103" s="12" t="s">
        <v>256</v>
      </c>
      <c r="H103" s="8"/>
      <c r="I103" s="14"/>
      <c r="J103" s="1"/>
    </row>
    <row r="104" spans="2:10" x14ac:dyDescent="0.25">
      <c r="B104" s="6" t="s">
        <v>12</v>
      </c>
      <c r="C104" s="7" t="s">
        <v>36</v>
      </c>
      <c r="D104" s="12">
        <v>616</v>
      </c>
      <c r="E104" s="12" t="s">
        <v>257</v>
      </c>
      <c r="F104" s="12"/>
      <c r="G104" s="12">
        <v>83</v>
      </c>
      <c r="H104" s="8"/>
      <c r="I104" s="3"/>
    </row>
    <row r="105" spans="2:10" s="2" customFormat="1" ht="31.5" x14ac:dyDescent="0.25">
      <c r="B105" s="6" t="s">
        <v>53</v>
      </c>
      <c r="C105" s="7" t="s">
        <v>36</v>
      </c>
      <c r="D105" s="12" t="s">
        <v>253</v>
      </c>
      <c r="E105" s="12" t="s">
        <v>258</v>
      </c>
      <c r="F105" s="12">
        <v>203</v>
      </c>
      <c r="G105" s="12" t="s">
        <v>259</v>
      </c>
      <c r="H105" s="8"/>
      <c r="I105" s="14"/>
      <c r="J105" s="1"/>
    </row>
    <row r="106" spans="2:10" s="2" customFormat="1" x14ac:dyDescent="0.25">
      <c r="B106" s="6" t="s">
        <v>15</v>
      </c>
      <c r="C106" s="7" t="s">
        <v>36</v>
      </c>
      <c r="D106" s="12" t="s">
        <v>108</v>
      </c>
      <c r="E106" s="12" t="s">
        <v>209</v>
      </c>
      <c r="F106" s="12"/>
      <c r="G106" s="12"/>
      <c r="H106" s="8"/>
      <c r="I106" s="14"/>
      <c r="J106" s="1"/>
    </row>
    <row r="107" spans="2:10" s="2" customFormat="1" x14ac:dyDescent="0.25">
      <c r="B107" s="6" t="s">
        <v>16</v>
      </c>
      <c r="C107" s="7" t="s">
        <v>36</v>
      </c>
      <c r="D107" s="12">
        <v>605</v>
      </c>
      <c r="E107" s="12" t="s">
        <v>210</v>
      </c>
      <c r="F107" s="12"/>
      <c r="G107" s="12" t="s">
        <v>260</v>
      </c>
      <c r="H107" s="8"/>
      <c r="I107" s="14"/>
      <c r="J107" s="1"/>
    </row>
    <row r="108" spans="2:10" s="2" customFormat="1" ht="21" x14ac:dyDescent="0.25">
      <c r="B108" s="6" t="s">
        <v>17</v>
      </c>
      <c r="C108" s="7" t="s">
        <v>36</v>
      </c>
      <c r="D108" s="12" t="s">
        <v>110</v>
      </c>
      <c r="E108" s="12" t="s">
        <v>261</v>
      </c>
      <c r="F108" s="12"/>
      <c r="G108" s="12" t="s">
        <v>262</v>
      </c>
      <c r="H108" s="8"/>
      <c r="I108" s="14"/>
      <c r="J108" s="1"/>
    </row>
    <row r="109" spans="2:10" x14ac:dyDescent="0.25">
      <c r="B109" s="6" t="s">
        <v>18</v>
      </c>
      <c r="C109" s="7" t="s">
        <v>36</v>
      </c>
      <c r="D109" s="12">
        <v>605</v>
      </c>
      <c r="E109" s="12" t="s">
        <v>185</v>
      </c>
      <c r="F109" s="12"/>
      <c r="G109" s="12" t="s">
        <v>263</v>
      </c>
      <c r="H109" s="8"/>
      <c r="I109" s="3"/>
    </row>
    <row r="110" spans="2:10" s="2" customFormat="1" x14ac:dyDescent="0.25">
      <c r="B110" s="6" t="s">
        <v>19</v>
      </c>
      <c r="C110" s="7" t="s">
        <v>36</v>
      </c>
      <c r="D110" s="12">
        <v>616</v>
      </c>
      <c r="E110" s="12" t="s">
        <v>264</v>
      </c>
      <c r="F110" s="12"/>
      <c r="G110" s="12">
        <v>50</v>
      </c>
      <c r="H110" s="8"/>
      <c r="I110" s="14"/>
      <c r="J110" s="1"/>
    </row>
    <row r="111" spans="2:10" s="2" customFormat="1" x14ac:dyDescent="0.25">
      <c r="B111" s="6" t="s">
        <v>20</v>
      </c>
      <c r="C111" s="7" t="s">
        <v>36</v>
      </c>
      <c r="D111" s="12" t="s">
        <v>108</v>
      </c>
      <c r="E111" s="12" t="s">
        <v>265</v>
      </c>
      <c r="F111" s="12"/>
      <c r="G111" s="12">
        <v>83</v>
      </c>
      <c r="H111" s="8"/>
      <c r="I111" s="14"/>
      <c r="J111" s="1"/>
    </row>
    <row r="112" spans="2:10" s="2" customFormat="1" x14ac:dyDescent="0.25">
      <c r="B112" s="6" t="s">
        <v>21</v>
      </c>
      <c r="C112" s="7" t="s">
        <v>36</v>
      </c>
      <c r="D112" s="12" t="s">
        <v>110</v>
      </c>
      <c r="E112" s="12" t="s">
        <v>267</v>
      </c>
      <c r="F112" s="12" t="s">
        <v>266</v>
      </c>
      <c r="G112" s="12" t="s">
        <v>289</v>
      </c>
      <c r="H112" s="8"/>
      <c r="I112" s="14"/>
      <c r="J112" s="1"/>
    </row>
    <row r="113" spans="2:10" x14ac:dyDescent="0.25">
      <c r="B113" s="6" t="s">
        <v>22</v>
      </c>
      <c r="C113" s="7" t="s">
        <v>36</v>
      </c>
      <c r="D113" s="12" t="s">
        <v>110</v>
      </c>
      <c r="E113" s="12" t="s">
        <v>268</v>
      </c>
      <c r="F113" s="12"/>
      <c r="G113" s="12">
        <v>471</v>
      </c>
      <c r="H113" s="8"/>
      <c r="I113" s="3"/>
    </row>
    <row r="114" spans="2:10" s="2" customFormat="1" x14ac:dyDescent="0.25">
      <c r="B114" s="6" t="s">
        <v>23</v>
      </c>
      <c r="C114" s="7" t="s">
        <v>36</v>
      </c>
      <c r="D114" s="12" t="s">
        <v>108</v>
      </c>
      <c r="E114" s="12" t="s">
        <v>215</v>
      </c>
      <c r="F114" s="12"/>
      <c r="G114" s="12"/>
      <c r="H114" s="8"/>
      <c r="I114" s="14"/>
      <c r="J114" s="1"/>
    </row>
    <row r="115" spans="2:10" s="2" customFormat="1" x14ac:dyDescent="0.25">
      <c r="B115" s="6" t="s">
        <v>54</v>
      </c>
      <c r="C115" s="7" t="s">
        <v>36</v>
      </c>
      <c r="D115" s="12">
        <v>605</v>
      </c>
      <c r="E115" s="12" t="s">
        <v>269</v>
      </c>
      <c r="F115" s="12"/>
      <c r="G115" s="12" t="s">
        <v>270</v>
      </c>
      <c r="H115" s="8"/>
      <c r="I115" s="14"/>
      <c r="J115" s="1"/>
    </row>
    <row r="116" spans="2:10" s="2" customFormat="1" ht="21" x14ac:dyDescent="0.25">
      <c r="B116" s="6" t="s">
        <v>24</v>
      </c>
      <c r="C116" s="7" t="s">
        <v>36</v>
      </c>
      <c r="D116" s="12" t="s">
        <v>110</v>
      </c>
      <c r="E116" s="12" t="s">
        <v>269</v>
      </c>
      <c r="F116" s="12"/>
      <c r="G116" s="12" t="s">
        <v>290</v>
      </c>
      <c r="H116" s="8"/>
      <c r="I116" s="14"/>
      <c r="J116" s="1"/>
    </row>
    <row r="117" spans="2:10" ht="21" x14ac:dyDescent="0.25">
      <c r="B117" s="6" t="s">
        <v>76</v>
      </c>
      <c r="C117" s="7" t="s">
        <v>36</v>
      </c>
      <c r="D117" s="12">
        <v>606</v>
      </c>
      <c r="E117" s="12" t="s">
        <v>277</v>
      </c>
      <c r="F117" s="12"/>
      <c r="G117" s="12">
        <v>122</v>
      </c>
      <c r="H117" s="8"/>
      <c r="I117" s="3"/>
    </row>
    <row r="118" spans="2:10" ht="21" x14ac:dyDescent="0.25">
      <c r="B118" s="6" t="s">
        <v>271</v>
      </c>
      <c r="C118" s="7" t="s">
        <v>36</v>
      </c>
      <c r="D118" s="12">
        <v>605</v>
      </c>
      <c r="E118" s="12" t="s">
        <v>277</v>
      </c>
      <c r="F118" s="12"/>
      <c r="G118" s="12" t="s">
        <v>278</v>
      </c>
      <c r="H118" s="8"/>
      <c r="I118" s="3"/>
    </row>
    <row r="119" spans="2:10" ht="21" x14ac:dyDescent="0.25">
      <c r="B119" s="6" t="s">
        <v>272</v>
      </c>
      <c r="C119" s="7" t="s">
        <v>36</v>
      </c>
      <c r="D119" s="12">
        <v>612</v>
      </c>
      <c r="E119" s="12" t="s">
        <v>277</v>
      </c>
      <c r="F119" s="12"/>
      <c r="G119" s="12" t="s">
        <v>107</v>
      </c>
      <c r="H119" s="8"/>
      <c r="I119" s="3"/>
    </row>
    <row r="120" spans="2:10" ht="21" x14ac:dyDescent="0.25">
      <c r="B120" s="6" t="s">
        <v>273</v>
      </c>
      <c r="C120" s="7" t="s">
        <v>36</v>
      </c>
      <c r="D120" s="12" t="s">
        <v>110</v>
      </c>
      <c r="E120" s="12" t="s">
        <v>277</v>
      </c>
      <c r="F120" s="12"/>
      <c r="G120" s="12" t="s">
        <v>279</v>
      </c>
      <c r="H120" s="8"/>
      <c r="I120" s="3"/>
    </row>
    <row r="121" spans="2:10" ht="21" x14ac:dyDescent="0.25">
      <c r="B121" s="6" t="s">
        <v>274</v>
      </c>
      <c r="C121" s="7" t="s">
        <v>36</v>
      </c>
      <c r="D121" s="12">
        <v>605</v>
      </c>
      <c r="E121" s="12" t="s">
        <v>277</v>
      </c>
      <c r="F121" s="12"/>
      <c r="G121" s="12" t="s">
        <v>280</v>
      </c>
      <c r="H121" s="8"/>
      <c r="I121" s="3"/>
    </row>
    <row r="122" spans="2:10" ht="21" x14ac:dyDescent="0.25">
      <c r="B122" s="6" t="s">
        <v>276</v>
      </c>
      <c r="C122" s="7" t="s">
        <v>281</v>
      </c>
      <c r="D122" s="12" t="s">
        <v>139</v>
      </c>
      <c r="E122" s="12" t="s">
        <v>283</v>
      </c>
      <c r="F122" s="12" t="s">
        <v>282</v>
      </c>
      <c r="G122" s="12" t="s">
        <v>143</v>
      </c>
      <c r="H122" s="8"/>
      <c r="I122" s="3"/>
    </row>
    <row r="123" spans="2:10" ht="21" x14ac:dyDescent="0.25">
      <c r="B123" s="6" t="s">
        <v>76</v>
      </c>
      <c r="C123" s="7" t="s">
        <v>36</v>
      </c>
      <c r="D123" s="12" t="s">
        <v>105</v>
      </c>
      <c r="E123" s="12" t="s">
        <v>277</v>
      </c>
      <c r="F123" s="12"/>
      <c r="G123" s="12" t="s">
        <v>284</v>
      </c>
      <c r="H123" s="8"/>
      <c r="I123" s="3"/>
    </row>
    <row r="124" spans="2:10" x14ac:dyDescent="0.25">
      <c r="B124" s="6"/>
      <c r="C124" s="7"/>
      <c r="D124" s="12"/>
      <c r="E124" s="12"/>
      <c r="F124" s="12"/>
      <c r="G124" s="12"/>
      <c r="H124" s="8"/>
      <c r="I124" s="3"/>
    </row>
    <row r="125" spans="2:10" x14ac:dyDescent="0.25">
      <c r="G125" s="15"/>
    </row>
  </sheetData>
  <autoFilter ref="B2:H123" xr:uid="{4D0F56C4-0C54-406E-8EE7-130936900B2C}"/>
  <mergeCells count="1">
    <mergeCell ref="A1:H1"/>
  </mergeCells>
  <phoneticPr fontId="6" type="noConversion"/>
  <hyperlinks>
    <hyperlink ref="A1" r:id="rId1" xr:uid="{3E7950AB-2CBF-442C-ACEC-9BA4352EA945}"/>
  </hyperlinks>
  <pageMargins left="0.7" right="0.7" top="0.75" bottom="0.75" header="0.3" footer="0.3"/>
  <pageSetup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D33B0-3C28-4BF4-B450-A3A65315AF27}">
  <dimension ref="A1:P216"/>
  <sheetViews>
    <sheetView topLeftCell="A41" zoomScale="55" zoomScaleNormal="55" workbookViewId="0">
      <selection activeCell="F47" sqref="F47"/>
    </sheetView>
  </sheetViews>
  <sheetFormatPr baseColWidth="10" defaultRowHeight="14.5" x14ac:dyDescent="0.35"/>
  <cols>
    <col min="3" max="3" width="3.1796875" bestFit="1" customWidth="1"/>
    <col min="4" max="4" width="16.54296875" customWidth="1"/>
    <col min="5" max="5" width="15.54296875" customWidth="1"/>
    <col min="6" max="6" width="9.54296875" customWidth="1"/>
    <col min="7" max="7" width="21" bestFit="1" customWidth="1"/>
    <col min="9" max="9" width="17.1796875" customWidth="1"/>
    <col min="10" max="10" width="11.453125" customWidth="1"/>
    <col min="11" max="11" width="12.08984375" customWidth="1"/>
    <col min="13" max="13" width="88" customWidth="1"/>
    <col min="14" max="14" width="83.90625" bestFit="1" customWidth="1"/>
    <col min="15" max="15" width="85.81640625" customWidth="1"/>
    <col min="16" max="16" width="70.81640625" bestFit="1" customWidth="1"/>
  </cols>
  <sheetData>
    <row r="1" spans="1:16" ht="26" x14ac:dyDescent="0.35">
      <c r="C1" s="24" t="s">
        <v>291</v>
      </c>
      <c r="D1" s="24" t="s">
        <v>292</v>
      </c>
      <c r="E1" s="24" t="s">
        <v>293</v>
      </c>
      <c r="F1" s="24" t="s">
        <v>307</v>
      </c>
      <c r="G1" s="24" t="s">
        <v>623</v>
      </c>
      <c r="H1" s="24" t="s">
        <v>295</v>
      </c>
      <c r="I1" s="24" t="s">
        <v>296</v>
      </c>
      <c r="J1" s="24" t="s">
        <v>299</v>
      </c>
      <c r="K1" s="24" t="s">
        <v>624</v>
      </c>
      <c r="L1" s="18"/>
      <c r="M1" s="27" t="s">
        <v>625</v>
      </c>
      <c r="N1" s="27" t="s">
        <v>626</v>
      </c>
      <c r="P1" s="27" t="s">
        <v>629</v>
      </c>
    </row>
    <row r="2" spans="1:16" ht="29" x14ac:dyDescent="0.35">
      <c r="A2" s="28" t="s">
        <v>628</v>
      </c>
      <c r="B2" s="29" t="s">
        <v>627</v>
      </c>
      <c r="C2" s="20">
        <v>1</v>
      </c>
      <c r="D2" s="20" t="s">
        <v>519</v>
      </c>
      <c r="E2" s="16" t="s">
        <v>519</v>
      </c>
      <c r="F2" s="20" t="s">
        <v>300</v>
      </c>
      <c r="G2" s="26" t="s">
        <v>612</v>
      </c>
      <c r="H2" s="20" t="s">
        <v>298</v>
      </c>
      <c r="I2" s="20" t="s">
        <v>637</v>
      </c>
      <c r="J2" s="20">
        <v>40</v>
      </c>
      <c r="K2" s="20" t="s">
        <v>635</v>
      </c>
      <c r="L2" s="18"/>
      <c r="M2" s="25" t="str">
        <f t="shared" ref="M2:M13" si="0">CONCATENATE("||",D2,"|",E2,"|",C2,"|",G2,"|","Petición firmada por el Receptor","||")</f>
        <v>||EUDD720430MF4|EUDD720430MF4|1|30001000000500010884|Petición firmada por el Receptor||</v>
      </c>
      <c r="N2" s="30" t="str">
        <f t="shared" ref="N2:N56" si="1">CONCATENATE("||","SPR190613I52","|",A2,"|",B2,"|","Petición firmada por el Receptor","||")</f>
        <v>||SPR190613I52|10-03-2026 18:00:00|30001000000500003456|Petición firmada por el Receptor||</v>
      </c>
      <c r="O2" s="31" t="str">
        <f t="shared" ref="O2:O55" si="2">CONCATENATE(M2, CHAR(10), N2)</f>
        <v>||EUDD720430MF4|EUDD720430MF4|1|30001000000500010884|Petición firmada por el Receptor||
||SPR190613I52|10-03-2026 18:00:00|30001000000500003456|Petición firmada por el Receptor||</v>
      </c>
    </row>
    <row r="3" spans="1:16" ht="29" x14ac:dyDescent="0.35">
      <c r="A3" s="28" t="s">
        <v>628</v>
      </c>
      <c r="B3" s="29" t="s">
        <v>627</v>
      </c>
      <c r="C3" s="20">
        <v>1</v>
      </c>
      <c r="D3" s="20" t="s">
        <v>520</v>
      </c>
      <c r="E3" s="16" t="s">
        <v>519</v>
      </c>
      <c r="F3" s="20" t="s">
        <v>309</v>
      </c>
      <c r="G3" s="26" t="s">
        <v>612</v>
      </c>
      <c r="H3" s="20" t="s">
        <v>298</v>
      </c>
      <c r="I3" s="20" t="s">
        <v>164</v>
      </c>
      <c r="J3" s="20">
        <v>41</v>
      </c>
      <c r="K3" s="20" t="s">
        <v>635</v>
      </c>
      <c r="L3" s="18"/>
      <c r="M3" s="25" t="str">
        <f t="shared" si="0"/>
        <v>||EUPD531207DQ9|EUDD720430MF4|1|30001000000500010884|Petición firmada por el Receptor||</v>
      </c>
      <c r="N3" s="30" t="str">
        <f t="shared" si="1"/>
        <v>||SPR190613I52|10-03-2026 18:00:00|30001000000500003456|Petición firmada por el Receptor||</v>
      </c>
      <c r="O3" s="31" t="str">
        <f t="shared" si="2"/>
        <v>||EUPD531207DQ9|EUDD720430MF4|1|30001000000500010884|Petición firmada por el Receptor||
||SPR190613I52|10-03-2026 18:00:00|30001000000500003456|Petición firmada por el Receptor||</v>
      </c>
    </row>
    <row r="4" spans="1:16" ht="29" x14ac:dyDescent="0.35">
      <c r="A4" s="28" t="s">
        <v>628</v>
      </c>
      <c r="B4" s="29" t="s">
        <v>627</v>
      </c>
      <c r="C4" s="20">
        <v>1</v>
      </c>
      <c r="D4" s="20" t="s">
        <v>521</v>
      </c>
      <c r="E4" s="16" t="s">
        <v>519</v>
      </c>
      <c r="F4" s="20" t="s">
        <v>312</v>
      </c>
      <c r="G4" s="26" t="s">
        <v>612</v>
      </c>
      <c r="H4" s="20" t="s">
        <v>298</v>
      </c>
      <c r="I4" s="20" t="s">
        <v>638</v>
      </c>
      <c r="J4" s="20">
        <v>42</v>
      </c>
      <c r="K4" s="20" t="s">
        <v>635</v>
      </c>
      <c r="L4" s="18"/>
      <c r="M4" s="25" t="str">
        <f t="shared" si="0"/>
        <v>||PEPH660719GP7|EUDD720430MF4|1|30001000000500010884|Petición firmada por el Receptor||</v>
      </c>
      <c r="N4" s="30" t="str">
        <f t="shared" si="1"/>
        <v>||SPR190613I52|10-03-2026 18:00:00|30001000000500003456|Petición firmada por el Receptor||</v>
      </c>
      <c r="O4" s="31" t="str">
        <f t="shared" si="2"/>
        <v>||PEPH660719GP7|EUDD720430MF4|1|30001000000500010884|Petición firmada por el Receptor||
||SPR190613I52|10-03-2026 18:00:00|30001000000500003456|Petición firmada por el Receptor||</v>
      </c>
    </row>
    <row r="5" spans="1:16" ht="29" x14ac:dyDescent="0.35">
      <c r="A5" s="28" t="s">
        <v>628</v>
      </c>
      <c r="B5" s="29" t="s">
        <v>627</v>
      </c>
      <c r="C5" s="20">
        <v>1</v>
      </c>
      <c r="D5" s="20" t="s">
        <v>522</v>
      </c>
      <c r="E5" s="16" t="s">
        <v>519</v>
      </c>
      <c r="F5" s="20" t="s">
        <v>300</v>
      </c>
      <c r="G5" s="26" t="s">
        <v>612</v>
      </c>
      <c r="H5" s="20">
        <v>3</v>
      </c>
      <c r="I5" s="20" t="s">
        <v>523</v>
      </c>
      <c r="J5" s="20">
        <v>43</v>
      </c>
      <c r="K5" s="20" t="s">
        <v>635</v>
      </c>
      <c r="L5" s="18"/>
      <c r="M5" s="25" t="str">
        <f t="shared" si="0"/>
        <v>||MABJ861003PW1|EUDD720430MF4|1|30001000000500010884|Petición firmada por el Receptor||</v>
      </c>
      <c r="N5" s="30" t="str">
        <f t="shared" si="1"/>
        <v>||SPR190613I52|10-03-2026 18:00:00|30001000000500003456|Petición firmada por el Receptor||</v>
      </c>
      <c r="O5" s="31" t="str">
        <f t="shared" si="2"/>
        <v>||MABJ861003PW1|EUDD720430MF4|1|30001000000500010884|Petición firmada por el Receptor||
||SPR190613I52|10-03-2026 18:00:00|30001000000500003456|Petición firmada por el Receptor||</v>
      </c>
    </row>
    <row r="6" spans="1:16" ht="29" x14ac:dyDescent="0.35">
      <c r="A6" s="28" t="s">
        <v>628</v>
      </c>
      <c r="B6" s="29" t="s">
        <v>627</v>
      </c>
      <c r="C6" s="20">
        <v>1</v>
      </c>
      <c r="D6" s="20" t="s">
        <v>609</v>
      </c>
      <c r="E6" s="16" t="s">
        <v>519</v>
      </c>
      <c r="F6" s="20" t="s">
        <v>318</v>
      </c>
      <c r="G6" s="26" t="s">
        <v>612</v>
      </c>
      <c r="H6" s="20">
        <v>19</v>
      </c>
      <c r="I6" s="20" t="s">
        <v>639</v>
      </c>
      <c r="J6" s="20">
        <v>44</v>
      </c>
      <c r="K6" s="20" t="s">
        <v>635</v>
      </c>
      <c r="L6" s="18"/>
      <c r="M6" s="25" t="str">
        <f t="shared" si="0"/>
        <v>||AAMT450528NI0|EUDD720430MF4|1|30001000000500010884|Petición firmada por el Receptor||</v>
      </c>
      <c r="N6" s="30" t="str">
        <f t="shared" si="1"/>
        <v>||SPR190613I52|10-03-2026 18:00:00|30001000000500003456|Petición firmada por el Receptor||</v>
      </c>
      <c r="O6" s="31" t="str">
        <f t="shared" si="2"/>
        <v>||AAMT450528NI0|EUDD720430MF4|1|30001000000500010884|Petición firmada por el Receptor||
||SPR190613I52|10-03-2026 18:00:00|30001000000500003456|Petición firmada por el Receptor||</v>
      </c>
    </row>
    <row r="7" spans="1:16" ht="29" x14ac:dyDescent="0.35">
      <c r="A7" s="28" t="s">
        <v>628</v>
      </c>
      <c r="B7" s="29" t="s">
        <v>627</v>
      </c>
      <c r="C7" s="20">
        <v>1</v>
      </c>
      <c r="D7" s="20" t="s">
        <v>610</v>
      </c>
      <c r="E7" s="16" t="s">
        <v>519</v>
      </c>
      <c r="F7" s="20" t="s">
        <v>312</v>
      </c>
      <c r="G7" s="26" t="s">
        <v>612</v>
      </c>
      <c r="H7" s="20">
        <v>20</v>
      </c>
      <c r="I7" s="20" t="s">
        <v>640</v>
      </c>
      <c r="J7" s="20">
        <v>45</v>
      </c>
      <c r="K7" s="20" t="s">
        <v>635</v>
      </c>
      <c r="L7" s="18"/>
      <c r="M7" s="25" t="str">
        <f t="shared" si="0"/>
        <v>||BAZA6106176K9|EUDD720430MF4|1|30001000000500010884|Petición firmada por el Receptor||</v>
      </c>
      <c r="N7" s="30" t="str">
        <f t="shared" si="1"/>
        <v>||SPR190613I52|10-03-2026 18:00:00|30001000000500003456|Petición firmada por el Receptor||</v>
      </c>
      <c r="O7" s="31" t="str">
        <f t="shared" si="2"/>
        <v>||BAZA6106176K9|EUDD720430MF4|1|30001000000500010884|Petición firmada por el Receptor||
||SPR190613I52|10-03-2026 18:00:00|30001000000500003456|Petición firmada por el Receptor||</v>
      </c>
    </row>
    <row r="8" spans="1:16" ht="29" x14ac:dyDescent="0.35">
      <c r="A8" s="28" t="s">
        <v>628</v>
      </c>
      <c r="B8" s="29" t="s">
        <v>627</v>
      </c>
      <c r="C8" s="20">
        <v>1</v>
      </c>
      <c r="D8" s="20" t="s">
        <v>611</v>
      </c>
      <c r="E8" s="16" t="s">
        <v>519</v>
      </c>
      <c r="F8" s="20" t="s">
        <v>300</v>
      </c>
      <c r="G8" s="26" t="s">
        <v>612</v>
      </c>
      <c r="H8" s="20">
        <v>21</v>
      </c>
      <c r="I8" s="20" t="s">
        <v>217</v>
      </c>
      <c r="J8" s="20">
        <v>46</v>
      </c>
      <c r="K8" s="20" t="s">
        <v>635</v>
      </c>
      <c r="L8" s="18"/>
      <c r="M8" s="25" t="str">
        <f t="shared" si="0"/>
        <v>||AAUR760114I12|EUDD720430MF4|1|30001000000500010884|Petición firmada por el Receptor||</v>
      </c>
      <c r="N8" s="30" t="str">
        <f t="shared" si="1"/>
        <v>||SPR190613I52|10-03-2026 18:00:00|30001000000500003456|Petición firmada por el Receptor||</v>
      </c>
      <c r="O8" s="31" t="str">
        <f t="shared" si="2"/>
        <v>||AAUR760114I12|EUDD720430MF4|1|30001000000500010884|Petición firmada por el Receptor||
||SPR190613I52|10-03-2026 18:00:00|30001000000500003456|Petición firmada por el Receptor||</v>
      </c>
    </row>
    <row r="9" spans="1:16" ht="29" x14ac:dyDescent="0.35">
      <c r="A9" s="28" t="s">
        <v>628</v>
      </c>
      <c r="B9" s="29" t="s">
        <v>627</v>
      </c>
      <c r="C9" s="20">
        <v>1</v>
      </c>
      <c r="D9" s="20" t="s">
        <v>524</v>
      </c>
      <c r="E9" s="16" t="s">
        <v>519</v>
      </c>
      <c r="F9" s="20" t="s">
        <v>318</v>
      </c>
      <c r="G9" s="26" t="s">
        <v>612</v>
      </c>
      <c r="H9" s="20">
        <v>26</v>
      </c>
      <c r="I9" s="20" t="s">
        <v>217</v>
      </c>
      <c r="J9" s="20">
        <v>47</v>
      </c>
      <c r="K9" s="20" t="s">
        <v>635</v>
      </c>
      <c r="L9" s="18"/>
      <c r="M9" s="25" t="str">
        <f t="shared" si="0"/>
        <v>||AAML920925E50|EUDD720430MF4|1|30001000000500010884|Petición firmada por el Receptor||</v>
      </c>
      <c r="N9" s="30" t="str">
        <f t="shared" si="1"/>
        <v>||SPR190613I52|10-03-2026 18:00:00|30001000000500003456|Petición firmada por el Receptor||</v>
      </c>
      <c r="O9" s="31" t="str">
        <f t="shared" si="2"/>
        <v>||AAML920925E50|EUDD720430MF4|1|30001000000500010884|Petición firmada por el Receptor||
||SPR190613I52|10-03-2026 18:00:00|30001000000500003456|Petición firmada por el Receptor||</v>
      </c>
    </row>
    <row r="10" spans="1:16" ht="29" x14ac:dyDescent="0.35">
      <c r="A10" s="28" t="s">
        <v>628</v>
      </c>
      <c r="B10" s="29" t="s">
        <v>627</v>
      </c>
      <c r="C10" s="20">
        <v>1</v>
      </c>
      <c r="D10" s="20" t="s">
        <v>525</v>
      </c>
      <c r="E10" s="16" t="s">
        <v>519</v>
      </c>
      <c r="F10" s="20" t="s">
        <v>312</v>
      </c>
      <c r="G10" s="26" t="s">
        <v>612</v>
      </c>
      <c r="H10" s="20">
        <v>27</v>
      </c>
      <c r="I10" s="20" t="s">
        <v>217</v>
      </c>
      <c r="J10" s="20">
        <v>48</v>
      </c>
      <c r="K10" s="20" t="s">
        <v>635</v>
      </c>
      <c r="L10" s="18"/>
      <c r="M10" s="25" t="str">
        <f t="shared" si="0"/>
        <v>||AACL9007138A5|EUDD720430MF4|1|30001000000500010884|Petición firmada por el Receptor||</v>
      </c>
      <c r="N10" s="30" t="str">
        <f t="shared" si="1"/>
        <v>||SPR190613I52|10-03-2026 18:00:00|30001000000500003456|Petición firmada por el Receptor||</v>
      </c>
      <c r="O10" s="31" t="str">
        <f t="shared" si="2"/>
        <v>||AACL9007138A5|EUDD720430MF4|1|30001000000500010884|Petición firmada por el Receptor||
||SPR190613I52|10-03-2026 18:00:00|30001000000500003456|Petición firmada por el Receptor||</v>
      </c>
    </row>
    <row r="11" spans="1:16" ht="29" x14ac:dyDescent="0.35">
      <c r="A11" s="28" t="s">
        <v>628</v>
      </c>
      <c r="B11" s="29" t="s">
        <v>627</v>
      </c>
      <c r="C11" s="20">
        <v>1</v>
      </c>
      <c r="D11" s="20" t="s">
        <v>526</v>
      </c>
      <c r="E11" s="16" t="s">
        <v>519</v>
      </c>
      <c r="F11" s="20" t="s">
        <v>527</v>
      </c>
      <c r="G11" s="26" t="s">
        <v>612</v>
      </c>
      <c r="H11" s="20">
        <v>28</v>
      </c>
      <c r="I11" s="20" t="s">
        <v>529</v>
      </c>
      <c r="J11" s="20">
        <v>49</v>
      </c>
      <c r="K11" s="20" t="s">
        <v>635</v>
      </c>
      <c r="L11" s="18"/>
      <c r="M11" s="25" t="str">
        <f t="shared" si="0"/>
        <v>||PELL910719K92|EUDD720430MF4|1|30001000000500010884|Petición firmada por el Receptor||</v>
      </c>
      <c r="N11" s="30" t="str">
        <f t="shared" si="1"/>
        <v>||SPR190613I52|10-03-2026 18:00:00|30001000000500003456|Petición firmada por el Receptor||</v>
      </c>
      <c r="O11" s="31" t="str">
        <f t="shared" si="2"/>
        <v>||PELL910719K92|EUDD720430MF4|1|30001000000500010884|Petición firmada por el Receptor||
||SPR190613I52|10-03-2026 18:00:00|30001000000500003456|Petición firmada por el Receptor||</v>
      </c>
    </row>
    <row r="12" spans="1:16" ht="29" x14ac:dyDescent="0.35">
      <c r="A12" s="28" t="s">
        <v>628</v>
      </c>
      <c r="B12" s="29" t="s">
        <v>627</v>
      </c>
      <c r="C12" s="20">
        <v>1</v>
      </c>
      <c r="D12" s="20" t="s">
        <v>528</v>
      </c>
      <c r="E12" s="16" t="s">
        <v>519</v>
      </c>
      <c r="F12" s="20" t="s">
        <v>530</v>
      </c>
      <c r="G12" s="26" t="s">
        <v>612</v>
      </c>
      <c r="H12" s="20">
        <v>29</v>
      </c>
      <c r="I12" s="20" t="s">
        <v>523</v>
      </c>
      <c r="J12" s="20">
        <v>50</v>
      </c>
      <c r="K12" s="20" t="s">
        <v>635</v>
      </c>
      <c r="L12" s="18"/>
      <c r="M12" s="25" t="str">
        <f t="shared" si="0"/>
        <v>||AAOL860322NW8|EUDD720430MF4|1|30001000000500010884|Petición firmada por el Receptor||</v>
      </c>
      <c r="N12" s="30" t="str">
        <f t="shared" si="1"/>
        <v>||SPR190613I52|10-03-2026 18:00:00|30001000000500003456|Petición firmada por el Receptor||</v>
      </c>
      <c r="O12" s="31" t="str">
        <f t="shared" si="2"/>
        <v>||AAOL860322NW8|EUDD720430MF4|1|30001000000500010884|Petición firmada por el Receptor||
||SPR190613I52|10-03-2026 18:00:00|30001000000500003456|Petición firmada por el Receptor||</v>
      </c>
    </row>
    <row r="13" spans="1:16" ht="29" x14ac:dyDescent="0.35">
      <c r="A13" s="28" t="s">
        <v>628</v>
      </c>
      <c r="B13" s="29" t="s">
        <v>627</v>
      </c>
      <c r="C13" s="20">
        <v>1</v>
      </c>
      <c r="D13" s="20" t="s">
        <v>531</v>
      </c>
      <c r="E13" s="16" t="s">
        <v>520</v>
      </c>
      <c r="F13" s="20" t="s">
        <v>312</v>
      </c>
      <c r="G13" s="26" t="s">
        <v>613</v>
      </c>
      <c r="H13" s="20">
        <v>30</v>
      </c>
      <c r="I13" s="20" t="s">
        <v>217</v>
      </c>
      <c r="J13" s="20">
        <v>51</v>
      </c>
      <c r="K13" s="20" t="s">
        <v>635</v>
      </c>
      <c r="L13" s="18"/>
      <c r="M13" s="25" t="str">
        <f t="shared" si="0"/>
        <v>||EUOL830630TA2|EUPD531207DQ9|1|30001000000500010885|Petición firmada por el Receptor||</v>
      </c>
      <c r="N13" s="30" t="str">
        <f t="shared" si="1"/>
        <v>||SPR190613I52|10-03-2026 18:00:00|30001000000500003456|Petición firmada por el Receptor||</v>
      </c>
      <c r="O13" s="31" t="str">
        <f t="shared" si="2"/>
        <v>||EUOL830630TA2|EUPD531207DQ9|1|30001000000500010885|Petición firmada por el Receptor||
||SPR190613I52|10-03-2026 18:00:00|30001000000500003456|Petición firmada por el Receptor||</v>
      </c>
    </row>
    <row r="14" spans="1:16" ht="29" x14ac:dyDescent="0.35">
      <c r="A14" s="28" t="s">
        <v>628</v>
      </c>
      <c r="B14" s="29" t="s">
        <v>627</v>
      </c>
      <c r="C14" s="20">
        <v>1</v>
      </c>
      <c r="D14" s="20" t="s">
        <v>532</v>
      </c>
      <c r="E14" s="16" t="s">
        <v>520</v>
      </c>
      <c r="F14" s="20" t="s">
        <v>300</v>
      </c>
      <c r="G14" s="26" t="s">
        <v>613</v>
      </c>
      <c r="H14" s="20">
        <v>3</v>
      </c>
      <c r="I14" s="20" t="s">
        <v>217</v>
      </c>
      <c r="J14" s="20">
        <v>52</v>
      </c>
      <c r="K14" s="20" t="s">
        <v>635</v>
      </c>
      <c r="L14" s="18"/>
      <c r="M14" s="25" t="str">
        <f t="shared" ref="M14:M76" si="3">CONCATENATE("||",D14,"|",E14,"|",C14,"|",G14,"|","Petición firmada por el Receptor","||")</f>
        <v>||BITL761115RV3|EUPD531207DQ9|1|30001000000500010885|Petición firmada por el Receptor||</v>
      </c>
      <c r="N14" s="30" t="str">
        <f t="shared" si="1"/>
        <v>||SPR190613I52|10-03-2026 18:00:00|30001000000500003456|Petición firmada por el Receptor||</v>
      </c>
      <c r="O14" s="31" t="str">
        <f t="shared" si="2"/>
        <v>||BITL761115RV3|EUPD531207DQ9|1|30001000000500010885|Petición firmada por el Receptor||
||SPR190613I52|10-03-2026 18:00:00|30001000000500003456|Petición firmada por el Receptor||</v>
      </c>
    </row>
    <row r="15" spans="1:16" ht="29" x14ac:dyDescent="0.35">
      <c r="A15" s="28" t="s">
        <v>628</v>
      </c>
      <c r="B15" s="29" t="s">
        <v>627</v>
      </c>
      <c r="C15" s="20">
        <v>1</v>
      </c>
      <c r="D15" s="20" t="s">
        <v>533</v>
      </c>
      <c r="E15" s="16" t="s">
        <v>520</v>
      </c>
      <c r="F15" s="20" t="s">
        <v>312</v>
      </c>
      <c r="G15" s="26" t="s">
        <v>613</v>
      </c>
      <c r="H15" s="20">
        <v>41</v>
      </c>
      <c r="I15" s="20" t="s">
        <v>217</v>
      </c>
      <c r="J15" s="20">
        <v>54</v>
      </c>
      <c r="K15" s="20" t="s">
        <v>635</v>
      </c>
      <c r="L15" s="18"/>
      <c r="M15" s="25" t="str">
        <f t="shared" si="3"/>
        <v>||BIOL760329L66|EUPD531207DQ9|1|30001000000500010885|Petición firmada por el Receptor||</v>
      </c>
      <c r="N15" s="30" t="str">
        <f t="shared" si="1"/>
        <v>||SPR190613I52|10-03-2026 18:00:00|30001000000500003456|Petición firmada por el Receptor||</v>
      </c>
      <c r="O15" s="31" t="str">
        <f t="shared" si="2"/>
        <v>||BIOL760329L66|EUPD531207DQ9|1|30001000000500010885|Petición firmada por el Receptor||
||SPR190613I52|10-03-2026 18:00:00|30001000000500003456|Petición firmada por el Receptor||</v>
      </c>
    </row>
    <row r="16" spans="1:16" ht="29" x14ac:dyDescent="0.35">
      <c r="A16" s="28" t="s">
        <v>628</v>
      </c>
      <c r="B16" s="29" t="s">
        <v>627</v>
      </c>
      <c r="C16" s="20">
        <v>1</v>
      </c>
      <c r="D16" s="20" t="s">
        <v>534</v>
      </c>
      <c r="E16" s="16" t="s">
        <v>520</v>
      </c>
      <c r="F16" s="20" t="s">
        <v>300</v>
      </c>
      <c r="G16" s="26" t="s">
        <v>613</v>
      </c>
      <c r="H16" s="20">
        <v>55</v>
      </c>
      <c r="I16" s="20" t="s">
        <v>217</v>
      </c>
      <c r="J16" s="20">
        <v>55</v>
      </c>
      <c r="K16" s="20" t="s">
        <v>635</v>
      </c>
      <c r="L16" s="18"/>
      <c r="M16" s="25" t="str">
        <f t="shared" si="3"/>
        <v>||CUCL8105213C7|EUPD531207DQ9|1|30001000000500010885|Petición firmada por el Receptor||</v>
      </c>
      <c r="N16" s="30" t="str">
        <f t="shared" si="1"/>
        <v>||SPR190613I52|10-03-2026 18:00:00|30001000000500003456|Petición firmada por el Receptor||</v>
      </c>
      <c r="O16" s="31" t="str">
        <f t="shared" si="2"/>
        <v>||CUCL8105213C7|EUPD531207DQ9|1|30001000000500010885|Petición firmada por el Receptor||
||SPR190613I52|10-03-2026 18:00:00|30001000000500003456|Petición firmada por el Receptor||</v>
      </c>
    </row>
    <row r="17" spans="1:15" ht="29" x14ac:dyDescent="0.35">
      <c r="A17" s="28" t="s">
        <v>628</v>
      </c>
      <c r="B17" s="29" t="s">
        <v>627</v>
      </c>
      <c r="C17" s="20">
        <v>1</v>
      </c>
      <c r="D17" s="20" t="s">
        <v>535</v>
      </c>
      <c r="E17" s="16" t="s">
        <v>520</v>
      </c>
      <c r="F17" s="20" t="s">
        <v>318</v>
      </c>
      <c r="G17" s="26" t="s">
        <v>613</v>
      </c>
      <c r="H17" s="20">
        <v>59</v>
      </c>
      <c r="I17" s="20" t="s">
        <v>536</v>
      </c>
      <c r="J17" s="20">
        <v>56</v>
      </c>
      <c r="K17" s="20" t="s">
        <v>635</v>
      </c>
      <c r="L17" s="18"/>
      <c r="M17" s="25" t="str">
        <f t="shared" si="3"/>
        <v>||AAGL820622FJ8|EUPD531207DQ9|1|30001000000500010885|Petición firmada por el Receptor||</v>
      </c>
      <c r="N17" s="30" t="str">
        <f t="shared" si="1"/>
        <v>||SPR190613I52|10-03-2026 18:00:00|30001000000500003456|Petición firmada por el Receptor||</v>
      </c>
      <c r="O17" s="31" t="str">
        <f t="shared" si="2"/>
        <v>||AAGL820622FJ8|EUPD531207DQ9|1|30001000000500010885|Petición firmada por el Receptor||
||SPR190613I52|10-03-2026 18:00:00|30001000000500003456|Petición firmada por el Receptor||</v>
      </c>
    </row>
    <row r="18" spans="1:15" ht="29" x14ac:dyDescent="0.35">
      <c r="A18" s="28" t="s">
        <v>628</v>
      </c>
      <c r="B18" s="29" t="s">
        <v>627</v>
      </c>
      <c r="C18" s="20">
        <v>1</v>
      </c>
      <c r="D18" s="20" t="s">
        <v>537</v>
      </c>
      <c r="E18" s="16" t="s">
        <v>520</v>
      </c>
      <c r="F18" s="20" t="s">
        <v>312</v>
      </c>
      <c r="G18" s="26" t="s">
        <v>613</v>
      </c>
      <c r="H18" s="20">
        <v>63</v>
      </c>
      <c r="I18" s="20" t="s">
        <v>217</v>
      </c>
      <c r="J18" s="20">
        <v>57</v>
      </c>
      <c r="K18" s="20" t="s">
        <v>635</v>
      </c>
      <c r="L18" s="18"/>
      <c r="M18" s="25" t="str">
        <f t="shared" si="3"/>
        <v>||MOVL940515KX8|EUPD531207DQ9|1|30001000000500010885|Petición firmada por el Receptor||</v>
      </c>
      <c r="N18" s="30" t="str">
        <f t="shared" si="1"/>
        <v>||SPR190613I52|10-03-2026 18:00:00|30001000000500003456|Petición firmada por el Receptor||</v>
      </c>
      <c r="O18" s="31" t="str">
        <f t="shared" si="2"/>
        <v>||MOVL940515KX8|EUPD531207DQ9|1|30001000000500010885|Petición firmada por el Receptor||
||SPR190613I52|10-03-2026 18:00:00|30001000000500003456|Petición firmada por el Receptor||</v>
      </c>
    </row>
    <row r="19" spans="1:15" ht="29" x14ac:dyDescent="0.35">
      <c r="A19" s="28" t="s">
        <v>628</v>
      </c>
      <c r="B19" s="29" t="s">
        <v>627</v>
      </c>
      <c r="C19" s="20">
        <v>1</v>
      </c>
      <c r="D19" s="20" t="s">
        <v>538</v>
      </c>
      <c r="E19" s="16" t="s">
        <v>520</v>
      </c>
      <c r="F19" s="20" t="s">
        <v>300</v>
      </c>
      <c r="G19" s="26" t="s">
        <v>613</v>
      </c>
      <c r="H19" s="20">
        <v>66</v>
      </c>
      <c r="I19" s="20" t="s">
        <v>217</v>
      </c>
      <c r="J19" s="20">
        <v>58</v>
      </c>
      <c r="K19" s="20" t="s">
        <v>635</v>
      </c>
      <c r="L19" s="18"/>
      <c r="M19" s="25" t="str">
        <f t="shared" si="3"/>
        <v>||CUML541025FF8|EUPD531207DQ9|1|30001000000500010885|Petición firmada por el Receptor||</v>
      </c>
      <c r="N19" s="30" t="str">
        <f t="shared" si="1"/>
        <v>||SPR190613I52|10-03-2026 18:00:00|30001000000500003456|Petición firmada por el Receptor||</v>
      </c>
      <c r="O19" s="31" t="str">
        <f t="shared" si="2"/>
        <v>||CUML541025FF8|EUPD531207DQ9|1|30001000000500010885|Petición firmada por el Receptor||
||SPR190613I52|10-03-2026 18:00:00|30001000000500003456|Petición firmada por el Receptor||</v>
      </c>
    </row>
    <row r="20" spans="1:15" ht="29" x14ac:dyDescent="0.35">
      <c r="A20" s="28" t="s">
        <v>628</v>
      </c>
      <c r="B20" s="29" t="s">
        <v>627</v>
      </c>
      <c r="C20" s="20">
        <v>1</v>
      </c>
      <c r="D20" s="20" t="s">
        <v>539</v>
      </c>
      <c r="E20" s="16" t="s">
        <v>520</v>
      </c>
      <c r="F20" s="20" t="s">
        <v>318</v>
      </c>
      <c r="G20" s="26" t="s">
        <v>613</v>
      </c>
      <c r="H20" s="20">
        <v>67</v>
      </c>
      <c r="I20" s="20" t="s">
        <v>540</v>
      </c>
      <c r="J20" s="20">
        <v>59</v>
      </c>
      <c r="K20" s="20" t="s">
        <v>635</v>
      </c>
      <c r="L20" s="18"/>
      <c r="M20" s="25" t="str">
        <f t="shared" si="3"/>
        <v>||BIBJ850817F3A|EUPD531207DQ9|1|30001000000500010885|Petición firmada por el Receptor||</v>
      </c>
      <c r="N20" s="30" t="str">
        <f t="shared" si="1"/>
        <v>||SPR190613I52|10-03-2026 18:00:00|30001000000500003456|Petición firmada por el Receptor||</v>
      </c>
      <c r="O20" s="31" t="str">
        <f t="shared" si="2"/>
        <v>||BIBJ850817F3A|EUPD531207DQ9|1|30001000000500010885|Petición firmada por el Receptor||
||SPR190613I52|10-03-2026 18:00:00|30001000000500003456|Petición firmada por el Receptor||</v>
      </c>
    </row>
    <row r="21" spans="1:15" ht="29" x14ac:dyDescent="0.35">
      <c r="A21" s="28" t="s">
        <v>628</v>
      </c>
      <c r="B21" s="29" t="s">
        <v>627</v>
      </c>
      <c r="C21" s="20">
        <v>1</v>
      </c>
      <c r="D21" s="20" t="s">
        <v>541</v>
      </c>
      <c r="E21" s="16" t="s">
        <v>520</v>
      </c>
      <c r="F21" s="20" t="s">
        <v>542</v>
      </c>
      <c r="G21" s="26" t="s">
        <v>613</v>
      </c>
      <c r="H21" s="20">
        <v>68</v>
      </c>
      <c r="I21" s="20" t="s">
        <v>217</v>
      </c>
      <c r="J21" s="20">
        <v>60</v>
      </c>
      <c r="K21" s="20" t="s">
        <v>635</v>
      </c>
      <c r="L21" s="18"/>
      <c r="M21" s="25" t="str">
        <f t="shared" si="3"/>
        <v>||BARA611207RS2|EUPD531207DQ9|1|30001000000500010885|Petición firmada por el Receptor||</v>
      </c>
      <c r="N21" s="30" t="str">
        <f t="shared" si="1"/>
        <v>||SPR190613I52|10-03-2026 18:00:00|30001000000500003456|Petición firmada por el Receptor||</v>
      </c>
      <c r="O21" s="31" t="str">
        <f t="shared" si="2"/>
        <v>||BARA611207RS2|EUPD531207DQ9|1|30001000000500010885|Petición firmada por el Receptor||
||SPR190613I52|10-03-2026 18:00:00|30001000000500003456|Petición firmada por el Receptor||</v>
      </c>
    </row>
    <row r="22" spans="1:15" ht="29" x14ac:dyDescent="0.35">
      <c r="A22" s="28" t="s">
        <v>628</v>
      </c>
      <c r="B22" s="29" t="s">
        <v>627</v>
      </c>
      <c r="C22" s="20">
        <v>1</v>
      </c>
      <c r="D22" s="20" t="s">
        <v>543</v>
      </c>
      <c r="E22" s="16" t="s">
        <v>520</v>
      </c>
      <c r="F22" s="20" t="s">
        <v>300</v>
      </c>
      <c r="G22" s="26" t="s">
        <v>613</v>
      </c>
      <c r="H22" s="20">
        <v>69</v>
      </c>
      <c r="I22" s="20" t="s">
        <v>217</v>
      </c>
      <c r="J22" s="20">
        <v>61</v>
      </c>
      <c r="K22" s="20" t="s">
        <v>635</v>
      </c>
      <c r="L22" s="18"/>
      <c r="M22" s="25" t="str">
        <f t="shared" si="3"/>
        <v>||BIPY810208GV1|EUPD531207DQ9|1|30001000000500010885|Petición firmada por el Receptor||</v>
      </c>
      <c r="N22" s="30" t="str">
        <f t="shared" si="1"/>
        <v>||SPR190613I52|10-03-2026 18:00:00|30001000000500003456|Petición firmada por el Receptor||</v>
      </c>
      <c r="O22" s="31" t="str">
        <f t="shared" si="2"/>
        <v>||BIPY810208GV1|EUPD531207DQ9|1|30001000000500010885|Petición firmada por el Receptor||
||SPR190613I52|10-03-2026 18:00:00|30001000000500003456|Petición firmada por el Receptor||</v>
      </c>
    </row>
    <row r="23" spans="1:15" ht="29" x14ac:dyDescent="0.35">
      <c r="A23" s="28" t="s">
        <v>628</v>
      </c>
      <c r="B23" s="29" t="s">
        <v>627</v>
      </c>
      <c r="C23" s="20">
        <v>1</v>
      </c>
      <c r="D23" s="20" t="s">
        <v>544</v>
      </c>
      <c r="E23" s="16" t="s">
        <v>520</v>
      </c>
      <c r="F23" s="20" t="s">
        <v>318</v>
      </c>
      <c r="G23" s="26" t="s">
        <v>613</v>
      </c>
      <c r="H23" s="20">
        <v>70</v>
      </c>
      <c r="I23" s="20" t="s">
        <v>217</v>
      </c>
      <c r="J23" s="20">
        <v>62</v>
      </c>
      <c r="K23" s="20" t="s">
        <v>635</v>
      </c>
      <c r="L23" s="18"/>
      <c r="M23" s="25" t="str">
        <f t="shared" si="3"/>
        <v>||MOZF490211JW2|EUPD531207DQ9|1|30001000000500010885|Petición firmada por el Receptor||</v>
      </c>
      <c r="N23" s="30" t="str">
        <f t="shared" si="1"/>
        <v>||SPR190613I52|10-03-2026 18:00:00|30001000000500003456|Petición firmada por el Receptor||</v>
      </c>
      <c r="O23" s="31" t="str">
        <f t="shared" si="2"/>
        <v>||MOZF490211JW2|EUPD531207DQ9|1|30001000000500010885|Petición firmada por el Receptor||
||SPR190613I52|10-03-2026 18:00:00|30001000000500003456|Petición firmada por el Receptor||</v>
      </c>
    </row>
    <row r="24" spans="1:15" ht="29" x14ac:dyDescent="0.35">
      <c r="A24" s="28" t="s">
        <v>628</v>
      </c>
      <c r="B24" s="29" t="s">
        <v>627</v>
      </c>
      <c r="C24" s="20">
        <v>1</v>
      </c>
      <c r="D24" s="20" t="s">
        <v>545</v>
      </c>
      <c r="E24" s="16" t="s">
        <v>520</v>
      </c>
      <c r="F24" s="20" t="s">
        <v>312</v>
      </c>
      <c r="G24" s="26" t="s">
        <v>613</v>
      </c>
      <c r="H24" s="20">
        <v>71</v>
      </c>
      <c r="I24" s="20" t="s">
        <v>217</v>
      </c>
      <c r="J24" s="20">
        <v>63</v>
      </c>
      <c r="K24" s="20" t="s">
        <v>635</v>
      </c>
      <c r="L24" s="18"/>
      <c r="M24" s="25" t="str">
        <f t="shared" si="3"/>
        <v>||AAAH7705058H2	|EUPD531207DQ9|1|30001000000500010885|Petición firmada por el Receptor||</v>
      </c>
      <c r="N24" s="30" t="str">
        <f t="shared" si="1"/>
        <v>||SPR190613I52|10-03-2026 18:00:00|30001000000500003456|Petición firmada por el Receptor||</v>
      </c>
      <c r="O24" s="31" t="str">
        <f t="shared" si="2"/>
        <v>||AAAH7705058H2	|EUPD531207DQ9|1|30001000000500010885|Petición firmada por el Receptor||
||SPR190613I52|10-03-2026 18:00:00|30001000000500003456|Petición firmada por el Receptor||</v>
      </c>
    </row>
    <row r="25" spans="1:15" ht="29" x14ac:dyDescent="0.35">
      <c r="A25" s="28" t="s">
        <v>628</v>
      </c>
      <c r="B25" s="29" t="s">
        <v>627</v>
      </c>
      <c r="C25" s="20">
        <v>1</v>
      </c>
      <c r="D25" s="20" t="s">
        <v>546</v>
      </c>
      <c r="E25" s="16" t="s">
        <v>520</v>
      </c>
      <c r="F25" s="20" t="s">
        <v>527</v>
      </c>
      <c r="G25" s="26" t="s">
        <v>613</v>
      </c>
      <c r="H25" s="20">
        <v>73</v>
      </c>
      <c r="I25" s="20" t="s">
        <v>547</v>
      </c>
      <c r="J25" s="20">
        <v>64</v>
      </c>
      <c r="K25" s="20" t="s">
        <v>635</v>
      </c>
      <c r="L25" s="18"/>
      <c r="M25" s="25" t="str">
        <f t="shared" si="3"/>
        <v>||RELC9408103M9|EUPD531207DQ9|1|30001000000500010885|Petición firmada por el Receptor||</v>
      </c>
      <c r="N25" s="30" t="str">
        <f t="shared" si="1"/>
        <v>||SPR190613I52|10-03-2026 18:00:00|30001000000500003456|Petición firmada por el Receptor||</v>
      </c>
      <c r="O25" s="31" t="str">
        <f t="shared" si="2"/>
        <v>||RELC9408103M9|EUPD531207DQ9|1|30001000000500010885|Petición firmada por el Receptor||
||SPR190613I52|10-03-2026 18:00:00|30001000000500003456|Petición firmada por el Receptor||</v>
      </c>
    </row>
    <row r="26" spans="1:15" ht="29" x14ac:dyDescent="0.35">
      <c r="A26" s="28" t="s">
        <v>628</v>
      </c>
      <c r="B26" s="29" t="s">
        <v>627</v>
      </c>
      <c r="C26" s="20">
        <v>1</v>
      </c>
      <c r="D26" s="20" t="s">
        <v>548</v>
      </c>
      <c r="E26" s="16" t="s">
        <v>520</v>
      </c>
      <c r="F26" s="20" t="s">
        <v>318</v>
      </c>
      <c r="G26" s="26" t="s">
        <v>613</v>
      </c>
      <c r="H26" s="20">
        <v>3</v>
      </c>
      <c r="I26" s="20" t="s">
        <v>217</v>
      </c>
      <c r="J26" s="20">
        <v>65</v>
      </c>
      <c r="K26" s="20" t="s">
        <v>635</v>
      </c>
      <c r="L26" s="18"/>
      <c r="M26" s="25" t="str">
        <f t="shared" si="3"/>
        <v>||AARE580920FM8|EUPD531207DQ9|1|30001000000500010885|Petición firmada por el Receptor||</v>
      </c>
      <c r="N26" s="30" t="str">
        <f t="shared" si="1"/>
        <v>||SPR190613I52|10-03-2026 18:00:00|30001000000500003456|Petición firmada por el Receptor||</v>
      </c>
      <c r="O26" s="31" t="str">
        <f t="shared" si="2"/>
        <v>||AARE580920FM8|EUPD531207DQ9|1|30001000000500010885|Petición firmada por el Receptor||
||SPR190613I52|10-03-2026 18:00:00|30001000000500003456|Petición firmada por el Receptor||</v>
      </c>
    </row>
    <row r="27" spans="1:15" ht="29" x14ac:dyDescent="0.35">
      <c r="A27" s="28" t="s">
        <v>628</v>
      </c>
      <c r="B27" s="29" t="s">
        <v>627</v>
      </c>
      <c r="C27" s="20">
        <v>1</v>
      </c>
      <c r="D27" s="20" t="s">
        <v>549</v>
      </c>
      <c r="E27" s="16" t="s">
        <v>520</v>
      </c>
      <c r="F27" s="20" t="s">
        <v>312</v>
      </c>
      <c r="G27" s="26" t="s">
        <v>613</v>
      </c>
      <c r="H27" s="20">
        <v>78</v>
      </c>
      <c r="I27" s="20" t="s">
        <v>217</v>
      </c>
      <c r="J27" s="20">
        <v>66</v>
      </c>
      <c r="K27" s="20" t="s">
        <v>635</v>
      </c>
      <c r="L27" s="18"/>
      <c r="M27" s="25" t="str">
        <f t="shared" si="3"/>
        <v>||PEVA900802FZ9|EUPD531207DQ9|1|30001000000500010885|Petición firmada por el Receptor||</v>
      </c>
      <c r="N27" s="30" t="str">
        <f t="shared" si="1"/>
        <v>||SPR190613I52|10-03-2026 18:00:00|30001000000500003456|Petición firmada por el Receptor||</v>
      </c>
      <c r="O27" s="31" t="str">
        <f t="shared" si="2"/>
        <v>||PEVA900802FZ9|EUPD531207DQ9|1|30001000000500010885|Petición firmada por el Receptor||
||SPR190613I52|10-03-2026 18:00:00|30001000000500003456|Petición firmada por el Receptor||</v>
      </c>
    </row>
    <row r="28" spans="1:15" ht="29" x14ac:dyDescent="0.35">
      <c r="A28" s="28" t="s">
        <v>628</v>
      </c>
      <c r="B28" s="29" t="s">
        <v>627</v>
      </c>
      <c r="C28" s="20">
        <v>1</v>
      </c>
      <c r="D28" s="20" t="s">
        <v>550</v>
      </c>
      <c r="E28" s="16" t="s">
        <v>520</v>
      </c>
      <c r="F28" s="20" t="s">
        <v>300</v>
      </c>
      <c r="G28" s="26" t="s">
        <v>613</v>
      </c>
      <c r="H28" s="20">
        <v>79</v>
      </c>
      <c r="I28" s="20" t="s">
        <v>217</v>
      </c>
      <c r="J28" s="20">
        <v>67</v>
      </c>
      <c r="K28" s="20" t="s">
        <v>635</v>
      </c>
      <c r="L28" s="18"/>
      <c r="M28" s="25" t="str">
        <f t="shared" si="3"/>
        <v>||AAMH8003067G7|EUPD531207DQ9|1|30001000000500010885|Petición firmada por el Receptor||</v>
      </c>
      <c r="N28" s="30" t="str">
        <f t="shared" si="1"/>
        <v>||SPR190613I52|10-03-2026 18:00:00|30001000000500003456|Petición firmada por el Receptor||</v>
      </c>
      <c r="O28" s="31" t="str">
        <f t="shared" si="2"/>
        <v>||AAMH8003067G7|EUPD531207DQ9|1|30001000000500010885|Petición firmada por el Receptor||
||SPR190613I52|10-03-2026 18:00:00|30001000000500003456|Petición firmada por el Receptor||</v>
      </c>
    </row>
    <row r="29" spans="1:15" ht="29" x14ac:dyDescent="0.35">
      <c r="A29" s="28" t="s">
        <v>628</v>
      </c>
      <c r="B29" s="29" t="s">
        <v>627</v>
      </c>
      <c r="C29" s="20">
        <v>1</v>
      </c>
      <c r="D29" s="20" t="s">
        <v>551</v>
      </c>
      <c r="E29" s="16" t="s">
        <v>520</v>
      </c>
      <c r="F29" s="20" t="s">
        <v>318</v>
      </c>
      <c r="G29" s="26" t="s">
        <v>613</v>
      </c>
      <c r="H29" s="20">
        <v>82</v>
      </c>
      <c r="I29" s="20" t="s">
        <v>217</v>
      </c>
      <c r="J29" s="20">
        <v>68</v>
      </c>
      <c r="K29" s="20" t="s">
        <v>635</v>
      </c>
      <c r="L29" s="18"/>
      <c r="M29" s="25" t="str">
        <f t="shared" si="3"/>
        <v>||EUVY920803871|EUPD531207DQ9|1|30001000000500010885|Petición firmada por el Receptor||</v>
      </c>
      <c r="N29" s="30" t="str">
        <f t="shared" si="1"/>
        <v>||SPR190613I52|10-03-2026 18:00:00|30001000000500003456|Petición firmada por el Receptor||</v>
      </c>
      <c r="O29" s="31" t="str">
        <f t="shared" si="2"/>
        <v>||EUVY920803871|EUPD531207DQ9|1|30001000000500010885|Petición firmada por el Receptor||
||SPR190613I52|10-03-2026 18:00:00|30001000000500003456|Petición firmada por el Receptor||</v>
      </c>
    </row>
    <row r="30" spans="1:15" ht="29" x14ac:dyDescent="0.35">
      <c r="A30" s="28" t="s">
        <v>628</v>
      </c>
      <c r="B30" s="29" t="s">
        <v>627</v>
      </c>
      <c r="C30" s="20">
        <v>1</v>
      </c>
      <c r="D30" s="20" t="s">
        <v>552</v>
      </c>
      <c r="E30" s="16" t="s">
        <v>520</v>
      </c>
      <c r="F30" s="20" t="s">
        <v>312</v>
      </c>
      <c r="G30" s="26" t="s">
        <v>613</v>
      </c>
      <c r="H30" s="20">
        <v>83</v>
      </c>
      <c r="I30" s="20" t="s">
        <v>217</v>
      </c>
      <c r="J30" s="20">
        <v>69</v>
      </c>
      <c r="K30" s="20" t="s">
        <v>635</v>
      </c>
      <c r="L30" s="18"/>
      <c r="M30" s="25" t="str">
        <f t="shared" si="3"/>
        <v>||BARA851007B90|EUPD531207DQ9|1|30001000000500010885|Petición firmada por el Receptor||</v>
      </c>
      <c r="N30" s="30" t="str">
        <f t="shared" si="1"/>
        <v>||SPR190613I52|10-03-2026 18:00:00|30001000000500003456|Petición firmada por el Receptor||</v>
      </c>
      <c r="O30" s="31" t="str">
        <f t="shared" si="2"/>
        <v>||BARA851007B90|EUPD531207DQ9|1|30001000000500010885|Petición firmada por el Receptor||
||SPR190613I52|10-03-2026 18:00:00|30001000000500003456|Petición firmada por el Receptor||</v>
      </c>
    </row>
    <row r="31" spans="1:15" ht="29" x14ac:dyDescent="0.35">
      <c r="A31" s="28" t="s">
        <v>628</v>
      </c>
      <c r="B31" s="29" t="s">
        <v>627</v>
      </c>
      <c r="C31" s="20">
        <v>1</v>
      </c>
      <c r="D31" s="20" t="s">
        <v>553</v>
      </c>
      <c r="E31" s="16" t="s">
        <v>520</v>
      </c>
      <c r="F31" s="20" t="s">
        <v>300</v>
      </c>
      <c r="G31" s="26" t="s">
        <v>613</v>
      </c>
      <c r="H31" s="20">
        <v>85</v>
      </c>
      <c r="I31" s="20" t="s">
        <v>217</v>
      </c>
      <c r="J31" s="20">
        <v>70</v>
      </c>
      <c r="K31" s="20" t="s">
        <v>635</v>
      </c>
      <c r="L31" s="18"/>
      <c r="M31" s="25" t="str">
        <f t="shared" si="3"/>
        <v>||AOMD911126KT9|EUPD531207DQ9|1|30001000000500010885|Petición firmada por el Receptor||</v>
      </c>
      <c r="N31" s="30" t="str">
        <f t="shared" si="1"/>
        <v>||SPR190613I52|10-03-2026 18:00:00|30001000000500003456|Petición firmada por el Receptor||</v>
      </c>
      <c r="O31" s="31" t="str">
        <f t="shared" si="2"/>
        <v>||AOMD911126KT9|EUPD531207DQ9|1|30001000000500010885|Petición firmada por el Receptor||
||SPR190613I52|10-03-2026 18:00:00|30001000000500003456|Petición firmada por el Receptor||</v>
      </c>
    </row>
    <row r="32" spans="1:15" ht="29" x14ac:dyDescent="0.35">
      <c r="A32" s="28" t="s">
        <v>628</v>
      </c>
      <c r="B32" s="29" t="s">
        <v>627</v>
      </c>
      <c r="C32" s="20">
        <v>1</v>
      </c>
      <c r="D32" s="20" t="s">
        <v>554</v>
      </c>
      <c r="E32" s="16" t="s">
        <v>521</v>
      </c>
      <c r="F32" s="20" t="s">
        <v>318</v>
      </c>
      <c r="G32" s="26" t="s">
        <v>614</v>
      </c>
      <c r="H32" s="20">
        <v>86</v>
      </c>
      <c r="I32" s="20" t="s">
        <v>217</v>
      </c>
      <c r="J32" s="20">
        <v>71</v>
      </c>
      <c r="K32" s="20" t="s">
        <v>635</v>
      </c>
      <c r="L32" s="18"/>
      <c r="M32" s="25" t="str">
        <f t="shared" si="3"/>
        <v>||AOBR921126CT7|PEPH660719GP7|1|30001000000500010886|Petición firmada por el Receptor||</v>
      </c>
      <c r="N32" s="30" t="str">
        <f t="shared" si="1"/>
        <v>||SPR190613I52|10-03-2026 18:00:00|30001000000500003456|Petición firmada por el Receptor||</v>
      </c>
      <c r="O32" s="31" t="str">
        <f t="shared" si="2"/>
        <v>||AOBR921126CT7|PEPH660719GP7|1|30001000000500010886|Petición firmada por el Receptor||
||SPR190613I52|10-03-2026 18:00:00|30001000000500003456|Petición firmada por el Receptor||</v>
      </c>
    </row>
    <row r="33" spans="1:15" ht="29" x14ac:dyDescent="0.35">
      <c r="A33" s="28" t="s">
        <v>628</v>
      </c>
      <c r="B33" s="29" t="s">
        <v>627</v>
      </c>
      <c r="C33" s="20">
        <v>1</v>
      </c>
      <c r="D33" s="20" t="s">
        <v>555</v>
      </c>
      <c r="E33" s="16" t="s">
        <v>521</v>
      </c>
      <c r="F33" s="20" t="s">
        <v>312</v>
      </c>
      <c r="G33" s="26" t="s">
        <v>614</v>
      </c>
      <c r="H33" s="20">
        <v>89</v>
      </c>
      <c r="I33" s="20" t="s">
        <v>217</v>
      </c>
      <c r="J33" s="20">
        <v>72</v>
      </c>
      <c r="K33" s="20" t="s">
        <v>635</v>
      </c>
      <c r="L33" s="18"/>
      <c r="M33" s="25" t="str">
        <f t="shared" si="3"/>
        <v>||CAGL870810M47|PEPH660719GP7|1|30001000000500010886|Petición firmada por el Receptor||</v>
      </c>
      <c r="N33" s="30" t="str">
        <f t="shared" si="1"/>
        <v>||SPR190613I52|10-03-2026 18:00:00|30001000000500003456|Petición firmada por el Receptor||</v>
      </c>
      <c r="O33" s="31" t="str">
        <f t="shared" si="2"/>
        <v>||CAGL870810M47|PEPH660719GP7|1|30001000000500010886|Petición firmada por el Receptor||
||SPR190613I52|10-03-2026 18:00:00|30001000000500003456|Petición firmada por el Receptor||</v>
      </c>
    </row>
    <row r="34" spans="1:15" ht="29" x14ac:dyDescent="0.35">
      <c r="A34" s="28" t="s">
        <v>628</v>
      </c>
      <c r="B34" s="29" t="s">
        <v>627</v>
      </c>
      <c r="C34" s="20">
        <v>1</v>
      </c>
      <c r="D34" s="20" t="s">
        <v>556</v>
      </c>
      <c r="E34" s="16" t="s">
        <v>521</v>
      </c>
      <c r="F34" s="20" t="s">
        <v>527</v>
      </c>
      <c r="G34" s="26" t="s">
        <v>614</v>
      </c>
      <c r="H34" s="20">
        <v>94</v>
      </c>
      <c r="I34" s="20" t="s">
        <v>547</v>
      </c>
      <c r="J34" s="20">
        <v>73</v>
      </c>
      <c r="K34" s="20" t="s">
        <v>635</v>
      </c>
      <c r="L34" s="18"/>
      <c r="M34" s="25" t="str">
        <f t="shared" si="3"/>
        <v>||AOAA910527SE1|PEPH660719GP7|1|30001000000500010886|Petición firmada por el Receptor||</v>
      </c>
      <c r="N34" s="30" t="str">
        <f t="shared" si="1"/>
        <v>||SPR190613I52|10-03-2026 18:00:00|30001000000500003456|Petición firmada por el Receptor||</v>
      </c>
      <c r="O34" s="31" t="str">
        <f t="shared" si="2"/>
        <v>||AOAA910527SE1|PEPH660719GP7|1|30001000000500010886|Petición firmada por el Receptor||
||SPR190613I52|10-03-2026 18:00:00|30001000000500003456|Petición firmada por el Receptor||</v>
      </c>
    </row>
    <row r="35" spans="1:15" ht="29" x14ac:dyDescent="0.35">
      <c r="A35" s="28" t="s">
        <v>628</v>
      </c>
      <c r="B35" s="29" t="s">
        <v>627</v>
      </c>
      <c r="C35" s="20">
        <v>1</v>
      </c>
      <c r="D35" s="20" t="s">
        <v>557</v>
      </c>
      <c r="E35" s="16" t="s">
        <v>521</v>
      </c>
      <c r="F35" s="20" t="s">
        <v>318</v>
      </c>
      <c r="G35" s="26" t="s">
        <v>614</v>
      </c>
      <c r="H35" s="20">
        <v>95</v>
      </c>
      <c r="I35" s="20" t="s">
        <v>217</v>
      </c>
      <c r="J35" s="20">
        <v>74</v>
      </c>
      <c r="K35" s="20" t="s">
        <v>635</v>
      </c>
      <c r="L35" s="18"/>
      <c r="M35" s="25" t="str">
        <f t="shared" si="3"/>
        <v>||CAGW891112CC0|PEPH660719GP7|1|30001000000500010886|Petición firmada por el Receptor||</v>
      </c>
      <c r="N35" s="30" t="str">
        <f t="shared" si="1"/>
        <v>||SPR190613I52|10-03-2026 18:00:00|30001000000500003456|Petición firmada por el Receptor||</v>
      </c>
      <c r="O35" s="31" t="str">
        <f t="shared" si="2"/>
        <v>||CAGW891112CC0|PEPH660719GP7|1|30001000000500010886|Petición firmada por el Receptor||
||SPR190613I52|10-03-2026 18:00:00|30001000000500003456|Petición firmada por el Receptor||</v>
      </c>
    </row>
    <row r="36" spans="1:15" ht="29" x14ac:dyDescent="0.35">
      <c r="A36" s="28" t="s">
        <v>628</v>
      </c>
      <c r="B36" s="29" t="s">
        <v>627</v>
      </c>
      <c r="C36" s="20">
        <v>1</v>
      </c>
      <c r="D36" s="20" t="s">
        <v>558</v>
      </c>
      <c r="E36" s="16" t="s">
        <v>521</v>
      </c>
      <c r="F36" s="20" t="s">
        <v>312</v>
      </c>
      <c r="G36" s="26" t="s">
        <v>614</v>
      </c>
      <c r="H36" s="20">
        <v>96</v>
      </c>
      <c r="I36" s="20" t="s">
        <v>217</v>
      </c>
      <c r="J36" s="20">
        <v>75</v>
      </c>
      <c r="K36" s="20" t="s">
        <v>635</v>
      </c>
      <c r="L36" s="18"/>
      <c r="M36" s="25" t="str">
        <f t="shared" si="3"/>
        <v>||AOEH820627HQ2|PEPH660719GP7|1|30001000000500010886|Petición firmada por el Receptor||</v>
      </c>
      <c r="N36" s="30" t="str">
        <f t="shared" si="1"/>
        <v>||SPR190613I52|10-03-2026 18:00:00|30001000000500003456|Petición firmada por el Receptor||</v>
      </c>
      <c r="O36" s="31" t="str">
        <f t="shared" si="2"/>
        <v>||AOEH820627HQ2|PEPH660719GP7|1|30001000000500010886|Petición firmada por el Receptor||
||SPR190613I52|10-03-2026 18:00:00|30001000000500003456|Petición firmada por el Receptor||</v>
      </c>
    </row>
    <row r="37" spans="1:15" ht="29" x14ac:dyDescent="0.35">
      <c r="A37" s="28" t="s">
        <v>628</v>
      </c>
      <c r="B37" s="29" t="s">
        <v>627</v>
      </c>
      <c r="C37" s="20">
        <v>1</v>
      </c>
      <c r="D37" s="20" t="s">
        <v>559</v>
      </c>
      <c r="E37" s="16" t="s">
        <v>521</v>
      </c>
      <c r="F37" s="20" t="s">
        <v>300</v>
      </c>
      <c r="G37" s="26" t="s">
        <v>614</v>
      </c>
      <c r="H37" s="20">
        <v>97</v>
      </c>
      <c r="I37" s="20" t="s">
        <v>217</v>
      </c>
      <c r="J37" s="20">
        <v>76</v>
      </c>
      <c r="K37" s="20" t="s">
        <v>635</v>
      </c>
      <c r="L37" s="18"/>
      <c r="M37" s="25" t="str">
        <f t="shared" si="3"/>
        <v>||AOBB881224G1A|PEPH660719GP7|1|30001000000500010886|Petición firmada por el Receptor||</v>
      </c>
      <c r="N37" s="30" t="str">
        <f t="shared" si="1"/>
        <v>||SPR190613I52|10-03-2026 18:00:00|30001000000500003456|Petición firmada por el Receptor||</v>
      </c>
      <c r="O37" s="31" t="str">
        <f t="shared" si="2"/>
        <v>||AOBB881224G1A|PEPH660719GP7|1|30001000000500010886|Petición firmada por el Receptor||
||SPR190613I52|10-03-2026 18:00:00|30001000000500003456|Petición firmada por el Receptor||</v>
      </c>
    </row>
    <row r="38" spans="1:15" ht="29" x14ac:dyDescent="0.35">
      <c r="A38" s="28" t="s">
        <v>628</v>
      </c>
      <c r="B38" s="29" t="s">
        <v>627</v>
      </c>
      <c r="C38" s="20">
        <v>1</v>
      </c>
      <c r="D38" s="20" t="s">
        <v>560</v>
      </c>
      <c r="E38" s="16" t="s">
        <v>521</v>
      </c>
      <c r="F38" s="20" t="s">
        <v>318</v>
      </c>
      <c r="G38" s="26" t="s">
        <v>614</v>
      </c>
      <c r="H38" s="20">
        <v>98</v>
      </c>
      <c r="I38" s="20" t="s">
        <v>217</v>
      </c>
      <c r="J38" s="20">
        <v>77</v>
      </c>
      <c r="K38" s="20" t="s">
        <v>635</v>
      </c>
      <c r="L38" s="18"/>
      <c r="M38" s="25" t="str">
        <f t="shared" si="3"/>
        <v>||AOMW790330HS8|PEPH660719GP7|1|30001000000500010886|Petición firmada por el Receptor||</v>
      </c>
      <c r="N38" s="30" t="str">
        <f t="shared" si="1"/>
        <v>||SPR190613I52|10-03-2026 18:00:00|30001000000500003456|Petición firmada por el Receptor||</v>
      </c>
      <c r="O38" s="31" t="str">
        <f t="shared" si="2"/>
        <v>||AOMW790330HS8|PEPH660719GP7|1|30001000000500010886|Petición firmada por el Receptor||
||SPR190613I52|10-03-2026 18:00:00|30001000000500003456|Petición firmada por el Receptor||</v>
      </c>
    </row>
    <row r="39" spans="1:15" ht="29" x14ac:dyDescent="0.35">
      <c r="A39" s="28" t="s">
        <v>628</v>
      </c>
      <c r="B39" s="29" t="s">
        <v>627</v>
      </c>
      <c r="C39" s="20">
        <v>1</v>
      </c>
      <c r="D39" s="20" t="s">
        <v>561</v>
      </c>
      <c r="E39" s="16" t="s">
        <v>521</v>
      </c>
      <c r="F39" s="20" t="s">
        <v>312</v>
      </c>
      <c r="G39" s="26" t="s">
        <v>614</v>
      </c>
      <c r="H39" s="20">
        <v>3</v>
      </c>
      <c r="I39" s="20" t="s">
        <v>217</v>
      </c>
      <c r="J39" s="20">
        <v>78</v>
      </c>
      <c r="K39" s="20" t="s">
        <v>635</v>
      </c>
      <c r="L39" s="18"/>
      <c r="M39" s="25" t="str">
        <f t="shared" si="3"/>
        <v>||AOFW800207AY7|PEPH660719GP7|1|30001000000500010886|Petición firmada por el Receptor||</v>
      </c>
      <c r="N39" s="30" t="str">
        <f t="shared" si="1"/>
        <v>||SPR190613I52|10-03-2026 18:00:00|30001000000500003456|Petición firmada por el Receptor||</v>
      </c>
      <c r="O39" s="31" t="str">
        <f t="shared" si="2"/>
        <v>||AOFW800207AY7|PEPH660719GP7|1|30001000000500010886|Petición firmada por el Receptor||
||SPR190613I52|10-03-2026 18:00:00|30001000000500003456|Petición firmada por el Receptor||</v>
      </c>
    </row>
    <row r="40" spans="1:15" ht="29" x14ac:dyDescent="0.35">
      <c r="A40" s="28" t="s">
        <v>628</v>
      </c>
      <c r="B40" s="29" t="s">
        <v>627</v>
      </c>
      <c r="C40" s="20">
        <v>1</v>
      </c>
      <c r="D40" s="20" t="s">
        <v>304</v>
      </c>
      <c r="E40" s="16" t="s">
        <v>521</v>
      </c>
      <c r="F40" s="20">
        <v>612</v>
      </c>
      <c r="G40" s="26" t="s">
        <v>614</v>
      </c>
      <c r="H40" s="20">
        <v>203</v>
      </c>
      <c r="I40" s="20" t="s">
        <v>465</v>
      </c>
      <c r="J40" s="20">
        <v>70</v>
      </c>
      <c r="K40" s="20" t="s">
        <v>635</v>
      </c>
      <c r="L40" s="19"/>
      <c r="M40" s="25" t="str">
        <f t="shared" si="3"/>
        <v>||MESA301116B47|PEPH660719GP7|1|30001000000500010886|Petición firmada por el Receptor||</v>
      </c>
      <c r="N40" s="30" t="str">
        <f t="shared" si="1"/>
        <v>||SPR190613I52|10-03-2026 18:00:00|30001000000500003456|Petición firmada por el Receptor||</v>
      </c>
      <c r="O40" s="31" t="str">
        <f t="shared" si="2"/>
        <v>||MESA301116B47|PEPH660719GP7|1|30001000000500010886|Petición firmada por el Receptor||
||SPR190613I52|10-03-2026 18:00:00|30001000000500003456|Petición firmada por el Receptor||</v>
      </c>
    </row>
    <row r="41" spans="1:15" ht="29" x14ac:dyDescent="0.35">
      <c r="A41" s="28" t="s">
        <v>628</v>
      </c>
      <c r="B41" s="29" t="s">
        <v>627</v>
      </c>
      <c r="C41" s="20">
        <v>1</v>
      </c>
      <c r="D41" s="20" t="s">
        <v>396</v>
      </c>
      <c r="E41" s="16" t="s">
        <v>521</v>
      </c>
      <c r="F41" s="20">
        <v>612</v>
      </c>
      <c r="G41" s="26" t="s">
        <v>614</v>
      </c>
      <c r="H41" s="20">
        <v>734</v>
      </c>
      <c r="I41" s="20">
        <v>300155</v>
      </c>
      <c r="J41" s="20">
        <v>70</v>
      </c>
      <c r="K41" s="20" t="s">
        <v>635</v>
      </c>
      <c r="L41" s="19"/>
      <c r="M41" s="25" t="str">
        <f t="shared" si="3"/>
        <v>||VAHA920703749|PEPH660719GP7|1|30001000000500010886|Petición firmada por el Receptor||</v>
      </c>
      <c r="N41" s="30" t="str">
        <f t="shared" si="1"/>
        <v>||SPR190613I52|10-03-2026 18:00:00|30001000000500003456|Petición firmada por el Receptor||</v>
      </c>
      <c r="O41" s="31" t="str">
        <f t="shared" si="2"/>
        <v>||VAHA920703749|PEPH660719GP7|1|30001000000500010886|Petición firmada por el Receptor||
||SPR190613I52|10-03-2026 18:00:00|30001000000500003456|Petición firmada por el Receptor||</v>
      </c>
    </row>
    <row r="42" spans="1:15" ht="29" x14ac:dyDescent="0.35">
      <c r="A42" s="28" t="s">
        <v>628</v>
      </c>
      <c r="B42" s="29" t="s">
        <v>627</v>
      </c>
      <c r="C42" s="20">
        <v>1</v>
      </c>
      <c r="D42" s="20" t="s">
        <v>302</v>
      </c>
      <c r="E42" s="16" t="s">
        <v>521</v>
      </c>
      <c r="F42" s="20">
        <v>612</v>
      </c>
      <c r="G42" s="26" t="s">
        <v>614</v>
      </c>
      <c r="H42" s="20" t="s">
        <v>298</v>
      </c>
      <c r="I42" s="20" t="s">
        <v>466</v>
      </c>
      <c r="J42" s="20" t="s">
        <v>303</v>
      </c>
      <c r="K42" s="20" t="s">
        <v>635</v>
      </c>
      <c r="L42" s="19"/>
      <c r="M42" s="25" t="str">
        <f t="shared" si="3"/>
        <v>||MEMA800818BU8|PEPH660719GP7|1|30001000000500010886|Petición firmada por el Receptor||</v>
      </c>
      <c r="N42" s="30" t="str">
        <f t="shared" si="1"/>
        <v>||SPR190613I52|10-03-2026 18:00:00|30001000000500003456|Petición firmada por el Receptor||</v>
      </c>
      <c r="O42" s="31" t="str">
        <f t="shared" si="2"/>
        <v>||MEMA800818BU8|PEPH660719GP7|1|30001000000500010886|Petición firmada por el Receptor||
||SPR190613I52|10-03-2026 18:00:00|30001000000500003456|Petición firmada por el Receptor||</v>
      </c>
    </row>
    <row r="43" spans="1:15" ht="29" x14ac:dyDescent="0.35">
      <c r="A43" s="28" t="s">
        <v>628</v>
      </c>
      <c r="B43" s="29" t="s">
        <v>627</v>
      </c>
      <c r="C43" s="36">
        <v>1</v>
      </c>
      <c r="D43" s="20" t="s">
        <v>308</v>
      </c>
      <c r="E43" s="16" t="s">
        <v>521</v>
      </c>
      <c r="F43" s="20">
        <v>621</v>
      </c>
      <c r="G43" s="26" t="s">
        <v>614</v>
      </c>
      <c r="H43" s="20" t="s">
        <v>298</v>
      </c>
      <c r="I43" s="20" t="s">
        <v>310</v>
      </c>
      <c r="J43" s="20">
        <v>2</v>
      </c>
      <c r="K43" s="20" t="s">
        <v>635</v>
      </c>
      <c r="L43" s="19"/>
      <c r="M43" s="25" t="str">
        <f t="shared" si="3"/>
        <v>||VISL760602BK8|PEPH660719GP7|1|30001000000500010886|Petición firmada por el Receptor||</v>
      </c>
      <c r="N43" s="30" t="str">
        <f t="shared" si="1"/>
        <v>||SPR190613I52|10-03-2026 18:00:00|30001000000500003456|Petición firmada por el Receptor||</v>
      </c>
      <c r="O43" s="31" t="str">
        <f t="shared" si="2"/>
        <v>||VISL760602BK8|PEPH660719GP7|1|30001000000500010886|Petición firmada por el Receptor||
||SPR190613I52|10-03-2026 18:00:00|30001000000500003456|Petición firmada por el Receptor||</v>
      </c>
    </row>
    <row r="44" spans="1:15" ht="29" x14ac:dyDescent="0.35">
      <c r="A44" s="28" t="s">
        <v>628</v>
      </c>
      <c r="B44" s="29" t="s">
        <v>627</v>
      </c>
      <c r="C44" s="36">
        <v>1</v>
      </c>
      <c r="D44" s="20" t="s">
        <v>397</v>
      </c>
      <c r="E44" s="16" t="s">
        <v>521</v>
      </c>
      <c r="F44" s="20">
        <v>621</v>
      </c>
      <c r="G44" s="26" t="s">
        <v>614</v>
      </c>
      <c r="H44" s="20" t="s">
        <v>298</v>
      </c>
      <c r="I44" s="20" t="s">
        <v>217</v>
      </c>
      <c r="J44" s="20">
        <v>69</v>
      </c>
      <c r="K44" s="20" t="s">
        <v>636</v>
      </c>
      <c r="L44" s="19"/>
      <c r="M44" s="25" t="str">
        <f t="shared" si="3"/>
        <v>||GATJ840104P55|PEPH660719GP7|1|30001000000500010886|Petición firmada por el Receptor||</v>
      </c>
      <c r="N44" s="30" t="str">
        <f t="shared" si="1"/>
        <v>||SPR190613I52|10-03-2026 18:00:00|30001000000500003456|Petición firmada por el Receptor||</v>
      </c>
      <c r="O44" s="31" t="str">
        <f t="shared" si="2"/>
        <v>||GATJ840104P55|PEPH660719GP7|1|30001000000500010886|Petición firmada por el Receptor||
||SPR190613I52|10-03-2026 18:00:00|30001000000500003456|Petición firmada por el Receptor||</v>
      </c>
    </row>
    <row r="45" spans="1:15" ht="29" x14ac:dyDescent="0.35">
      <c r="A45" s="28" t="s">
        <v>628</v>
      </c>
      <c r="B45" s="29" t="s">
        <v>627</v>
      </c>
      <c r="C45" s="36">
        <v>1</v>
      </c>
      <c r="D45" s="20" t="s">
        <v>390</v>
      </c>
      <c r="E45" s="16" t="s">
        <v>521</v>
      </c>
      <c r="F45" s="21">
        <v>605621</v>
      </c>
      <c r="G45" s="26" t="s">
        <v>614</v>
      </c>
      <c r="H45" s="20" t="s">
        <v>566</v>
      </c>
      <c r="I45" s="20" t="s">
        <v>217</v>
      </c>
      <c r="J45" s="20">
        <v>76</v>
      </c>
      <c r="K45" s="20" t="s">
        <v>635</v>
      </c>
      <c r="L45" s="19"/>
      <c r="M45" s="25" t="str">
        <f t="shared" si="3"/>
        <v>||VAGE410918GBA|PEPH660719GP7|1|30001000000500010886|Petición firmada por el Receptor||</v>
      </c>
      <c r="N45" s="30" t="str">
        <f t="shared" si="1"/>
        <v>||SPR190613I52|10-03-2026 18:00:00|30001000000500003456|Petición firmada por el Receptor||</v>
      </c>
      <c r="O45" s="31" t="str">
        <f t="shared" si="2"/>
        <v>||VAGE410918GBA|PEPH660719GP7|1|30001000000500010886|Petición firmada por el Receptor||
||SPR190613I52|10-03-2026 18:00:00|30001000000500003456|Petición firmada por el Receptor||</v>
      </c>
    </row>
    <row r="46" spans="1:15" ht="29" x14ac:dyDescent="0.35">
      <c r="A46" s="28" t="s">
        <v>628</v>
      </c>
      <c r="B46" s="29" t="s">
        <v>627</v>
      </c>
      <c r="C46" s="33">
        <v>1</v>
      </c>
      <c r="D46" s="20" t="s">
        <v>437</v>
      </c>
      <c r="E46" s="16" t="s">
        <v>521</v>
      </c>
      <c r="F46" s="20">
        <v>626</v>
      </c>
      <c r="G46" s="26" t="s">
        <v>614</v>
      </c>
      <c r="H46" s="20">
        <v>3</v>
      </c>
      <c r="I46" s="20" t="s">
        <v>641</v>
      </c>
      <c r="J46" s="20">
        <v>68</v>
      </c>
      <c r="K46" s="20" t="s">
        <v>635</v>
      </c>
      <c r="L46" s="19"/>
      <c r="M46" s="25" t="str">
        <f t="shared" si="3"/>
        <v>||QUJJ830623JL0|PEPH660719GP7|1|30001000000500010886|Petición firmada por el Receptor||</v>
      </c>
      <c r="N46" s="30" t="str">
        <f t="shared" si="1"/>
        <v>||SPR190613I52|10-03-2026 18:00:00|30001000000500003456|Petición firmada por el Receptor||</v>
      </c>
      <c r="O46" s="31" t="str">
        <f t="shared" si="2"/>
        <v>||QUJJ830623JL0|PEPH660719GP7|1|30001000000500010886|Petición firmada por el Receptor||
||SPR190613I52|10-03-2026 18:00:00|30001000000500003456|Petición firmada por el Receptor||</v>
      </c>
    </row>
    <row r="47" spans="1:15" ht="29" x14ac:dyDescent="0.35">
      <c r="A47" s="28" t="s">
        <v>628</v>
      </c>
      <c r="B47" s="29" t="s">
        <v>627</v>
      </c>
      <c r="C47" s="33">
        <v>1</v>
      </c>
      <c r="D47" s="20" t="s">
        <v>311</v>
      </c>
      <c r="E47" s="16" t="s">
        <v>521</v>
      </c>
      <c r="F47" s="20">
        <v>626</v>
      </c>
      <c r="G47" s="26" t="s">
        <v>614</v>
      </c>
      <c r="H47" s="20">
        <v>3</v>
      </c>
      <c r="I47" s="20" t="s">
        <v>217</v>
      </c>
      <c r="J47" s="20">
        <v>78</v>
      </c>
      <c r="K47" s="20" t="s">
        <v>635</v>
      </c>
      <c r="L47" s="19"/>
      <c r="M47" s="25" t="str">
        <f t="shared" si="3"/>
        <v>||AAGM871005UH7|PEPH660719GP7|1|30001000000500010886|Petición firmada por el Receptor||</v>
      </c>
      <c r="N47" s="30" t="str">
        <f t="shared" si="1"/>
        <v>||SPR190613I52|10-03-2026 18:00:00|30001000000500003456|Petición firmada por el Receptor||</v>
      </c>
      <c r="O47" s="31" t="str">
        <f t="shared" si="2"/>
        <v>||AAGM871005UH7|PEPH660719GP7|1|30001000000500010886|Petición firmada por el Receptor||
||SPR190613I52|10-03-2026 18:00:00|30001000000500003456|Petición firmada por el Receptor||</v>
      </c>
    </row>
    <row r="48" spans="1:15" ht="29" x14ac:dyDescent="0.35">
      <c r="A48" s="28" t="s">
        <v>628</v>
      </c>
      <c r="B48" s="29" t="s">
        <v>627</v>
      </c>
      <c r="C48" s="33">
        <v>1</v>
      </c>
      <c r="D48" s="20" t="s">
        <v>391</v>
      </c>
      <c r="E48" s="16" t="s">
        <v>521</v>
      </c>
      <c r="F48" s="21">
        <v>605626</v>
      </c>
      <c r="G48" s="26" t="s">
        <v>614</v>
      </c>
      <c r="H48" s="20">
        <v>819</v>
      </c>
      <c r="I48" s="20" t="s">
        <v>641</v>
      </c>
      <c r="J48" s="20" t="s">
        <v>467</v>
      </c>
      <c r="K48" s="20" t="s">
        <v>636</v>
      </c>
      <c r="L48" s="19"/>
      <c r="M48" s="25" t="str">
        <f t="shared" si="3"/>
        <v>||IAPI810923LP9|PEPH660719GP7|1|30001000000500010886|Petición firmada por el Receptor||</v>
      </c>
      <c r="N48" s="30" t="str">
        <f t="shared" si="1"/>
        <v>||SPR190613I52|10-03-2026 18:00:00|30001000000500003456|Petición firmada por el Receptor||</v>
      </c>
      <c r="O48" s="31" t="str">
        <f t="shared" si="2"/>
        <v>||IAPI810923LP9|PEPH660719GP7|1|30001000000500010886|Petición firmada por el Receptor||
||SPR190613I52|10-03-2026 18:00:00|30001000000500003456|Petición firmada por el Receptor||</v>
      </c>
    </row>
    <row r="49" spans="1:15" ht="29" x14ac:dyDescent="0.35">
      <c r="A49" s="28" t="s">
        <v>628</v>
      </c>
      <c r="B49" s="29" t="s">
        <v>627</v>
      </c>
      <c r="C49" s="33">
        <v>2</v>
      </c>
      <c r="D49" s="20" t="s">
        <v>297</v>
      </c>
      <c r="E49" s="16" t="s">
        <v>522</v>
      </c>
      <c r="F49" s="20">
        <v>606</v>
      </c>
      <c r="G49" s="26" t="s">
        <v>615</v>
      </c>
      <c r="H49" s="20" t="s">
        <v>298</v>
      </c>
      <c r="I49" s="20" t="s">
        <v>644</v>
      </c>
      <c r="J49" s="20">
        <v>453</v>
      </c>
      <c r="K49" s="20" t="s">
        <v>635</v>
      </c>
      <c r="L49" s="19"/>
      <c r="M49" s="25" t="str">
        <f t="shared" si="3"/>
        <v>||PILY750909JI9|MABJ861003PW1|2|30001000000500010887|Petición firmada por el Receptor||</v>
      </c>
      <c r="N49" s="30" t="str">
        <f t="shared" si="1"/>
        <v>||SPR190613I52|10-03-2026 18:00:00|30001000000500003456|Petición firmada por el Receptor||</v>
      </c>
      <c r="O49" s="31" t="str">
        <f t="shared" si="2"/>
        <v>||PILY750909JI9|MABJ861003PW1|2|30001000000500010887|Petición firmada por el Receptor||
||SPR190613I52|10-03-2026 18:00:00|30001000000500003456|Petición firmada por el Receptor||</v>
      </c>
    </row>
    <row r="50" spans="1:15" ht="29" x14ac:dyDescent="0.35">
      <c r="A50" s="28" t="s">
        <v>628</v>
      </c>
      <c r="B50" s="29" t="s">
        <v>627</v>
      </c>
      <c r="C50" s="33">
        <v>2</v>
      </c>
      <c r="D50" s="20" t="s">
        <v>473</v>
      </c>
      <c r="E50" s="16" t="s">
        <v>522</v>
      </c>
      <c r="F50" s="20">
        <v>605</v>
      </c>
      <c r="G50" s="26" t="s">
        <v>615</v>
      </c>
      <c r="H50" s="20" t="s">
        <v>298</v>
      </c>
      <c r="I50" s="20" t="s">
        <v>217</v>
      </c>
      <c r="J50" s="20">
        <v>1076</v>
      </c>
      <c r="K50" s="20" t="s">
        <v>636</v>
      </c>
      <c r="L50" s="19"/>
      <c r="M50" s="25" t="str">
        <f t="shared" si="3"/>
        <v>||RAGR760807952|MABJ861003PW1|2|30001000000500010887|Petición firmada por el Receptor||</v>
      </c>
      <c r="N50" s="30" t="str">
        <f t="shared" si="1"/>
        <v>||SPR190613I52|10-03-2026 18:00:00|30001000000500003456|Petición firmada por el Receptor||</v>
      </c>
      <c r="O50" s="31" t="str">
        <f t="shared" si="2"/>
        <v>||RAGR760807952|MABJ861003PW1|2|30001000000500010887|Petición firmada por el Receptor||
||SPR190613I52|10-03-2026 18:00:00|30001000000500003456|Petición firmada por el Receptor||</v>
      </c>
    </row>
    <row r="51" spans="1:15" ht="29" x14ac:dyDescent="0.35">
      <c r="A51" s="28" t="s">
        <v>628</v>
      </c>
      <c r="B51" s="29" t="s">
        <v>627</v>
      </c>
      <c r="C51" s="33">
        <v>2</v>
      </c>
      <c r="D51" s="20" t="s">
        <v>398</v>
      </c>
      <c r="E51" s="16" t="s">
        <v>522</v>
      </c>
      <c r="F51" s="20" t="s">
        <v>367</v>
      </c>
      <c r="G51" s="26" t="s">
        <v>615</v>
      </c>
      <c r="H51" s="20" t="s">
        <v>298</v>
      </c>
      <c r="I51" s="20" t="s">
        <v>217</v>
      </c>
      <c r="J51" s="20">
        <v>907</v>
      </c>
      <c r="K51" s="20" t="s">
        <v>635</v>
      </c>
      <c r="L51" s="19"/>
      <c r="M51" s="25" t="str">
        <f t="shared" si="3"/>
        <v>||RITJ780624FS5|MABJ861003PW1|2|30001000000500010887|Petición firmada por el Receptor||</v>
      </c>
      <c r="N51" s="30" t="str">
        <f t="shared" si="1"/>
        <v>||SPR190613I52|10-03-2026 18:00:00|30001000000500003456|Petición firmada por el Receptor||</v>
      </c>
      <c r="O51" s="31" t="str">
        <f t="shared" si="2"/>
        <v>||RITJ780624FS5|MABJ861003PW1|2|30001000000500010887|Petición firmada por el Receptor||
||SPR190613I52|10-03-2026 18:00:00|30001000000500003456|Petición firmada por el Receptor||</v>
      </c>
    </row>
    <row r="52" spans="1:15" ht="29" x14ac:dyDescent="0.35">
      <c r="A52" s="28" t="s">
        <v>628</v>
      </c>
      <c r="B52" s="29" t="s">
        <v>627</v>
      </c>
      <c r="C52" s="20">
        <v>2</v>
      </c>
      <c r="D52" s="20" t="s">
        <v>391</v>
      </c>
      <c r="E52" s="16" t="s">
        <v>522</v>
      </c>
      <c r="F52" s="20" t="s">
        <v>312</v>
      </c>
      <c r="G52" s="26" t="s">
        <v>615</v>
      </c>
      <c r="H52" s="20">
        <v>819</v>
      </c>
      <c r="I52" s="20" t="s">
        <v>217</v>
      </c>
      <c r="J52" s="20" t="s">
        <v>467</v>
      </c>
      <c r="K52" s="20" t="s">
        <v>636</v>
      </c>
      <c r="L52" s="19"/>
      <c r="M52" s="25" t="str">
        <f t="shared" si="3"/>
        <v>||IAPI810923LP9|MABJ861003PW1|2|30001000000500010887|Petición firmada por el Receptor||</v>
      </c>
      <c r="N52" s="30" t="str">
        <f t="shared" si="1"/>
        <v>||SPR190613I52|10-03-2026 18:00:00|30001000000500003456|Petición firmada por el Receptor||</v>
      </c>
      <c r="O52" s="31" t="str">
        <f t="shared" si="2"/>
        <v>||IAPI810923LP9|MABJ861003PW1|2|30001000000500010887|Petición firmada por el Receptor||
||SPR190613I52|10-03-2026 18:00:00|30001000000500003456|Petición firmada por el Receptor||</v>
      </c>
    </row>
    <row r="53" spans="1:15" ht="29" x14ac:dyDescent="0.35">
      <c r="A53" s="28" t="s">
        <v>628</v>
      </c>
      <c r="B53" s="29" t="s">
        <v>627</v>
      </c>
      <c r="C53" s="20">
        <v>2</v>
      </c>
      <c r="D53" s="20" t="s">
        <v>399</v>
      </c>
      <c r="E53" s="16" t="s">
        <v>522</v>
      </c>
      <c r="F53" s="20" t="s">
        <v>312</v>
      </c>
      <c r="G53" s="26" t="s">
        <v>615</v>
      </c>
      <c r="H53" s="20">
        <v>3</v>
      </c>
      <c r="I53" s="20" t="s">
        <v>400</v>
      </c>
      <c r="J53" s="20">
        <v>907</v>
      </c>
      <c r="K53" s="20" t="s">
        <v>635</v>
      </c>
      <c r="L53" s="19"/>
      <c r="M53" s="25" t="str">
        <f t="shared" si="3"/>
        <v>||REVJ7602249B4|MABJ861003PW1|2|30001000000500010887|Petición firmada por el Receptor||</v>
      </c>
      <c r="N53" s="30" t="str">
        <f t="shared" si="1"/>
        <v>||SPR190613I52|10-03-2026 18:00:00|30001000000500003456|Petición firmada por el Receptor||</v>
      </c>
      <c r="O53" s="31" t="str">
        <f t="shared" si="2"/>
        <v>||REVJ7602249B4|MABJ861003PW1|2|30001000000500010887|Petición firmada por el Receptor||
||SPR190613I52|10-03-2026 18:00:00|30001000000500003456|Petición firmada por el Receptor||</v>
      </c>
    </row>
    <row r="54" spans="1:15" ht="29" x14ac:dyDescent="0.35">
      <c r="A54" s="28" t="s">
        <v>628</v>
      </c>
      <c r="B54" s="29" t="s">
        <v>627</v>
      </c>
      <c r="C54" s="20">
        <v>2</v>
      </c>
      <c r="D54" s="20" t="s">
        <v>301</v>
      </c>
      <c r="E54" s="16" t="s">
        <v>522</v>
      </c>
      <c r="F54" s="20" t="s">
        <v>313</v>
      </c>
      <c r="G54" s="26" t="s">
        <v>615</v>
      </c>
      <c r="H54" s="20" t="s">
        <v>298</v>
      </c>
      <c r="I54" s="20" t="s">
        <v>315</v>
      </c>
      <c r="J54" s="20">
        <v>679</v>
      </c>
      <c r="K54" s="20" t="s">
        <v>635</v>
      </c>
      <c r="L54" s="19"/>
      <c r="M54" s="25" t="str">
        <f t="shared" si="3"/>
        <v>||IATF410605E89|MABJ861003PW1|2|30001000000500010887|Petición firmada por el Receptor||</v>
      </c>
      <c r="N54" s="30" t="str">
        <f t="shared" si="1"/>
        <v>||SPR190613I52|10-03-2026 18:00:00|30001000000500003456|Petición firmada por el Receptor||</v>
      </c>
      <c r="O54" s="31" t="str">
        <f t="shared" si="2"/>
        <v>||IATF410605E89|MABJ861003PW1|2|30001000000500010887|Petición firmada por el Receptor||
||SPR190613I52|10-03-2026 18:00:00|30001000000500003456|Petición firmada por el Receptor||</v>
      </c>
    </row>
    <row r="55" spans="1:15" ht="29" x14ac:dyDescent="0.35">
      <c r="A55" s="28" t="s">
        <v>628</v>
      </c>
      <c r="B55" s="29" t="s">
        <v>627</v>
      </c>
      <c r="C55" s="20">
        <v>2</v>
      </c>
      <c r="D55" s="20" t="s">
        <v>305</v>
      </c>
      <c r="E55" s="16" t="s">
        <v>522</v>
      </c>
      <c r="F55" s="20" t="s">
        <v>314</v>
      </c>
      <c r="G55" s="26" t="s">
        <v>615</v>
      </c>
      <c r="H55" s="20" t="s">
        <v>167</v>
      </c>
      <c r="I55" s="20" t="s">
        <v>468</v>
      </c>
      <c r="J55" s="20" t="s">
        <v>306</v>
      </c>
      <c r="K55" s="20" t="s">
        <v>636</v>
      </c>
      <c r="L55" s="19"/>
      <c r="M55" s="25" t="str">
        <f t="shared" si="3"/>
        <v>||BAJA730719QY9|MABJ861003PW1|2|30001000000500010887|Petición firmada por el Receptor||</v>
      </c>
      <c r="N55" s="30" t="str">
        <f t="shared" si="1"/>
        <v>||SPR190613I52|10-03-2026 18:00:00|30001000000500003456|Petición firmada por el Receptor||</v>
      </c>
      <c r="O55" s="31" t="str">
        <f t="shared" si="2"/>
        <v>||BAJA730719QY9|MABJ861003PW1|2|30001000000500010887|Petición firmada por el Receptor||
||SPR190613I52|10-03-2026 18:00:00|30001000000500003456|Petición firmada por el Receptor||</v>
      </c>
    </row>
    <row r="56" spans="1:15" ht="29" x14ac:dyDescent="0.35">
      <c r="A56" s="28" t="s">
        <v>628</v>
      </c>
      <c r="B56" s="29" t="s">
        <v>627</v>
      </c>
      <c r="C56" s="20">
        <v>3</v>
      </c>
      <c r="D56" s="20" t="s">
        <v>562</v>
      </c>
      <c r="E56" s="16" t="s">
        <v>522</v>
      </c>
      <c r="F56" s="20" t="s">
        <v>300</v>
      </c>
      <c r="G56" s="26" t="s">
        <v>615</v>
      </c>
      <c r="H56" s="20" t="s">
        <v>298</v>
      </c>
      <c r="I56" s="20" t="s">
        <v>217</v>
      </c>
      <c r="J56" s="20" t="s">
        <v>563</v>
      </c>
      <c r="K56" s="20" t="s">
        <v>635</v>
      </c>
      <c r="L56" s="19"/>
      <c r="M56" s="25" t="str">
        <f t="shared" si="3"/>
        <v>||AOPW7710126PA|MABJ861003PW1|3|30001000000500010887|Petición firmada por el Receptor||</v>
      </c>
      <c r="N56" s="30" t="str">
        <f t="shared" si="1"/>
        <v>||SPR190613I52|10-03-2026 18:00:00|30001000000500003456|Petición firmada por el Receptor||</v>
      </c>
      <c r="O56" s="31" t="str">
        <f t="shared" ref="O56:O119" si="4">CONCATENATE(M56, CHAR(10), N56)</f>
        <v>||AOPW7710126PA|MABJ861003PW1|3|30001000000500010887|Petición firmada por el Receptor||
||SPR190613I52|10-03-2026 18:00:00|30001000000500003456|Petición firmada por el Receptor||</v>
      </c>
    </row>
    <row r="57" spans="1:15" ht="29" x14ac:dyDescent="0.35">
      <c r="A57" s="28" t="s">
        <v>628</v>
      </c>
      <c r="B57" s="29" t="s">
        <v>627</v>
      </c>
      <c r="C57" s="20">
        <v>3</v>
      </c>
      <c r="D57" s="20" t="s">
        <v>564</v>
      </c>
      <c r="E57" s="16" t="s">
        <v>522</v>
      </c>
      <c r="F57" s="20" t="s">
        <v>309</v>
      </c>
      <c r="G57" s="26" t="s">
        <v>615</v>
      </c>
      <c r="H57" s="20" t="s">
        <v>298</v>
      </c>
      <c r="I57" s="20" t="s">
        <v>310</v>
      </c>
      <c r="J57" s="20">
        <v>106</v>
      </c>
      <c r="K57" s="20" t="s">
        <v>635</v>
      </c>
      <c r="L57" s="19"/>
      <c r="M57" s="25" t="str">
        <f t="shared" si="3"/>
        <v>||AOTE680812K3A|MABJ861003PW1|3|30001000000500010887|Petición firmada por el Receptor||</v>
      </c>
      <c r="N57" s="30" t="str">
        <f t="shared" ref="N57:N120" si="5">CONCATENATE("||","SPR190613I52","|",A57,"|",B57,"|","Petición firmada por el Receptor","||")</f>
        <v>||SPR190613I52|10-03-2026 18:00:00|30001000000500003456|Petición firmada por el Receptor||</v>
      </c>
      <c r="O57" s="31" t="str">
        <f t="shared" si="4"/>
        <v>||AOTE680812K3A|MABJ861003PW1|3|30001000000500010887|Petición firmada por el Receptor||
||SPR190613I52|10-03-2026 18:00:00|30001000000500003456|Petición firmada por el Receptor||</v>
      </c>
    </row>
    <row r="58" spans="1:15" ht="29" x14ac:dyDescent="0.35">
      <c r="A58" s="28" t="s">
        <v>628</v>
      </c>
      <c r="B58" s="29" t="s">
        <v>627</v>
      </c>
      <c r="C58" s="20">
        <v>3</v>
      </c>
      <c r="D58" s="20" t="s">
        <v>565</v>
      </c>
      <c r="E58" s="16" t="s">
        <v>522</v>
      </c>
      <c r="F58" s="20" t="s">
        <v>312</v>
      </c>
      <c r="G58" s="26" t="s">
        <v>615</v>
      </c>
      <c r="H58" s="20" t="s">
        <v>298</v>
      </c>
      <c r="I58" s="20" t="s">
        <v>217</v>
      </c>
      <c r="J58" s="20">
        <v>107</v>
      </c>
      <c r="K58" s="20" t="s">
        <v>635</v>
      </c>
      <c r="L58" s="19"/>
      <c r="M58" s="25" t="str">
        <f t="shared" si="3"/>
        <v>||CARG330210FS9|MABJ861003PW1|3|30001000000500010887|Petición firmada por el Receptor||</v>
      </c>
      <c r="N58" s="30" t="str">
        <f t="shared" si="5"/>
        <v>||SPR190613I52|10-03-2026 18:00:00|30001000000500003456|Petición firmada por el Receptor||</v>
      </c>
      <c r="O58" s="31" t="str">
        <f t="shared" si="4"/>
        <v>||CARG330210FS9|MABJ861003PW1|3|30001000000500010887|Petición firmada por el Receptor||
||SPR190613I52|10-03-2026 18:00:00|30001000000500003456|Petición firmada por el Receptor||</v>
      </c>
    </row>
    <row r="59" spans="1:15" ht="29" x14ac:dyDescent="0.35">
      <c r="A59" s="28" t="s">
        <v>628</v>
      </c>
      <c r="B59" s="29" t="s">
        <v>627</v>
      </c>
      <c r="C59" s="20">
        <v>3</v>
      </c>
      <c r="D59" s="20" t="s">
        <v>567</v>
      </c>
      <c r="E59" s="16" t="s">
        <v>522</v>
      </c>
      <c r="F59" s="20" t="s">
        <v>300</v>
      </c>
      <c r="G59" s="26" t="s">
        <v>615</v>
      </c>
      <c r="H59" s="20" t="s">
        <v>298</v>
      </c>
      <c r="I59" s="20" t="s">
        <v>217</v>
      </c>
      <c r="J59" s="20" t="s">
        <v>568</v>
      </c>
      <c r="K59" s="20" t="s">
        <v>635</v>
      </c>
      <c r="L59" s="19"/>
      <c r="M59" s="25" t="str">
        <f t="shared" si="3"/>
        <v>||AOTE700812K3A|MABJ861003PW1|3|30001000000500010887|Petición firmada por el Receptor||</v>
      </c>
      <c r="N59" s="30" t="str">
        <f t="shared" si="5"/>
        <v>||SPR190613I52|10-03-2026 18:00:00|30001000000500003456|Petición firmada por el Receptor||</v>
      </c>
      <c r="O59" s="31" t="str">
        <f t="shared" si="4"/>
        <v>||AOTE700812K3A|MABJ861003PW1|3|30001000000500010887|Petición firmada por el Receptor||
||SPR190613I52|10-03-2026 18:00:00|30001000000500003456|Petición firmada por el Receptor||</v>
      </c>
    </row>
    <row r="60" spans="1:15" ht="29" x14ac:dyDescent="0.35">
      <c r="A60" s="28" t="s">
        <v>628</v>
      </c>
      <c r="B60" s="29" t="s">
        <v>627</v>
      </c>
      <c r="C60" s="20">
        <v>3</v>
      </c>
      <c r="D60" s="20" t="s">
        <v>569</v>
      </c>
      <c r="E60" s="16" t="s">
        <v>522</v>
      </c>
      <c r="F60" s="20" t="s">
        <v>318</v>
      </c>
      <c r="G60" s="26" t="s">
        <v>615</v>
      </c>
      <c r="H60" s="20" t="s">
        <v>298</v>
      </c>
      <c r="I60" s="20" t="s">
        <v>217</v>
      </c>
      <c r="J60" s="21">
        <v>109104</v>
      </c>
      <c r="K60" s="20" t="s">
        <v>635</v>
      </c>
      <c r="L60" s="19"/>
      <c r="M60" s="25" t="str">
        <f t="shared" si="3"/>
        <v>||AOOM901231I96|MABJ861003PW1|3|30001000000500010887|Petición firmada por el Receptor||</v>
      </c>
      <c r="N60" s="30" t="str">
        <f t="shared" si="5"/>
        <v>||SPR190613I52|10-03-2026 18:00:00|30001000000500003456|Petición firmada por el Receptor||</v>
      </c>
      <c r="O60" s="31" t="str">
        <f t="shared" si="4"/>
        <v>||AOOM901231I96|MABJ861003PW1|3|30001000000500010887|Petición firmada por el Receptor||
||SPR190613I52|10-03-2026 18:00:00|30001000000500003456|Petición firmada por el Receptor||</v>
      </c>
    </row>
    <row r="61" spans="1:15" ht="29" x14ac:dyDescent="0.35">
      <c r="A61" s="28" t="s">
        <v>628</v>
      </c>
      <c r="B61" s="29" t="s">
        <v>627</v>
      </c>
      <c r="C61" s="20">
        <v>3</v>
      </c>
      <c r="D61" s="20" t="s">
        <v>570</v>
      </c>
      <c r="E61" s="16" t="s">
        <v>522</v>
      </c>
      <c r="F61" s="20" t="s">
        <v>337</v>
      </c>
      <c r="G61" s="26" t="s">
        <v>615</v>
      </c>
      <c r="H61" s="20" t="s">
        <v>298</v>
      </c>
      <c r="I61" s="20" t="s">
        <v>571</v>
      </c>
      <c r="J61" s="20" t="s">
        <v>572</v>
      </c>
      <c r="K61" s="20" t="s">
        <v>635</v>
      </c>
      <c r="L61" s="19"/>
      <c r="M61" s="25" t="str">
        <f t="shared" si="3"/>
        <v>||AODH5503161V4|MABJ861003PW1|3|30001000000500010887|Petición firmada por el Receptor||</v>
      </c>
      <c r="N61" s="30" t="str">
        <f t="shared" si="5"/>
        <v>||SPR190613I52|10-03-2026 18:00:00|30001000000500003456|Petición firmada por el Receptor||</v>
      </c>
      <c r="O61" s="31" t="str">
        <f t="shared" si="4"/>
        <v>||AODH5503161V4|MABJ861003PW1|3|30001000000500010887|Petición firmada por el Receptor||
||SPR190613I52|10-03-2026 18:00:00|30001000000500003456|Petición firmada por el Receptor||</v>
      </c>
    </row>
    <row r="62" spans="1:15" ht="29" x14ac:dyDescent="0.35">
      <c r="A62" s="28" t="s">
        <v>628</v>
      </c>
      <c r="B62" s="29" t="s">
        <v>627</v>
      </c>
      <c r="C62" s="20">
        <v>3</v>
      </c>
      <c r="D62" s="20" t="s">
        <v>573</v>
      </c>
      <c r="E62" s="16" t="s">
        <v>522</v>
      </c>
      <c r="F62" s="20" t="s">
        <v>527</v>
      </c>
      <c r="G62" s="26" t="s">
        <v>615</v>
      </c>
      <c r="H62" s="20" t="s">
        <v>298</v>
      </c>
      <c r="I62" s="20" t="s">
        <v>574</v>
      </c>
      <c r="J62" s="20" t="s">
        <v>575</v>
      </c>
      <c r="K62" s="20" t="s">
        <v>635</v>
      </c>
      <c r="L62" s="19"/>
      <c r="M62" s="25" t="str">
        <f t="shared" si="3"/>
        <v>||AOPO540805UI3|MABJ861003PW1|3|30001000000500010887|Petición firmada por el Receptor||</v>
      </c>
      <c r="N62" s="30" t="str">
        <f t="shared" si="5"/>
        <v>||SPR190613I52|10-03-2026 18:00:00|30001000000500003456|Petición firmada por el Receptor||</v>
      </c>
      <c r="O62" s="31" t="str">
        <f t="shared" si="4"/>
        <v>||AOPO540805UI3|MABJ861003PW1|3|30001000000500010887|Petición firmada por el Receptor||
||SPR190613I52|10-03-2026 18:00:00|30001000000500003456|Petición firmada por el Receptor||</v>
      </c>
    </row>
    <row r="63" spans="1:15" ht="29" x14ac:dyDescent="0.35">
      <c r="A63" s="28" t="s">
        <v>628</v>
      </c>
      <c r="B63" s="29" t="s">
        <v>627</v>
      </c>
      <c r="C63" s="20">
        <v>3</v>
      </c>
      <c r="D63" s="20" t="s">
        <v>576</v>
      </c>
      <c r="E63" s="16" t="s">
        <v>522</v>
      </c>
      <c r="F63" s="20" t="s">
        <v>318</v>
      </c>
      <c r="G63" s="26" t="s">
        <v>615</v>
      </c>
      <c r="H63" s="20" t="s">
        <v>298</v>
      </c>
      <c r="I63" s="20" t="s">
        <v>217</v>
      </c>
      <c r="J63" s="20" t="s">
        <v>577</v>
      </c>
      <c r="K63" s="20" t="s">
        <v>635</v>
      </c>
      <c r="L63" s="19"/>
      <c r="M63" s="25" t="str">
        <f t="shared" si="3"/>
        <v>||CARD871124CR6|MABJ861003PW1|3|30001000000500010887|Petición firmada por el Receptor||</v>
      </c>
      <c r="N63" s="30" t="str">
        <f t="shared" si="5"/>
        <v>||SPR190613I52|10-03-2026 18:00:00|30001000000500003456|Petición firmada por el Receptor||</v>
      </c>
      <c r="O63" s="31" t="str">
        <f t="shared" si="4"/>
        <v>||CARD871124CR6|MABJ861003PW1|3|30001000000500010887|Petición firmada por el Receptor||
||SPR190613I52|10-03-2026 18:00:00|30001000000500003456|Petición firmada por el Receptor||</v>
      </c>
    </row>
    <row r="64" spans="1:15" ht="29" x14ac:dyDescent="0.35">
      <c r="A64" s="28" t="s">
        <v>628</v>
      </c>
      <c r="B64" s="29" t="s">
        <v>627</v>
      </c>
      <c r="C64" s="20">
        <v>3</v>
      </c>
      <c r="D64" s="20" t="s">
        <v>578</v>
      </c>
      <c r="E64" s="16" t="s">
        <v>522</v>
      </c>
      <c r="F64" s="20" t="s">
        <v>337</v>
      </c>
      <c r="G64" s="26" t="s">
        <v>615</v>
      </c>
      <c r="H64" s="20" t="s">
        <v>298</v>
      </c>
      <c r="I64" s="20" t="s">
        <v>310</v>
      </c>
      <c r="J64" s="20">
        <v>113</v>
      </c>
      <c r="K64" s="20" t="s">
        <v>635</v>
      </c>
      <c r="L64" s="19"/>
      <c r="M64" s="25" t="str">
        <f t="shared" si="3"/>
        <v>||AOJL590816R57|MABJ861003PW1|3|30001000000500010887|Petición firmada por el Receptor||</v>
      </c>
      <c r="N64" s="30" t="str">
        <f t="shared" si="5"/>
        <v>||SPR190613I52|10-03-2026 18:00:00|30001000000500003456|Petición firmada por el Receptor||</v>
      </c>
      <c r="O64" s="31" t="str">
        <f t="shared" si="4"/>
        <v>||AOJL590816R57|MABJ861003PW1|3|30001000000500010887|Petición firmada por el Receptor||
||SPR190613I52|10-03-2026 18:00:00|30001000000500003456|Petición firmada por el Receptor||</v>
      </c>
    </row>
    <row r="65" spans="1:15" ht="43.5" x14ac:dyDescent="0.35">
      <c r="A65" s="28" t="s">
        <v>628</v>
      </c>
      <c r="B65" s="29" t="s">
        <v>627</v>
      </c>
      <c r="C65" s="20">
        <v>3</v>
      </c>
      <c r="D65" s="20" t="s">
        <v>579</v>
      </c>
      <c r="E65" s="16" t="s">
        <v>522</v>
      </c>
      <c r="F65" s="20">
        <v>612</v>
      </c>
      <c r="G65" s="26" t="s">
        <v>615</v>
      </c>
      <c r="H65" s="20" t="s">
        <v>580</v>
      </c>
      <c r="I65" s="20" t="s">
        <v>581</v>
      </c>
      <c r="J65" s="20" t="s">
        <v>582</v>
      </c>
      <c r="K65" s="20" t="s">
        <v>635</v>
      </c>
      <c r="L65" s="19"/>
      <c r="M65" s="25" t="str">
        <f t="shared" si="3"/>
        <v>||CACX69111983A|MABJ861003PW1|3|30001000000500010887|Petición firmada por el Receptor||</v>
      </c>
      <c r="N65" s="30" t="str">
        <f t="shared" si="5"/>
        <v>||SPR190613I52|10-03-2026 18:00:00|30001000000500003456|Petición firmada por el Receptor||</v>
      </c>
      <c r="O65" s="31" t="str">
        <f t="shared" si="4"/>
        <v>||CACX69111983A|MABJ861003PW1|3|30001000000500010887|Petición firmada por el Receptor||
||SPR190613I52|10-03-2026 18:00:00|30001000000500003456|Petición firmada por el Receptor||</v>
      </c>
    </row>
    <row r="66" spans="1:15" ht="29" x14ac:dyDescent="0.35">
      <c r="A66" s="28" t="s">
        <v>628</v>
      </c>
      <c r="B66" s="29" t="s">
        <v>627</v>
      </c>
      <c r="C66" s="20">
        <v>3</v>
      </c>
      <c r="D66" s="20" t="s">
        <v>583</v>
      </c>
      <c r="E66" s="16" t="s">
        <v>522</v>
      </c>
      <c r="F66" s="20" t="s">
        <v>318</v>
      </c>
      <c r="G66" s="26" t="s">
        <v>615</v>
      </c>
      <c r="H66" s="20" t="s">
        <v>298</v>
      </c>
      <c r="I66" s="20" t="s">
        <v>217</v>
      </c>
      <c r="J66" s="20" t="s">
        <v>584</v>
      </c>
      <c r="K66" s="20" t="s">
        <v>635</v>
      </c>
      <c r="L66" s="19"/>
      <c r="M66" s="25" t="str">
        <f t="shared" si="3"/>
        <v>||AOCF550917M74|MABJ861003PW1|3|30001000000500010887|Petición firmada por el Receptor||</v>
      </c>
      <c r="N66" s="30" t="str">
        <f t="shared" si="5"/>
        <v>||SPR190613I52|10-03-2026 18:00:00|30001000000500003456|Petición firmada por el Receptor||</v>
      </c>
      <c r="O66" s="31" t="str">
        <f t="shared" si="4"/>
        <v>||AOCF550917M74|MABJ861003PW1|3|30001000000500010887|Petición firmada por el Receptor||
||SPR190613I52|10-03-2026 18:00:00|30001000000500003456|Petición firmada por el Receptor||</v>
      </c>
    </row>
    <row r="67" spans="1:15" ht="29" x14ac:dyDescent="0.35">
      <c r="A67" s="28" t="s">
        <v>628</v>
      </c>
      <c r="B67" s="29" t="s">
        <v>627</v>
      </c>
      <c r="C67" s="20">
        <v>3</v>
      </c>
      <c r="D67" s="20" t="s">
        <v>585</v>
      </c>
      <c r="E67" s="16" t="s">
        <v>522</v>
      </c>
      <c r="F67" s="20" t="s">
        <v>312</v>
      </c>
      <c r="G67" s="26" t="s">
        <v>615</v>
      </c>
      <c r="H67" s="20" t="s">
        <v>298</v>
      </c>
      <c r="I67" s="20" t="s">
        <v>217</v>
      </c>
      <c r="J67" s="20" t="s">
        <v>586</v>
      </c>
      <c r="K67" s="20" t="s">
        <v>635</v>
      </c>
      <c r="L67" s="19"/>
      <c r="M67" s="25" t="str">
        <f t="shared" si="3"/>
        <v>||AOCF711004SK2|MABJ861003PW1|3|30001000000500010887|Petición firmada por el Receptor||</v>
      </c>
      <c r="N67" s="30" t="str">
        <f t="shared" si="5"/>
        <v>||SPR190613I52|10-03-2026 18:00:00|30001000000500003456|Petición firmada por el Receptor||</v>
      </c>
      <c r="O67" s="31" t="str">
        <f t="shared" si="4"/>
        <v>||AOCF711004SK2|MABJ861003PW1|3|30001000000500010887|Petición firmada por el Receptor||
||SPR190613I52|10-03-2026 18:00:00|30001000000500003456|Petición firmada por el Receptor||</v>
      </c>
    </row>
    <row r="68" spans="1:15" ht="29" x14ac:dyDescent="0.35">
      <c r="A68" s="28" t="s">
        <v>628</v>
      </c>
      <c r="B68" s="29" t="s">
        <v>627</v>
      </c>
      <c r="C68" s="20">
        <v>3</v>
      </c>
      <c r="D68" s="20" t="s">
        <v>587</v>
      </c>
      <c r="E68" s="16" t="s">
        <v>522</v>
      </c>
      <c r="F68" s="20" t="s">
        <v>300</v>
      </c>
      <c r="G68" s="26" t="s">
        <v>615</v>
      </c>
      <c r="H68" s="20" t="s">
        <v>298</v>
      </c>
      <c r="I68" s="20" t="s">
        <v>217</v>
      </c>
      <c r="J68" s="20" t="s">
        <v>588</v>
      </c>
      <c r="K68" s="20" t="s">
        <v>635</v>
      </c>
      <c r="L68" s="19"/>
      <c r="M68" s="25" t="str">
        <f t="shared" si="3"/>
        <v>||AOMJ581003B35|MABJ861003PW1|3|30001000000500010887|Petición firmada por el Receptor||</v>
      </c>
      <c r="N68" s="30" t="str">
        <f t="shared" si="5"/>
        <v>||SPR190613I52|10-03-2026 18:00:00|30001000000500003456|Petición firmada por el Receptor||</v>
      </c>
      <c r="O68" s="31" t="str">
        <f t="shared" si="4"/>
        <v>||AOMJ581003B35|MABJ861003PW1|3|30001000000500010887|Petición firmada por el Receptor||
||SPR190613I52|10-03-2026 18:00:00|30001000000500003456|Petición firmada por el Receptor||</v>
      </c>
    </row>
    <row r="69" spans="1:15" ht="29" x14ac:dyDescent="0.35">
      <c r="A69" s="28" t="s">
        <v>628</v>
      </c>
      <c r="B69" s="29" t="s">
        <v>627</v>
      </c>
      <c r="C69" s="20">
        <v>3</v>
      </c>
      <c r="D69" s="20" t="s">
        <v>392</v>
      </c>
      <c r="E69" s="16" t="s">
        <v>522</v>
      </c>
      <c r="F69" s="20" t="s">
        <v>300</v>
      </c>
      <c r="G69" s="26" t="s">
        <v>615</v>
      </c>
      <c r="H69" s="20" t="s">
        <v>298</v>
      </c>
      <c r="I69" s="20" t="s">
        <v>217</v>
      </c>
      <c r="J69" s="20" t="s">
        <v>393</v>
      </c>
      <c r="K69" s="20" t="s">
        <v>635</v>
      </c>
      <c r="L69" s="19"/>
      <c r="M69" s="25" t="str">
        <f t="shared" si="3"/>
        <v>||CAGM630514EA6|MABJ861003PW1|3|30001000000500010887|Petición firmada por el Receptor||</v>
      </c>
      <c r="N69" s="30" t="str">
        <f t="shared" si="5"/>
        <v>||SPR190613I52|10-03-2026 18:00:00|30001000000500003456|Petición firmada por el Receptor||</v>
      </c>
      <c r="O69" s="31" t="str">
        <f t="shared" si="4"/>
        <v>||CAGM630514EA6|MABJ861003PW1|3|30001000000500010887|Petición firmada por el Receptor||
||SPR190613I52|10-03-2026 18:00:00|30001000000500003456|Petición firmada por el Receptor||</v>
      </c>
    </row>
    <row r="70" spans="1:15" ht="43.5" x14ac:dyDescent="0.35">
      <c r="A70" s="28" t="s">
        <v>628</v>
      </c>
      <c r="B70" s="29" t="s">
        <v>627</v>
      </c>
      <c r="C70" s="20">
        <v>3</v>
      </c>
      <c r="D70" s="20" t="s">
        <v>401</v>
      </c>
      <c r="E70" s="16" t="s">
        <v>609</v>
      </c>
      <c r="F70" s="20">
        <v>612</v>
      </c>
      <c r="G70" s="26" t="s">
        <v>616</v>
      </c>
      <c r="H70" s="20" t="s">
        <v>402</v>
      </c>
      <c r="I70" s="20" t="s">
        <v>403</v>
      </c>
      <c r="J70" s="20">
        <v>664</v>
      </c>
      <c r="K70" s="20" t="s">
        <v>636</v>
      </c>
      <c r="L70" s="19"/>
      <c r="M70" s="25" t="str">
        <f t="shared" si="3"/>
        <v>||TEGJ440427T86|AAMT450528NI0|3|30001000000500010888|Petición firmada por el Receptor||</v>
      </c>
      <c r="N70" s="30" t="str">
        <f t="shared" si="5"/>
        <v>||SPR190613I52|10-03-2026 18:00:00|30001000000500003456|Petición firmada por el Receptor||</v>
      </c>
      <c r="O70" s="31" t="str">
        <f t="shared" si="4"/>
        <v>||TEGJ440427T86|AAMT450528NI0|3|30001000000500010888|Petición firmada por el Receptor||
||SPR190613I52|10-03-2026 18:00:00|30001000000500003456|Petición firmada por el Receptor||</v>
      </c>
    </row>
    <row r="71" spans="1:15" ht="29" x14ac:dyDescent="0.35">
      <c r="A71" s="28" t="s">
        <v>628</v>
      </c>
      <c r="B71" s="29" t="s">
        <v>627</v>
      </c>
      <c r="C71" s="20">
        <v>3</v>
      </c>
      <c r="D71" s="20" t="s">
        <v>316</v>
      </c>
      <c r="E71" s="16" t="s">
        <v>609</v>
      </c>
      <c r="F71" s="20">
        <v>612</v>
      </c>
      <c r="G71" s="26" t="s">
        <v>616</v>
      </c>
      <c r="H71" s="20" t="s">
        <v>298</v>
      </c>
      <c r="I71" s="20" t="s">
        <v>217</v>
      </c>
      <c r="J71" s="20" t="s">
        <v>317</v>
      </c>
      <c r="K71" s="20" t="s">
        <v>635</v>
      </c>
      <c r="L71" s="19"/>
      <c r="M71" s="25" t="str">
        <f t="shared" si="3"/>
        <v>||LAMC6004276Q3|AAMT450528NI0|3|30001000000500010888|Petición firmada por el Receptor||</v>
      </c>
      <c r="N71" s="30" t="str">
        <f t="shared" si="5"/>
        <v>||SPR190613I52|10-03-2026 18:00:00|30001000000500003456|Petición firmada por el Receptor||</v>
      </c>
      <c r="O71" s="31" t="str">
        <f t="shared" si="4"/>
        <v>||LAMC6004276Q3|AAMT450528NI0|3|30001000000500010888|Petición firmada por el Receptor||
||SPR190613I52|10-03-2026 18:00:00|30001000000500003456|Petición firmada por el Receptor||</v>
      </c>
    </row>
    <row r="72" spans="1:15" ht="29" x14ac:dyDescent="0.35">
      <c r="A72" s="28" t="s">
        <v>628</v>
      </c>
      <c r="B72" s="29" t="s">
        <v>627</v>
      </c>
      <c r="C72" s="20">
        <v>3</v>
      </c>
      <c r="D72" s="20" t="s">
        <v>394</v>
      </c>
      <c r="E72" s="16" t="s">
        <v>609</v>
      </c>
      <c r="F72" s="20">
        <v>612</v>
      </c>
      <c r="G72" s="26" t="s">
        <v>616</v>
      </c>
      <c r="H72" s="20" t="s">
        <v>298</v>
      </c>
      <c r="I72" s="20" t="s">
        <v>469</v>
      </c>
      <c r="J72" s="20" t="s">
        <v>298</v>
      </c>
      <c r="K72" s="20" t="s">
        <v>636</v>
      </c>
      <c r="L72" s="19"/>
      <c r="M72" s="25" t="str">
        <f t="shared" si="3"/>
        <v>||OITR910202CY9|AAMT450528NI0|3|30001000000500010888|Petición firmada por el Receptor||</v>
      </c>
      <c r="N72" s="30" t="str">
        <f t="shared" si="5"/>
        <v>||SPR190613I52|10-03-2026 18:00:00|30001000000500003456|Petición firmada por el Receptor||</v>
      </c>
      <c r="O72" s="31" t="str">
        <f t="shared" si="4"/>
        <v>||OITR910202CY9|AAMT450528NI0|3|30001000000500010888|Petición firmada por el Receptor||
||SPR190613I52|10-03-2026 18:00:00|30001000000500003456|Petición firmada por el Receptor||</v>
      </c>
    </row>
    <row r="73" spans="1:15" ht="29" x14ac:dyDescent="0.35">
      <c r="A73" s="28" t="s">
        <v>628</v>
      </c>
      <c r="B73" s="29" t="s">
        <v>627</v>
      </c>
      <c r="C73" s="20">
        <v>3</v>
      </c>
      <c r="D73" s="20" t="s">
        <v>395</v>
      </c>
      <c r="E73" s="16" t="s">
        <v>609</v>
      </c>
      <c r="F73" s="20">
        <v>621</v>
      </c>
      <c r="G73" s="26" t="s">
        <v>616</v>
      </c>
      <c r="H73" s="20" t="s">
        <v>298</v>
      </c>
      <c r="I73" s="20" t="s">
        <v>217</v>
      </c>
      <c r="J73" s="20">
        <v>496</v>
      </c>
      <c r="K73" s="20" t="s">
        <v>636</v>
      </c>
      <c r="L73" s="19"/>
      <c r="M73" s="25" t="str">
        <f t="shared" si="3"/>
        <v>||OIRL790904BW1|AAMT450528NI0|3|30001000000500010888|Petición firmada por el Receptor||</v>
      </c>
      <c r="N73" s="30" t="str">
        <f t="shared" si="5"/>
        <v>||SPR190613I52|10-03-2026 18:00:00|30001000000500003456|Petición firmada por el Receptor||</v>
      </c>
      <c r="O73" s="31" t="str">
        <f t="shared" si="4"/>
        <v>||OIRL790904BW1|AAMT450528NI0|3|30001000000500010888|Petición firmada por el Receptor||
||SPR190613I52|10-03-2026 18:00:00|30001000000500003456|Petición firmada por el Receptor||</v>
      </c>
    </row>
    <row r="74" spans="1:15" ht="29" x14ac:dyDescent="0.35">
      <c r="A74" s="28" t="s">
        <v>628</v>
      </c>
      <c r="B74" s="29" t="s">
        <v>627</v>
      </c>
      <c r="C74" s="20">
        <v>3</v>
      </c>
      <c r="D74" s="20" t="s">
        <v>513</v>
      </c>
      <c r="E74" s="16" t="s">
        <v>609</v>
      </c>
      <c r="F74" s="20">
        <v>621</v>
      </c>
      <c r="G74" s="26" t="s">
        <v>616</v>
      </c>
      <c r="H74" s="20" t="s">
        <v>298</v>
      </c>
      <c r="I74" s="20" t="s">
        <v>310</v>
      </c>
      <c r="J74" s="20" t="s">
        <v>298</v>
      </c>
      <c r="K74" s="20" t="s">
        <v>636</v>
      </c>
      <c r="L74" s="19"/>
      <c r="M74" s="25" t="str">
        <f t="shared" si="3"/>
        <v>||MOLK920210RY2|AAMT450528NI0|3|30001000000500010888|Petición firmada por el Receptor||</v>
      </c>
      <c r="N74" s="30" t="str">
        <f t="shared" si="5"/>
        <v>||SPR190613I52|10-03-2026 18:00:00|30001000000500003456|Petición firmada por el Receptor||</v>
      </c>
      <c r="O74" s="31" t="str">
        <f t="shared" si="4"/>
        <v>||MOLK920210RY2|AAMT450528NI0|3|30001000000500010888|Petición firmada por el Receptor||
||SPR190613I52|10-03-2026 18:00:00|30001000000500003456|Petición firmada por el Receptor||</v>
      </c>
    </row>
    <row r="75" spans="1:15" ht="29" x14ac:dyDescent="0.35">
      <c r="A75" s="28" t="s">
        <v>628</v>
      </c>
      <c r="B75" s="29" t="s">
        <v>627</v>
      </c>
      <c r="C75" s="20">
        <v>3</v>
      </c>
      <c r="D75" s="20" t="s">
        <v>322</v>
      </c>
      <c r="E75" s="16" t="s">
        <v>609</v>
      </c>
      <c r="F75" s="20">
        <v>621</v>
      </c>
      <c r="G75" s="26" t="s">
        <v>616</v>
      </c>
      <c r="H75" s="20" t="s">
        <v>298</v>
      </c>
      <c r="I75" s="20" t="s">
        <v>310</v>
      </c>
      <c r="J75" s="20">
        <v>117</v>
      </c>
      <c r="K75" s="20" t="s">
        <v>635</v>
      </c>
      <c r="L75" s="19"/>
      <c r="M75" s="25" t="str">
        <f t="shared" si="3"/>
        <v>||GAHI871105NQ0|AAMT450528NI0|3|30001000000500010888|Petición firmada por el Receptor||</v>
      </c>
      <c r="N75" s="30" t="str">
        <f t="shared" si="5"/>
        <v>||SPR190613I52|10-03-2026 18:00:00|30001000000500003456|Petición firmada por el Receptor||</v>
      </c>
      <c r="O75" s="31" t="str">
        <f t="shared" si="4"/>
        <v>||GAHI871105NQ0|AAMT450528NI0|3|30001000000500010888|Petición firmada por el Receptor||
||SPR190613I52|10-03-2026 18:00:00|30001000000500003456|Petición firmada por el Receptor||</v>
      </c>
    </row>
    <row r="76" spans="1:15" ht="29" x14ac:dyDescent="0.35">
      <c r="A76" s="28" t="s">
        <v>628</v>
      </c>
      <c r="B76" s="29" t="s">
        <v>627</v>
      </c>
      <c r="C76" s="33">
        <v>3</v>
      </c>
      <c r="D76" s="20" t="s">
        <v>408</v>
      </c>
      <c r="E76" s="16" t="s">
        <v>609</v>
      </c>
      <c r="F76" s="20" t="s">
        <v>643</v>
      </c>
      <c r="G76" s="26" t="s">
        <v>616</v>
      </c>
      <c r="H76" s="20" t="s">
        <v>298</v>
      </c>
      <c r="I76" s="20" t="s">
        <v>642</v>
      </c>
      <c r="J76" s="20">
        <v>95</v>
      </c>
      <c r="K76" s="20" t="s">
        <v>635</v>
      </c>
      <c r="L76" s="19"/>
      <c r="M76" s="25" t="str">
        <f t="shared" si="3"/>
        <v>||FAGJ760203QH4|AAMT450528NI0|3|30001000000500010888|Petición firmada por el Receptor||</v>
      </c>
      <c r="N76" s="30" t="str">
        <f t="shared" si="5"/>
        <v>||SPR190613I52|10-03-2026 18:00:00|30001000000500003456|Petición firmada por el Receptor||</v>
      </c>
      <c r="O76" s="31" t="str">
        <f t="shared" si="4"/>
        <v>||FAGJ760203QH4|AAMT450528NI0|3|30001000000500010888|Petición firmada por el Receptor||
||SPR190613I52|10-03-2026 18:00:00|30001000000500003456|Petición firmada por el Receptor||</v>
      </c>
    </row>
    <row r="77" spans="1:15" ht="43.5" x14ac:dyDescent="0.35">
      <c r="A77" s="28" t="s">
        <v>628</v>
      </c>
      <c r="B77" s="29" t="s">
        <v>627</v>
      </c>
      <c r="C77" s="33">
        <v>3</v>
      </c>
      <c r="D77" s="20" t="s">
        <v>518</v>
      </c>
      <c r="E77" s="16" t="s">
        <v>609</v>
      </c>
      <c r="F77" s="20" t="s">
        <v>645</v>
      </c>
      <c r="G77" s="26" t="s">
        <v>616</v>
      </c>
      <c r="H77" s="17">
        <v>203</v>
      </c>
      <c r="I77" s="22" t="s">
        <v>517</v>
      </c>
      <c r="J77" s="22">
        <v>44</v>
      </c>
      <c r="K77" s="20" t="s">
        <v>636</v>
      </c>
      <c r="L77" s="19"/>
      <c r="M77" s="25" t="str">
        <f t="shared" ref="M77:M140" si="6">CONCATENATE("||",D77,"|",E77,"|",C77,"|",G77,"|","Petición firmada por el Receptor","||")</f>
        <v>||ROAE840831LU0|AAMT450528NI0|3|30001000000500010888|Petición firmada por el Receptor||</v>
      </c>
      <c r="N77" s="30" t="str">
        <f t="shared" si="5"/>
        <v>||SPR190613I52|10-03-2026 18:00:00|30001000000500003456|Petición firmada por el Receptor||</v>
      </c>
      <c r="O77" s="31" t="str">
        <f t="shared" si="4"/>
        <v>||ROAE840831LU0|AAMT450528NI0|3|30001000000500010888|Petición firmada por el Receptor||
||SPR190613I52|10-03-2026 18:00:00|30001000000500003456|Petición firmada por el Receptor||</v>
      </c>
    </row>
    <row r="78" spans="1:15" ht="43.5" x14ac:dyDescent="0.35">
      <c r="A78" s="28" t="s">
        <v>628</v>
      </c>
      <c r="B78" s="29" t="s">
        <v>627</v>
      </c>
      <c r="C78" s="33">
        <v>3</v>
      </c>
      <c r="D78" s="20" t="s">
        <v>323</v>
      </c>
      <c r="E78" s="16" t="s">
        <v>609</v>
      </c>
      <c r="F78" s="20" t="s">
        <v>646</v>
      </c>
      <c r="G78" s="26" t="s">
        <v>616</v>
      </c>
      <c r="H78" s="20" t="s">
        <v>324</v>
      </c>
      <c r="I78" s="20" t="s">
        <v>325</v>
      </c>
      <c r="J78" s="20" t="s">
        <v>326</v>
      </c>
      <c r="K78" s="20" t="s">
        <v>635</v>
      </c>
      <c r="L78" s="19"/>
      <c r="M78" s="25" t="str">
        <f t="shared" si="6"/>
        <v>||GAPI781227NS6|AAMT450528NI0|3|30001000000500010888|Petición firmada por el Receptor||</v>
      </c>
      <c r="N78" s="30" t="str">
        <f t="shared" si="5"/>
        <v>||SPR190613I52|10-03-2026 18:00:00|30001000000500003456|Petición firmada por el Receptor||</v>
      </c>
      <c r="O78" s="31" t="str">
        <f t="shared" si="4"/>
        <v>||GAPI781227NS6|AAMT450528NI0|3|30001000000500010888|Petición firmada por el Receptor||
||SPR190613I52|10-03-2026 18:00:00|30001000000500003456|Petición firmada por el Receptor||</v>
      </c>
    </row>
    <row r="79" spans="1:15" ht="29" x14ac:dyDescent="0.35">
      <c r="A79" s="28" t="s">
        <v>628</v>
      </c>
      <c r="B79" s="29" t="s">
        <v>627</v>
      </c>
      <c r="C79" s="20">
        <v>3</v>
      </c>
      <c r="D79" s="20" t="s">
        <v>319</v>
      </c>
      <c r="E79" s="16" t="s">
        <v>609</v>
      </c>
      <c r="F79" s="20">
        <v>621</v>
      </c>
      <c r="G79" s="26" t="s">
        <v>616</v>
      </c>
      <c r="H79" s="20">
        <v>735</v>
      </c>
      <c r="I79" s="20" t="s">
        <v>320</v>
      </c>
      <c r="J79" s="20" t="s">
        <v>321</v>
      </c>
      <c r="K79" s="20" t="s">
        <v>635</v>
      </c>
      <c r="L79" s="19"/>
      <c r="M79" s="25" t="str">
        <f t="shared" si="6"/>
        <v>||CAMD301211QE2|AAMT450528NI0|3|30001000000500010888|Petición firmada por el Receptor||</v>
      </c>
      <c r="N79" s="30" t="str">
        <f t="shared" si="5"/>
        <v>||SPR190613I52|10-03-2026 18:00:00|30001000000500003456|Petición firmada por el Receptor||</v>
      </c>
      <c r="O79" s="31" t="str">
        <f t="shared" si="4"/>
        <v>||CAMD301211QE2|AAMT450528NI0|3|30001000000500010888|Petición firmada por el Receptor||
||SPR190613I52|10-03-2026 18:00:00|30001000000500003456|Petición firmada por el Receptor||</v>
      </c>
    </row>
    <row r="80" spans="1:15" ht="29" x14ac:dyDescent="0.35">
      <c r="A80" s="28" t="s">
        <v>628</v>
      </c>
      <c r="B80" s="29" t="s">
        <v>627</v>
      </c>
      <c r="C80" s="33">
        <v>4</v>
      </c>
      <c r="D80" s="20" t="s">
        <v>319</v>
      </c>
      <c r="E80" s="16" t="s">
        <v>609</v>
      </c>
      <c r="F80" s="20" t="s">
        <v>318</v>
      </c>
      <c r="G80" s="26" t="s">
        <v>616</v>
      </c>
      <c r="H80" s="20">
        <v>735</v>
      </c>
      <c r="I80" s="20" t="s">
        <v>320</v>
      </c>
      <c r="J80" s="20" t="s">
        <v>321</v>
      </c>
      <c r="K80" s="20" t="s">
        <v>635</v>
      </c>
      <c r="L80" s="19"/>
      <c r="M80" s="25" t="str">
        <f t="shared" si="6"/>
        <v>||CAMD301211QE2|AAMT450528NI0|4|30001000000500010888|Petición firmada por el Receptor||</v>
      </c>
      <c r="N80" s="30" t="str">
        <f t="shared" si="5"/>
        <v>||SPR190613I52|10-03-2026 18:00:00|30001000000500003456|Petición firmada por el Receptor||</v>
      </c>
      <c r="O80" s="31" t="str">
        <f t="shared" si="4"/>
        <v>||CAMD301211QE2|AAMT450528NI0|4|30001000000500010888|Petición firmada por el Receptor||
||SPR190613I52|10-03-2026 18:00:00|30001000000500003456|Petición firmada por el Receptor||</v>
      </c>
    </row>
    <row r="81" spans="1:15" ht="29" x14ac:dyDescent="0.35">
      <c r="A81" s="28" t="s">
        <v>628</v>
      </c>
      <c r="B81" s="29" t="s">
        <v>627</v>
      </c>
      <c r="C81" s="33">
        <v>4</v>
      </c>
      <c r="D81" s="20" t="s">
        <v>589</v>
      </c>
      <c r="E81" s="16" t="s">
        <v>609</v>
      </c>
      <c r="F81" s="20">
        <v>610</v>
      </c>
      <c r="G81" s="26" t="s">
        <v>616</v>
      </c>
      <c r="H81" s="20" t="s">
        <v>298</v>
      </c>
      <c r="I81" s="20" t="s">
        <v>346</v>
      </c>
      <c r="J81" s="20" t="s">
        <v>298</v>
      </c>
      <c r="K81" s="20" t="s">
        <v>636</v>
      </c>
      <c r="L81" s="19"/>
      <c r="M81" s="25" t="str">
        <f t="shared" si="6"/>
        <v>||RIRA840915RA1|AAMT450528NI0|4|30001000000500010888|Petición firmada por el Receptor||</v>
      </c>
      <c r="N81" s="30" t="str">
        <f t="shared" si="5"/>
        <v>||SPR190613I52|10-03-2026 18:00:00|30001000000500003456|Petición firmada por el Receptor||</v>
      </c>
      <c r="O81" s="31" t="str">
        <f t="shared" si="4"/>
        <v>||RIRA840915RA1|AAMT450528NI0|4|30001000000500010888|Petición firmada por el Receptor||
||SPR190613I52|10-03-2026 18:00:00|30001000000500003456|Petición firmada por el Receptor||</v>
      </c>
    </row>
    <row r="82" spans="1:15" ht="29" x14ac:dyDescent="0.35">
      <c r="A82" s="28" t="s">
        <v>628</v>
      </c>
      <c r="B82" s="29" t="s">
        <v>627</v>
      </c>
      <c r="C82" s="33">
        <v>4</v>
      </c>
      <c r="D82" s="20" t="s">
        <v>409</v>
      </c>
      <c r="E82" s="16" t="s">
        <v>609</v>
      </c>
      <c r="F82" s="20">
        <v>605</v>
      </c>
      <c r="G82" s="26" t="s">
        <v>616</v>
      </c>
      <c r="H82" s="20">
        <v>3</v>
      </c>
      <c r="I82" s="20" t="s">
        <v>217</v>
      </c>
      <c r="J82" s="20">
        <v>907</v>
      </c>
      <c r="K82" s="20" t="s">
        <v>635</v>
      </c>
      <c r="L82" s="19"/>
      <c r="M82" s="25" t="str">
        <f t="shared" si="6"/>
        <v>||RIGJ870824L34|AAMT450528NI0|4|30001000000500010888|Petición firmada por el Receptor||</v>
      </c>
      <c r="N82" s="30" t="str">
        <f t="shared" si="5"/>
        <v>||SPR190613I52|10-03-2026 18:00:00|30001000000500003456|Petición firmada por el Receptor||</v>
      </c>
      <c r="O82" s="31" t="str">
        <f t="shared" si="4"/>
        <v>||RIGJ870824L34|AAMT450528NI0|4|30001000000500010888|Petición firmada por el Receptor||
||SPR190613I52|10-03-2026 18:00:00|30001000000500003456|Petición firmada por el Receptor||</v>
      </c>
    </row>
    <row r="83" spans="1:15" ht="29" x14ac:dyDescent="0.35">
      <c r="A83" s="28" t="s">
        <v>628</v>
      </c>
      <c r="B83" s="29" t="s">
        <v>627</v>
      </c>
      <c r="C83" s="20">
        <v>4</v>
      </c>
      <c r="D83" s="20" t="s">
        <v>412</v>
      </c>
      <c r="E83" s="16" t="s">
        <v>609</v>
      </c>
      <c r="F83" s="20">
        <v>606</v>
      </c>
      <c r="G83" s="26" t="s">
        <v>616</v>
      </c>
      <c r="H83" s="20" t="s">
        <v>298</v>
      </c>
      <c r="I83" s="20" t="s">
        <v>217</v>
      </c>
      <c r="J83" s="20">
        <v>1851</v>
      </c>
      <c r="K83" s="20" t="s">
        <v>635</v>
      </c>
      <c r="L83" s="19"/>
      <c r="M83" s="25" t="str">
        <f t="shared" si="6"/>
        <v>||BAAJ6405113Z1|AAMT450528NI0|4|30001000000500010888|Petición firmada por el Receptor||</v>
      </c>
      <c r="N83" s="30" t="str">
        <f t="shared" si="5"/>
        <v>||SPR190613I52|10-03-2026 18:00:00|30001000000500003456|Petición firmada por el Receptor||</v>
      </c>
      <c r="O83" s="31" t="str">
        <f t="shared" si="4"/>
        <v>||BAAJ6405113Z1|AAMT450528NI0|4|30001000000500010888|Petición firmada por el Receptor||
||SPR190613I52|10-03-2026 18:00:00|30001000000500003456|Petición firmada por el Receptor||</v>
      </c>
    </row>
    <row r="84" spans="1:15" ht="29" x14ac:dyDescent="0.35">
      <c r="A84" s="28" t="s">
        <v>628</v>
      </c>
      <c r="B84" s="29" t="s">
        <v>627</v>
      </c>
      <c r="C84" s="20">
        <v>4</v>
      </c>
      <c r="D84" s="20" t="s">
        <v>590</v>
      </c>
      <c r="E84" s="16" t="s">
        <v>609</v>
      </c>
      <c r="F84" s="20">
        <v>619</v>
      </c>
      <c r="G84" s="26" t="s">
        <v>616</v>
      </c>
      <c r="H84" s="20" t="s">
        <v>298</v>
      </c>
      <c r="I84" s="20" t="s">
        <v>217</v>
      </c>
      <c r="J84" s="20">
        <v>887</v>
      </c>
      <c r="K84" s="20" t="s">
        <v>636</v>
      </c>
      <c r="L84" s="19"/>
      <c r="M84" s="25" t="str">
        <f t="shared" si="6"/>
        <v>||OAGY9106174T9|AAMT450528NI0|4|30001000000500010888|Petición firmada por el Receptor||</v>
      </c>
      <c r="N84" s="30" t="str">
        <f t="shared" si="5"/>
        <v>||SPR190613I52|10-03-2026 18:00:00|30001000000500003456|Petición firmada por el Receptor||</v>
      </c>
      <c r="O84" s="31" t="str">
        <f t="shared" si="4"/>
        <v>||OAGY9106174T9|AAMT450528NI0|4|30001000000500010888|Petición firmada por el Receptor||
||SPR190613I52|10-03-2026 18:00:00|30001000000500003456|Petición firmada por el Receptor||</v>
      </c>
    </row>
    <row r="85" spans="1:15" ht="29" x14ac:dyDescent="0.35">
      <c r="A85" s="28" t="s">
        <v>628</v>
      </c>
      <c r="B85" s="29" t="s">
        <v>627</v>
      </c>
      <c r="C85" s="20">
        <v>4</v>
      </c>
      <c r="D85" s="20" t="s">
        <v>297</v>
      </c>
      <c r="E85" s="16" t="s">
        <v>609</v>
      </c>
      <c r="F85" s="20">
        <v>606</v>
      </c>
      <c r="G85" s="26" t="s">
        <v>616</v>
      </c>
      <c r="H85" s="20" t="s">
        <v>298</v>
      </c>
      <c r="I85" s="20" t="s">
        <v>217</v>
      </c>
      <c r="J85" s="20">
        <v>453</v>
      </c>
      <c r="K85" s="20" t="s">
        <v>635</v>
      </c>
      <c r="L85" s="19"/>
      <c r="M85" s="25" t="str">
        <f t="shared" si="6"/>
        <v>||PILY750909JI9|AAMT450528NI0|4|30001000000500010888|Petición firmada por el Receptor||</v>
      </c>
      <c r="N85" s="30" t="str">
        <f t="shared" si="5"/>
        <v>||SPR190613I52|10-03-2026 18:00:00|30001000000500003456|Petición firmada por el Receptor||</v>
      </c>
      <c r="O85" s="31" t="str">
        <f t="shared" si="4"/>
        <v>||PILY750909JI9|AAMT450528NI0|4|30001000000500010888|Petición firmada por el Receptor||
||SPR190613I52|10-03-2026 18:00:00|30001000000500003456|Petición firmada por el Receptor||</v>
      </c>
    </row>
    <row r="86" spans="1:15" ht="29" x14ac:dyDescent="0.35">
      <c r="A86" s="28" t="s">
        <v>628</v>
      </c>
      <c r="B86" s="29" t="s">
        <v>627</v>
      </c>
      <c r="C86" s="20">
        <v>4</v>
      </c>
      <c r="D86" s="20" t="s">
        <v>413</v>
      </c>
      <c r="E86" s="16" t="s">
        <v>609</v>
      </c>
      <c r="F86" s="20">
        <v>608</v>
      </c>
      <c r="G86" s="26" t="s">
        <v>616</v>
      </c>
      <c r="H86" s="20" t="s">
        <v>298</v>
      </c>
      <c r="I86" s="20" t="s">
        <v>217</v>
      </c>
      <c r="J86" s="20">
        <v>871</v>
      </c>
      <c r="K86" s="20" t="s">
        <v>635</v>
      </c>
      <c r="L86" s="19"/>
      <c r="M86" s="25" t="str">
        <f t="shared" si="6"/>
        <v>||AECJ630309C12|AAMT450528NI0|4|30001000000500010888|Petición firmada por el Receptor||</v>
      </c>
      <c r="N86" s="30" t="str">
        <f t="shared" si="5"/>
        <v>||SPR190613I52|10-03-2026 18:00:00|30001000000500003456|Petición firmada por el Receptor||</v>
      </c>
      <c r="O86" s="31" t="str">
        <f t="shared" si="4"/>
        <v>||AECJ630309C12|AAMT450528NI0|4|30001000000500010888|Petición firmada por el Receptor||
||SPR190613I52|10-03-2026 18:00:00|30001000000500003456|Petición firmada por el Receptor||</v>
      </c>
    </row>
    <row r="87" spans="1:15" ht="29" x14ac:dyDescent="0.35">
      <c r="A87" s="28" t="s">
        <v>628</v>
      </c>
      <c r="B87" s="29" t="s">
        <v>627</v>
      </c>
      <c r="C87" s="20">
        <v>4</v>
      </c>
      <c r="D87" s="20" t="s">
        <v>591</v>
      </c>
      <c r="E87" s="16" t="s">
        <v>609</v>
      </c>
      <c r="F87" s="20">
        <v>612</v>
      </c>
      <c r="G87" s="26" t="s">
        <v>616</v>
      </c>
      <c r="H87" s="20" t="s">
        <v>592</v>
      </c>
      <c r="I87" s="20" t="s">
        <v>481</v>
      </c>
      <c r="J87" s="20">
        <v>1028</v>
      </c>
      <c r="K87" s="20" t="s">
        <v>636</v>
      </c>
      <c r="L87" s="19"/>
      <c r="M87" s="25" t="str">
        <f t="shared" si="6"/>
        <v>||DIJA830428AJ0|AAMT450528NI0|4|30001000000500010888|Petición firmada por el Receptor||</v>
      </c>
      <c r="N87" s="30" t="str">
        <f t="shared" si="5"/>
        <v>||SPR190613I52|10-03-2026 18:00:00|30001000000500003456|Petición firmada por el Receptor||</v>
      </c>
      <c r="O87" s="31" t="str">
        <f t="shared" si="4"/>
        <v>||DIJA830428AJ0|AAMT450528NI0|4|30001000000500010888|Petición firmada por el Receptor||
||SPR190613I52|10-03-2026 18:00:00|30001000000500003456|Petición firmada por el Receptor||</v>
      </c>
    </row>
    <row r="88" spans="1:15" ht="29" x14ac:dyDescent="0.35">
      <c r="A88" s="28" t="s">
        <v>628</v>
      </c>
      <c r="B88" s="29" t="s">
        <v>627</v>
      </c>
      <c r="C88" s="20">
        <v>4</v>
      </c>
      <c r="D88" s="20" t="s">
        <v>327</v>
      </c>
      <c r="E88" s="16" t="s">
        <v>609</v>
      </c>
      <c r="F88" s="20">
        <v>608</v>
      </c>
      <c r="G88" s="26" t="s">
        <v>616</v>
      </c>
      <c r="H88" s="20">
        <v>735</v>
      </c>
      <c r="I88" s="20" t="s">
        <v>330</v>
      </c>
      <c r="J88" s="20">
        <v>597</v>
      </c>
      <c r="K88" s="20" t="s">
        <v>635</v>
      </c>
      <c r="L88" s="19"/>
      <c r="M88" s="25" t="str">
        <f t="shared" si="6"/>
        <v>||MOGE491001HQ7|AAMT450528NI0|4|30001000000500010888|Petición firmada por el Receptor||</v>
      </c>
      <c r="N88" s="30" t="str">
        <f t="shared" si="5"/>
        <v>||SPR190613I52|10-03-2026 18:00:00|30001000000500003456|Petición firmada por el Receptor||</v>
      </c>
      <c r="O88" s="31" t="str">
        <f t="shared" si="4"/>
        <v>||MOGE491001HQ7|AAMT450528NI0|4|30001000000500010888|Petición firmada por el Receptor||
||SPR190613I52|10-03-2026 18:00:00|30001000000500003456|Petición firmada por el Receptor||</v>
      </c>
    </row>
    <row r="89" spans="1:15" ht="29" x14ac:dyDescent="0.35">
      <c r="A89" s="28" t="s">
        <v>628</v>
      </c>
      <c r="B89" s="29" t="s">
        <v>627</v>
      </c>
      <c r="C89" s="20">
        <v>4</v>
      </c>
      <c r="D89" s="20" t="s">
        <v>414</v>
      </c>
      <c r="E89" s="16" t="s">
        <v>609</v>
      </c>
      <c r="F89" s="20">
        <v>611</v>
      </c>
      <c r="G89" s="26" t="s">
        <v>616</v>
      </c>
      <c r="H89" s="20" t="s">
        <v>298</v>
      </c>
      <c r="I89" s="20" t="s">
        <v>217</v>
      </c>
      <c r="J89" s="20">
        <v>758</v>
      </c>
      <c r="K89" s="20" t="s">
        <v>635</v>
      </c>
      <c r="L89" s="19"/>
      <c r="M89" s="25" t="str">
        <f t="shared" si="6"/>
        <v>||BAOJ850621TZ4|AAMT450528NI0|4|30001000000500010888|Petición firmada por el Receptor||</v>
      </c>
      <c r="N89" s="30" t="str">
        <f t="shared" si="5"/>
        <v>||SPR190613I52|10-03-2026 18:00:00|30001000000500003456|Petición firmada por el Receptor||</v>
      </c>
      <c r="O89" s="31" t="str">
        <f t="shared" si="4"/>
        <v>||BAOJ850621TZ4|AAMT450528NI0|4|30001000000500010888|Petición firmada por el Receptor||
||SPR190613I52|10-03-2026 18:00:00|30001000000500003456|Petición firmada por el Receptor||</v>
      </c>
    </row>
    <row r="90" spans="1:15" ht="29" x14ac:dyDescent="0.35">
      <c r="A90" s="28" t="s">
        <v>628</v>
      </c>
      <c r="B90" s="29" t="s">
        <v>627</v>
      </c>
      <c r="C90" s="20">
        <v>4</v>
      </c>
      <c r="D90" s="20" t="s">
        <v>593</v>
      </c>
      <c r="E90" s="16" t="s">
        <v>610</v>
      </c>
      <c r="F90" s="20">
        <v>610</v>
      </c>
      <c r="G90" s="26" t="s">
        <v>617</v>
      </c>
      <c r="H90" s="20" t="s">
        <v>298</v>
      </c>
      <c r="I90" s="20" t="s">
        <v>217</v>
      </c>
      <c r="J90" s="20">
        <v>907</v>
      </c>
      <c r="K90" s="20" t="s">
        <v>636</v>
      </c>
      <c r="L90" s="19"/>
      <c r="M90" s="25" t="str">
        <f t="shared" si="6"/>
        <v>||OATJ7710302P2|BAZA6106176K9|4|30001000000500010889|Petición firmada por el Receptor||</v>
      </c>
      <c r="N90" s="30" t="str">
        <f t="shared" si="5"/>
        <v>||SPR190613I52|10-03-2026 18:00:00|30001000000500003456|Petición firmada por el Receptor||</v>
      </c>
      <c r="O90" s="31" t="str">
        <f t="shared" si="4"/>
        <v>||OATJ7710302P2|BAZA6106176K9|4|30001000000500010889|Petición firmada por el Receptor||
||SPR190613I52|10-03-2026 18:00:00|30001000000500003456|Petición firmada por el Receptor||</v>
      </c>
    </row>
    <row r="91" spans="1:15" ht="29" x14ac:dyDescent="0.35">
      <c r="A91" s="28" t="s">
        <v>628</v>
      </c>
      <c r="B91" s="29" t="s">
        <v>627</v>
      </c>
      <c r="C91" s="20">
        <v>4</v>
      </c>
      <c r="D91" s="20" t="s">
        <v>329</v>
      </c>
      <c r="E91" s="16" t="s">
        <v>610</v>
      </c>
      <c r="F91" s="20">
        <v>611</v>
      </c>
      <c r="G91" s="26" t="s">
        <v>617</v>
      </c>
      <c r="H91" s="20" t="s">
        <v>298</v>
      </c>
      <c r="I91" s="20" t="s">
        <v>310</v>
      </c>
      <c r="J91" s="20" t="s">
        <v>298</v>
      </c>
      <c r="K91" s="20" t="s">
        <v>635</v>
      </c>
      <c r="L91" s="19"/>
      <c r="M91" s="25" t="str">
        <f t="shared" si="6"/>
        <v>||CACX730623IMA|BAZA6106176K9|4|30001000000500010889|Petición firmada por el Receptor||</v>
      </c>
      <c r="N91" s="30" t="str">
        <f t="shared" si="5"/>
        <v>||SPR190613I52|10-03-2026 18:00:00|30001000000500003456|Petición firmada por el Receptor||</v>
      </c>
      <c r="O91" s="31" t="str">
        <f t="shared" si="4"/>
        <v>||CACX730623IMA|BAZA6106176K9|4|30001000000500010889|Petición firmada por el Receptor||
||SPR190613I52|10-03-2026 18:00:00|30001000000500003456|Petición firmada por el Receptor||</v>
      </c>
    </row>
    <row r="92" spans="1:15" ht="29" x14ac:dyDescent="0.35">
      <c r="A92" s="28" t="s">
        <v>628</v>
      </c>
      <c r="B92" s="29" t="s">
        <v>627</v>
      </c>
      <c r="C92" s="20">
        <v>4</v>
      </c>
      <c r="D92" s="20" t="s">
        <v>416</v>
      </c>
      <c r="E92" s="16" t="s">
        <v>610</v>
      </c>
      <c r="F92" s="20">
        <v>614</v>
      </c>
      <c r="G92" s="26" t="s">
        <v>617</v>
      </c>
      <c r="H92" s="20" t="s">
        <v>298</v>
      </c>
      <c r="I92" s="20" t="s">
        <v>217</v>
      </c>
      <c r="J92" s="20">
        <v>470</v>
      </c>
      <c r="K92" s="20" t="s">
        <v>635</v>
      </c>
      <c r="L92" s="19"/>
      <c r="M92" s="25" t="str">
        <f t="shared" si="6"/>
        <v>||RESJ730128HX3|BAZA6106176K9|4|30001000000500010889|Petición firmada por el Receptor||</v>
      </c>
      <c r="N92" s="30" t="str">
        <f t="shared" si="5"/>
        <v>||SPR190613I52|10-03-2026 18:00:00|30001000000500003456|Petición firmada por el Receptor||</v>
      </c>
      <c r="O92" s="31" t="str">
        <f t="shared" si="4"/>
        <v>||RESJ730128HX3|BAZA6106176K9|4|30001000000500010889|Petición firmada por el Receptor||
||SPR190613I52|10-03-2026 18:00:00|30001000000500003456|Petición firmada por el Receptor||</v>
      </c>
    </row>
    <row r="93" spans="1:15" ht="43.5" x14ac:dyDescent="0.35">
      <c r="A93" s="28" t="s">
        <v>628</v>
      </c>
      <c r="B93" s="29" t="s">
        <v>627</v>
      </c>
      <c r="C93" s="20">
        <v>4</v>
      </c>
      <c r="D93" s="20" t="s">
        <v>594</v>
      </c>
      <c r="E93" s="16" t="s">
        <v>610</v>
      </c>
      <c r="F93" s="20">
        <v>612</v>
      </c>
      <c r="G93" s="26" t="s">
        <v>617</v>
      </c>
      <c r="H93" s="20" t="s">
        <v>410</v>
      </c>
      <c r="I93" s="20" t="s">
        <v>595</v>
      </c>
      <c r="J93" s="20">
        <v>639</v>
      </c>
      <c r="K93" s="20" t="s">
        <v>636</v>
      </c>
      <c r="L93" s="19"/>
      <c r="M93" s="25" t="str">
        <f t="shared" si="6"/>
        <v>||GUTA800126KJ1|BAZA6106176K9|4|30001000000500010889|Petición firmada por el Receptor||</v>
      </c>
      <c r="N93" s="30" t="str">
        <f t="shared" si="5"/>
        <v>||SPR190613I52|10-03-2026 18:00:00|30001000000500003456|Petición firmada por el Receptor||</v>
      </c>
      <c r="O93" s="31" t="str">
        <f t="shared" si="4"/>
        <v>||GUTA800126KJ1|BAZA6106176K9|4|30001000000500010889|Petición firmada por el Receptor||
||SPR190613I52|10-03-2026 18:00:00|30001000000500003456|Petición firmada por el Receptor||</v>
      </c>
    </row>
    <row r="94" spans="1:15" ht="29" x14ac:dyDescent="0.35">
      <c r="A94" s="28" t="s">
        <v>628</v>
      </c>
      <c r="B94" s="29" t="s">
        <v>627</v>
      </c>
      <c r="C94" s="20">
        <v>4</v>
      </c>
      <c r="D94" s="20" t="s">
        <v>331</v>
      </c>
      <c r="E94" s="16" t="s">
        <v>610</v>
      </c>
      <c r="F94" s="20">
        <v>614</v>
      </c>
      <c r="G94" s="26" t="s">
        <v>617</v>
      </c>
      <c r="H94" s="20" t="s">
        <v>298</v>
      </c>
      <c r="I94" s="20" t="s">
        <v>217</v>
      </c>
      <c r="J94" s="20">
        <v>775</v>
      </c>
      <c r="K94" s="20" t="s">
        <v>635</v>
      </c>
      <c r="L94" s="19"/>
      <c r="M94" s="25" t="str">
        <f t="shared" si="6"/>
        <v>||CAPN790518LL1|BAZA6106176K9|4|30001000000500010889|Petición firmada por el Receptor||</v>
      </c>
      <c r="N94" s="30" t="str">
        <f t="shared" si="5"/>
        <v>||SPR190613I52|10-03-2026 18:00:00|30001000000500003456|Petición firmada por el Receptor||</v>
      </c>
      <c r="O94" s="31" t="str">
        <f t="shared" si="4"/>
        <v>||CAPN790518LL1|BAZA6106176K9|4|30001000000500010889|Petición firmada por el Receptor||
||SPR190613I52|10-03-2026 18:00:00|30001000000500003456|Petición firmada por el Receptor||</v>
      </c>
    </row>
    <row r="95" spans="1:15" ht="29" x14ac:dyDescent="0.35">
      <c r="A95" s="28" t="s">
        <v>628</v>
      </c>
      <c r="B95" s="29" t="s">
        <v>627</v>
      </c>
      <c r="C95" s="20">
        <v>4</v>
      </c>
      <c r="D95" s="20" t="s">
        <v>408</v>
      </c>
      <c r="E95" s="16" t="s">
        <v>610</v>
      </c>
      <c r="F95" s="20">
        <v>616</v>
      </c>
      <c r="G95" s="26" t="s">
        <v>617</v>
      </c>
      <c r="H95" s="20" t="s">
        <v>298</v>
      </c>
      <c r="I95" s="20" t="s">
        <v>346</v>
      </c>
      <c r="J95" s="20" t="s">
        <v>298</v>
      </c>
      <c r="K95" s="20" t="s">
        <v>635</v>
      </c>
      <c r="L95" s="19"/>
      <c r="M95" s="25" t="str">
        <f t="shared" si="6"/>
        <v>||FAGJ760203QH4|BAZA6106176K9|4|30001000000500010889|Petición firmada por el Receptor||</v>
      </c>
      <c r="N95" s="30" t="str">
        <f t="shared" si="5"/>
        <v>||SPR190613I52|10-03-2026 18:00:00|30001000000500003456|Petición firmada por el Receptor||</v>
      </c>
      <c r="O95" s="31" t="str">
        <f t="shared" si="4"/>
        <v>||FAGJ760203QH4|BAZA6106176K9|4|30001000000500010889|Petición firmada por el Receptor||
||SPR190613I52|10-03-2026 18:00:00|30001000000500003456|Petición firmada por el Receptor||</v>
      </c>
    </row>
    <row r="96" spans="1:15" ht="29" x14ac:dyDescent="0.35">
      <c r="A96" s="28" t="s">
        <v>628</v>
      </c>
      <c r="B96" s="29" t="s">
        <v>627</v>
      </c>
      <c r="C96" s="20">
        <v>4</v>
      </c>
      <c r="D96" s="20" t="s">
        <v>596</v>
      </c>
      <c r="E96" s="16" t="s">
        <v>610</v>
      </c>
      <c r="F96" s="20">
        <v>619</v>
      </c>
      <c r="G96" s="26" t="s">
        <v>617</v>
      </c>
      <c r="H96" s="20" t="s">
        <v>298</v>
      </c>
      <c r="I96" s="20" t="s">
        <v>217</v>
      </c>
      <c r="J96" s="20">
        <v>1122</v>
      </c>
      <c r="K96" s="20" t="s">
        <v>636</v>
      </c>
      <c r="L96" s="19"/>
      <c r="M96" s="25" t="str">
        <f t="shared" si="6"/>
        <v>||BALM8708151UA|BAZA6106176K9|4|30001000000500010889|Petición firmada por el Receptor||</v>
      </c>
      <c r="N96" s="30" t="str">
        <f t="shared" si="5"/>
        <v>||SPR190613I52|10-03-2026 18:00:00|30001000000500003456|Petición firmada por el Receptor||</v>
      </c>
      <c r="O96" s="31" t="str">
        <f t="shared" si="4"/>
        <v>||BALM8708151UA|BAZA6106176K9|4|30001000000500010889|Petición firmada por el Receptor||
||SPR190613I52|10-03-2026 18:00:00|30001000000500003456|Petición firmada por el Receptor||</v>
      </c>
    </row>
    <row r="97" spans="1:15" ht="29" x14ac:dyDescent="0.35">
      <c r="A97" s="28" t="s">
        <v>628</v>
      </c>
      <c r="B97" s="29" t="s">
        <v>627</v>
      </c>
      <c r="C97" s="20">
        <v>4</v>
      </c>
      <c r="D97" s="20" t="s">
        <v>328</v>
      </c>
      <c r="E97" s="16" t="s">
        <v>610</v>
      </c>
      <c r="F97" s="20">
        <v>616</v>
      </c>
      <c r="G97" s="26" t="s">
        <v>617</v>
      </c>
      <c r="H97" s="20" t="s">
        <v>298</v>
      </c>
      <c r="I97" s="20" t="s">
        <v>346</v>
      </c>
      <c r="J97" s="20" t="s">
        <v>298</v>
      </c>
      <c r="K97" s="20" t="s">
        <v>635</v>
      </c>
      <c r="L97" s="19"/>
      <c r="M97" s="25" t="str">
        <f t="shared" si="6"/>
        <v>||CAMP850507SZ4|BAZA6106176K9|4|30001000000500010889|Petición firmada por el Receptor||</v>
      </c>
      <c r="N97" s="30" t="str">
        <f t="shared" si="5"/>
        <v>||SPR190613I52|10-03-2026 18:00:00|30001000000500003456|Petición firmada por el Receptor||</v>
      </c>
      <c r="O97" s="31" t="str">
        <f t="shared" si="4"/>
        <v>||CAMP850507SZ4|BAZA6106176K9|4|30001000000500010889|Petición firmada por el Receptor||
||SPR190613I52|10-03-2026 18:00:00|30001000000500003456|Petición firmada por el Receptor||</v>
      </c>
    </row>
    <row r="98" spans="1:15" ht="29" x14ac:dyDescent="0.35">
      <c r="A98" s="28" t="s">
        <v>628</v>
      </c>
      <c r="B98" s="29" t="s">
        <v>627</v>
      </c>
      <c r="C98" s="20">
        <v>4</v>
      </c>
      <c r="D98" s="20" t="s">
        <v>417</v>
      </c>
      <c r="E98" s="16" t="s">
        <v>610</v>
      </c>
      <c r="F98" s="20">
        <v>615</v>
      </c>
      <c r="G98" s="26" t="s">
        <v>617</v>
      </c>
      <c r="H98" s="20" t="s">
        <v>298</v>
      </c>
      <c r="I98" s="20" t="s">
        <v>217</v>
      </c>
      <c r="J98" s="20">
        <v>773</v>
      </c>
      <c r="K98" s="20" t="s">
        <v>635</v>
      </c>
      <c r="L98" s="19"/>
      <c r="M98" s="25" t="str">
        <f t="shared" si="6"/>
        <v>||AUFJ790405DA5|BAZA6106176K9|4|30001000000500010889|Petición firmada por el Receptor||</v>
      </c>
      <c r="N98" s="30" t="str">
        <f t="shared" si="5"/>
        <v>||SPR190613I52|10-03-2026 18:00:00|30001000000500003456|Petición firmada por el Receptor||</v>
      </c>
      <c r="O98" s="31" t="str">
        <f t="shared" si="4"/>
        <v>||AUFJ790405DA5|BAZA6106176K9|4|30001000000500010889|Petición firmada por el Receptor||
||SPR190613I52|10-03-2026 18:00:00|30001000000500003456|Petición firmada por el Receptor||</v>
      </c>
    </row>
    <row r="99" spans="1:15" ht="29" x14ac:dyDescent="0.35">
      <c r="A99" s="28" t="s">
        <v>628</v>
      </c>
      <c r="B99" s="29" t="s">
        <v>627</v>
      </c>
      <c r="C99" s="20">
        <v>4</v>
      </c>
      <c r="D99" s="20" t="s">
        <v>598</v>
      </c>
      <c r="E99" s="16" t="s">
        <v>610</v>
      </c>
      <c r="F99" s="20">
        <v>625</v>
      </c>
      <c r="G99" s="26" t="s">
        <v>617</v>
      </c>
      <c r="H99" s="20" t="s">
        <v>298</v>
      </c>
      <c r="I99" s="20" t="s">
        <v>217</v>
      </c>
      <c r="J99" s="20">
        <v>202</v>
      </c>
      <c r="K99" s="20" t="s">
        <v>636</v>
      </c>
      <c r="L99" s="19"/>
      <c r="M99" s="25" t="str">
        <f t="shared" si="6"/>
        <v>||REJR571014978|BAZA6106176K9|4|30001000000500010889|Petición firmada por el Receptor||</v>
      </c>
      <c r="N99" s="30" t="str">
        <f t="shared" si="5"/>
        <v>||SPR190613I52|10-03-2026 18:00:00|30001000000500003456|Petición firmada por el Receptor||</v>
      </c>
      <c r="O99" s="31" t="str">
        <f t="shared" si="4"/>
        <v>||REJR571014978|BAZA6106176K9|4|30001000000500010889|Petición firmada por el Receptor||
||SPR190613I52|10-03-2026 18:00:00|30001000000500003456|Petición firmada por el Receptor||</v>
      </c>
    </row>
    <row r="100" spans="1:15" ht="29" x14ac:dyDescent="0.35">
      <c r="A100" s="28" t="s">
        <v>628</v>
      </c>
      <c r="B100" s="29" t="s">
        <v>627</v>
      </c>
      <c r="C100" s="20">
        <v>4</v>
      </c>
      <c r="D100" s="20" t="s">
        <v>332</v>
      </c>
      <c r="E100" s="16" t="s">
        <v>610</v>
      </c>
      <c r="F100" s="20">
        <v>615</v>
      </c>
      <c r="G100" s="26" t="s">
        <v>617</v>
      </c>
      <c r="H100" s="20" t="s">
        <v>298</v>
      </c>
      <c r="I100" s="20" t="s">
        <v>333</v>
      </c>
      <c r="J100" s="20">
        <v>876</v>
      </c>
      <c r="K100" s="20" t="s">
        <v>635</v>
      </c>
      <c r="L100" s="19"/>
      <c r="M100" s="25" t="str">
        <f t="shared" si="6"/>
        <v>||HICI811004EH7|BAZA6106176K9|4|30001000000500010889|Petición firmada por el Receptor||</v>
      </c>
      <c r="N100" s="30" t="str">
        <f t="shared" si="5"/>
        <v>||SPR190613I52|10-03-2026 18:00:00|30001000000500003456|Petición firmada por el Receptor||</v>
      </c>
      <c r="O100" s="31" t="str">
        <f t="shared" si="4"/>
        <v>||HICI811004EH7|BAZA6106176K9|4|30001000000500010889|Petición firmada por el Receptor||
||SPR190613I52|10-03-2026 18:00:00|30001000000500003456|Petición firmada por el Receptor||</v>
      </c>
    </row>
    <row r="101" spans="1:15" ht="29" x14ac:dyDescent="0.35">
      <c r="A101" s="28" t="s">
        <v>628</v>
      </c>
      <c r="B101" s="29" t="s">
        <v>627</v>
      </c>
      <c r="C101" s="20">
        <v>4</v>
      </c>
      <c r="D101" s="20" t="s">
        <v>418</v>
      </c>
      <c r="E101" s="16" t="s">
        <v>610</v>
      </c>
      <c r="F101" s="20">
        <v>607</v>
      </c>
      <c r="G101" s="26" t="s">
        <v>617</v>
      </c>
      <c r="H101" s="20" t="s">
        <v>298</v>
      </c>
      <c r="I101" s="20" t="s">
        <v>217</v>
      </c>
      <c r="J101" s="20">
        <v>160</v>
      </c>
      <c r="K101" s="20" t="s">
        <v>635</v>
      </c>
      <c r="L101" s="19"/>
      <c r="M101" s="25" t="str">
        <f t="shared" si="6"/>
        <v>||TEBJ700901UQ7|BAZA6106176K9|4|30001000000500010889|Petición firmada por el Receptor||</v>
      </c>
      <c r="N101" s="30" t="str">
        <f t="shared" si="5"/>
        <v>||SPR190613I52|10-03-2026 18:00:00|30001000000500003456|Petición firmada por el Receptor||</v>
      </c>
      <c r="O101" s="31" t="str">
        <f t="shared" si="4"/>
        <v>||TEBJ700901UQ7|BAZA6106176K9|4|30001000000500010889|Petición firmada por el Receptor||
||SPR190613I52|10-03-2026 18:00:00|30001000000500003456|Petición firmada por el Receptor||</v>
      </c>
    </row>
    <row r="102" spans="1:15" ht="43.5" x14ac:dyDescent="0.35">
      <c r="A102" s="28" t="s">
        <v>628</v>
      </c>
      <c r="B102" s="29" t="s">
        <v>627</v>
      </c>
      <c r="C102" s="20">
        <v>4</v>
      </c>
      <c r="D102" s="20" t="s">
        <v>599</v>
      </c>
      <c r="E102" s="16" t="s">
        <v>610</v>
      </c>
      <c r="F102" s="20">
        <v>622</v>
      </c>
      <c r="G102" s="26" t="s">
        <v>617</v>
      </c>
      <c r="H102" s="20">
        <v>203</v>
      </c>
      <c r="I102" s="20" t="s">
        <v>600</v>
      </c>
      <c r="J102" s="20">
        <v>50</v>
      </c>
      <c r="K102" s="20" t="s">
        <v>636</v>
      </c>
      <c r="L102" s="19"/>
      <c r="M102" s="25" t="str">
        <f t="shared" si="6"/>
        <v>||RATM5407207Q5|BAZA6106176K9|4|30001000000500010889|Petición firmada por el Receptor||</v>
      </c>
      <c r="N102" s="30" t="str">
        <f t="shared" si="5"/>
        <v>||SPR190613I52|10-03-2026 18:00:00|30001000000500003456|Petición firmada por el Receptor||</v>
      </c>
      <c r="O102" s="31" t="str">
        <f t="shared" si="4"/>
        <v>||RATM5407207Q5|BAZA6106176K9|4|30001000000500010889|Petición firmada por el Receptor||
||SPR190613I52|10-03-2026 18:00:00|30001000000500003456|Petición firmada por el Receptor||</v>
      </c>
    </row>
    <row r="103" spans="1:15" ht="29" x14ac:dyDescent="0.35">
      <c r="A103" s="28" t="s">
        <v>628</v>
      </c>
      <c r="B103" s="29" t="s">
        <v>627</v>
      </c>
      <c r="C103" s="20">
        <v>4</v>
      </c>
      <c r="D103" s="20" t="s">
        <v>334</v>
      </c>
      <c r="E103" s="16" t="s">
        <v>610</v>
      </c>
      <c r="F103" s="20">
        <v>607</v>
      </c>
      <c r="G103" s="26" t="s">
        <v>617</v>
      </c>
      <c r="H103" s="20" t="s">
        <v>298</v>
      </c>
      <c r="I103" s="20" t="s">
        <v>335</v>
      </c>
      <c r="J103" s="20" t="s">
        <v>298</v>
      </c>
      <c r="K103" s="20" t="s">
        <v>635</v>
      </c>
      <c r="L103" s="19"/>
      <c r="M103" s="25" t="str">
        <f t="shared" si="6"/>
        <v>||PEMA690424LY9|BAZA6106176K9|4|30001000000500010889|Petición firmada por el Receptor||</v>
      </c>
      <c r="N103" s="30" t="str">
        <f t="shared" si="5"/>
        <v>||SPR190613I52|10-03-2026 18:00:00|30001000000500003456|Petición firmada por el Receptor||</v>
      </c>
      <c r="O103" s="31" t="str">
        <f t="shared" si="4"/>
        <v>||PEMA690424LY9|BAZA6106176K9|4|30001000000500010889|Petición firmada por el Receptor||
||SPR190613I52|10-03-2026 18:00:00|30001000000500003456|Petición firmada por el Receptor||</v>
      </c>
    </row>
    <row r="104" spans="1:15" ht="43.5" x14ac:dyDescent="0.35">
      <c r="A104" s="28" t="s">
        <v>628</v>
      </c>
      <c r="B104" s="29" t="s">
        <v>627</v>
      </c>
      <c r="C104" s="20">
        <v>4</v>
      </c>
      <c r="D104" s="20" t="s">
        <v>419</v>
      </c>
      <c r="E104" s="16" t="s">
        <v>610</v>
      </c>
      <c r="F104" s="20">
        <v>626</v>
      </c>
      <c r="G104" s="26" t="s">
        <v>617</v>
      </c>
      <c r="H104" s="20" t="s">
        <v>298</v>
      </c>
      <c r="I104" s="20" t="s">
        <v>470</v>
      </c>
      <c r="J104" s="20">
        <v>131</v>
      </c>
      <c r="K104" s="20" t="s">
        <v>635</v>
      </c>
      <c r="L104" s="19"/>
      <c r="M104" s="25" t="str">
        <f t="shared" si="6"/>
        <v>||FARJ8901276F7|BAZA6106176K9|4|30001000000500010889|Petición firmada por el Receptor||</v>
      </c>
      <c r="N104" s="30" t="str">
        <f t="shared" si="5"/>
        <v>||SPR190613I52|10-03-2026 18:00:00|30001000000500003456|Petición firmada por el Receptor||</v>
      </c>
      <c r="O104" s="31" t="str">
        <f t="shared" si="4"/>
        <v>||FARJ8901276F7|BAZA6106176K9|4|30001000000500010889|Petición firmada por el Receptor||
||SPR190613I52|10-03-2026 18:00:00|30001000000500003456|Petición firmada por el Receptor||</v>
      </c>
    </row>
    <row r="105" spans="1:15" ht="29" x14ac:dyDescent="0.35">
      <c r="A105" s="28" t="s">
        <v>628</v>
      </c>
      <c r="B105" s="29" t="s">
        <v>627</v>
      </c>
      <c r="C105" s="20">
        <v>4</v>
      </c>
      <c r="D105" s="20" t="s">
        <v>601</v>
      </c>
      <c r="E105" s="16" t="s">
        <v>610</v>
      </c>
      <c r="F105" s="20">
        <v>619</v>
      </c>
      <c r="G105" s="26" t="s">
        <v>617</v>
      </c>
      <c r="H105" s="20" t="s">
        <v>298</v>
      </c>
      <c r="I105" s="20" t="s">
        <v>217</v>
      </c>
      <c r="J105" s="20">
        <v>647</v>
      </c>
      <c r="K105" s="20" t="s">
        <v>636</v>
      </c>
      <c r="L105" s="19"/>
      <c r="M105" s="25" t="str">
        <f t="shared" si="6"/>
        <v>||GOSD7705295D6|BAZA6106176K9|4|30001000000500010889|Petición firmada por el Receptor||</v>
      </c>
      <c r="N105" s="30" t="str">
        <f t="shared" si="5"/>
        <v>||SPR190613I52|10-03-2026 18:00:00|30001000000500003456|Petición firmada por el Receptor||</v>
      </c>
      <c r="O105" s="31" t="str">
        <f t="shared" si="4"/>
        <v>||GOSD7705295D6|BAZA6106176K9|4|30001000000500010889|Petición firmada por el Receptor||
||SPR190613I52|10-03-2026 18:00:00|30001000000500003456|Petición firmada por el Receptor||</v>
      </c>
    </row>
    <row r="106" spans="1:15" ht="29" x14ac:dyDescent="0.35">
      <c r="A106" s="28" t="s">
        <v>628</v>
      </c>
      <c r="B106" s="29" t="s">
        <v>627</v>
      </c>
      <c r="C106" s="20">
        <v>4</v>
      </c>
      <c r="D106" s="20" t="s">
        <v>336</v>
      </c>
      <c r="E106" s="16" t="s">
        <v>610</v>
      </c>
      <c r="F106" s="20">
        <v>626</v>
      </c>
      <c r="G106" s="26" t="s">
        <v>617</v>
      </c>
      <c r="H106" s="20" t="s">
        <v>298</v>
      </c>
      <c r="I106" s="20" t="s">
        <v>471</v>
      </c>
      <c r="J106" s="20" t="s">
        <v>298</v>
      </c>
      <c r="K106" s="20" t="s">
        <v>635</v>
      </c>
      <c r="L106" s="19"/>
      <c r="M106" s="25" t="str">
        <f t="shared" si="6"/>
        <v>||OICE850512LB3|BAZA6106176K9|4|30001000000500010889|Petición firmada por el Receptor||</v>
      </c>
      <c r="N106" s="30" t="str">
        <f t="shared" si="5"/>
        <v>||SPR190613I52|10-03-2026 18:00:00|30001000000500003456|Petición firmada por el Receptor||</v>
      </c>
      <c r="O106" s="31" t="str">
        <f t="shared" si="4"/>
        <v>||OICE850512LB3|BAZA6106176K9|4|30001000000500010889|Petición firmada por el Receptor||
||SPR190613I52|10-03-2026 18:00:00|30001000000500003456|Petición firmada por el Receptor||</v>
      </c>
    </row>
    <row r="107" spans="1:15" ht="29" x14ac:dyDescent="0.35">
      <c r="A107" s="28" t="s">
        <v>628</v>
      </c>
      <c r="B107" s="29" t="s">
        <v>627</v>
      </c>
      <c r="C107" s="33">
        <v>5</v>
      </c>
      <c r="D107" s="20" t="s">
        <v>404</v>
      </c>
      <c r="E107" s="16" t="s">
        <v>610</v>
      </c>
      <c r="F107" s="20">
        <v>612</v>
      </c>
      <c r="G107" s="26" t="s">
        <v>617</v>
      </c>
      <c r="H107" s="20" t="s">
        <v>405</v>
      </c>
      <c r="I107" s="20" t="s">
        <v>406</v>
      </c>
      <c r="J107" s="20" t="s">
        <v>407</v>
      </c>
      <c r="K107" s="20" t="s">
        <v>635</v>
      </c>
      <c r="L107" s="19"/>
      <c r="M107" s="25" t="str">
        <f t="shared" si="6"/>
        <v>||BAGJ8803124R5|BAZA6106176K9|5|30001000000500010889|Petición firmada por el Receptor||</v>
      </c>
      <c r="N107" s="30" t="str">
        <f t="shared" si="5"/>
        <v>||SPR190613I52|10-03-2026 18:00:00|30001000000500003456|Petición firmada por el Receptor||</v>
      </c>
      <c r="O107" s="31" t="str">
        <f t="shared" si="4"/>
        <v>||BAGJ8803124R5|BAZA6106176K9|5|30001000000500010889|Petición firmada por el Receptor||
||SPR190613I52|10-03-2026 18:00:00|30001000000500003456|Petición firmada por el Receptor||</v>
      </c>
    </row>
    <row r="108" spans="1:15" ht="29" x14ac:dyDescent="0.35">
      <c r="A108" s="28" t="s">
        <v>628</v>
      </c>
      <c r="B108" s="29" t="s">
        <v>627</v>
      </c>
      <c r="C108" s="33">
        <v>5</v>
      </c>
      <c r="D108" s="20" t="s">
        <v>514</v>
      </c>
      <c r="E108" s="16" t="s">
        <v>610</v>
      </c>
      <c r="F108" s="20">
        <v>612</v>
      </c>
      <c r="G108" s="26" t="s">
        <v>617</v>
      </c>
      <c r="H108" s="20" t="s">
        <v>515</v>
      </c>
      <c r="I108" s="20" t="s">
        <v>516</v>
      </c>
      <c r="J108" s="20">
        <v>734</v>
      </c>
      <c r="K108" s="20" t="s">
        <v>636</v>
      </c>
      <c r="L108" s="19"/>
      <c r="M108" s="25" t="str">
        <f t="shared" si="6"/>
        <v>||RARE830330KU5|BAZA6106176K9|5|30001000000500010889|Petición firmada por el Receptor||</v>
      </c>
      <c r="N108" s="30" t="str">
        <f t="shared" si="5"/>
        <v>||SPR190613I52|10-03-2026 18:00:00|30001000000500003456|Petición firmada por el Receptor||</v>
      </c>
      <c r="O108" s="31" t="str">
        <f t="shared" si="4"/>
        <v>||RARE830330KU5|BAZA6106176K9|5|30001000000500010889|Petición firmada por el Receptor||
||SPR190613I52|10-03-2026 18:00:00|30001000000500003456|Petición firmada por el Receptor||</v>
      </c>
    </row>
    <row r="109" spans="1:15" ht="29" x14ac:dyDescent="0.35">
      <c r="A109" s="28" t="s">
        <v>628</v>
      </c>
      <c r="B109" s="29" t="s">
        <v>627</v>
      </c>
      <c r="C109" s="33">
        <v>5</v>
      </c>
      <c r="D109" s="20" t="s">
        <v>338</v>
      </c>
      <c r="E109" s="16" t="s">
        <v>610</v>
      </c>
      <c r="F109" s="20" t="s">
        <v>300</v>
      </c>
      <c r="G109" s="26" t="s">
        <v>617</v>
      </c>
      <c r="H109" s="20">
        <v>3</v>
      </c>
      <c r="I109" s="20" t="s">
        <v>217</v>
      </c>
      <c r="J109" s="20" t="s">
        <v>341</v>
      </c>
      <c r="K109" s="20" t="s">
        <v>635</v>
      </c>
      <c r="L109" s="19"/>
      <c r="M109" s="25" t="str">
        <f t="shared" si="6"/>
        <v>||TEGS860519DM0|BAZA6106176K9|5|30001000000500010889|Petición firmada por el Receptor||</v>
      </c>
      <c r="N109" s="30" t="str">
        <f t="shared" si="5"/>
        <v>||SPR190613I52|10-03-2026 18:00:00|30001000000500003456|Petición firmada por el Receptor||</v>
      </c>
      <c r="O109" s="31" t="str">
        <f t="shared" si="4"/>
        <v>||TEGS860519DM0|BAZA6106176K9|5|30001000000500010889|Petición firmada por el Receptor||
||SPR190613I52|10-03-2026 18:00:00|30001000000500003456|Petición firmada por el Receptor||</v>
      </c>
    </row>
    <row r="110" spans="1:15" ht="43.5" x14ac:dyDescent="0.35">
      <c r="A110" s="28" t="s">
        <v>628</v>
      </c>
      <c r="B110" s="29" t="s">
        <v>627</v>
      </c>
      <c r="C110" s="20">
        <v>5</v>
      </c>
      <c r="D110" s="20" t="s">
        <v>420</v>
      </c>
      <c r="E110" s="16" t="s">
        <v>611</v>
      </c>
      <c r="F110" s="20">
        <v>621</v>
      </c>
      <c r="G110" s="26" t="s">
        <v>618</v>
      </c>
      <c r="H110" s="20" t="s">
        <v>421</v>
      </c>
      <c r="I110" s="20" t="s">
        <v>422</v>
      </c>
      <c r="J110" s="20" t="s">
        <v>423</v>
      </c>
      <c r="K110" s="20" t="s">
        <v>635</v>
      </c>
      <c r="L110" s="19"/>
      <c r="M110" s="25" t="str">
        <f t="shared" si="6"/>
        <v>||SEAJ840217SU1|AAUR760114I12|5|30001000000500010890|Petición firmada por el Receptor||</v>
      </c>
      <c r="N110" s="30" t="str">
        <f t="shared" si="5"/>
        <v>||SPR190613I52|10-03-2026 18:00:00|30001000000500003456|Petición firmada por el Receptor||</v>
      </c>
      <c r="O110" s="31" t="str">
        <f t="shared" si="4"/>
        <v>||SEAJ840217SU1|AAUR760114I12|5|30001000000500010890|Petición firmada por el Receptor||
||SPR190613I52|10-03-2026 18:00:00|30001000000500003456|Petición firmada por el Receptor||</v>
      </c>
    </row>
    <row r="111" spans="1:15" ht="29" x14ac:dyDescent="0.35">
      <c r="A111" s="28" t="s">
        <v>628</v>
      </c>
      <c r="B111" s="29" t="s">
        <v>627</v>
      </c>
      <c r="C111" s="20">
        <v>5</v>
      </c>
      <c r="D111" s="20" t="s">
        <v>602</v>
      </c>
      <c r="E111" s="16" t="s">
        <v>611</v>
      </c>
      <c r="F111" s="20">
        <v>625</v>
      </c>
      <c r="G111" s="26" t="s">
        <v>618</v>
      </c>
      <c r="H111" s="20" t="s">
        <v>298</v>
      </c>
      <c r="I111" s="20" t="s">
        <v>217</v>
      </c>
      <c r="J111" s="20">
        <v>907</v>
      </c>
      <c r="K111" s="20" t="s">
        <v>636</v>
      </c>
      <c r="L111" s="19"/>
      <c r="M111" s="25" t="str">
        <f t="shared" si="6"/>
        <v>||COTM691023TDA|AAUR760114I12|5|30001000000500010890|Petición firmada por el Receptor||</v>
      </c>
      <c r="N111" s="30" t="str">
        <f t="shared" si="5"/>
        <v>||SPR190613I52|10-03-2026 18:00:00|30001000000500003456|Petición firmada por el Receptor||</v>
      </c>
      <c r="O111" s="31" t="str">
        <f t="shared" si="4"/>
        <v>||COTM691023TDA|AAUR760114I12|5|30001000000500010890|Petición firmada por el Receptor||
||SPR190613I52|10-03-2026 18:00:00|30001000000500003456|Petición firmada por el Receptor||</v>
      </c>
    </row>
    <row r="112" spans="1:15" ht="29" x14ac:dyDescent="0.35">
      <c r="A112" s="28" t="s">
        <v>628</v>
      </c>
      <c r="B112" s="29" t="s">
        <v>627</v>
      </c>
      <c r="C112" s="20">
        <v>5</v>
      </c>
      <c r="D112" s="20" t="s">
        <v>339</v>
      </c>
      <c r="E112" s="16" t="s">
        <v>611</v>
      </c>
      <c r="F112" s="20" t="s">
        <v>606</v>
      </c>
      <c r="G112" s="26" t="s">
        <v>618</v>
      </c>
      <c r="H112" s="20" t="s">
        <v>298</v>
      </c>
      <c r="I112" s="20">
        <v>300155</v>
      </c>
      <c r="J112" s="20" t="s">
        <v>340</v>
      </c>
      <c r="K112" s="20" t="s">
        <v>635</v>
      </c>
      <c r="L112" s="19"/>
      <c r="M112" s="25" t="str">
        <f t="shared" si="6"/>
        <v>||BAMA9109179Z0|AAUR760114I12|5|30001000000500010890|Petición firmada por el Receptor||</v>
      </c>
      <c r="N112" s="30" t="str">
        <f t="shared" si="5"/>
        <v>||SPR190613I52|10-03-2026 18:00:00|30001000000500003456|Petición firmada por el Receptor||</v>
      </c>
      <c r="O112" s="31" t="str">
        <f t="shared" si="4"/>
        <v>||BAMA9109179Z0|AAUR760114I12|5|30001000000500010890|Petición firmada por el Receptor||
||SPR190613I52|10-03-2026 18:00:00|30001000000500003456|Petición firmada por el Receptor||</v>
      </c>
    </row>
    <row r="113" spans="1:15" ht="29" x14ac:dyDescent="0.35">
      <c r="A113" s="28" t="s">
        <v>628</v>
      </c>
      <c r="B113" s="29" t="s">
        <v>627</v>
      </c>
      <c r="C113" s="20">
        <v>5</v>
      </c>
      <c r="D113" s="20" t="s">
        <v>424</v>
      </c>
      <c r="E113" s="16" t="s">
        <v>611</v>
      </c>
      <c r="F113" s="20" t="s">
        <v>312</v>
      </c>
      <c r="G113" s="26" t="s">
        <v>618</v>
      </c>
      <c r="H113" s="20" t="s">
        <v>298</v>
      </c>
      <c r="I113" s="20" t="s">
        <v>217</v>
      </c>
      <c r="J113" s="20" t="s">
        <v>425</v>
      </c>
      <c r="K113" s="20" t="s">
        <v>635</v>
      </c>
      <c r="L113" s="19"/>
      <c r="M113" s="25" t="str">
        <f t="shared" si="6"/>
        <v>||PEAJ791129GK1|AAUR760114I12|5|30001000000500010890|Petición firmada por el Receptor||</v>
      </c>
      <c r="N113" s="30" t="str">
        <f t="shared" si="5"/>
        <v>||SPR190613I52|10-03-2026 18:00:00|30001000000500003456|Petición firmada por el Receptor||</v>
      </c>
      <c r="O113" s="31" t="str">
        <f t="shared" si="4"/>
        <v>||PEAJ791129GK1|AAUR760114I12|5|30001000000500010890|Petición firmada por el Receptor||
||SPR190613I52|10-03-2026 18:00:00|30001000000500003456|Petición firmada por el Receptor||</v>
      </c>
    </row>
    <row r="114" spans="1:15" ht="29" x14ac:dyDescent="0.35">
      <c r="A114" s="28" t="s">
        <v>628</v>
      </c>
      <c r="B114" s="29" t="s">
        <v>627</v>
      </c>
      <c r="C114" s="20">
        <v>5</v>
      </c>
      <c r="D114" s="20" t="s">
        <v>603</v>
      </c>
      <c r="E114" s="16" t="s">
        <v>611</v>
      </c>
      <c r="F114" s="20">
        <v>607</v>
      </c>
      <c r="G114" s="26" t="s">
        <v>618</v>
      </c>
      <c r="H114" s="20" t="s">
        <v>298</v>
      </c>
      <c r="I114" s="20" t="s">
        <v>217</v>
      </c>
      <c r="J114" s="20">
        <v>907</v>
      </c>
      <c r="K114" s="20" t="s">
        <v>636</v>
      </c>
      <c r="L114" s="19"/>
      <c r="M114" s="25" t="str">
        <f t="shared" si="6"/>
        <v>||RAEM690625DW0|AAUR760114I12|5|30001000000500010890|Petición firmada por el Receptor||</v>
      </c>
      <c r="N114" s="30" t="str">
        <f t="shared" si="5"/>
        <v>||SPR190613I52|10-03-2026 18:00:00|30001000000500003456|Petición firmada por el Receptor||</v>
      </c>
      <c r="O114" s="31" t="str">
        <f t="shared" si="4"/>
        <v>||RAEM690625DW0|AAUR760114I12|5|30001000000500010890|Petición firmada por el Receptor||
||SPR190613I52|10-03-2026 18:00:00|30001000000500003456|Petición firmada por el Receptor||</v>
      </c>
    </row>
    <row r="115" spans="1:15" ht="29" x14ac:dyDescent="0.35">
      <c r="A115" s="28" t="s">
        <v>628</v>
      </c>
      <c r="B115" s="29" t="s">
        <v>627</v>
      </c>
      <c r="C115" s="20">
        <v>5</v>
      </c>
      <c r="D115" s="20" t="s">
        <v>342</v>
      </c>
      <c r="E115" s="16" t="s">
        <v>611</v>
      </c>
      <c r="F115" s="20" t="s">
        <v>607</v>
      </c>
      <c r="G115" s="26" t="s">
        <v>618</v>
      </c>
      <c r="H115" s="20">
        <v>3</v>
      </c>
      <c r="I115" s="20" t="s">
        <v>343</v>
      </c>
      <c r="J115" s="20" t="s">
        <v>344</v>
      </c>
      <c r="K115" s="20" t="s">
        <v>635</v>
      </c>
      <c r="L115" s="19"/>
      <c r="M115" s="25" t="str">
        <f t="shared" si="6"/>
        <v>||SAMC640104A8A|AAUR760114I12|5|30001000000500010890|Petición firmada por el Receptor||</v>
      </c>
      <c r="N115" s="30" t="str">
        <f t="shared" si="5"/>
        <v>||SPR190613I52|10-03-2026 18:00:00|30001000000500003456|Petición firmada por el Receptor||</v>
      </c>
      <c r="O115" s="31" t="str">
        <f t="shared" si="4"/>
        <v>||SAMC640104A8A|AAUR760114I12|5|30001000000500010890|Petición firmada por el Receptor||
||SPR190613I52|10-03-2026 18:00:00|30001000000500003456|Petición firmada por el Receptor||</v>
      </c>
    </row>
    <row r="116" spans="1:15" ht="29" x14ac:dyDescent="0.35">
      <c r="A116" s="28" t="s">
        <v>628</v>
      </c>
      <c r="B116" s="29" t="s">
        <v>627</v>
      </c>
      <c r="C116" s="33">
        <v>6</v>
      </c>
      <c r="D116" s="20" t="s">
        <v>347</v>
      </c>
      <c r="E116" s="16" t="s">
        <v>611</v>
      </c>
      <c r="F116" s="20">
        <v>605</v>
      </c>
      <c r="G116" s="26" t="s">
        <v>618</v>
      </c>
      <c r="H116" s="20" t="s">
        <v>298</v>
      </c>
      <c r="I116" s="20" t="s">
        <v>217</v>
      </c>
      <c r="J116" s="20">
        <v>434</v>
      </c>
      <c r="K116" s="20" t="s">
        <v>635</v>
      </c>
      <c r="L116" s="19"/>
      <c r="M116" s="25" t="str">
        <f t="shared" si="6"/>
        <v>||ROTC910125C1A|AAUR760114I12|6|30001000000500010890|Petición firmada por el Receptor||</v>
      </c>
      <c r="N116" s="30" t="str">
        <f t="shared" si="5"/>
        <v>||SPR190613I52|10-03-2026 18:00:00|30001000000500003456|Petición firmada por el Receptor||</v>
      </c>
      <c r="O116" s="31" t="str">
        <f t="shared" si="4"/>
        <v>||ROTC910125C1A|AAUR760114I12|6|30001000000500010890|Petición firmada por el Receptor||
||SPR190613I52|10-03-2026 18:00:00|30001000000500003456|Petición firmada por el Receptor||</v>
      </c>
    </row>
    <row r="117" spans="1:15" ht="29" x14ac:dyDescent="0.35">
      <c r="A117" s="28" t="s">
        <v>628</v>
      </c>
      <c r="B117" s="29" t="s">
        <v>627</v>
      </c>
      <c r="C117" s="33">
        <v>6</v>
      </c>
      <c r="D117" s="20" t="s">
        <v>487</v>
      </c>
      <c r="E117" s="16" t="s">
        <v>611</v>
      </c>
      <c r="F117" s="20">
        <v>607</v>
      </c>
      <c r="G117" s="26" t="s">
        <v>618</v>
      </c>
      <c r="H117" s="20" t="s">
        <v>298</v>
      </c>
      <c r="I117" s="20" t="s">
        <v>217</v>
      </c>
      <c r="J117" s="20">
        <v>2223</v>
      </c>
      <c r="K117" s="20" t="s">
        <v>636</v>
      </c>
      <c r="L117" s="19"/>
      <c r="M117" s="25" t="str">
        <f t="shared" si="6"/>
        <v>||AERA660921JA4|AAUR760114I12|6|30001000000500010890|Petición firmada por el Receptor||</v>
      </c>
      <c r="N117" s="30" t="str">
        <f t="shared" si="5"/>
        <v>||SPR190613I52|10-03-2026 18:00:00|30001000000500003456|Petición firmada por el Receptor||</v>
      </c>
      <c r="O117" s="31" t="str">
        <f t="shared" si="4"/>
        <v>||AERA660921JA4|AAUR760114I12|6|30001000000500010890|Petición firmada por el Receptor||
||SPR190613I52|10-03-2026 18:00:00|30001000000500003456|Petición firmada por el Receptor||</v>
      </c>
    </row>
    <row r="118" spans="1:15" ht="29" x14ac:dyDescent="0.35">
      <c r="A118" s="28" t="s">
        <v>628</v>
      </c>
      <c r="B118" s="29" t="s">
        <v>627</v>
      </c>
      <c r="C118" s="33">
        <v>6</v>
      </c>
      <c r="D118" s="20" t="s">
        <v>426</v>
      </c>
      <c r="E118" s="16" t="s">
        <v>611</v>
      </c>
      <c r="F118" s="20">
        <v>605</v>
      </c>
      <c r="G118" s="26" t="s">
        <v>618</v>
      </c>
      <c r="H118" s="20" t="s">
        <v>298</v>
      </c>
      <c r="I118" s="20" t="s">
        <v>217</v>
      </c>
      <c r="J118" s="20">
        <v>946</v>
      </c>
      <c r="K118" s="20" t="s">
        <v>635</v>
      </c>
      <c r="L118" s="19"/>
      <c r="M118" s="25" t="str">
        <f t="shared" si="6"/>
        <v>||BAOJ780206PQ0|AAUR760114I12|6|30001000000500010890|Petición firmada por el Receptor||</v>
      </c>
      <c r="N118" s="30" t="str">
        <f t="shared" si="5"/>
        <v>||SPR190613I52|10-03-2026 18:00:00|30001000000500003456|Petición firmada por el Receptor||</v>
      </c>
      <c r="O118" s="31" t="str">
        <f t="shared" si="4"/>
        <v>||BAOJ780206PQ0|AAUR760114I12|6|30001000000500010890|Petición firmada por el Receptor||
||SPR190613I52|10-03-2026 18:00:00|30001000000500003456|Petición firmada por el Receptor||</v>
      </c>
    </row>
    <row r="119" spans="1:15" ht="29" x14ac:dyDescent="0.35">
      <c r="A119" s="28" t="s">
        <v>628</v>
      </c>
      <c r="B119" s="29" t="s">
        <v>627</v>
      </c>
      <c r="C119" s="20">
        <v>6</v>
      </c>
      <c r="D119" s="20" t="s">
        <v>429</v>
      </c>
      <c r="E119" s="16" t="s">
        <v>611</v>
      </c>
      <c r="F119" s="20">
        <v>606</v>
      </c>
      <c r="G119" s="26" t="s">
        <v>618</v>
      </c>
      <c r="H119" s="20" t="s">
        <v>298</v>
      </c>
      <c r="I119" s="20" t="s">
        <v>217</v>
      </c>
      <c r="J119" s="20">
        <v>520</v>
      </c>
      <c r="K119" s="20" t="s">
        <v>635</v>
      </c>
      <c r="L119" s="19"/>
      <c r="M119" s="25" t="str">
        <f t="shared" si="6"/>
        <v>||GARJ860610L57|AAUR760114I12|6|30001000000500010890|Petición firmada por el Receptor||</v>
      </c>
      <c r="N119" s="30" t="str">
        <f t="shared" si="5"/>
        <v>||SPR190613I52|10-03-2026 18:00:00|30001000000500003456|Petición firmada por el Receptor||</v>
      </c>
      <c r="O119" s="31" t="str">
        <f t="shared" si="4"/>
        <v>||GARJ860610L57|AAUR760114I12|6|30001000000500010890|Petición firmada por el Receptor||
||SPR190613I52|10-03-2026 18:00:00|30001000000500003456|Petición firmada por el Receptor||</v>
      </c>
    </row>
    <row r="120" spans="1:15" ht="29" x14ac:dyDescent="0.35">
      <c r="A120" s="28" t="s">
        <v>628</v>
      </c>
      <c r="B120" s="29" t="s">
        <v>627</v>
      </c>
      <c r="C120" s="20">
        <v>6</v>
      </c>
      <c r="D120" s="20" t="s">
        <v>474</v>
      </c>
      <c r="E120" s="16" t="s">
        <v>611</v>
      </c>
      <c r="F120" s="20">
        <v>619</v>
      </c>
      <c r="G120" s="26" t="s">
        <v>618</v>
      </c>
      <c r="H120" s="20">
        <v>3</v>
      </c>
      <c r="I120" s="20" t="s">
        <v>217</v>
      </c>
      <c r="J120" s="20">
        <v>300</v>
      </c>
      <c r="K120" s="20" t="s">
        <v>636</v>
      </c>
      <c r="L120" s="19"/>
      <c r="M120" s="25" t="str">
        <f t="shared" si="6"/>
        <v>||RARR830920UJ1|AAUR760114I12|6|30001000000500010890|Petición firmada por el Receptor||</v>
      </c>
      <c r="N120" s="30" t="str">
        <f t="shared" si="5"/>
        <v>||SPR190613I52|10-03-2026 18:00:00|30001000000500003456|Petición firmada por el Receptor||</v>
      </c>
      <c r="O120" s="31" t="str">
        <f t="shared" ref="O120:O183" si="7">CONCATENATE(M120, CHAR(10), N120)</f>
        <v>||RARR830920UJ1|AAUR760114I12|6|30001000000500010890|Petición firmada por el Receptor||
||SPR190613I52|10-03-2026 18:00:00|30001000000500003456|Petición firmada por el Receptor||</v>
      </c>
    </row>
    <row r="121" spans="1:15" ht="29" x14ac:dyDescent="0.35">
      <c r="A121" s="28" t="s">
        <v>628</v>
      </c>
      <c r="B121" s="29" t="s">
        <v>627</v>
      </c>
      <c r="C121" s="20">
        <v>6</v>
      </c>
      <c r="D121" s="20" t="s">
        <v>351</v>
      </c>
      <c r="E121" s="16" t="s">
        <v>611</v>
      </c>
      <c r="F121" s="20">
        <v>606</v>
      </c>
      <c r="G121" s="26" t="s">
        <v>618</v>
      </c>
      <c r="H121" s="20" t="s">
        <v>349</v>
      </c>
      <c r="I121" s="20" t="s">
        <v>350</v>
      </c>
      <c r="J121" s="20">
        <v>803</v>
      </c>
      <c r="K121" s="20" t="s">
        <v>635</v>
      </c>
      <c r="L121" s="19"/>
      <c r="M121" s="25" t="str">
        <f t="shared" si="6"/>
        <v>||RAMR320727HE2|AAUR760114I12|6|30001000000500010890|Petición firmada por el Receptor||</v>
      </c>
      <c r="N121" s="30" t="str">
        <f t="shared" ref="N121:N184" si="8">CONCATENATE("||","SPR190613I52","|",A121,"|",B121,"|","Petición firmada por el Receptor","||")</f>
        <v>||SPR190613I52|10-03-2026 18:00:00|30001000000500003456|Petición firmada por el Receptor||</v>
      </c>
      <c r="O121" s="31" t="str">
        <f t="shared" si="7"/>
        <v>||RAMR320727HE2|AAUR760114I12|6|30001000000500010890|Petición firmada por el Receptor||
||SPR190613I52|10-03-2026 18:00:00|30001000000500003456|Petición firmada por el Receptor||</v>
      </c>
    </row>
    <row r="122" spans="1:15" ht="29" x14ac:dyDescent="0.35">
      <c r="A122" s="28" t="s">
        <v>628</v>
      </c>
      <c r="B122" s="29" t="s">
        <v>627</v>
      </c>
      <c r="C122" s="20">
        <v>6</v>
      </c>
      <c r="D122" s="20" t="s">
        <v>430</v>
      </c>
      <c r="E122" s="16" t="s">
        <v>611</v>
      </c>
      <c r="F122" s="20">
        <v>608</v>
      </c>
      <c r="G122" s="26" t="s">
        <v>618</v>
      </c>
      <c r="H122" s="20" t="s">
        <v>298</v>
      </c>
      <c r="I122" s="20" t="s">
        <v>217</v>
      </c>
      <c r="J122" s="20">
        <v>157</v>
      </c>
      <c r="K122" s="20" t="s">
        <v>635</v>
      </c>
      <c r="L122" s="19"/>
      <c r="M122" s="25" t="str">
        <f t="shared" si="6"/>
        <v>||DIXJ7410127G5|AAUR760114I12|6|30001000000500010890|Petición firmada por el Receptor||</v>
      </c>
      <c r="N122" s="30" t="str">
        <f t="shared" si="8"/>
        <v>||SPR190613I52|10-03-2026 18:00:00|30001000000500003456|Petición firmada por el Receptor||</v>
      </c>
      <c r="O122" s="31" t="str">
        <f t="shared" si="7"/>
        <v>||DIXJ7410127G5|AAUR760114I12|6|30001000000500010890|Petición firmada por el Receptor||
||SPR190613I52|10-03-2026 18:00:00|30001000000500003456|Petición firmada por el Receptor||</v>
      </c>
    </row>
    <row r="123" spans="1:15" ht="29" x14ac:dyDescent="0.35">
      <c r="A123" s="28" t="s">
        <v>628</v>
      </c>
      <c r="B123" s="29" t="s">
        <v>627</v>
      </c>
      <c r="C123" s="20">
        <v>6</v>
      </c>
      <c r="D123" s="20" t="s">
        <v>475</v>
      </c>
      <c r="E123" s="16" t="s">
        <v>611</v>
      </c>
      <c r="F123" s="20">
        <v>610</v>
      </c>
      <c r="G123" s="26" t="s">
        <v>618</v>
      </c>
      <c r="H123" s="20" t="s">
        <v>298</v>
      </c>
      <c r="I123" s="20" t="s">
        <v>217</v>
      </c>
      <c r="J123" s="20">
        <v>603</v>
      </c>
      <c r="K123" s="20" t="s">
        <v>636</v>
      </c>
      <c r="L123" s="19"/>
      <c r="M123" s="25" t="str">
        <f t="shared" si="6"/>
        <v>||CARS9311212S8|AAUR760114I12|6|30001000000500010890|Petición firmada por el Receptor||</v>
      </c>
      <c r="N123" s="30" t="str">
        <f t="shared" si="8"/>
        <v>||SPR190613I52|10-03-2026 18:00:00|30001000000500003456|Petición firmada por el Receptor||</v>
      </c>
      <c r="O123" s="31" t="str">
        <f t="shared" si="7"/>
        <v>||CARS9311212S8|AAUR760114I12|6|30001000000500010890|Petición firmada por el Receptor||
||SPR190613I52|10-03-2026 18:00:00|30001000000500003456|Petición firmada por el Receptor||</v>
      </c>
    </row>
    <row r="124" spans="1:15" ht="29" x14ac:dyDescent="0.35">
      <c r="A124" s="28" t="s">
        <v>628</v>
      </c>
      <c r="B124" s="29" t="s">
        <v>627</v>
      </c>
      <c r="C124" s="20">
        <v>6</v>
      </c>
      <c r="D124" s="20" t="s">
        <v>360</v>
      </c>
      <c r="E124" s="16" t="s">
        <v>611</v>
      </c>
      <c r="F124" s="20">
        <v>608</v>
      </c>
      <c r="G124" s="26" t="s">
        <v>618</v>
      </c>
      <c r="H124" s="21">
        <v>735738</v>
      </c>
      <c r="I124" s="20" t="s">
        <v>361</v>
      </c>
      <c r="J124" s="20">
        <v>595</v>
      </c>
      <c r="K124" s="20" t="s">
        <v>635</v>
      </c>
      <c r="L124" s="19"/>
      <c r="M124" s="25" t="str">
        <f t="shared" si="6"/>
        <v>||EOMJ840701VA8|AAUR760114I12|6|30001000000500010890|Petición firmada por el Receptor||</v>
      </c>
      <c r="N124" s="30" t="str">
        <f t="shared" si="8"/>
        <v>||SPR190613I52|10-03-2026 18:00:00|30001000000500003456|Petición firmada por el Receptor||</v>
      </c>
      <c r="O124" s="31" t="str">
        <f t="shared" si="7"/>
        <v>||EOMJ840701VA8|AAUR760114I12|6|30001000000500010890|Petición firmada por el Receptor||
||SPR190613I52|10-03-2026 18:00:00|30001000000500003456|Petición firmada por el Receptor||</v>
      </c>
    </row>
    <row r="125" spans="1:15" ht="29" x14ac:dyDescent="0.35">
      <c r="A125" s="28" t="s">
        <v>628</v>
      </c>
      <c r="B125" s="29" t="s">
        <v>627</v>
      </c>
      <c r="C125" s="20">
        <v>6</v>
      </c>
      <c r="D125" s="20" t="s">
        <v>431</v>
      </c>
      <c r="E125" s="16" t="s">
        <v>611</v>
      </c>
      <c r="F125" s="20">
        <v>611</v>
      </c>
      <c r="G125" s="26" t="s">
        <v>618</v>
      </c>
      <c r="H125" s="20" t="s">
        <v>298</v>
      </c>
      <c r="I125" s="20" t="s">
        <v>217</v>
      </c>
      <c r="J125" s="20">
        <v>229</v>
      </c>
      <c r="K125" s="20" t="s">
        <v>635</v>
      </c>
      <c r="L125" s="19"/>
      <c r="M125" s="25" t="str">
        <f t="shared" si="6"/>
        <v>||BAOJ880708DJ8|AAUR760114I12|6|30001000000500010890|Petición firmada por el Receptor||</v>
      </c>
      <c r="N125" s="30" t="str">
        <f t="shared" si="8"/>
        <v>||SPR190613I52|10-03-2026 18:00:00|30001000000500003456|Petición firmada por el Receptor||</v>
      </c>
      <c r="O125" s="31" t="str">
        <f t="shared" si="7"/>
        <v>||BAOJ880708DJ8|AAUR760114I12|6|30001000000500010890|Petición firmada por el Receptor||
||SPR190613I52|10-03-2026 18:00:00|30001000000500003456|Petición firmada por el Receptor||</v>
      </c>
    </row>
    <row r="126" spans="1:15" ht="29" x14ac:dyDescent="0.35">
      <c r="A126" s="28" t="s">
        <v>628</v>
      </c>
      <c r="B126" s="29" t="s">
        <v>627</v>
      </c>
      <c r="C126" s="20">
        <v>6</v>
      </c>
      <c r="D126" s="20" t="s">
        <v>476</v>
      </c>
      <c r="E126" s="16" t="s">
        <v>611</v>
      </c>
      <c r="F126" s="20">
        <v>607</v>
      </c>
      <c r="G126" s="26" t="s">
        <v>618</v>
      </c>
      <c r="H126" s="20" t="s">
        <v>298</v>
      </c>
      <c r="I126" s="20" t="s">
        <v>333</v>
      </c>
      <c r="J126" s="20" t="s">
        <v>298</v>
      </c>
      <c r="K126" s="20" t="s">
        <v>636</v>
      </c>
      <c r="L126" s="19"/>
      <c r="M126" s="25" t="str">
        <f t="shared" si="6"/>
        <v>||ROCH511116LI6|AAUR760114I12|6|30001000000500010890|Petición firmada por el Receptor||</v>
      </c>
      <c r="N126" s="30" t="str">
        <f t="shared" si="8"/>
        <v>||SPR190613I52|10-03-2026 18:00:00|30001000000500003456|Petición firmada por el Receptor||</v>
      </c>
      <c r="O126" s="31" t="str">
        <f t="shared" si="7"/>
        <v>||ROCH511116LI6|AAUR760114I12|6|30001000000500010890|Petición firmada por el Receptor||
||SPR190613I52|10-03-2026 18:00:00|30001000000500003456|Petición firmada por el Receptor||</v>
      </c>
    </row>
    <row r="127" spans="1:15" ht="29" x14ac:dyDescent="0.35">
      <c r="A127" s="28" t="s">
        <v>628</v>
      </c>
      <c r="B127" s="29" t="s">
        <v>627</v>
      </c>
      <c r="C127" s="20">
        <v>6</v>
      </c>
      <c r="D127" s="20" t="s">
        <v>362</v>
      </c>
      <c r="E127" s="16" t="s">
        <v>611</v>
      </c>
      <c r="F127" s="20">
        <v>611</v>
      </c>
      <c r="G127" s="26" t="s">
        <v>618</v>
      </c>
      <c r="H127" s="20" t="s">
        <v>298</v>
      </c>
      <c r="I127" s="20">
        <v>300155</v>
      </c>
      <c r="J127" s="20">
        <v>506</v>
      </c>
      <c r="K127" s="20" t="s">
        <v>635</v>
      </c>
      <c r="L127" s="19"/>
      <c r="M127" s="25" t="str">
        <f t="shared" si="6"/>
        <v>||GATJ8808047D5|AAUR760114I12|6|30001000000500010890|Petición firmada por el Receptor||</v>
      </c>
      <c r="N127" s="30" t="str">
        <f t="shared" si="8"/>
        <v>||SPR190613I52|10-03-2026 18:00:00|30001000000500003456|Petición firmada por el Receptor||</v>
      </c>
      <c r="O127" s="31" t="str">
        <f t="shared" si="7"/>
        <v>||GATJ8808047D5|AAUR760114I12|6|30001000000500010890|Petición firmada por el Receptor||
||SPR190613I52|10-03-2026 18:00:00|30001000000500003456|Petición firmada por el Receptor||</v>
      </c>
    </row>
    <row r="128" spans="1:15" ht="29" x14ac:dyDescent="0.35">
      <c r="A128" s="28" t="s">
        <v>628</v>
      </c>
      <c r="B128" s="29" t="s">
        <v>627</v>
      </c>
      <c r="C128" s="20">
        <v>6</v>
      </c>
      <c r="D128" s="20" t="s">
        <v>477</v>
      </c>
      <c r="E128" s="16" t="s">
        <v>611</v>
      </c>
      <c r="F128" s="20">
        <v>612</v>
      </c>
      <c r="G128" s="26" t="s">
        <v>618</v>
      </c>
      <c r="H128" s="20" t="s">
        <v>410</v>
      </c>
      <c r="I128" s="20" t="s">
        <v>411</v>
      </c>
      <c r="J128" s="20">
        <v>568</v>
      </c>
      <c r="K128" s="20" t="s">
        <v>635</v>
      </c>
      <c r="L128" s="19"/>
      <c r="M128" s="25" t="str">
        <f t="shared" si="6"/>
        <v>||REFJ860507MT8|AAUR760114I12|6|30001000000500010890|Petición firmada por el Receptor||</v>
      </c>
      <c r="N128" s="30" t="str">
        <f t="shared" si="8"/>
        <v>||SPR190613I52|10-03-2026 18:00:00|30001000000500003456|Petición firmada por el Receptor||</v>
      </c>
      <c r="O128" s="31" t="str">
        <f t="shared" si="7"/>
        <v>||REFJ860507MT8|AAUR760114I12|6|30001000000500010890|Petición firmada por el Receptor||
||SPR190613I52|10-03-2026 18:00:00|30001000000500003456|Petición firmada por el Receptor||</v>
      </c>
    </row>
    <row r="129" spans="1:15" ht="29" x14ac:dyDescent="0.35">
      <c r="A129" s="28" t="s">
        <v>628</v>
      </c>
      <c r="B129" s="29" t="s">
        <v>627</v>
      </c>
      <c r="C129" s="20">
        <v>6</v>
      </c>
      <c r="D129" s="20" t="s">
        <v>478</v>
      </c>
      <c r="E129" s="16" t="s">
        <v>611</v>
      </c>
      <c r="F129" s="20">
        <v>607</v>
      </c>
      <c r="G129" s="26" t="s">
        <v>618</v>
      </c>
      <c r="H129" s="20">
        <v>3</v>
      </c>
      <c r="I129" s="20" t="s">
        <v>217</v>
      </c>
      <c r="J129" s="20">
        <v>803</v>
      </c>
      <c r="K129" s="20" t="s">
        <v>636</v>
      </c>
      <c r="L129" s="19"/>
      <c r="M129" s="25" t="str">
        <f t="shared" si="6"/>
        <v>||RAFM720405F67|AAUR760114I12|6|30001000000500010890|Petición firmada por el Receptor||</v>
      </c>
      <c r="N129" s="30" t="str">
        <f t="shared" si="8"/>
        <v>||SPR190613I52|10-03-2026 18:00:00|30001000000500003456|Petición firmada por el Receptor||</v>
      </c>
      <c r="O129" s="31" t="str">
        <f t="shared" si="7"/>
        <v>||RAFM720405F67|AAUR760114I12|6|30001000000500010890|Petición firmada por el Receptor||
||SPR190613I52|10-03-2026 18:00:00|30001000000500003456|Petición firmada por el Receptor||</v>
      </c>
    </row>
    <row r="130" spans="1:15" ht="29" x14ac:dyDescent="0.35">
      <c r="A130" s="28" t="s">
        <v>628</v>
      </c>
      <c r="B130" s="29" t="s">
        <v>627</v>
      </c>
      <c r="C130" s="20">
        <v>6</v>
      </c>
      <c r="D130" s="20" t="s">
        <v>359</v>
      </c>
      <c r="E130" s="16" t="s">
        <v>524</v>
      </c>
      <c r="F130" s="20">
        <v>612</v>
      </c>
      <c r="G130" s="26" t="s">
        <v>619</v>
      </c>
      <c r="H130" s="20" t="s">
        <v>357</v>
      </c>
      <c r="I130" s="20" t="s">
        <v>358</v>
      </c>
      <c r="J130" s="20">
        <v>705</v>
      </c>
      <c r="K130" s="20" t="s">
        <v>635</v>
      </c>
      <c r="L130" s="19"/>
      <c r="M130" s="25" t="str">
        <f t="shared" si="6"/>
        <v>||LESJ6004207K1|AAML920925E50|6|30001000000500010891|Petición firmada por el Receptor||</v>
      </c>
      <c r="N130" s="30" t="str">
        <f t="shared" si="8"/>
        <v>||SPR190613I52|10-03-2026 18:00:00|30001000000500003456|Petición firmada por el Receptor||</v>
      </c>
      <c r="O130" s="31" t="str">
        <f t="shared" si="7"/>
        <v>||LESJ6004207K1|AAML920925E50|6|30001000000500010891|Petición firmada por el Receptor||
||SPR190613I52|10-03-2026 18:00:00|30001000000500003456|Petición firmada por el Receptor||</v>
      </c>
    </row>
    <row r="131" spans="1:15" ht="29" x14ac:dyDescent="0.35">
      <c r="A131" s="28" t="s">
        <v>628</v>
      </c>
      <c r="B131" s="29" t="s">
        <v>627</v>
      </c>
      <c r="C131" s="20">
        <v>6</v>
      </c>
      <c r="D131" s="20" t="s">
        <v>432</v>
      </c>
      <c r="E131" s="16" t="s">
        <v>524</v>
      </c>
      <c r="F131" s="20">
        <v>614</v>
      </c>
      <c r="G131" s="26" t="s">
        <v>619</v>
      </c>
      <c r="H131" s="20" t="s">
        <v>298</v>
      </c>
      <c r="I131" s="20" t="s">
        <v>217</v>
      </c>
      <c r="J131" s="20">
        <v>834</v>
      </c>
      <c r="K131" s="20" t="s">
        <v>635</v>
      </c>
      <c r="L131" s="19"/>
      <c r="M131" s="25" t="str">
        <f t="shared" si="6"/>
        <v>||REDJ840924TI2|AAML920925E50|6|30001000000500010891|Petición firmada por el Receptor||</v>
      </c>
      <c r="N131" s="30" t="str">
        <f t="shared" si="8"/>
        <v>||SPR190613I52|10-03-2026 18:00:00|30001000000500003456|Petición firmada por el Receptor||</v>
      </c>
      <c r="O131" s="31" t="str">
        <f t="shared" si="7"/>
        <v>||REDJ840924TI2|AAML920925E50|6|30001000000500010891|Petición firmada por el Receptor||
||SPR190613I52|10-03-2026 18:00:00|30001000000500003456|Petición firmada por el Receptor||</v>
      </c>
    </row>
    <row r="132" spans="1:15" ht="29" x14ac:dyDescent="0.35">
      <c r="A132" s="28" t="s">
        <v>628</v>
      </c>
      <c r="B132" s="29" t="s">
        <v>627</v>
      </c>
      <c r="C132" s="20">
        <v>6</v>
      </c>
      <c r="D132" s="20" t="s">
        <v>479</v>
      </c>
      <c r="E132" s="16" t="s">
        <v>524</v>
      </c>
      <c r="F132" s="20">
        <v>625</v>
      </c>
      <c r="G132" s="26" t="s">
        <v>619</v>
      </c>
      <c r="H132" s="20" t="s">
        <v>480</v>
      </c>
      <c r="I132" s="20" t="s">
        <v>481</v>
      </c>
      <c r="J132" s="20">
        <v>1084</v>
      </c>
      <c r="K132" s="20" t="s">
        <v>636</v>
      </c>
      <c r="L132" s="19"/>
      <c r="M132" s="25" t="str">
        <f t="shared" si="6"/>
        <v>||RAAJ5106192M4|AAML920925E50|6|30001000000500010891|Petición firmada por el Receptor||</v>
      </c>
      <c r="N132" s="30" t="str">
        <f t="shared" si="8"/>
        <v>||SPR190613I52|10-03-2026 18:00:00|30001000000500003456|Petición firmada por el Receptor||</v>
      </c>
      <c r="O132" s="31" t="str">
        <f t="shared" si="7"/>
        <v>||RAAJ5106192M4|AAML920925E50|6|30001000000500010891|Petición firmada por el Receptor||
||SPR190613I52|10-03-2026 18:00:00|30001000000500003456|Petición firmada por el Receptor||</v>
      </c>
    </row>
    <row r="133" spans="1:15" ht="29" x14ac:dyDescent="0.35">
      <c r="A133" s="28" t="s">
        <v>628</v>
      </c>
      <c r="B133" s="29" t="s">
        <v>627</v>
      </c>
      <c r="C133" s="20">
        <v>6</v>
      </c>
      <c r="D133" s="20" t="s">
        <v>363</v>
      </c>
      <c r="E133" s="16" t="s">
        <v>524</v>
      </c>
      <c r="F133" s="20">
        <v>614</v>
      </c>
      <c r="G133" s="26" t="s">
        <v>619</v>
      </c>
      <c r="H133" s="20" t="s">
        <v>298</v>
      </c>
      <c r="I133" s="20" t="s">
        <v>217</v>
      </c>
      <c r="J133" s="20">
        <v>907</v>
      </c>
      <c r="K133" s="20" t="s">
        <v>635</v>
      </c>
      <c r="L133" s="19"/>
      <c r="M133" s="25" t="str">
        <f t="shared" si="6"/>
        <v>||COTB930709IT6|AAML920925E50|6|30001000000500010891|Petición firmada por el Receptor||</v>
      </c>
      <c r="N133" s="30" t="str">
        <f t="shared" si="8"/>
        <v>||SPR190613I52|10-03-2026 18:00:00|30001000000500003456|Petición firmada por el Receptor||</v>
      </c>
      <c r="O133" s="31" t="str">
        <f t="shared" si="7"/>
        <v>||COTB930709IT6|AAML920925E50|6|30001000000500010891|Petición firmada por el Receptor||
||SPR190613I52|10-03-2026 18:00:00|30001000000500003456|Petición firmada por el Receptor||</v>
      </c>
    </row>
    <row r="134" spans="1:15" ht="29" x14ac:dyDescent="0.35">
      <c r="A134" s="28" t="s">
        <v>628</v>
      </c>
      <c r="B134" s="29" t="s">
        <v>627</v>
      </c>
      <c r="C134" s="20">
        <v>6</v>
      </c>
      <c r="D134" s="20" t="s">
        <v>433</v>
      </c>
      <c r="E134" s="16" t="s">
        <v>524</v>
      </c>
      <c r="F134" s="20">
        <v>615</v>
      </c>
      <c r="G134" s="26" t="s">
        <v>619</v>
      </c>
      <c r="H134" s="20" t="s">
        <v>298</v>
      </c>
      <c r="I134" s="20" t="s">
        <v>217</v>
      </c>
      <c r="J134" s="20">
        <v>2223</v>
      </c>
      <c r="K134" s="20" t="s">
        <v>635</v>
      </c>
      <c r="L134" s="19"/>
      <c r="M134" s="25" t="str">
        <f t="shared" si="6"/>
        <v>||ZEDJ6802123F4|AAML920925E50|6|30001000000500010891|Petición firmada por el Receptor||</v>
      </c>
      <c r="N134" s="30" t="str">
        <f t="shared" si="8"/>
        <v>||SPR190613I52|10-03-2026 18:00:00|30001000000500003456|Petición firmada por el Receptor||</v>
      </c>
      <c r="O134" s="31" t="str">
        <f t="shared" si="7"/>
        <v>||ZEDJ6802123F4|AAML920925E50|6|30001000000500010891|Petición firmada por el Receptor||
||SPR190613I52|10-03-2026 18:00:00|30001000000500003456|Petición firmada por el Receptor||</v>
      </c>
    </row>
    <row r="135" spans="1:15" ht="29" x14ac:dyDescent="0.35">
      <c r="A135" s="28" t="s">
        <v>628</v>
      </c>
      <c r="B135" s="29" t="s">
        <v>627</v>
      </c>
      <c r="C135" s="20">
        <v>6</v>
      </c>
      <c r="D135" s="20" t="s">
        <v>482</v>
      </c>
      <c r="E135" s="16" t="s">
        <v>524</v>
      </c>
      <c r="F135" s="20">
        <v>619</v>
      </c>
      <c r="G135" s="26" t="s">
        <v>619</v>
      </c>
      <c r="H135" s="20" t="s">
        <v>298</v>
      </c>
      <c r="I135" s="20" t="s">
        <v>217</v>
      </c>
      <c r="J135" s="20">
        <v>157</v>
      </c>
      <c r="K135" s="20" t="s">
        <v>636</v>
      </c>
      <c r="L135" s="19"/>
      <c r="M135" s="25" t="str">
        <f t="shared" si="6"/>
        <v>||AELC900321MB8|AAML920925E50|6|30001000000500010891|Petición firmada por el Receptor||</v>
      </c>
      <c r="N135" s="30" t="str">
        <f t="shared" si="8"/>
        <v>||SPR190613I52|10-03-2026 18:00:00|30001000000500003456|Petición firmada por el Receptor||</v>
      </c>
      <c r="O135" s="31" t="str">
        <f t="shared" si="7"/>
        <v>||AELC900321MB8|AAML920925E50|6|30001000000500010891|Petición firmada por el Receptor||
||SPR190613I52|10-03-2026 18:00:00|30001000000500003456|Petición firmada por el Receptor||</v>
      </c>
    </row>
    <row r="136" spans="1:15" ht="29" x14ac:dyDescent="0.35">
      <c r="A136" s="28" t="s">
        <v>628</v>
      </c>
      <c r="B136" s="29" t="s">
        <v>627</v>
      </c>
      <c r="C136" s="20">
        <v>6</v>
      </c>
      <c r="D136" s="20" t="s">
        <v>364</v>
      </c>
      <c r="E136" s="16" t="s">
        <v>524</v>
      </c>
      <c r="F136" s="20">
        <v>615</v>
      </c>
      <c r="G136" s="26" t="s">
        <v>619</v>
      </c>
      <c r="H136" s="20" t="s">
        <v>298</v>
      </c>
      <c r="I136" s="20" t="s">
        <v>217</v>
      </c>
      <c r="J136" s="20">
        <v>898</v>
      </c>
      <c r="K136" s="20" t="s">
        <v>635</v>
      </c>
      <c r="L136" s="19"/>
      <c r="M136" s="25" t="str">
        <f t="shared" si="6"/>
        <v>||FUMM840229HK5|AAML920925E50|6|30001000000500010891|Petición firmada por el Receptor||</v>
      </c>
      <c r="N136" s="30" t="str">
        <f t="shared" si="8"/>
        <v>||SPR190613I52|10-03-2026 18:00:00|30001000000500003456|Petición firmada por el Receptor||</v>
      </c>
      <c r="O136" s="31" t="str">
        <f t="shared" si="7"/>
        <v>||FUMM840229HK5|AAML920925E50|6|30001000000500010891|Petición firmada por el Receptor||
||SPR190613I52|10-03-2026 18:00:00|30001000000500003456|Petición firmada por el Receptor||</v>
      </c>
    </row>
    <row r="137" spans="1:15" ht="29" x14ac:dyDescent="0.35">
      <c r="A137" s="28" t="s">
        <v>628</v>
      </c>
      <c r="B137" s="29" t="s">
        <v>627</v>
      </c>
      <c r="C137" s="20">
        <v>6</v>
      </c>
      <c r="D137" s="20" t="s">
        <v>434</v>
      </c>
      <c r="E137" s="16" t="s">
        <v>524</v>
      </c>
      <c r="F137" s="20">
        <v>616</v>
      </c>
      <c r="G137" s="26" t="s">
        <v>619</v>
      </c>
      <c r="H137" s="20" t="s">
        <v>298</v>
      </c>
      <c r="I137" s="20" t="s">
        <v>217</v>
      </c>
      <c r="J137" s="20">
        <v>907</v>
      </c>
      <c r="K137" s="20" t="s">
        <v>635</v>
      </c>
      <c r="L137" s="19"/>
      <c r="M137" s="25" t="str">
        <f t="shared" si="6"/>
        <v>||PAGJ7608292Y6|AAML920925E50|6|30001000000500010891|Petición firmada por el Receptor||</v>
      </c>
      <c r="N137" s="30" t="str">
        <f t="shared" si="8"/>
        <v>||SPR190613I52|10-03-2026 18:00:00|30001000000500003456|Petición firmada por el Receptor||</v>
      </c>
      <c r="O137" s="31" t="str">
        <f t="shared" si="7"/>
        <v>||PAGJ7608292Y6|AAML920925E50|6|30001000000500010891|Petición firmada por el Receptor||
||SPR190613I52|10-03-2026 18:00:00|30001000000500003456|Petición firmada por el Receptor||</v>
      </c>
    </row>
    <row r="138" spans="1:15" ht="29" x14ac:dyDescent="0.35">
      <c r="A138" s="28" t="s">
        <v>628</v>
      </c>
      <c r="B138" s="29" t="s">
        <v>627</v>
      </c>
      <c r="C138" s="20">
        <v>6</v>
      </c>
      <c r="D138" s="20" t="s">
        <v>483</v>
      </c>
      <c r="E138" s="16" t="s">
        <v>524</v>
      </c>
      <c r="F138" s="20">
        <v>607</v>
      </c>
      <c r="G138" s="26" t="s">
        <v>619</v>
      </c>
      <c r="H138" s="20">
        <v>3</v>
      </c>
      <c r="I138" s="20" t="s">
        <v>217</v>
      </c>
      <c r="J138" s="20">
        <v>273</v>
      </c>
      <c r="K138" s="20" t="s">
        <v>636</v>
      </c>
      <c r="L138" s="19"/>
      <c r="M138" s="25" t="str">
        <f t="shared" si="6"/>
        <v>||TUAR6401301G4|AAML920925E50|6|30001000000500010891|Petición firmada por el Receptor||</v>
      </c>
      <c r="N138" s="30" t="str">
        <f t="shared" si="8"/>
        <v>||SPR190613I52|10-03-2026 18:00:00|30001000000500003456|Petición firmada por el Receptor||</v>
      </c>
      <c r="O138" s="31" t="str">
        <f t="shared" si="7"/>
        <v>||TUAR6401301G4|AAML920925E50|6|30001000000500010891|Petición firmada por el Receptor||
||SPR190613I52|10-03-2026 18:00:00|30001000000500003456|Petición firmada por el Receptor||</v>
      </c>
    </row>
    <row r="139" spans="1:15" ht="29" x14ac:dyDescent="0.35">
      <c r="A139" s="28" t="s">
        <v>628</v>
      </c>
      <c r="B139" s="29" t="s">
        <v>627</v>
      </c>
      <c r="C139" s="20">
        <v>6</v>
      </c>
      <c r="D139" s="20" t="s">
        <v>345</v>
      </c>
      <c r="E139" s="16" t="s">
        <v>524</v>
      </c>
      <c r="F139" s="20">
        <v>616</v>
      </c>
      <c r="G139" s="26" t="s">
        <v>619</v>
      </c>
      <c r="H139" s="20" t="s">
        <v>298</v>
      </c>
      <c r="I139" s="20" t="s">
        <v>346</v>
      </c>
      <c r="J139" s="20" t="s">
        <v>298</v>
      </c>
      <c r="K139" s="20" t="s">
        <v>635</v>
      </c>
      <c r="L139" s="19"/>
      <c r="M139" s="25" t="str">
        <f t="shared" si="6"/>
        <v>||MEAG4509116E4|AAML920925E50|6|30001000000500010891|Petición firmada por el Receptor||</v>
      </c>
      <c r="N139" s="30" t="str">
        <f t="shared" si="8"/>
        <v>||SPR190613I52|10-03-2026 18:00:00|30001000000500003456|Petición firmada por el Receptor||</v>
      </c>
      <c r="O139" s="31" t="str">
        <f t="shared" si="7"/>
        <v>||MEAG4509116E4|AAML920925E50|6|30001000000500010891|Petición firmada por el Receptor||
||SPR190613I52|10-03-2026 18:00:00|30001000000500003456|Petición firmada por el Receptor||</v>
      </c>
    </row>
    <row r="140" spans="1:15" ht="29" x14ac:dyDescent="0.35">
      <c r="A140" s="28" t="s">
        <v>628</v>
      </c>
      <c r="B140" s="29" t="s">
        <v>627</v>
      </c>
      <c r="C140" s="20">
        <v>6</v>
      </c>
      <c r="D140" s="20" t="s">
        <v>427</v>
      </c>
      <c r="E140" s="16" t="s">
        <v>524</v>
      </c>
      <c r="F140" s="20">
        <v>621</v>
      </c>
      <c r="G140" s="26" t="s">
        <v>619</v>
      </c>
      <c r="H140" s="20" t="s">
        <v>167</v>
      </c>
      <c r="I140" s="20" t="s">
        <v>428</v>
      </c>
      <c r="J140" s="20">
        <v>609</v>
      </c>
      <c r="K140" s="20" t="s">
        <v>635</v>
      </c>
      <c r="L140" s="19"/>
      <c r="M140" s="25" t="str">
        <f t="shared" si="6"/>
        <v>||RIRJ9106098L4|AAML920925E50|6|30001000000500010891|Petición firmada por el Receptor||</v>
      </c>
      <c r="N140" s="30" t="str">
        <f t="shared" si="8"/>
        <v>||SPR190613I52|10-03-2026 18:00:00|30001000000500003456|Petición firmada por el Receptor||</v>
      </c>
      <c r="O140" s="31" t="str">
        <f t="shared" si="7"/>
        <v>||RIRJ9106098L4|AAML920925E50|6|30001000000500010891|Petición firmada por el Receptor||
||SPR190613I52|10-03-2026 18:00:00|30001000000500003456|Petición firmada por el Receptor||</v>
      </c>
    </row>
    <row r="141" spans="1:15" ht="29" x14ac:dyDescent="0.35">
      <c r="A141" s="28" t="s">
        <v>628</v>
      </c>
      <c r="B141" s="29" t="s">
        <v>627</v>
      </c>
      <c r="C141" s="20">
        <v>6</v>
      </c>
      <c r="D141" s="20" t="s">
        <v>484</v>
      </c>
      <c r="E141" s="16" t="s">
        <v>524</v>
      </c>
      <c r="F141" s="20">
        <v>619</v>
      </c>
      <c r="G141" s="26" t="s">
        <v>619</v>
      </c>
      <c r="H141" s="20" t="s">
        <v>298</v>
      </c>
      <c r="I141" s="20">
        <v>300155</v>
      </c>
      <c r="J141" s="20">
        <v>618</v>
      </c>
      <c r="K141" s="20" t="s">
        <v>636</v>
      </c>
      <c r="L141" s="19"/>
      <c r="M141" s="25" t="str">
        <f t="shared" ref="M141:M204" si="9">CONCATENATE("||",D141,"|",E141,"|",C141,"|",G141,"|","Petición firmada por el Receptor","||")</f>
        <v>||MORK930617MG9|AAML920925E50|6|30001000000500010891|Petición firmada por el Receptor||</v>
      </c>
      <c r="N141" s="30" t="str">
        <f t="shared" si="8"/>
        <v>||SPR190613I52|10-03-2026 18:00:00|30001000000500003456|Petición firmada por el Receptor||</v>
      </c>
      <c r="O141" s="31" t="str">
        <f t="shared" si="7"/>
        <v>||MORK930617MG9|AAML920925E50|6|30001000000500010891|Petición firmada por el Receptor||
||SPR190613I52|10-03-2026 18:00:00|30001000000500003456|Petición firmada por el Receptor||</v>
      </c>
    </row>
    <row r="142" spans="1:15" ht="43.5" x14ac:dyDescent="0.35">
      <c r="A142" s="28" t="s">
        <v>628</v>
      </c>
      <c r="B142" s="29" t="s">
        <v>627</v>
      </c>
      <c r="C142" s="20">
        <v>6</v>
      </c>
      <c r="D142" s="20" t="s">
        <v>354</v>
      </c>
      <c r="E142" s="16" t="s">
        <v>524</v>
      </c>
      <c r="F142" s="20">
        <v>621</v>
      </c>
      <c r="G142" s="26" t="s">
        <v>619</v>
      </c>
      <c r="H142" s="20">
        <v>735</v>
      </c>
      <c r="I142" s="20" t="s">
        <v>355</v>
      </c>
      <c r="J142" s="20">
        <v>664</v>
      </c>
      <c r="K142" s="20" t="s">
        <v>635</v>
      </c>
      <c r="L142" s="19"/>
      <c r="M142" s="25" t="str">
        <f t="shared" si="9"/>
        <v>||BAAL540713KP5|AAML920925E50|6|30001000000500010891|Petición firmada por el Receptor||</v>
      </c>
      <c r="N142" s="30" t="str">
        <f t="shared" si="8"/>
        <v>||SPR190613I52|10-03-2026 18:00:00|30001000000500003456|Petición firmada por el Receptor||</v>
      </c>
      <c r="O142" s="31" t="str">
        <f t="shared" si="7"/>
        <v>||BAAL540713KP5|AAML920925E50|6|30001000000500010891|Petición firmada por el Receptor||
||SPR190613I52|10-03-2026 18:00:00|30001000000500003456|Petición firmada por el Receptor||</v>
      </c>
    </row>
    <row r="143" spans="1:15" ht="29" x14ac:dyDescent="0.35">
      <c r="A143" s="28" t="s">
        <v>628</v>
      </c>
      <c r="B143" s="29" t="s">
        <v>627</v>
      </c>
      <c r="C143" s="20">
        <v>6</v>
      </c>
      <c r="D143" s="20" t="s">
        <v>435</v>
      </c>
      <c r="E143" s="16" t="s">
        <v>524</v>
      </c>
      <c r="F143" s="20">
        <v>626</v>
      </c>
      <c r="G143" s="26" t="s">
        <v>619</v>
      </c>
      <c r="H143" s="20" t="s">
        <v>298</v>
      </c>
      <c r="I143" s="20" t="s">
        <v>436</v>
      </c>
      <c r="J143" s="20">
        <v>50</v>
      </c>
      <c r="K143" s="20" t="s">
        <v>635</v>
      </c>
      <c r="L143" s="19"/>
      <c r="M143" s="25" t="str">
        <f t="shared" si="9"/>
        <v>||TEVJ881202PP4|AAML920925E50|6|30001000000500010891|Petición firmada por el Receptor||</v>
      </c>
      <c r="N143" s="30" t="str">
        <f t="shared" si="8"/>
        <v>||SPR190613I52|10-03-2026 18:00:00|30001000000500003456|Petición firmada por el Receptor||</v>
      </c>
      <c r="O143" s="31" t="str">
        <f t="shared" si="7"/>
        <v>||TEVJ881202PP4|AAML920925E50|6|30001000000500010891|Petición firmada por el Receptor||
||SPR190613I52|10-03-2026 18:00:00|30001000000500003456|Petición firmada por el Receptor||</v>
      </c>
    </row>
    <row r="144" spans="1:15" ht="29" x14ac:dyDescent="0.35">
      <c r="A144" s="28" t="s">
        <v>628</v>
      </c>
      <c r="B144" s="29" t="s">
        <v>627</v>
      </c>
      <c r="C144" s="20">
        <v>6</v>
      </c>
      <c r="D144" s="20" t="s">
        <v>485</v>
      </c>
      <c r="E144" s="16" t="s">
        <v>524</v>
      </c>
      <c r="F144" s="20">
        <v>625</v>
      </c>
      <c r="G144" s="26" t="s">
        <v>619</v>
      </c>
      <c r="H144" s="20" t="s">
        <v>298</v>
      </c>
      <c r="I144" s="20" t="s">
        <v>217</v>
      </c>
      <c r="J144" s="20">
        <v>1115</v>
      </c>
      <c r="K144" s="20" t="s">
        <v>636</v>
      </c>
      <c r="L144" s="19"/>
      <c r="M144" s="25" t="str">
        <f t="shared" si="9"/>
        <v>||RAHA820325ER7|AAML920925E50|6|30001000000500010891|Petición firmada por el Receptor||</v>
      </c>
      <c r="N144" s="30" t="str">
        <f t="shared" si="8"/>
        <v>||SPR190613I52|10-03-2026 18:00:00|30001000000500003456|Petición firmada por el Receptor||</v>
      </c>
      <c r="O144" s="31" t="str">
        <f t="shared" si="7"/>
        <v>||RAHA820325ER7|AAML920925E50|6|30001000000500010891|Petición firmada por el Receptor||
||SPR190613I52|10-03-2026 18:00:00|30001000000500003456|Petición firmada por el Receptor||</v>
      </c>
    </row>
    <row r="145" spans="1:15" ht="29" x14ac:dyDescent="0.35">
      <c r="A145" s="28" t="s">
        <v>628</v>
      </c>
      <c r="B145" s="29" t="s">
        <v>627</v>
      </c>
      <c r="C145" s="20">
        <v>6</v>
      </c>
      <c r="D145" s="20" t="s">
        <v>365</v>
      </c>
      <c r="E145" s="16" t="s">
        <v>524</v>
      </c>
      <c r="F145" s="20">
        <v>626</v>
      </c>
      <c r="G145" s="26" t="s">
        <v>619</v>
      </c>
      <c r="H145" s="20">
        <v>3</v>
      </c>
      <c r="I145" s="20" t="s">
        <v>217</v>
      </c>
      <c r="J145" s="20">
        <v>2223</v>
      </c>
      <c r="K145" s="20" t="s">
        <v>635</v>
      </c>
      <c r="L145" s="19"/>
      <c r="M145" s="25" t="str">
        <f t="shared" si="9"/>
        <v>||LASC610522KBA|AAML920925E50|6|30001000000500010891|Petición firmada por el Receptor||</v>
      </c>
      <c r="N145" s="30" t="str">
        <f t="shared" si="8"/>
        <v>||SPR190613I52|10-03-2026 18:00:00|30001000000500003456|Petición firmada por el Receptor||</v>
      </c>
      <c r="O145" s="31" t="str">
        <f t="shared" si="7"/>
        <v>||LASC610522KBA|AAML920925E50|6|30001000000500010891|Petición firmada por el Receptor||
||SPR190613I52|10-03-2026 18:00:00|30001000000500003456|Petición firmada por el Receptor||</v>
      </c>
    </row>
    <row r="146" spans="1:15" ht="29" x14ac:dyDescent="0.35">
      <c r="A146" s="28" t="s">
        <v>628</v>
      </c>
      <c r="B146" s="29" t="s">
        <v>627</v>
      </c>
      <c r="C146" s="33">
        <v>7</v>
      </c>
      <c r="D146" s="20" t="s">
        <v>348</v>
      </c>
      <c r="E146" s="16" t="s">
        <v>524</v>
      </c>
      <c r="F146" s="20">
        <v>605</v>
      </c>
      <c r="G146" s="26" t="s">
        <v>619</v>
      </c>
      <c r="H146" s="20" t="s">
        <v>298</v>
      </c>
      <c r="I146" s="20" t="s">
        <v>217</v>
      </c>
      <c r="J146" s="20">
        <v>1123</v>
      </c>
      <c r="K146" s="20" t="s">
        <v>635</v>
      </c>
      <c r="L146" s="19"/>
      <c r="M146" s="25" t="str">
        <f t="shared" si="9"/>
        <v>||POVA521205734|AAML920925E50|7|30001000000500010891|Petición firmada por el Receptor||</v>
      </c>
      <c r="N146" s="30" t="str">
        <f t="shared" si="8"/>
        <v>||SPR190613I52|10-03-2026 18:00:00|30001000000500003456|Petición firmada por el Receptor||</v>
      </c>
      <c r="O146" s="31" t="str">
        <f t="shared" si="7"/>
        <v>||POVA521205734|AAML920925E50|7|30001000000500010891|Petición firmada por el Receptor||
||SPR190613I52|10-03-2026 18:00:00|30001000000500003456|Petición firmada por el Receptor||</v>
      </c>
    </row>
    <row r="147" spans="1:15" ht="29" x14ac:dyDescent="0.35">
      <c r="A147" s="28" t="s">
        <v>628</v>
      </c>
      <c r="B147" s="29" t="s">
        <v>627</v>
      </c>
      <c r="C147" s="33">
        <v>7</v>
      </c>
      <c r="D147" s="20" t="s">
        <v>486</v>
      </c>
      <c r="E147" s="16" t="s">
        <v>524</v>
      </c>
      <c r="F147" s="20">
        <v>607</v>
      </c>
      <c r="G147" s="26" t="s">
        <v>619</v>
      </c>
      <c r="H147" s="20" t="s">
        <v>298</v>
      </c>
      <c r="I147" s="20" t="s">
        <v>217</v>
      </c>
      <c r="J147" s="20">
        <v>2223</v>
      </c>
      <c r="K147" s="20" t="s">
        <v>636</v>
      </c>
      <c r="L147" s="19"/>
      <c r="M147" s="25" t="str">
        <f t="shared" si="9"/>
        <v>||AERA660921L4A|AAML920925E50|7|30001000000500010891|Petición firmada por el Receptor||</v>
      </c>
      <c r="N147" s="30" t="str">
        <f t="shared" si="8"/>
        <v>||SPR190613I52|10-03-2026 18:00:00|30001000000500003456|Petición firmada por el Receptor||</v>
      </c>
      <c r="O147" s="31" t="str">
        <f t="shared" si="7"/>
        <v>||AERA660921L4A|AAML920925E50|7|30001000000500010891|Petición firmada por el Receptor||
||SPR190613I52|10-03-2026 18:00:00|30001000000500003456|Petición firmada por el Receptor||</v>
      </c>
    </row>
    <row r="148" spans="1:15" ht="29" x14ac:dyDescent="0.35">
      <c r="A148" s="28" t="s">
        <v>628</v>
      </c>
      <c r="B148" s="29" t="s">
        <v>627</v>
      </c>
      <c r="C148" s="33">
        <v>7</v>
      </c>
      <c r="D148" s="20" t="s">
        <v>438</v>
      </c>
      <c r="E148" s="16" t="s">
        <v>524</v>
      </c>
      <c r="F148" s="20">
        <v>605</v>
      </c>
      <c r="G148" s="26" t="s">
        <v>619</v>
      </c>
      <c r="H148" s="20" t="s">
        <v>298</v>
      </c>
      <c r="I148" s="20" t="s">
        <v>217</v>
      </c>
      <c r="J148" s="20">
        <v>120</v>
      </c>
      <c r="K148" s="20" t="s">
        <v>635</v>
      </c>
      <c r="L148" s="19"/>
      <c r="M148" s="25" t="str">
        <f t="shared" si="9"/>
        <v>||BAJJ580724KU7|AAML920925E50|7|30001000000500010891|Petición firmada por el Receptor||</v>
      </c>
      <c r="N148" s="30" t="str">
        <f t="shared" si="8"/>
        <v>||SPR190613I52|10-03-2026 18:00:00|30001000000500003456|Petición firmada por el Receptor||</v>
      </c>
      <c r="O148" s="31" t="str">
        <f t="shared" si="7"/>
        <v>||BAJJ580724KU7|AAML920925E50|7|30001000000500010891|Petición firmada por el Receptor||
||SPR190613I52|10-03-2026 18:00:00|30001000000500003456|Petición firmada por el Receptor||</v>
      </c>
    </row>
    <row r="149" spans="1:15" ht="29" x14ac:dyDescent="0.35">
      <c r="A149" s="28" t="s">
        <v>628</v>
      </c>
      <c r="B149" s="29" t="s">
        <v>627</v>
      </c>
      <c r="C149" s="20">
        <v>7</v>
      </c>
      <c r="D149" s="20" t="s">
        <v>472</v>
      </c>
      <c r="E149" s="16" t="s">
        <v>524</v>
      </c>
      <c r="F149" s="20">
        <v>606</v>
      </c>
      <c r="G149" s="26" t="s">
        <v>619</v>
      </c>
      <c r="H149" s="20" t="s">
        <v>298</v>
      </c>
      <c r="I149" s="20" t="s">
        <v>217</v>
      </c>
      <c r="J149" s="20">
        <v>1112</v>
      </c>
      <c r="K149" s="20" t="s">
        <v>635</v>
      </c>
      <c r="L149" s="19"/>
      <c r="M149" s="25" t="str">
        <f t="shared" si="9"/>
        <v>||EAMJ840131DW0|AAML920925E50|7|30001000000500010891|Petición firmada por el Receptor||</v>
      </c>
      <c r="N149" s="30" t="str">
        <f t="shared" si="8"/>
        <v>||SPR190613I52|10-03-2026 18:00:00|30001000000500003456|Petición firmada por el Receptor||</v>
      </c>
      <c r="O149" s="31" t="str">
        <f t="shared" si="7"/>
        <v>||EAMJ840131DW0|AAML920925E50|7|30001000000500010891|Petición firmada por el Receptor||
||SPR190613I52|10-03-2026 18:00:00|30001000000500003456|Petición firmada por el Receptor||</v>
      </c>
    </row>
    <row r="150" spans="1:15" ht="29" x14ac:dyDescent="0.35">
      <c r="A150" s="28" t="s">
        <v>628</v>
      </c>
      <c r="B150" s="29" t="s">
        <v>627</v>
      </c>
      <c r="C150" s="20">
        <v>7</v>
      </c>
      <c r="D150" s="20" t="s">
        <v>488</v>
      </c>
      <c r="E150" s="16" t="s">
        <v>525</v>
      </c>
      <c r="F150" s="20">
        <v>619</v>
      </c>
      <c r="G150" s="26" t="s">
        <v>620</v>
      </c>
      <c r="H150" s="20" t="s">
        <v>298</v>
      </c>
      <c r="I150" s="20" t="s">
        <v>217</v>
      </c>
      <c r="J150" s="20">
        <v>434</v>
      </c>
      <c r="K150" s="20" t="s">
        <v>636</v>
      </c>
      <c r="L150" s="19"/>
      <c r="M150" s="25" t="str">
        <f t="shared" si="9"/>
        <v>||RACA9509245K7|AACL9007138A5|7|30001000000500010892|Petición firmada por el Receptor||</v>
      </c>
      <c r="N150" s="30" t="str">
        <f t="shared" si="8"/>
        <v>||SPR190613I52|10-03-2026 18:00:00|30001000000500003456|Petición firmada por el Receptor||</v>
      </c>
      <c r="O150" s="31" t="str">
        <f t="shared" si="7"/>
        <v>||RACA9509245K7|AACL9007138A5|7|30001000000500010892|Petición firmada por el Receptor||
||SPR190613I52|10-03-2026 18:00:00|30001000000500003456|Petición firmada por el Receptor||</v>
      </c>
    </row>
    <row r="151" spans="1:15" ht="29" x14ac:dyDescent="0.35">
      <c r="A151" s="28" t="s">
        <v>628</v>
      </c>
      <c r="B151" s="29" t="s">
        <v>627</v>
      </c>
      <c r="C151" s="20">
        <v>7</v>
      </c>
      <c r="D151" s="20" t="s">
        <v>366</v>
      </c>
      <c r="E151" s="16" t="s">
        <v>525</v>
      </c>
      <c r="F151" s="20">
        <v>606</v>
      </c>
      <c r="G151" s="26" t="s">
        <v>620</v>
      </c>
      <c r="H151" s="20">
        <v>3</v>
      </c>
      <c r="I151" s="20" t="s">
        <v>217</v>
      </c>
      <c r="J151" s="20">
        <v>885</v>
      </c>
      <c r="K151" s="20" t="s">
        <v>635</v>
      </c>
      <c r="L151" s="19"/>
      <c r="M151" s="25" t="str">
        <f t="shared" si="9"/>
        <v>||MOSI8003278I3|AACL9007138A5|7|30001000000500010892|Petición firmada por el Receptor||</v>
      </c>
      <c r="N151" s="30" t="str">
        <f t="shared" si="8"/>
        <v>||SPR190613I52|10-03-2026 18:00:00|30001000000500003456|Petición firmada por el Receptor||</v>
      </c>
      <c r="O151" s="31" t="str">
        <f t="shared" si="7"/>
        <v>||MOSI8003278I3|AACL9007138A5|7|30001000000500010892|Petición firmada por el Receptor||
||SPR190613I52|10-03-2026 18:00:00|30001000000500003456|Petición firmada por el Receptor||</v>
      </c>
    </row>
    <row r="152" spans="1:15" ht="29" x14ac:dyDescent="0.35">
      <c r="A152" s="28" t="s">
        <v>628</v>
      </c>
      <c r="B152" s="29" t="s">
        <v>627</v>
      </c>
      <c r="C152" s="20">
        <v>7</v>
      </c>
      <c r="D152" s="20" t="s">
        <v>439</v>
      </c>
      <c r="E152" s="16" t="s">
        <v>525</v>
      </c>
      <c r="F152" s="20">
        <v>608</v>
      </c>
      <c r="G152" s="26" t="s">
        <v>620</v>
      </c>
      <c r="H152" s="20" t="s">
        <v>298</v>
      </c>
      <c r="I152" s="20" t="s">
        <v>217</v>
      </c>
      <c r="J152" s="20">
        <v>667</v>
      </c>
      <c r="K152" s="20" t="s">
        <v>635</v>
      </c>
      <c r="L152" s="19"/>
      <c r="M152" s="25" t="str">
        <f t="shared" si="9"/>
        <v>||SERJ870405LA0|AACL9007138A5|7|30001000000500010892|Petición firmada por el Receptor||</v>
      </c>
      <c r="N152" s="30" t="str">
        <f t="shared" si="8"/>
        <v>||SPR190613I52|10-03-2026 18:00:00|30001000000500003456|Petición firmada por el Receptor||</v>
      </c>
      <c r="O152" s="31" t="str">
        <f t="shared" si="7"/>
        <v>||SERJ870405LA0|AACL9007138A5|7|30001000000500010892|Petición firmada por el Receptor||
||SPR190613I52|10-03-2026 18:00:00|30001000000500003456|Petición firmada por el Receptor||</v>
      </c>
    </row>
    <row r="153" spans="1:15" ht="29" x14ac:dyDescent="0.35">
      <c r="A153" s="28" t="s">
        <v>628</v>
      </c>
      <c r="B153" s="29" t="s">
        <v>627</v>
      </c>
      <c r="C153" s="20">
        <v>7</v>
      </c>
      <c r="D153" s="20" t="s">
        <v>489</v>
      </c>
      <c r="E153" s="16" t="s">
        <v>525</v>
      </c>
      <c r="F153" s="20">
        <v>625</v>
      </c>
      <c r="G153" s="26" t="s">
        <v>620</v>
      </c>
      <c r="H153" s="20" t="s">
        <v>298</v>
      </c>
      <c r="I153" s="20" t="s">
        <v>217</v>
      </c>
      <c r="J153" s="20">
        <v>1115</v>
      </c>
      <c r="K153" s="20" t="s">
        <v>636</v>
      </c>
      <c r="L153" s="19"/>
      <c r="M153" s="25" t="str">
        <f t="shared" si="9"/>
        <v>||RAAL720826PX0|AACL9007138A5|7|30001000000500010892|Petición firmada por el Receptor||</v>
      </c>
      <c r="N153" s="30" t="str">
        <f t="shared" si="8"/>
        <v>||SPR190613I52|10-03-2026 18:00:00|30001000000500003456|Petición firmada por el Receptor||</v>
      </c>
      <c r="O153" s="31" t="str">
        <f t="shared" si="7"/>
        <v>||RAAL720826PX0|AACL9007138A5|7|30001000000500010892|Petición firmada por el Receptor||
||SPR190613I52|10-03-2026 18:00:00|30001000000500003456|Petición firmada por el Receptor||</v>
      </c>
    </row>
    <row r="154" spans="1:15" ht="29" x14ac:dyDescent="0.35">
      <c r="A154" s="28" t="s">
        <v>628</v>
      </c>
      <c r="B154" s="29" t="s">
        <v>627</v>
      </c>
      <c r="C154" s="20">
        <v>7</v>
      </c>
      <c r="D154" s="20" t="s">
        <v>368</v>
      </c>
      <c r="E154" s="16" t="s">
        <v>525</v>
      </c>
      <c r="F154" s="20">
        <v>608</v>
      </c>
      <c r="G154" s="26" t="s">
        <v>620</v>
      </c>
      <c r="H154" s="20">
        <v>3</v>
      </c>
      <c r="I154" s="20" t="s">
        <v>217</v>
      </c>
      <c r="J154" s="20">
        <v>470</v>
      </c>
      <c r="K154" s="20" t="s">
        <v>635</v>
      </c>
      <c r="L154" s="19"/>
      <c r="M154" s="25" t="str">
        <f t="shared" si="9"/>
        <v>||AOME8805126L5|AACL9007138A5|7|30001000000500010892|Petición firmada por el Receptor||</v>
      </c>
      <c r="N154" s="30" t="str">
        <f t="shared" si="8"/>
        <v>||SPR190613I52|10-03-2026 18:00:00|30001000000500003456|Petición firmada por el Receptor||</v>
      </c>
      <c r="O154" s="31" t="str">
        <f t="shared" si="7"/>
        <v>||AOME8805126L5|AACL9007138A5|7|30001000000500010892|Petición firmada por el Receptor||
||SPR190613I52|10-03-2026 18:00:00|30001000000500003456|Petición firmada por el Receptor||</v>
      </c>
    </row>
    <row r="155" spans="1:15" ht="29" x14ac:dyDescent="0.35">
      <c r="A155" s="28" t="s">
        <v>628</v>
      </c>
      <c r="B155" s="29" t="s">
        <v>627</v>
      </c>
      <c r="C155" s="20">
        <v>7</v>
      </c>
      <c r="D155" s="20" t="s">
        <v>440</v>
      </c>
      <c r="E155" s="16" t="s">
        <v>525</v>
      </c>
      <c r="F155" s="20">
        <v>611</v>
      </c>
      <c r="G155" s="26" t="s">
        <v>620</v>
      </c>
      <c r="H155" s="20" t="s">
        <v>298</v>
      </c>
      <c r="I155" s="20" t="s">
        <v>441</v>
      </c>
      <c r="J155" s="20" t="s">
        <v>298</v>
      </c>
      <c r="K155" s="20" t="s">
        <v>635</v>
      </c>
      <c r="L155" s="19"/>
      <c r="M155" s="25" t="str">
        <f t="shared" si="9"/>
        <v>||BALJ610518ES0|AACL9007138A5|7|30001000000500010892|Petición firmada por el Receptor||</v>
      </c>
      <c r="N155" s="30" t="str">
        <f t="shared" si="8"/>
        <v>||SPR190613I52|10-03-2026 18:00:00|30001000000500003456|Petición firmada por el Receptor||</v>
      </c>
      <c r="O155" s="31" t="str">
        <f t="shared" si="7"/>
        <v>||BALJ610518ES0|AACL9007138A5|7|30001000000500010892|Petición firmada por el Receptor||
||SPR190613I52|10-03-2026 18:00:00|30001000000500003456|Petición firmada por el Receptor||</v>
      </c>
    </row>
    <row r="156" spans="1:15" ht="29" x14ac:dyDescent="0.35">
      <c r="A156" s="28" t="s">
        <v>628</v>
      </c>
      <c r="B156" s="29" t="s">
        <v>627</v>
      </c>
      <c r="C156" s="20">
        <v>7</v>
      </c>
      <c r="D156" s="20" t="s">
        <v>490</v>
      </c>
      <c r="E156" s="16" t="s">
        <v>525</v>
      </c>
      <c r="F156" s="20">
        <v>607</v>
      </c>
      <c r="G156" s="26" t="s">
        <v>620</v>
      </c>
      <c r="H156" s="20" t="s">
        <v>298</v>
      </c>
      <c r="I156" s="20" t="s">
        <v>217</v>
      </c>
      <c r="J156" s="20">
        <v>660</v>
      </c>
      <c r="K156" s="20" t="s">
        <v>636</v>
      </c>
      <c r="L156" s="19"/>
      <c r="M156" s="25" t="str">
        <f t="shared" si="9"/>
        <v>||GORJ520704KS0|AACL9007138A5|7|30001000000500010892|Petición firmada por el Receptor||</v>
      </c>
      <c r="N156" s="30" t="str">
        <f t="shared" si="8"/>
        <v>||SPR190613I52|10-03-2026 18:00:00|30001000000500003456|Petición firmada por el Receptor||</v>
      </c>
      <c r="O156" s="31" t="str">
        <f t="shared" si="7"/>
        <v>||GORJ520704KS0|AACL9007138A5|7|30001000000500010892|Petición firmada por el Receptor||
||SPR190613I52|10-03-2026 18:00:00|30001000000500003456|Petición firmada por el Receptor||</v>
      </c>
    </row>
    <row r="157" spans="1:15" ht="29" x14ac:dyDescent="0.35">
      <c r="A157" s="28" t="s">
        <v>628</v>
      </c>
      <c r="B157" s="29" t="s">
        <v>627</v>
      </c>
      <c r="C157" s="20">
        <v>7</v>
      </c>
      <c r="D157" s="20" t="s">
        <v>374</v>
      </c>
      <c r="E157" s="16" t="s">
        <v>525</v>
      </c>
      <c r="F157" s="20">
        <v>611</v>
      </c>
      <c r="G157" s="26" t="s">
        <v>620</v>
      </c>
      <c r="H157" s="20" t="s">
        <v>298</v>
      </c>
      <c r="I157" s="20" t="s">
        <v>217</v>
      </c>
      <c r="J157" s="20">
        <v>603</v>
      </c>
      <c r="K157" s="20" t="s">
        <v>635</v>
      </c>
      <c r="L157" s="19"/>
      <c r="M157" s="25" t="str">
        <f t="shared" si="9"/>
        <v>||JUPI9412121BA|AACL9007138A5|7|30001000000500010892|Petición firmada por el Receptor||</v>
      </c>
      <c r="N157" s="30" t="str">
        <f t="shared" si="8"/>
        <v>||SPR190613I52|10-03-2026 18:00:00|30001000000500003456|Petición firmada por el Receptor||</v>
      </c>
      <c r="O157" s="31" t="str">
        <f t="shared" si="7"/>
        <v>||JUPI9412121BA|AACL9007138A5|7|30001000000500010892|Petición firmada por el Receptor||
||SPR190613I52|10-03-2026 18:00:00|30001000000500003456|Petición firmada por el Receptor||</v>
      </c>
    </row>
    <row r="158" spans="1:15" ht="29" x14ac:dyDescent="0.35">
      <c r="A158" s="28" t="s">
        <v>628</v>
      </c>
      <c r="B158" s="29" t="s">
        <v>627</v>
      </c>
      <c r="C158" s="20">
        <v>7</v>
      </c>
      <c r="D158" s="20" t="s">
        <v>604</v>
      </c>
      <c r="E158" s="16" t="s">
        <v>525</v>
      </c>
      <c r="F158" s="20">
        <v>612</v>
      </c>
      <c r="G158" s="26" t="s">
        <v>620</v>
      </c>
      <c r="H158" s="20" t="s">
        <v>298</v>
      </c>
      <c r="I158" s="20" t="s">
        <v>217</v>
      </c>
      <c r="J158" s="20">
        <v>332</v>
      </c>
      <c r="K158" s="20" t="s">
        <v>635</v>
      </c>
      <c r="L158" s="19"/>
      <c r="M158" s="25" t="str">
        <f t="shared" si="9"/>
        <v>||RACM7211181D7|AACL9007138A5|7|30001000000500010892|Petición firmada por el Receptor||</v>
      </c>
      <c r="N158" s="30" t="str">
        <f t="shared" si="8"/>
        <v>||SPR190613I52|10-03-2026 18:00:00|30001000000500003456|Petición firmada por el Receptor||</v>
      </c>
      <c r="O158" s="31" t="str">
        <f t="shared" si="7"/>
        <v>||RACM7211181D7|AACL9007138A5|7|30001000000500010892|Petición firmada por el Receptor||
||SPR190613I52|10-03-2026 18:00:00|30001000000500003456|Petición firmada por el Receptor||</v>
      </c>
    </row>
    <row r="159" spans="1:15" ht="29" x14ac:dyDescent="0.35">
      <c r="A159" s="28" t="s">
        <v>628</v>
      </c>
      <c r="B159" s="29" t="s">
        <v>627</v>
      </c>
      <c r="C159" s="20">
        <v>7</v>
      </c>
      <c r="D159" s="20" t="s">
        <v>491</v>
      </c>
      <c r="E159" s="16" t="s">
        <v>525</v>
      </c>
      <c r="F159" s="20">
        <v>619</v>
      </c>
      <c r="G159" s="26" t="s">
        <v>620</v>
      </c>
      <c r="H159" s="20" t="s">
        <v>298</v>
      </c>
      <c r="I159" s="20" t="s">
        <v>217</v>
      </c>
      <c r="J159" s="20">
        <v>550</v>
      </c>
      <c r="K159" s="20" t="s">
        <v>636</v>
      </c>
      <c r="L159" s="19"/>
      <c r="M159" s="25" t="str">
        <f t="shared" si="9"/>
        <v>||ROME871130C99|AACL9007138A5|7|30001000000500010892|Petición firmada por el Receptor||</v>
      </c>
      <c r="N159" s="30" t="str">
        <f t="shared" si="8"/>
        <v>||SPR190613I52|10-03-2026 18:00:00|30001000000500003456|Petición firmada por el Receptor||</v>
      </c>
      <c r="O159" s="31" t="str">
        <f t="shared" si="7"/>
        <v>||ROME871130C99|AACL9007138A5|7|30001000000500010892|Petición firmada por el Receptor||
||SPR190613I52|10-03-2026 18:00:00|30001000000500003456|Petición firmada por el Receptor||</v>
      </c>
    </row>
    <row r="160" spans="1:15" ht="43.5" x14ac:dyDescent="0.35">
      <c r="A160" s="28" t="s">
        <v>628</v>
      </c>
      <c r="B160" s="29" t="s">
        <v>627</v>
      </c>
      <c r="C160" s="20">
        <v>7</v>
      </c>
      <c r="D160" s="20" t="s">
        <v>371</v>
      </c>
      <c r="E160" s="16" t="s">
        <v>525</v>
      </c>
      <c r="F160" s="20">
        <v>612</v>
      </c>
      <c r="G160" s="26" t="s">
        <v>620</v>
      </c>
      <c r="H160" s="20" t="s">
        <v>372</v>
      </c>
      <c r="I160" s="20" t="s">
        <v>373</v>
      </c>
      <c r="J160" s="20">
        <v>689</v>
      </c>
      <c r="K160" s="20" t="s">
        <v>635</v>
      </c>
      <c r="L160" s="19"/>
      <c r="M160" s="25" t="str">
        <f t="shared" si="9"/>
        <v>||GUTS660710RB8|AACL9007138A5|7|30001000000500010892|Petición firmada por el Receptor||</v>
      </c>
      <c r="N160" s="30" t="str">
        <f t="shared" si="8"/>
        <v>||SPR190613I52|10-03-2026 18:00:00|30001000000500003456|Petición firmada por el Receptor||</v>
      </c>
      <c r="O160" s="31" t="str">
        <f t="shared" si="7"/>
        <v>||GUTS660710RB8|AACL9007138A5|7|30001000000500010892|Petición firmada por el Receptor||
||SPR190613I52|10-03-2026 18:00:00|30001000000500003456|Petición firmada por el Receptor||</v>
      </c>
    </row>
    <row r="161" spans="1:15" ht="29" x14ac:dyDescent="0.35">
      <c r="A161" s="28" t="s">
        <v>628</v>
      </c>
      <c r="B161" s="29" t="s">
        <v>627</v>
      </c>
      <c r="C161" s="20">
        <v>7</v>
      </c>
      <c r="D161" s="20" t="s">
        <v>597</v>
      </c>
      <c r="E161" s="16" t="s">
        <v>525</v>
      </c>
      <c r="F161" s="20">
        <v>614</v>
      </c>
      <c r="G161" s="26" t="s">
        <v>620</v>
      </c>
      <c r="H161" s="20">
        <v>3</v>
      </c>
      <c r="I161" s="20" t="s">
        <v>217</v>
      </c>
      <c r="J161" s="20">
        <v>907</v>
      </c>
      <c r="K161" s="20" t="s">
        <v>635</v>
      </c>
      <c r="L161" s="19"/>
      <c r="M161" s="25" t="str">
        <f t="shared" si="9"/>
        <v>||RERJ830912GT8|AACL9007138A5|7|30001000000500010892|Petición firmada por el Receptor||</v>
      </c>
      <c r="N161" s="30" t="str">
        <f t="shared" si="8"/>
        <v>||SPR190613I52|10-03-2026 18:00:00|30001000000500003456|Petición firmada por el Receptor||</v>
      </c>
      <c r="O161" s="31" t="str">
        <f t="shared" si="7"/>
        <v>||RERJ830912GT8|AACL9007138A5|7|30001000000500010892|Petición firmada por el Receptor||
||SPR190613I52|10-03-2026 18:00:00|30001000000500003456|Petición firmada por el Receptor||</v>
      </c>
    </row>
    <row r="162" spans="1:15" ht="29" x14ac:dyDescent="0.35">
      <c r="A162" s="28" t="s">
        <v>628</v>
      </c>
      <c r="B162" s="29" t="s">
        <v>627</v>
      </c>
      <c r="C162" s="20">
        <v>7</v>
      </c>
      <c r="D162" s="20" t="s">
        <v>492</v>
      </c>
      <c r="E162" s="16" t="s">
        <v>525</v>
      </c>
      <c r="F162" s="20">
        <v>625</v>
      </c>
      <c r="G162" s="26" t="s">
        <v>620</v>
      </c>
      <c r="H162" s="20" t="s">
        <v>298</v>
      </c>
      <c r="I162" s="20" t="s">
        <v>217</v>
      </c>
      <c r="J162" s="20">
        <v>1070</v>
      </c>
      <c r="K162" s="20" t="s">
        <v>636</v>
      </c>
      <c r="L162" s="19"/>
      <c r="M162" s="25" t="str">
        <f t="shared" si="9"/>
        <v>||GOJC930424PG9|AACL9007138A5|7|30001000000500010892|Petición firmada por el Receptor||</v>
      </c>
      <c r="N162" s="30" t="str">
        <f t="shared" si="8"/>
        <v>||SPR190613I52|10-03-2026 18:00:00|30001000000500003456|Petición firmada por el Receptor||</v>
      </c>
      <c r="O162" s="31" t="str">
        <f t="shared" si="7"/>
        <v>||GOJC930424PG9|AACL9007138A5|7|30001000000500010892|Petición firmada por el Receptor||
||SPR190613I52|10-03-2026 18:00:00|30001000000500003456|Petición firmada por el Receptor||</v>
      </c>
    </row>
    <row r="163" spans="1:15" ht="29" x14ac:dyDescent="0.35">
      <c r="A163" s="28" t="s">
        <v>628</v>
      </c>
      <c r="B163" s="29" t="s">
        <v>627</v>
      </c>
      <c r="C163" s="20">
        <v>7</v>
      </c>
      <c r="D163" s="20" t="s">
        <v>363</v>
      </c>
      <c r="E163" s="16" t="s">
        <v>525</v>
      </c>
      <c r="F163" s="20">
        <v>614</v>
      </c>
      <c r="G163" s="26" t="s">
        <v>620</v>
      </c>
      <c r="H163" s="20" t="s">
        <v>298</v>
      </c>
      <c r="I163" s="20" t="s">
        <v>217</v>
      </c>
      <c r="J163" s="20">
        <v>907</v>
      </c>
      <c r="K163" s="20" t="s">
        <v>635</v>
      </c>
      <c r="L163" s="19"/>
      <c r="M163" s="25" t="str">
        <f t="shared" si="9"/>
        <v>||COTB930709IT6|AACL9007138A5|7|30001000000500010892|Petición firmada por el Receptor||</v>
      </c>
      <c r="N163" s="30" t="str">
        <f t="shared" si="8"/>
        <v>||SPR190613I52|10-03-2026 18:00:00|30001000000500003456|Petición firmada por el Receptor||</v>
      </c>
      <c r="O163" s="31" t="str">
        <f t="shared" si="7"/>
        <v>||COTB930709IT6|AACL9007138A5|7|30001000000500010892|Petición firmada por el Receptor||
||SPR190613I52|10-03-2026 18:00:00|30001000000500003456|Petición firmada por el Receptor||</v>
      </c>
    </row>
    <row r="164" spans="1:15" ht="29" x14ac:dyDescent="0.35">
      <c r="A164" s="28" t="s">
        <v>628</v>
      </c>
      <c r="B164" s="29" t="s">
        <v>627</v>
      </c>
      <c r="C164" s="20">
        <v>7</v>
      </c>
      <c r="D164" s="20" t="s">
        <v>415</v>
      </c>
      <c r="E164" s="16" t="s">
        <v>525</v>
      </c>
      <c r="F164" s="20">
        <v>616</v>
      </c>
      <c r="G164" s="26" t="s">
        <v>620</v>
      </c>
      <c r="H164" s="20" t="s">
        <v>298</v>
      </c>
      <c r="I164" s="20" t="s">
        <v>346</v>
      </c>
      <c r="J164" s="20" t="s">
        <v>298</v>
      </c>
      <c r="K164" s="20" t="s">
        <v>635</v>
      </c>
      <c r="L164" s="19"/>
      <c r="M164" s="25" t="str">
        <f t="shared" si="9"/>
        <v>||DIAJ590707A6A|AACL9007138A5|7|30001000000500010892|Petición firmada por el Receptor||</v>
      </c>
      <c r="N164" s="30" t="str">
        <f t="shared" si="8"/>
        <v>||SPR190613I52|10-03-2026 18:00:00|30001000000500003456|Petición firmada por el Receptor||</v>
      </c>
      <c r="O164" s="31" t="str">
        <f t="shared" si="7"/>
        <v>||DIAJ590707A6A|AACL9007138A5|7|30001000000500010892|Petición firmada por el Receptor||
||SPR190613I52|10-03-2026 18:00:00|30001000000500003456|Petición firmada por el Receptor||</v>
      </c>
    </row>
    <row r="165" spans="1:15" ht="29" x14ac:dyDescent="0.35">
      <c r="A165" s="28" t="s">
        <v>628</v>
      </c>
      <c r="B165" s="29" t="s">
        <v>627</v>
      </c>
      <c r="C165" s="20">
        <v>7</v>
      </c>
      <c r="D165" s="20" t="s">
        <v>493</v>
      </c>
      <c r="E165" s="16" t="s">
        <v>525</v>
      </c>
      <c r="F165" s="20">
        <v>607</v>
      </c>
      <c r="G165" s="26" t="s">
        <v>620</v>
      </c>
      <c r="H165" s="20" t="s">
        <v>298</v>
      </c>
      <c r="I165" s="20" t="s">
        <v>217</v>
      </c>
      <c r="J165" s="20">
        <v>603</v>
      </c>
      <c r="K165" s="20" t="s">
        <v>636</v>
      </c>
      <c r="L165" s="19"/>
      <c r="M165" s="25" t="str">
        <f t="shared" si="9"/>
        <v>||AEPC930615PM9|AACL9007138A5|7|30001000000500010892|Petición firmada por el Receptor||</v>
      </c>
      <c r="N165" s="30" t="str">
        <f t="shared" si="8"/>
        <v>||SPR190613I52|10-03-2026 18:00:00|30001000000500003456|Petición firmada por el Receptor||</v>
      </c>
      <c r="O165" s="31" t="str">
        <f t="shared" si="7"/>
        <v>||AEPC930615PM9|AACL9007138A5|7|30001000000500010892|Petición firmada por el Receptor||
||SPR190613I52|10-03-2026 18:00:00|30001000000500003456|Petición firmada por el Receptor||</v>
      </c>
    </row>
    <row r="166" spans="1:15" ht="29" x14ac:dyDescent="0.35">
      <c r="A166" s="28" t="s">
        <v>628</v>
      </c>
      <c r="B166" s="29" t="s">
        <v>627</v>
      </c>
      <c r="C166" s="20">
        <v>7</v>
      </c>
      <c r="D166" s="20" t="s">
        <v>353</v>
      </c>
      <c r="E166" s="16" t="s">
        <v>525</v>
      </c>
      <c r="F166" s="20">
        <v>616</v>
      </c>
      <c r="G166" s="26" t="s">
        <v>620</v>
      </c>
      <c r="H166" s="20" t="s">
        <v>298</v>
      </c>
      <c r="I166" s="20" t="s">
        <v>352</v>
      </c>
      <c r="J166" s="20">
        <v>50</v>
      </c>
      <c r="K166" s="20" t="s">
        <v>635</v>
      </c>
      <c r="L166" s="19"/>
      <c r="M166" s="25" t="str">
        <f t="shared" si="9"/>
        <v>||GOIC821104MZ8|AACL9007138A5|7|30001000000500010892|Petición firmada por el Receptor||</v>
      </c>
      <c r="N166" s="30" t="str">
        <f t="shared" si="8"/>
        <v>||SPR190613I52|10-03-2026 18:00:00|30001000000500003456|Petición firmada por el Receptor||</v>
      </c>
      <c r="O166" s="31" t="str">
        <f t="shared" si="7"/>
        <v>||GOIC821104MZ8|AACL9007138A5|7|30001000000500010892|Petición firmada por el Receptor||
||SPR190613I52|10-03-2026 18:00:00|30001000000500003456|Petición firmada por el Receptor||</v>
      </c>
    </row>
    <row r="167" spans="1:15" ht="29" x14ac:dyDescent="0.35">
      <c r="A167" s="28" t="s">
        <v>628</v>
      </c>
      <c r="B167" s="29" t="s">
        <v>627</v>
      </c>
      <c r="C167" s="20">
        <v>7</v>
      </c>
      <c r="D167" s="20" t="s">
        <v>442</v>
      </c>
      <c r="E167" s="16" t="s">
        <v>525</v>
      </c>
      <c r="F167" s="20">
        <v>621</v>
      </c>
      <c r="G167" s="26" t="s">
        <v>620</v>
      </c>
      <c r="H167" s="20" t="s">
        <v>298</v>
      </c>
      <c r="I167" s="20" t="s">
        <v>217</v>
      </c>
      <c r="J167" s="20">
        <v>131</v>
      </c>
      <c r="K167" s="20" t="s">
        <v>635</v>
      </c>
      <c r="L167" s="19"/>
      <c r="M167" s="25" t="str">
        <f t="shared" si="9"/>
        <v>||TELJ8709298U5|AACL9007138A5|7|30001000000500010892|Petición firmada por el Receptor||</v>
      </c>
      <c r="N167" s="30" t="str">
        <f t="shared" si="8"/>
        <v>||SPR190613I52|10-03-2026 18:00:00|30001000000500003456|Petición firmada por el Receptor||</v>
      </c>
      <c r="O167" s="31" t="str">
        <f t="shared" si="7"/>
        <v>||TELJ8709298U5|AACL9007138A5|7|30001000000500010892|Petición firmada por el Receptor||
||SPR190613I52|10-03-2026 18:00:00|30001000000500003456|Petición firmada por el Receptor||</v>
      </c>
    </row>
    <row r="168" spans="1:15" ht="29" x14ac:dyDescent="0.35">
      <c r="A168" s="28" t="s">
        <v>628</v>
      </c>
      <c r="B168" s="29" t="s">
        <v>627</v>
      </c>
      <c r="C168" s="20">
        <v>7</v>
      </c>
      <c r="D168" s="20" t="s">
        <v>494</v>
      </c>
      <c r="E168" s="16" t="s">
        <v>525</v>
      </c>
      <c r="F168" s="20">
        <v>619</v>
      </c>
      <c r="G168" s="26" t="s">
        <v>620</v>
      </c>
      <c r="H168" s="20" t="s">
        <v>298</v>
      </c>
      <c r="I168" s="20" t="s">
        <v>217</v>
      </c>
      <c r="J168" s="20">
        <v>2223</v>
      </c>
      <c r="K168" s="20" t="s">
        <v>636</v>
      </c>
      <c r="L168" s="19"/>
      <c r="M168" s="25" t="str">
        <f t="shared" si="9"/>
        <v>||RAGN671208IE0|AACL9007138A5|7|30001000000500010892|Petición firmada por el Receptor||</v>
      </c>
      <c r="N168" s="30" t="str">
        <f t="shared" si="8"/>
        <v>||SPR190613I52|10-03-2026 18:00:00|30001000000500003456|Petición firmada por el Receptor||</v>
      </c>
      <c r="O168" s="31" t="str">
        <f t="shared" si="7"/>
        <v>||RAGN671208IE0|AACL9007138A5|7|30001000000500010892|Petición firmada por el Receptor||
||SPR190613I52|10-03-2026 18:00:00|30001000000500003456|Petición firmada por el Receptor||</v>
      </c>
    </row>
    <row r="169" spans="1:15" ht="43.5" x14ac:dyDescent="0.35">
      <c r="A169" s="28" t="s">
        <v>628</v>
      </c>
      <c r="B169" s="29" t="s">
        <v>627</v>
      </c>
      <c r="C169" s="20">
        <v>7</v>
      </c>
      <c r="D169" s="20" t="s">
        <v>356</v>
      </c>
      <c r="E169" s="16" t="s">
        <v>525</v>
      </c>
      <c r="F169" s="20">
        <v>621</v>
      </c>
      <c r="G169" s="26" t="s">
        <v>620</v>
      </c>
      <c r="H169" s="20" t="s">
        <v>324</v>
      </c>
      <c r="I169" s="20" t="s">
        <v>325</v>
      </c>
      <c r="J169" s="20" t="s">
        <v>326</v>
      </c>
      <c r="K169" s="20" t="s">
        <v>635</v>
      </c>
      <c r="L169" s="19"/>
      <c r="M169" s="25" t="str">
        <f t="shared" si="9"/>
        <v>||GASE820904133|AACL9007138A5|7|30001000000500010892|Petición firmada por el Receptor||</v>
      </c>
      <c r="N169" s="30" t="str">
        <f t="shared" si="8"/>
        <v>||SPR190613I52|10-03-2026 18:00:00|30001000000500003456|Petición firmada por el Receptor||</v>
      </c>
      <c r="O169" s="31" t="str">
        <f t="shared" si="7"/>
        <v>||GASE820904133|AACL9007138A5|7|30001000000500010892|Petición firmada por el Receptor||
||SPR190613I52|10-03-2026 18:00:00|30001000000500003456|Petición firmada por el Receptor||</v>
      </c>
    </row>
    <row r="170" spans="1:15" ht="29" x14ac:dyDescent="0.35">
      <c r="A170" s="28" t="s">
        <v>628</v>
      </c>
      <c r="B170" s="29" t="s">
        <v>627</v>
      </c>
      <c r="C170" s="20">
        <v>7</v>
      </c>
      <c r="D170" s="20" t="s">
        <v>443</v>
      </c>
      <c r="E170" s="16" t="s">
        <v>526</v>
      </c>
      <c r="F170" s="20">
        <v>615</v>
      </c>
      <c r="G170" s="26" t="s">
        <v>621</v>
      </c>
      <c r="H170" s="20" t="s">
        <v>298</v>
      </c>
      <c r="I170" s="20" t="s">
        <v>217</v>
      </c>
      <c r="J170" s="20">
        <v>1123</v>
      </c>
      <c r="K170" s="20" t="s">
        <v>635</v>
      </c>
      <c r="L170" s="19"/>
      <c r="M170" s="25" t="str">
        <f t="shared" si="9"/>
        <v>||BARJ570127MD3|PELL910719K92|7|30001000000500010956|Petición firmada por el Receptor||</v>
      </c>
      <c r="N170" s="30" t="str">
        <f t="shared" si="8"/>
        <v>||SPR190613I52|10-03-2026 18:00:00|30001000000500003456|Petición firmada por el Receptor||</v>
      </c>
      <c r="O170" s="31" t="str">
        <f t="shared" si="7"/>
        <v>||BARJ570127MD3|PELL910719K92|7|30001000000500010956|Petición firmada por el Receptor||
||SPR190613I52|10-03-2026 18:00:00|30001000000500003456|Petición firmada por el Receptor||</v>
      </c>
    </row>
    <row r="171" spans="1:15" ht="29" x14ac:dyDescent="0.35">
      <c r="A171" s="28" t="s">
        <v>628</v>
      </c>
      <c r="B171" s="29" t="s">
        <v>627</v>
      </c>
      <c r="C171" s="20">
        <v>7</v>
      </c>
      <c r="D171" s="20" t="s">
        <v>495</v>
      </c>
      <c r="E171" s="16" t="s">
        <v>526</v>
      </c>
      <c r="F171" s="20">
        <v>625</v>
      </c>
      <c r="G171" s="26" t="s">
        <v>621</v>
      </c>
      <c r="H171" s="20" t="s">
        <v>298</v>
      </c>
      <c r="I171" s="20" t="s">
        <v>217</v>
      </c>
      <c r="J171" s="20">
        <v>363</v>
      </c>
      <c r="K171" s="20" t="s">
        <v>636</v>
      </c>
      <c r="L171" s="19"/>
      <c r="M171" s="25" t="str">
        <f t="shared" si="9"/>
        <v>||ROMC9207269Q7|PELL910719K92|7|30001000000500010956|Petición firmada por el Receptor||</v>
      </c>
      <c r="N171" s="30" t="str">
        <f t="shared" si="8"/>
        <v>||SPR190613I52|10-03-2026 18:00:00|30001000000500003456|Petición firmada por el Receptor||</v>
      </c>
      <c r="O171" s="31" t="str">
        <f t="shared" si="7"/>
        <v>||ROMC9207269Q7|PELL910719K92|7|30001000000500010956|Petición firmada por el Receptor||
||SPR190613I52|10-03-2026 18:00:00|30001000000500003456|Petición firmada por el Receptor||</v>
      </c>
    </row>
    <row r="172" spans="1:15" ht="29" x14ac:dyDescent="0.35">
      <c r="A172" s="28" t="s">
        <v>628</v>
      </c>
      <c r="B172" s="29" t="s">
        <v>627</v>
      </c>
      <c r="C172" s="20">
        <v>7</v>
      </c>
      <c r="D172" s="20" t="s">
        <v>375</v>
      </c>
      <c r="E172" s="16" t="s">
        <v>526</v>
      </c>
      <c r="F172" s="20">
        <v>615</v>
      </c>
      <c r="G172" s="26" t="s">
        <v>621</v>
      </c>
      <c r="H172" s="20" t="s">
        <v>298</v>
      </c>
      <c r="I172" s="20" t="s">
        <v>217</v>
      </c>
      <c r="J172" s="20">
        <v>601</v>
      </c>
      <c r="K172" s="20" t="s">
        <v>635</v>
      </c>
      <c r="L172" s="19"/>
      <c r="M172" s="25" t="str">
        <f t="shared" si="9"/>
        <v>||MEGR8604038Z4|PELL910719K92|7|30001000000500010956|Petición firmada por el Receptor||</v>
      </c>
      <c r="N172" s="30" t="str">
        <f t="shared" si="8"/>
        <v>||SPR190613I52|10-03-2026 18:00:00|30001000000500003456|Petición firmada por el Receptor||</v>
      </c>
      <c r="O172" s="31" t="str">
        <f t="shared" si="7"/>
        <v>||MEGR8604038Z4|PELL910719K92|7|30001000000500010956|Petición firmada por el Receptor||
||SPR190613I52|10-03-2026 18:00:00|30001000000500003456|Petición firmada por el Receptor||</v>
      </c>
    </row>
    <row r="173" spans="1:15" ht="29" x14ac:dyDescent="0.35">
      <c r="A173" s="28" t="s">
        <v>628</v>
      </c>
      <c r="B173" s="29" t="s">
        <v>627</v>
      </c>
      <c r="C173" s="20">
        <v>7</v>
      </c>
      <c r="D173" s="20" t="s">
        <v>444</v>
      </c>
      <c r="E173" s="16" t="s">
        <v>526</v>
      </c>
      <c r="F173" s="20">
        <v>626</v>
      </c>
      <c r="G173" s="26" t="s">
        <v>621</v>
      </c>
      <c r="H173" s="20" t="s">
        <v>298</v>
      </c>
      <c r="I173" s="20" t="s">
        <v>217</v>
      </c>
      <c r="J173" s="20">
        <v>907</v>
      </c>
      <c r="K173" s="20" t="s">
        <v>635</v>
      </c>
      <c r="L173" s="19"/>
      <c r="M173" s="25" t="str">
        <f t="shared" si="9"/>
        <v>||SELJ881003DP9|PELL910719K92|7|30001000000500010956|Petición firmada por el Receptor||</v>
      </c>
      <c r="N173" s="30" t="str">
        <f t="shared" si="8"/>
        <v>||SPR190613I52|10-03-2026 18:00:00|30001000000500003456|Petición firmada por el Receptor||</v>
      </c>
      <c r="O173" s="31" t="str">
        <f t="shared" si="7"/>
        <v>||SELJ881003DP9|PELL910719K92|7|30001000000500010956|Petición firmada por el Receptor||
||SPR190613I52|10-03-2026 18:00:00|30001000000500003456|Petición firmada por el Receptor||</v>
      </c>
    </row>
    <row r="174" spans="1:15" ht="29" x14ac:dyDescent="0.35">
      <c r="A174" s="28" t="s">
        <v>628</v>
      </c>
      <c r="B174" s="29" t="s">
        <v>627</v>
      </c>
      <c r="C174" s="20">
        <v>7</v>
      </c>
      <c r="D174" s="20" t="s">
        <v>496</v>
      </c>
      <c r="E174" s="16" t="s">
        <v>526</v>
      </c>
      <c r="F174" s="20">
        <v>625</v>
      </c>
      <c r="G174" s="26" t="s">
        <v>621</v>
      </c>
      <c r="H174" s="20" t="s">
        <v>298</v>
      </c>
      <c r="I174" s="20" t="s">
        <v>217</v>
      </c>
      <c r="J174" s="20">
        <v>120</v>
      </c>
      <c r="K174" s="20" t="s">
        <v>636</v>
      </c>
      <c r="L174" s="19"/>
      <c r="M174" s="25" t="str">
        <f t="shared" si="9"/>
        <v>||RAMC8207227P0|PELL910719K92|7|30001000000500010956|Petición firmada por el Receptor||</v>
      </c>
      <c r="N174" s="30" t="str">
        <f t="shared" si="8"/>
        <v>||SPR190613I52|10-03-2026 18:00:00|30001000000500003456|Petición firmada por el Receptor||</v>
      </c>
      <c r="O174" s="31" t="str">
        <f t="shared" si="7"/>
        <v>||RAMC8207227P0|PELL910719K92|7|30001000000500010956|Petición firmada por el Receptor||
||SPR190613I52|10-03-2026 18:00:00|30001000000500003456|Petición firmada por el Receptor||</v>
      </c>
    </row>
    <row r="175" spans="1:15" ht="29" x14ac:dyDescent="0.35">
      <c r="A175" s="28" t="s">
        <v>628</v>
      </c>
      <c r="B175" s="29" t="s">
        <v>627</v>
      </c>
      <c r="C175" s="20">
        <v>7</v>
      </c>
      <c r="D175" s="20" t="s">
        <v>376</v>
      </c>
      <c r="E175" s="16" t="s">
        <v>526</v>
      </c>
      <c r="F175" s="20">
        <v>626</v>
      </c>
      <c r="G175" s="26" t="s">
        <v>621</v>
      </c>
      <c r="H175" s="20" t="s">
        <v>298</v>
      </c>
      <c r="I175" s="20" t="s">
        <v>217</v>
      </c>
      <c r="J175" s="20">
        <v>907</v>
      </c>
      <c r="K175" s="20" t="s">
        <v>635</v>
      </c>
      <c r="L175" s="19"/>
      <c r="M175" s="25" t="str">
        <f t="shared" si="9"/>
        <v>||PEGK900604C3A|PELL910719K92|7|30001000000500010956|Petición firmada por el Receptor||</v>
      </c>
      <c r="N175" s="30" t="str">
        <f t="shared" si="8"/>
        <v>||SPR190613I52|10-03-2026 18:00:00|30001000000500003456|Petición firmada por el Receptor||</v>
      </c>
      <c r="O175" s="31" t="str">
        <f t="shared" si="7"/>
        <v>||PEGK900604C3A|PELL910719K92|7|30001000000500010956|Petición firmada por el Receptor||
||SPR190613I52|10-03-2026 18:00:00|30001000000500003456|Petición firmada por el Receptor||</v>
      </c>
    </row>
    <row r="176" spans="1:15" ht="29" x14ac:dyDescent="0.35">
      <c r="A176" s="28" t="s">
        <v>628</v>
      </c>
      <c r="B176" s="29" t="s">
        <v>627</v>
      </c>
      <c r="C176" s="33">
        <v>8</v>
      </c>
      <c r="D176" s="20" t="s">
        <v>378</v>
      </c>
      <c r="E176" s="16" t="s">
        <v>526</v>
      </c>
      <c r="F176" s="20">
        <v>605</v>
      </c>
      <c r="G176" s="26" t="s">
        <v>621</v>
      </c>
      <c r="H176" s="20" t="s">
        <v>298</v>
      </c>
      <c r="I176" s="20" t="s">
        <v>217</v>
      </c>
      <c r="J176" s="20">
        <v>1112</v>
      </c>
      <c r="K176" s="20" t="s">
        <v>635</v>
      </c>
      <c r="L176" s="19"/>
      <c r="M176" s="25" t="str">
        <f t="shared" si="9"/>
        <v>||PEZN680104SS2|PELL910719K92|8|30001000000500010956|Petición firmada por el Receptor||</v>
      </c>
      <c r="N176" s="30" t="str">
        <f t="shared" si="8"/>
        <v>||SPR190613I52|10-03-2026 18:00:00|30001000000500003456|Petición firmada por el Receptor||</v>
      </c>
      <c r="O176" s="31" t="str">
        <f t="shared" si="7"/>
        <v>||PEZN680104SS2|PELL910719K92|8|30001000000500010956|Petición firmada por el Receptor||
||SPR190613I52|10-03-2026 18:00:00|30001000000500003456|Petición firmada por el Receptor||</v>
      </c>
    </row>
    <row r="177" spans="1:15" ht="29" x14ac:dyDescent="0.35">
      <c r="A177" s="28" t="s">
        <v>628</v>
      </c>
      <c r="B177" s="29" t="s">
        <v>627</v>
      </c>
      <c r="C177" s="33">
        <v>8</v>
      </c>
      <c r="D177" s="20" t="s">
        <v>497</v>
      </c>
      <c r="E177" s="16" t="s">
        <v>526</v>
      </c>
      <c r="F177" s="20">
        <v>610</v>
      </c>
      <c r="G177" s="26" t="s">
        <v>621</v>
      </c>
      <c r="H177" s="20" t="s">
        <v>298</v>
      </c>
      <c r="I177" s="20" t="s">
        <v>217</v>
      </c>
      <c r="J177" s="20">
        <v>907</v>
      </c>
      <c r="K177" s="20" t="s">
        <v>636</v>
      </c>
      <c r="L177" s="19"/>
      <c r="M177" s="25" t="str">
        <f t="shared" si="9"/>
        <v>||RAHC851028PY0|PELL910719K92|8|30001000000500010956|Petición firmada por el Receptor||</v>
      </c>
      <c r="N177" s="30" t="str">
        <f t="shared" si="8"/>
        <v>||SPR190613I52|10-03-2026 18:00:00|30001000000500003456|Petición firmada por el Receptor||</v>
      </c>
      <c r="O177" s="31" t="str">
        <f t="shared" si="7"/>
        <v>||RAHC851028PY0|PELL910719K92|8|30001000000500010956|Petición firmada por el Receptor||
||SPR190613I52|10-03-2026 18:00:00|30001000000500003456|Petición firmada por el Receptor||</v>
      </c>
    </row>
    <row r="178" spans="1:15" ht="29" x14ac:dyDescent="0.35">
      <c r="A178" s="28" t="s">
        <v>628</v>
      </c>
      <c r="B178" s="29" t="s">
        <v>627</v>
      </c>
      <c r="C178" s="33">
        <v>8</v>
      </c>
      <c r="D178" s="20" t="s">
        <v>445</v>
      </c>
      <c r="E178" s="16" t="s">
        <v>526</v>
      </c>
      <c r="F178" s="20">
        <v>605</v>
      </c>
      <c r="G178" s="26" t="s">
        <v>621</v>
      </c>
      <c r="H178" s="20" t="s">
        <v>298</v>
      </c>
      <c r="I178" s="20" t="s">
        <v>217</v>
      </c>
      <c r="J178" s="20">
        <v>907</v>
      </c>
      <c r="K178" s="20" t="s">
        <v>635</v>
      </c>
      <c r="L178" s="19"/>
      <c r="M178" s="25" t="str">
        <f t="shared" si="9"/>
        <v>||EIRJ780723QE3|PELL910719K92|8|30001000000500010956|Petición firmada por el Receptor||</v>
      </c>
      <c r="N178" s="30" t="str">
        <f t="shared" si="8"/>
        <v>||SPR190613I52|10-03-2026 18:00:00|30001000000500003456|Petición firmada por el Receptor||</v>
      </c>
      <c r="O178" s="31" t="str">
        <f t="shared" si="7"/>
        <v>||EIRJ780723QE3|PELL910719K92|8|30001000000500010956|Petición firmada por el Receptor||
||SPR190613I52|10-03-2026 18:00:00|30001000000500003456|Petición firmada por el Receptor||</v>
      </c>
    </row>
    <row r="179" spans="1:15" ht="29" x14ac:dyDescent="0.35">
      <c r="A179" s="28" t="s">
        <v>628</v>
      </c>
      <c r="B179" s="29" t="s">
        <v>627</v>
      </c>
      <c r="C179" s="20">
        <v>8</v>
      </c>
      <c r="D179" s="20" t="s">
        <v>446</v>
      </c>
      <c r="E179" s="16" t="s">
        <v>526</v>
      </c>
      <c r="F179" s="20">
        <v>606</v>
      </c>
      <c r="G179" s="26" t="s">
        <v>621</v>
      </c>
      <c r="H179" s="20">
        <v>3</v>
      </c>
      <c r="I179" s="20" t="s">
        <v>217</v>
      </c>
      <c r="J179" s="20">
        <v>2223</v>
      </c>
      <c r="K179" s="20" t="s">
        <v>635</v>
      </c>
      <c r="L179" s="19"/>
      <c r="M179" s="25" t="str">
        <f t="shared" si="9"/>
        <v>||SERJ511227GC7|PELL910719K92|8|30001000000500010956|Petición firmada por el Receptor||</v>
      </c>
      <c r="N179" s="30" t="str">
        <f t="shared" si="8"/>
        <v>||SPR190613I52|10-03-2026 18:00:00|30001000000500003456|Petición firmada por el Receptor||</v>
      </c>
      <c r="O179" s="31" t="str">
        <f t="shared" si="7"/>
        <v>||SERJ511227GC7|PELL910719K92|8|30001000000500010956|Petición firmada por el Receptor||
||SPR190613I52|10-03-2026 18:00:00|30001000000500003456|Petición firmada por el Receptor||</v>
      </c>
    </row>
    <row r="180" spans="1:15" ht="29" x14ac:dyDescent="0.35">
      <c r="A180" s="28" t="s">
        <v>628</v>
      </c>
      <c r="B180" s="29" t="s">
        <v>627</v>
      </c>
      <c r="C180" s="20">
        <v>8</v>
      </c>
      <c r="D180" s="20" t="s">
        <v>498</v>
      </c>
      <c r="E180" s="16" t="s">
        <v>526</v>
      </c>
      <c r="F180" s="20">
        <v>625</v>
      </c>
      <c r="G180" s="26" t="s">
        <v>621</v>
      </c>
      <c r="H180" s="20" t="s">
        <v>298</v>
      </c>
      <c r="I180" s="20" t="s">
        <v>217</v>
      </c>
      <c r="J180" s="20">
        <v>871</v>
      </c>
      <c r="K180" s="20" t="s">
        <v>636</v>
      </c>
      <c r="L180" s="19"/>
      <c r="M180" s="25" t="str">
        <f t="shared" si="9"/>
        <v>||RARC920424NN3|PELL910719K92|8|30001000000500010956|Petición firmada por el Receptor||</v>
      </c>
      <c r="N180" s="30" t="str">
        <f t="shared" si="8"/>
        <v>||SPR190613I52|10-03-2026 18:00:00|30001000000500003456|Petición firmada por el Receptor||</v>
      </c>
      <c r="O180" s="31" t="str">
        <f t="shared" si="7"/>
        <v>||RARC920424NN3|PELL910719K92|8|30001000000500010956|Petición firmada por el Receptor||
||SPR190613I52|10-03-2026 18:00:00|30001000000500003456|Petición firmada por el Receptor||</v>
      </c>
    </row>
    <row r="181" spans="1:15" ht="29" x14ac:dyDescent="0.35">
      <c r="A181" s="28" t="s">
        <v>628</v>
      </c>
      <c r="B181" s="29" t="s">
        <v>627</v>
      </c>
      <c r="C181" s="20">
        <v>8</v>
      </c>
      <c r="D181" s="20" t="s">
        <v>377</v>
      </c>
      <c r="E181" s="16" t="s">
        <v>526</v>
      </c>
      <c r="F181" s="20">
        <v>606</v>
      </c>
      <c r="G181" s="26" t="s">
        <v>621</v>
      </c>
      <c r="H181" s="20" t="s">
        <v>298</v>
      </c>
      <c r="I181" s="20">
        <v>300155</v>
      </c>
      <c r="J181" s="20">
        <v>83</v>
      </c>
      <c r="K181" s="20" t="s">
        <v>635</v>
      </c>
      <c r="L181" s="19"/>
      <c r="M181" s="25" t="str">
        <f t="shared" si="9"/>
        <v>||GAZE931230J82|PELL910719K92|8|30001000000500010956|Petición firmada por el Receptor||</v>
      </c>
      <c r="N181" s="30" t="str">
        <f t="shared" si="8"/>
        <v>||SPR190613I52|10-03-2026 18:00:00|30001000000500003456|Petición firmada por el Receptor||</v>
      </c>
      <c r="O181" s="31" t="str">
        <f t="shared" si="7"/>
        <v>||GAZE931230J82|PELL910719K92|8|30001000000500010956|Petición firmada por el Receptor||
||SPR190613I52|10-03-2026 18:00:00|30001000000500003456|Petición firmada por el Receptor||</v>
      </c>
    </row>
    <row r="182" spans="1:15" ht="29" x14ac:dyDescent="0.35">
      <c r="A182" s="28" t="s">
        <v>628</v>
      </c>
      <c r="B182" s="29" t="s">
        <v>627</v>
      </c>
      <c r="C182" s="20">
        <v>8</v>
      </c>
      <c r="D182" s="20" t="s">
        <v>448</v>
      </c>
      <c r="E182" s="16" t="s">
        <v>526</v>
      </c>
      <c r="F182" s="20">
        <v>608</v>
      </c>
      <c r="G182" s="26" t="s">
        <v>621</v>
      </c>
      <c r="H182" s="20" t="s">
        <v>298</v>
      </c>
      <c r="I182" s="20" t="s">
        <v>217</v>
      </c>
      <c r="J182" s="20">
        <v>131</v>
      </c>
      <c r="K182" s="20" t="s">
        <v>635</v>
      </c>
      <c r="L182" s="19"/>
      <c r="M182" s="25" t="str">
        <f t="shared" si="9"/>
        <v>||DOSJ710102D84|PELL910719K92|8|30001000000500010956|Petición firmada por el Receptor||</v>
      </c>
      <c r="N182" s="30" t="str">
        <f t="shared" si="8"/>
        <v>||SPR190613I52|10-03-2026 18:00:00|30001000000500003456|Petición firmada por el Receptor||</v>
      </c>
      <c r="O182" s="31" t="str">
        <f t="shared" si="7"/>
        <v>||DOSJ710102D84|PELL910719K92|8|30001000000500010956|Petición firmada por el Receptor||
||SPR190613I52|10-03-2026 18:00:00|30001000000500003456|Petición firmada por el Receptor||</v>
      </c>
    </row>
    <row r="183" spans="1:15" ht="29" x14ac:dyDescent="0.35">
      <c r="A183" s="28" t="s">
        <v>628</v>
      </c>
      <c r="B183" s="29" t="s">
        <v>627</v>
      </c>
      <c r="C183" s="20">
        <v>8</v>
      </c>
      <c r="D183" s="20" t="s">
        <v>499</v>
      </c>
      <c r="E183" s="16" t="s">
        <v>526</v>
      </c>
      <c r="F183" s="20">
        <v>607</v>
      </c>
      <c r="G183" s="26" t="s">
        <v>621</v>
      </c>
      <c r="H183" s="20">
        <v>3</v>
      </c>
      <c r="I183" s="20" t="s">
        <v>217</v>
      </c>
      <c r="J183" s="20">
        <v>403</v>
      </c>
      <c r="K183" s="20" t="s">
        <v>636</v>
      </c>
      <c r="L183" s="19"/>
      <c r="M183" s="25" t="str">
        <f t="shared" si="9"/>
        <v>||RARN720630QF2|PELL910719K92|8|30001000000500010956|Petición firmada por el Receptor||</v>
      </c>
      <c r="N183" s="30" t="str">
        <f t="shared" si="8"/>
        <v>||SPR190613I52|10-03-2026 18:00:00|30001000000500003456|Petición firmada por el Receptor||</v>
      </c>
      <c r="O183" s="31" t="str">
        <f t="shared" si="7"/>
        <v>||RARN720630QF2|PELL910719K92|8|30001000000500010956|Petición firmada por el Receptor||
||SPR190613I52|10-03-2026 18:00:00|30001000000500003456|Petición firmada por el Receptor||</v>
      </c>
    </row>
    <row r="184" spans="1:15" ht="29" x14ac:dyDescent="0.35">
      <c r="A184" s="28" t="s">
        <v>628</v>
      </c>
      <c r="B184" s="29" t="s">
        <v>627</v>
      </c>
      <c r="C184" s="20">
        <v>8</v>
      </c>
      <c r="D184" s="20" t="s">
        <v>379</v>
      </c>
      <c r="E184" s="16" t="s">
        <v>526</v>
      </c>
      <c r="F184" s="20">
        <v>608</v>
      </c>
      <c r="G184" s="26" t="s">
        <v>621</v>
      </c>
      <c r="H184" s="20" t="s">
        <v>298</v>
      </c>
      <c r="I184" s="20" t="s">
        <v>217</v>
      </c>
      <c r="J184" s="20">
        <v>833</v>
      </c>
      <c r="K184" s="20" t="s">
        <v>635</v>
      </c>
      <c r="L184" s="19"/>
      <c r="M184" s="25" t="str">
        <f t="shared" si="9"/>
        <v>||MEJE8211143U5|PELL910719K92|8|30001000000500010956|Petición firmada por el Receptor||</v>
      </c>
      <c r="N184" s="30" t="str">
        <f t="shared" si="8"/>
        <v>||SPR190613I52|10-03-2026 18:00:00|30001000000500003456|Petición firmada por el Receptor||</v>
      </c>
      <c r="O184" s="31" t="str">
        <f t="shared" ref="O184:O216" si="10">CONCATENATE(M184, CHAR(10), N184)</f>
        <v>||MEJE8211143U5|PELL910719K92|8|30001000000500010956|Petición firmada por el Receptor||
||SPR190613I52|10-03-2026 18:00:00|30001000000500003456|Petición firmada por el Receptor||</v>
      </c>
    </row>
    <row r="185" spans="1:15" ht="29" x14ac:dyDescent="0.35">
      <c r="A185" s="28" t="s">
        <v>628</v>
      </c>
      <c r="B185" s="29" t="s">
        <v>627</v>
      </c>
      <c r="C185" s="20">
        <v>8</v>
      </c>
      <c r="D185" s="20" t="s">
        <v>605</v>
      </c>
      <c r="E185" s="16" t="s">
        <v>526</v>
      </c>
      <c r="F185" s="20">
        <v>611</v>
      </c>
      <c r="G185" s="26" t="s">
        <v>621</v>
      </c>
      <c r="H185" s="20" t="s">
        <v>298</v>
      </c>
      <c r="I185" s="20" t="s">
        <v>217</v>
      </c>
      <c r="J185" s="20">
        <v>450</v>
      </c>
      <c r="K185" s="20" t="s">
        <v>635</v>
      </c>
      <c r="L185" s="19"/>
      <c r="M185" s="25" t="str">
        <f t="shared" si="9"/>
        <v>||NUTC880716DD4|PELL910719K92|8|30001000000500010956|Petición firmada por el Receptor||</v>
      </c>
      <c r="N185" s="30" t="str">
        <f t="shared" ref="N185:N216" si="11">CONCATENATE("||","SPR190613I52","|",A185,"|",B185,"|","Petición firmada por el Receptor","||")</f>
        <v>||SPR190613I52|10-03-2026 18:00:00|30001000000500003456|Petición firmada por el Receptor||</v>
      </c>
      <c r="O185" s="31" t="str">
        <f t="shared" si="10"/>
        <v>||NUTC880716DD4|PELL910719K92|8|30001000000500010956|Petición firmada por el Receptor||
||SPR190613I52|10-03-2026 18:00:00|30001000000500003456|Petición firmada por el Receptor||</v>
      </c>
    </row>
    <row r="186" spans="1:15" ht="29" x14ac:dyDescent="0.35">
      <c r="A186" s="28" t="s">
        <v>628</v>
      </c>
      <c r="B186" s="29" t="s">
        <v>627</v>
      </c>
      <c r="C186" s="20">
        <v>8</v>
      </c>
      <c r="D186" s="20" t="s">
        <v>500</v>
      </c>
      <c r="E186" s="16" t="s">
        <v>526</v>
      </c>
      <c r="F186" s="20">
        <v>610</v>
      </c>
      <c r="G186" s="26" t="s">
        <v>621</v>
      </c>
      <c r="H186" s="20" t="s">
        <v>298</v>
      </c>
      <c r="I186" s="20" t="s">
        <v>217</v>
      </c>
      <c r="J186" s="20">
        <v>443</v>
      </c>
      <c r="K186" s="20" t="s">
        <v>636</v>
      </c>
      <c r="L186" s="19"/>
      <c r="M186" s="25" t="str">
        <f t="shared" si="9"/>
        <v>||RAMP611019Q94|PELL910719K92|8|30001000000500010956|Petición firmada por el Receptor||</v>
      </c>
      <c r="N186" s="30" t="str">
        <f t="shared" si="11"/>
        <v>||SPR190613I52|10-03-2026 18:00:00|30001000000500003456|Petición firmada por el Receptor||</v>
      </c>
      <c r="O186" s="31" t="str">
        <f t="shared" si="10"/>
        <v>||RAMP611019Q94|PELL910719K92|8|30001000000500010956|Petición firmada por el Receptor||
||SPR190613I52|10-03-2026 18:00:00|30001000000500003456|Petición firmada por el Receptor||</v>
      </c>
    </row>
    <row r="187" spans="1:15" ht="29" x14ac:dyDescent="0.35">
      <c r="A187" s="28" t="s">
        <v>628</v>
      </c>
      <c r="B187" s="29" t="s">
        <v>627</v>
      </c>
      <c r="C187" s="20">
        <v>8</v>
      </c>
      <c r="D187" s="20" t="s">
        <v>381</v>
      </c>
      <c r="E187" s="16" t="s">
        <v>526</v>
      </c>
      <c r="F187" s="20">
        <v>611</v>
      </c>
      <c r="G187" s="26" t="s">
        <v>621</v>
      </c>
      <c r="H187" s="20" t="s">
        <v>298</v>
      </c>
      <c r="I187" s="20" t="s">
        <v>217</v>
      </c>
      <c r="J187" s="20">
        <v>647</v>
      </c>
      <c r="K187" s="20" t="s">
        <v>635</v>
      </c>
      <c r="L187" s="19"/>
      <c r="M187" s="25" t="str">
        <f t="shared" si="9"/>
        <v>||PECN650201TK3|PELL910719K92|8|30001000000500010956|Petición firmada por el Receptor||</v>
      </c>
      <c r="N187" s="30" t="str">
        <f t="shared" si="11"/>
        <v>||SPR190613I52|10-03-2026 18:00:00|30001000000500003456|Petición firmada por el Receptor||</v>
      </c>
      <c r="O187" s="31" t="str">
        <f t="shared" si="10"/>
        <v>||PECN650201TK3|PELL910719K92|8|30001000000500010956|Petición firmada por el Receptor||
||SPR190613I52|10-03-2026 18:00:00|30001000000500003456|Petición firmada por el Receptor||</v>
      </c>
    </row>
    <row r="188" spans="1:15" ht="29" x14ac:dyDescent="0.35">
      <c r="A188" s="28" t="s">
        <v>628</v>
      </c>
      <c r="B188" s="29" t="s">
        <v>627</v>
      </c>
      <c r="C188" s="20">
        <v>8</v>
      </c>
      <c r="D188" s="20" t="s">
        <v>608</v>
      </c>
      <c r="E188" s="16" t="s">
        <v>526</v>
      </c>
      <c r="F188" s="20">
        <v>614</v>
      </c>
      <c r="G188" s="26" t="s">
        <v>621</v>
      </c>
      <c r="H188" s="20" t="s">
        <v>298</v>
      </c>
      <c r="I188" s="20" t="s">
        <v>449</v>
      </c>
      <c r="J188" s="20">
        <v>907</v>
      </c>
      <c r="K188" s="20" t="s">
        <v>635</v>
      </c>
      <c r="L188" s="19"/>
      <c r="M188" s="25" t="str">
        <f t="shared" si="9"/>
        <v>||MOGR771202HE9|PELL910719K92|8|30001000000500010956|Petición firmada por el Receptor||</v>
      </c>
      <c r="N188" s="30" t="str">
        <f t="shared" si="11"/>
        <v>||SPR190613I52|10-03-2026 18:00:00|30001000000500003456|Petición firmada por el Receptor||</v>
      </c>
      <c r="O188" s="31" t="str">
        <f t="shared" si="10"/>
        <v>||MOGR771202HE9|PELL910719K92|8|30001000000500010956|Petición firmada por el Receptor||
||SPR190613I52|10-03-2026 18:00:00|30001000000500003456|Petición firmada por el Receptor||</v>
      </c>
    </row>
    <row r="189" spans="1:15" ht="29" x14ac:dyDescent="0.35">
      <c r="A189" s="28" t="s">
        <v>628</v>
      </c>
      <c r="B189" s="29" t="s">
        <v>627</v>
      </c>
      <c r="C189" s="20">
        <v>8</v>
      </c>
      <c r="D189" s="20" t="s">
        <v>501</v>
      </c>
      <c r="E189" s="16" t="s">
        <v>526</v>
      </c>
      <c r="F189" s="20">
        <v>612</v>
      </c>
      <c r="G189" s="26" t="s">
        <v>621</v>
      </c>
      <c r="H189" s="20" t="s">
        <v>298</v>
      </c>
      <c r="I189" s="20" t="s">
        <v>217</v>
      </c>
      <c r="J189" s="20">
        <v>907</v>
      </c>
      <c r="K189" s="20" t="s">
        <v>636</v>
      </c>
      <c r="L189" s="19"/>
      <c r="M189" s="25" t="str">
        <f t="shared" si="9"/>
        <v>||ROCK890119273|PELL910719K92|8|30001000000500010956|Petición firmada por el Receptor||</v>
      </c>
      <c r="N189" s="30" t="str">
        <f t="shared" si="11"/>
        <v>||SPR190613I52|10-03-2026 18:00:00|30001000000500003456|Petición firmada por el Receptor||</v>
      </c>
      <c r="O189" s="31" t="str">
        <f t="shared" si="10"/>
        <v>||ROCK890119273|PELL910719K92|8|30001000000500010956|Petición firmada por el Receptor||
||SPR190613I52|10-03-2026 18:00:00|30001000000500003456|Petición firmada por el Receptor||</v>
      </c>
    </row>
    <row r="190" spans="1:15" ht="29" x14ac:dyDescent="0.35">
      <c r="A190" s="28" t="s">
        <v>628</v>
      </c>
      <c r="B190" s="29" t="s">
        <v>627</v>
      </c>
      <c r="C190" s="20">
        <v>8</v>
      </c>
      <c r="D190" s="20" t="s">
        <v>380</v>
      </c>
      <c r="E190" s="16" t="s">
        <v>528</v>
      </c>
      <c r="F190" s="20">
        <v>614</v>
      </c>
      <c r="G190" s="26" t="s">
        <v>622</v>
      </c>
      <c r="H190" s="20" t="s">
        <v>298</v>
      </c>
      <c r="I190" s="20" t="s">
        <v>217</v>
      </c>
      <c r="J190" s="20">
        <v>907</v>
      </c>
      <c r="K190" s="20" t="s">
        <v>635</v>
      </c>
      <c r="L190" s="19"/>
      <c r="M190" s="25" t="str">
        <f t="shared" si="9"/>
        <v>||MEJN660116FJ9|AAOL860322NW8|8|30001000000500010951|Petición firmada por el Receptor||</v>
      </c>
      <c r="N190" s="30" t="str">
        <f t="shared" si="11"/>
        <v>||SPR190613I52|10-03-2026 18:00:00|30001000000500003456|Petición firmada por el Receptor||</v>
      </c>
      <c r="O190" s="31" t="str">
        <f t="shared" si="10"/>
        <v>||MEJN660116FJ9|AAOL860322NW8|8|30001000000500010951|Petición firmada por el Receptor||
||SPR190613I52|10-03-2026 18:00:00|30001000000500003456|Petición firmada por el Receptor||</v>
      </c>
    </row>
    <row r="191" spans="1:15" ht="29" x14ac:dyDescent="0.35">
      <c r="A191" s="28" t="s">
        <v>628</v>
      </c>
      <c r="B191" s="29" t="s">
        <v>627</v>
      </c>
      <c r="C191" s="20">
        <v>8</v>
      </c>
      <c r="D191" s="20" t="s">
        <v>447</v>
      </c>
      <c r="E191" s="16" t="s">
        <v>528</v>
      </c>
      <c r="F191" s="20">
        <v>616</v>
      </c>
      <c r="G191" s="26" t="s">
        <v>622</v>
      </c>
      <c r="H191" s="20" t="s">
        <v>298</v>
      </c>
      <c r="I191" s="20" t="s">
        <v>310</v>
      </c>
      <c r="J191" s="20" t="s">
        <v>298</v>
      </c>
      <c r="K191" s="20" t="s">
        <v>635</v>
      </c>
      <c r="L191" s="19"/>
      <c r="M191" s="25" t="str">
        <f t="shared" si="9"/>
        <v>||DOSJ730102D8A|AAOL860322NW8|8|30001000000500010951|Petición firmada por el Receptor||</v>
      </c>
      <c r="N191" s="30" t="str">
        <f t="shared" si="11"/>
        <v>||SPR190613I52|10-03-2026 18:00:00|30001000000500003456|Petición firmada por el Receptor||</v>
      </c>
      <c r="O191" s="31" t="str">
        <f t="shared" si="10"/>
        <v>||DOSJ730102D8A|AAOL860322NW8|8|30001000000500010951|Petición firmada por el Receptor||
||SPR190613I52|10-03-2026 18:00:00|30001000000500003456|Petición firmada por el Receptor||</v>
      </c>
    </row>
    <row r="192" spans="1:15" ht="29" x14ac:dyDescent="0.35">
      <c r="A192" s="28" t="s">
        <v>628</v>
      </c>
      <c r="B192" s="29" t="s">
        <v>627</v>
      </c>
      <c r="C192" s="20">
        <v>8</v>
      </c>
      <c r="D192" s="20" t="s">
        <v>502</v>
      </c>
      <c r="E192" s="16" t="s">
        <v>528</v>
      </c>
      <c r="F192" s="20">
        <v>610</v>
      </c>
      <c r="G192" s="26" t="s">
        <v>622</v>
      </c>
      <c r="H192" s="20" t="s">
        <v>298</v>
      </c>
      <c r="I192" s="20" t="s">
        <v>217</v>
      </c>
      <c r="J192" s="20">
        <v>885</v>
      </c>
      <c r="K192" s="20" t="s">
        <v>636</v>
      </c>
      <c r="L192" s="19"/>
      <c r="M192" s="25" t="str">
        <f t="shared" si="9"/>
        <v>||AESL870623D98|AAOL860322NW8|8|30001000000500010951|Petición firmada por el Receptor||</v>
      </c>
      <c r="N192" s="30" t="str">
        <f t="shared" si="11"/>
        <v>||SPR190613I52|10-03-2026 18:00:00|30001000000500003456|Petición firmada por el Receptor||</v>
      </c>
      <c r="O192" s="31" t="str">
        <f t="shared" si="10"/>
        <v>||AESL870623D98|AAOL860322NW8|8|30001000000500010951|Petición firmada por el Receptor||
||SPR190613I52|10-03-2026 18:00:00|30001000000500003456|Petición firmada por el Receptor||</v>
      </c>
    </row>
    <row r="193" spans="1:15" ht="29" x14ac:dyDescent="0.35">
      <c r="A193" s="28" t="s">
        <v>628</v>
      </c>
      <c r="B193" s="29" t="s">
        <v>627</v>
      </c>
      <c r="C193" s="20">
        <v>8</v>
      </c>
      <c r="D193" s="20" t="s">
        <v>369</v>
      </c>
      <c r="E193" s="16" t="s">
        <v>528</v>
      </c>
      <c r="F193" s="20">
        <v>616</v>
      </c>
      <c r="G193" s="26" t="s">
        <v>622</v>
      </c>
      <c r="H193" s="20" t="s">
        <v>298</v>
      </c>
      <c r="I193" s="20" t="s">
        <v>370</v>
      </c>
      <c r="J193" s="20" t="s">
        <v>298</v>
      </c>
      <c r="K193" s="20" t="s">
        <v>635</v>
      </c>
      <c r="L193" s="19"/>
      <c r="M193" s="25" t="str">
        <f t="shared" si="9"/>
        <v>||SACC831027B52|AAOL860322NW8|8|30001000000500010951|Petición firmada por el Receptor||</v>
      </c>
      <c r="N193" s="30" t="str">
        <f t="shared" si="11"/>
        <v>||SPR190613I52|10-03-2026 18:00:00|30001000000500003456|Petición firmada por el Receptor||</v>
      </c>
      <c r="O193" s="31" t="str">
        <f t="shared" si="10"/>
        <v>||SACC831027B52|AAOL860322NW8|8|30001000000500010951|Petición firmada por el Receptor||
||SPR190613I52|10-03-2026 18:00:00|30001000000500003456|Petición firmada por el Receptor||</v>
      </c>
    </row>
    <row r="194" spans="1:15" ht="29" x14ac:dyDescent="0.35">
      <c r="A194" s="28" t="s">
        <v>628</v>
      </c>
      <c r="B194" s="29" t="s">
        <v>627</v>
      </c>
      <c r="C194" s="20">
        <v>8</v>
      </c>
      <c r="D194" s="20" t="s">
        <v>450</v>
      </c>
      <c r="E194" s="16" t="s">
        <v>528</v>
      </c>
      <c r="F194" s="20">
        <v>615</v>
      </c>
      <c r="G194" s="26" t="s">
        <v>622</v>
      </c>
      <c r="H194" s="20" t="s">
        <v>298</v>
      </c>
      <c r="I194" s="20" t="s">
        <v>310</v>
      </c>
      <c r="J194" s="20" t="s">
        <v>298</v>
      </c>
      <c r="K194" s="20" t="s">
        <v>635</v>
      </c>
      <c r="L194" s="19"/>
      <c r="M194" s="25" t="str">
        <f t="shared" si="9"/>
        <v>||VEMA851004RV1|AAOL860322NW8|8|30001000000500010951|Petición firmada por el Receptor||</v>
      </c>
      <c r="N194" s="30" t="str">
        <f t="shared" si="11"/>
        <v>||SPR190613I52|10-03-2026 18:00:00|30001000000500003456|Petición firmada por el Receptor||</v>
      </c>
      <c r="O194" s="31" t="str">
        <f t="shared" si="10"/>
        <v>||VEMA851004RV1|AAOL860322NW8|8|30001000000500010951|Petición firmada por el Receptor||
||SPR190613I52|10-03-2026 18:00:00|30001000000500003456|Petición firmada por el Receptor||</v>
      </c>
    </row>
    <row r="195" spans="1:15" ht="29" x14ac:dyDescent="0.35">
      <c r="A195" s="28" t="s">
        <v>628</v>
      </c>
      <c r="B195" s="29" t="s">
        <v>627</v>
      </c>
      <c r="C195" s="20">
        <v>8</v>
      </c>
      <c r="D195" s="20" t="s">
        <v>503</v>
      </c>
      <c r="E195" s="16" t="s">
        <v>528</v>
      </c>
      <c r="F195" s="20">
        <v>612</v>
      </c>
      <c r="G195" s="26" t="s">
        <v>622</v>
      </c>
      <c r="H195" s="20" t="s">
        <v>298</v>
      </c>
      <c r="I195" s="20" t="s">
        <v>217</v>
      </c>
      <c r="J195" s="20">
        <v>885</v>
      </c>
      <c r="K195" s="20" t="s">
        <v>636</v>
      </c>
      <c r="L195" s="19"/>
      <c r="M195" s="25" t="str">
        <f t="shared" si="9"/>
        <v>||RASL900301UZ6|AAOL860322NW8|8|30001000000500010951|Petición firmada por el Receptor||</v>
      </c>
      <c r="N195" s="30" t="str">
        <f t="shared" si="11"/>
        <v>||SPR190613I52|10-03-2026 18:00:00|30001000000500003456|Petición firmada por el Receptor||</v>
      </c>
      <c r="O195" s="31" t="str">
        <f t="shared" si="10"/>
        <v>||RASL900301UZ6|AAOL860322NW8|8|30001000000500010951|Petición firmada por el Receptor||
||SPR190613I52|10-03-2026 18:00:00|30001000000500003456|Petición firmada por el Receptor||</v>
      </c>
    </row>
    <row r="196" spans="1:15" ht="29" x14ac:dyDescent="0.35">
      <c r="A196" s="28" t="s">
        <v>628</v>
      </c>
      <c r="B196" s="29" t="s">
        <v>627</v>
      </c>
      <c r="C196" s="20">
        <v>8</v>
      </c>
      <c r="D196" s="20" t="s">
        <v>382</v>
      </c>
      <c r="E196" s="16" t="s">
        <v>528</v>
      </c>
      <c r="F196" s="20">
        <v>615</v>
      </c>
      <c r="G196" s="26" t="s">
        <v>622</v>
      </c>
      <c r="H196" s="20" t="s">
        <v>298</v>
      </c>
      <c r="I196" s="20" t="s">
        <v>217</v>
      </c>
      <c r="J196" s="20">
        <v>911</v>
      </c>
      <c r="K196" s="20" t="s">
        <v>635</v>
      </c>
      <c r="L196" s="19"/>
      <c r="M196" s="25" t="str">
        <f t="shared" si="9"/>
        <v>||PEIN730415NJ0|AAOL860322NW8|8|30001000000500010951|Petición firmada por el Receptor||</v>
      </c>
      <c r="N196" s="30" t="str">
        <f t="shared" si="11"/>
        <v>||SPR190613I52|10-03-2026 18:00:00|30001000000500003456|Petición firmada por el Receptor||</v>
      </c>
      <c r="O196" s="31" t="str">
        <f t="shared" si="10"/>
        <v>||PEIN730415NJ0|AAOL860322NW8|8|30001000000500010951|Petición firmada por el Receptor||
||SPR190613I52|10-03-2026 18:00:00|30001000000500003456|Petición firmada por el Receptor||</v>
      </c>
    </row>
    <row r="197" spans="1:15" ht="29" x14ac:dyDescent="0.35">
      <c r="A197" s="28" t="s">
        <v>628</v>
      </c>
      <c r="B197" s="29" t="s">
        <v>627</v>
      </c>
      <c r="C197" s="33">
        <v>9</v>
      </c>
      <c r="D197" s="20" t="s">
        <v>461</v>
      </c>
      <c r="E197" s="16" t="s">
        <v>528</v>
      </c>
      <c r="F197" s="20">
        <v>612</v>
      </c>
      <c r="G197" s="26" t="s">
        <v>622</v>
      </c>
      <c r="H197" s="20" t="s">
        <v>298</v>
      </c>
      <c r="I197" s="20" t="s">
        <v>217</v>
      </c>
      <c r="J197" s="20">
        <v>632</v>
      </c>
      <c r="K197" s="20" t="s">
        <v>635</v>
      </c>
      <c r="L197" s="19"/>
      <c r="M197" s="25" t="str">
        <f t="shared" si="9"/>
        <v>||NEGA880410498|AAOL860322NW8|9|30001000000500010951|Petición firmada por el Receptor||</v>
      </c>
      <c r="N197" s="30" t="str">
        <f t="shared" si="11"/>
        <v>||SPR190613I52|10-03-2026 18:00:00|30001000000500003456|Petición firmada por el Receptor||</v>
      </c>
      <c r="O197" s="31" t="str">
        <f t="shared" si="10"/>
        <v>||NEGA880410498|AAOL860322NW8|9|30001000000500010951|Petición firmada por el Receptor||
||SPR190613I52|10-03-2026 18:00:00|30001000000500003456|Petición firmada por el Receptor||</v>
      </c>
    </row>
    <row r="198" spans="1:15" ht="29" x14ac:dyDescent="0.35">
      <c r="A198" s="28" t="s">
        <v>628</v>
      </c>
      <c r="B198" s="29" t="s">
        <v>627</v>
      </c>
      <c r="C198" s="33">
        <v>9</v>
      </c>
      <c r="D198" s="20" t="s">
        <v>504</v>
      </c>
      <c r="E198" s="16" t="s">
        <v>528</v>
      </c>
      <c r="F198" s="20">
        <v>612</v>
      </c>
      <c r="G198" s="26" t="s">
        <v>622</v>
      </c>
      <c r="H198" s="20" t="s">
        <v>298</v>
      </c>
      <c r="I198" s="20" t="s">
        <v>217</v>
      </c>
      <c r="J198" s="20">
        <v>603</v>
      </c>
      <c r="K198" s="20" t="s">
        <v>636</v>
      </c>
      <c r="L198" s="19"/>
      <c r="M198" s="25" t="str">
        <f t="shared" si="9"/>
        <v>||GODA850130SC6|AAOL860322NW8|9|30001000000500010951|Petición firmada por el Receptor||</v>
      </c>
      <c r="N198" s="30" t="str">
        <f t="shared" si="11"/>
        <v>||SPR190613I52|10-03-2026 18:00:00|30001000000500003456|Petición firmada por el Receptor||</v>
      </c>
      <c r="O198" s="31" t="str">
        <f t="shared" si="10"/>
        <v>||GODA850130SC6|AAOL860322NW8|9|30001000000500010951|Petición firmada por el Receptor||
||SPR190613I52|10-03-2026 18:00:00|30001000000500003456|Petición firmada por el Receptor||</v>
      </c>
    </row>
    <row r="199" spans="1:15" ht="29" x14ac:dyDescent="0.35">
      <c r="A199" s="28" t="s">
        <v>628</v>
      </c>
      <c r="B199" s="29" t="s">
        <v>627</v>
      </c>
      <c r="C199" s="33">
        <v>9</v>
      </c>
      <c r="D199" s="20" t="s">
        <v>383</v>
      </c>
      <c r="E199" s="16" t="s">
        <v>528</v>
      </c>
      <c r="F199" s="20">
        <v>612</v>
      </c>
      <c r="G199" s="26" t="s">
        <v>622</v>
      </c>
      <c r="H199" s="20" t="s">
        <v>298</v>
      </c>
      <c r="I199" s="20" t="s">
        <v>384</v>
      </c>
      <c r="J199" s="20">
        <v>632</v>
      </c>
      <c r="K199" s="20" t="s">
        <v>635</v>
      </c>
      <c r="L199" s="19"/>
      <c r="M199" s="25" t="str">
        <f t="shared" si="9"/>
        <v>||BACF891210PH0|AAOL860322NW8|9|30001000000500010951|Petición firmada por el Receptor||</v>
      </c>
      <c r="N199" s="30" t="str">
        <f t="shared" si="11"/>
        <v>||SPR190613I52|10-03-2026 18:00:00|30001000000500003456|Petición firmada por el Receptor||</v>
      </c>
      <c r="O199" s="31" t="str">
        <f t="shared" si="10"/>
        <v>||BACF891210PH0|AAOL860322NW8|9|30001000000500010951|Petición firmada por el Receptor||
||SPR190613I52|10-03-2026 18:00:00|30001000000500003456|Petición firmada por el Receptor||</v>
      </c>
    </row>
    <row r="200" spans="1:15" ht="29" x14ac:dyDescent="0.35">
      <c r="A200" s="28" t="s">
        <v>628</v>
      </c>
      <c r="B200" s="29" t="s">
        <v>627</v>
      </c>
      <c r="C200" s="20">
        <v>9</v>
      </c>
      <c r="D200" s="20" t="s">
        <v>463</v>
      </c>
      <c r="E200" s="16" t="s">
        <v>528</v>
      </c>
      <c r="F200" s="20">
        <v>621</v>
      </c>
      <c r="G200" s="26" t="s">
        <v>622</v>
      </c>
      <c r="H200" s="20" t="s">
        <v>298</v>
      </c>
      <c r="I200" s="20" t="s">
        <v>217</v>
      </c>
      <c r="J200" s="20" t="s">
        <v>453</v>
      </c>
      <c r="K200" s="20" t="s">
        <v>635</v>
      </c>
      <c r="L200" s="19"/>
      <c r="M200" s="25" t="str">
        <f t="shared" si="9"/>
        <v>||VECA921119HD1|AAOL860322NW8|9|30001000000500010951|Petición firmada por el Receptor||</v>
      </c>
      <c r="N200" s="30" t="str">
        <f t="shared" si="11"/>
        <v>||SPR190613I52|10-03-2026 18:00:00|30001000000500003456|Petición firmada por el Receptor||</v>
      </c>
      <c r="O200" s="31" t="str">
        <f t="shared" si="10"/>
        <v>||VECA921119HD1|AAOL860322NW8|9|30001000000500010951|Petición firmada por el Receptor||
||SPR190613I52|10-03-2026 18:00:00|30001000000500003456|Petición firmada por el Receptor||</v>
      </c>
    </row>
    <row r="201" spans="1:15" ht="29" x14ac:dyDescent="0.35">
      <c r="A201" s="28" t="s">
        <v>628</v>
      </c>
      <c r="B201" s="29" t="s">
        <v>627</v>
      </c>
      <c r="C201" s="20">
        <v>9</v>
      </c>
      <c r="D201" s="20" t="s">
        <v>505</v>
      </c>
      <c r="E201" s="16" t="s">
        <v>528</v>
      </c>
      <c r="F201" s="20">
        <v>621</v>
      </c>
      <c r="G201" s="26" t="s">
        <v>622</v>
      </c>
      <c r="H201" s="20" t="s">
        <v>298</v>
      </c>
      <c r="I201" s="20" t="s">
        <v>217</v>
      </c>
      <c r="J201" s="20">
        <v>462</v>
      </c>
      <c r="K201" s="20" t="s">
        <v>636</v>
      </c>
      <c r="L201" s="19"/>
      <c r="M201" s="25" t="str">
        <f t="shared" si="9"/>
        <v>||MOCK940425PP6|AAOL860322NW8|9|30001000000500010951|Petición firmada por el Receptor||</v>
      </c>
      <c r="N201" s="30" t="str">
        <f t="shared" si="11"/>
        <v>||SPR190613I52|10-03-2026 18:00:00|30001000000500003456|Petición firmada por el Receptor||</v>
      </c>
      <c r="O201" s="31" t="str">
        <f t="shared" si="10"/>
        <v>||MOCK940425PP6|AAOL860322NW8|9|30001000000500010951|Petición firmada por el Receptor||
||SPR190613I52|10-03-2026 18:00:00|30001000000500003456|Petición firmada por el Receptor||</v>
      </c>
    </row>
    <row r="202" spans="1:15" ht="29" x14ac:dyDescent="0.35">
      <c r="A202" s="28" t="s">
        <v>628</v>
      </c>
      <c r="B202" s="29" t="s">
        <v>627</v>
      </c>
      <c r="C202" s="20">
        <v>9</v>
      </c>
      <c r="D202" s="20" t="s">
        <v>385</v>
      </c>
      <c r="E202" s="16" t="s">
        <v>528</v>
      </c>
      <c r="F202" s="20">
        <v>621</v>
      </c>
      <c r="G202" s="26" t="s">
        <v>622</v>
      </c>
      <c r="H202" s="20">
        <v>3</v>
      </c>
      <c r="I202" s="20" t="s">
        <v>217</v>
      </c>
      <c r="J202" s="20">
        <v>632</v>
      </c>
      <c r="K202" s="20" t="s">
        <v>635</v>
      </c>
      <c r="L202" s="19"/>
      <c r="M202" s="25" t="str">
        <f t="shared" si="9"/>
        <v>||COMB811017PUA|AAOL860322NW8|9|30001000000500010951|Petición firmada por el Receptor||</v>
      </c>
      <c r="N202" s="30" t="str">
        <f t="shared" si="11"/>
        <v>||SPR190613I52|10-03-2026 18:00:00|30001000000500003456|Petición firmada por el Receptor||</v>
      </c>
      <c r="O202" s="31" t="str">
        <f t="shared" si="10"/>
        <v>||COMB811017PUA|AAOL860322NW8|9|30001000000500010951|Petición firmada por el Receptor||
||SPR190613I52|10-03-2026 18:00:00|30001000000500003456|Petición firmada por el Receptor||</v>
      </c>
    </row>
    <row r="203" spans="1:15" ht="29" x14ac:dyDescent="0.35">
      <c r="A203" s="28" t="s">
        <v>628</v>
      </c>
      <c r="B203" s="29" t="s">
        <v>627</v>
      </c>
      <c r="C203" s="20">
        <v>9</v>
      </c>
      <c r="D203" s="20" t="s">
        <v>451</v>
      </c>
      <c r="E203" s="16" t="s">
        <v>528</v>
      </c>
      <c r="F203" s="20">
        <v>626</v>
      </c>
      <c r="G203" s="26" t="s">
        <v>622</v>
      </c>
      <c r="H203" s="20" t="s">
        <v>298</v>
      </c>
      <c r="I203" s="20" t="s">
        <v>217</v>
      </c>
      <c r="J203" s="20" t="s">
        <v>452</v>
      </c>
      <c r="K203" s="20" t="s">
        <v>635</v>
      </c>
      <c r="L203" s="19"/>
      <c r="M203" s="25" t="str">
        <f t="shared" si="9"/>
        <v>||VEBA9501271P9|AAOL860322NW8|9|30001000000500010951|Petición firmada por el Receptor||</v>
      </c>
      <c r="N203" s="30" t="str">
        <f t="shared" si="11"/>
        <v>||SPR190613I52|10-03-2026 18:00:00|30001000000500003456|Petición firmada por el Receptor||</v>
      </c>
      <c r="O203" s="31" t="str">
        <f t="shared" si="10"/>
        <v>||VEBA9501271P9|AAOL860322NW8|9|30001000000500010951|Petición firmada por el Receptor||
||SPR190613I52|10-03-2026 18:00:00|30001000000500003456|Petición firmada por el Receptor||</v>
      </c>
    </row>
    <row r="204" spans="1:15" ht="29" x14ac:dyDescent="0.35">
      <c r="A204" s="28" t="s">
        <v>628</v>
      </c>
      <c r="B204" s="29" t="s">
        <v>627</v>
      </c>
      <c r="C204" s="20">
        <v>9</v>
      </c>
      <c r="D204" s="20" t="s">
        <v>508</v>
      </c>
      <c r="E204" s="16" t="s">
        <v>528</v>
      </c>
      <c r="F204" s="20">
        <v>626</v>
      </c>
      <c r="G204" s="26" t="s">
        <v>622</v>
      </c>
      <c r="H204" s="20" t="s">
        <v>298</v>
      </c>
      <c r="I204" s="20" t="s">
        <v>217</v>
      </c>
      <c r="J204" s="20">
        <v>975</v>
      </c>
      <c r="K204" s="20" t="s">
        <v>636</v>
      </c>
      <c r="L204" s="19"/>
      <c r="M204" s="25" t="str">
        <f t="shared" si="9"/>
        <v>||RASA760107GP7|AAOL860322NW8|9|30001000000500010951|Petición firmada por el Receptor||</v>
      </c>
      <c r="N204" s="30" t="str">
        <f t="shared" si="11"/>
        <v>||SPR190613I52|10-03-2026 18:00:00|30001000000500003456|Petición firmada por el Receptor||</v>
      </c>
      <c r="O204" s="31" t="str">
        <f t="shared" si="10"/>
        <v>||RASA760107GP7|AAOL860322NW8|9|30001000000500010951|Petición firmada por el Receptor||
||SPR190613I52|10-03-2026 18:00:00|30001000000500003456|Petición firmada por el Receptor||</v>
      </c>
    </row>
    <row r="205" spans="1:15" ht="58" x14ac:dyDescent="0.35">
      <c r="A205" s="28" t="s">
        <v>628</v>
      </c>
      <c r="B205" s="29" t="s">
        <v>627</v>
      </c>
      <c r="C205" s="20">
        <v>9</v>
      </c>
      <c r="D205" s="20" t="s">
        <v>464</v>
      </c>
      <c r="E205" s="16" t="s">
        <v>528</v>
      </c>
      <c r="F205" s="20">
        <v>626</v>
      </c>
      <c r="G205" s="26" t="s">
        <v>622</v>
      </c>
      <c r="H205" s="20" t="s">
        <v>298</v>
      </c>
      <c r="I205" s="20" t="s">
        <v>217</v>
      </c>
      <c r="J205" s="20" t="s">
        <v>506</v>
      </c>
      <c r="K205" s="20" t="s">
        <v>635</v>
      </c>
      <c r="L205" s="19"/>
      <c r="M205" s="25" t="str">
        <f t="shared" ref="M205:M216" si="12">CONCATENATE("||",D205,"|",E205,"|",C205,"|",G205,"|","Petición firmada por el Receptor","||")</f>
        <v>||MEVE861019DK6|AAOL860322NW8|9|30001000000500010951|Petición firmada por el Receptor||</v>
      </c>
      <c r="N205" s="30" t="str">
        <f t="shared" si="11"/>
        <v>||SPR190613I52|10-03-2026 18:00:00|30001000000500003456|Petición firmada por el Receptor||</v>
      </c>
      <c r="O205" s="31" t="str">
        <f t="shared" si="10"/>
        <v>||MEVE861019DK6|AAOL860322NW8|9|30001000000500010951|Petición firmada por el Receptor||
||SPR190613I52|10-03-2026 18:00:00|30001000000500003456|Petición firmada por el Receptor||</v>
      </c>
    </row>
    <row r="206" spans="1:15" ht="29" x14ac:dyDescent="0.35">
      <c r="A206" s="28" t="s">
        <v>628</v>
      </c>
      <c r="B206" s="29" t="s">
        <v>627</v>
      </c>
      <c r="C206" s="20">
        <v>9</v>
      </c>
      <c r="D206" s="20" t="s">
        <v>386</v>
      </c>
      <c r="E206" s="16" t="s">
        <v>528</v>
      </c>
      <c r="F206" s="20">
        <v>626</v>
      </c>
      <c r="G206" s="26" t="s">
        <v>622</v>
      </c>
      <c r="H206" s="20" t="s">
        <v>298</v>
      </c>
      <c r="I206" s="20" t="s">
        <v>310</v>
      </c>
      <c r="J206" s="20">
        <v>632</v>
      </c>
      <c r="K206" s="20" t="s">
        <v>635</v>
      </c>
      <c r="L206" s="19"/>
      <c r="M206" s="25" t="str">
        <f t="shared" si="12"/>
        <v>||COBB941002HL5|AAOL860322NW8|9|30001000000500010951|Petición firmada por el Receptor||</v>
      </c>
      <c r="N206" s="30" t="str">
        <f t="shared" si="11"/>
        <v>||SPR190613I52|10-03-2026 18:00:00|30001000000500003456|Petición firmada por el Receptor||</v>
      </c>
      <c r="O206" s="31" t="str">
        <f t="shared" si="10"/>
        <v>||COBB941002HL5|AAOL860322NW8|9|30001000000500010951|Petición firmada por el Receptor||
||SPR190613I52|10-03-2026 18:00:00|30001000000500003456|Petición firmada por el Receptor||</v>
      </c>
    </row>
    <row r="207" spans="1:15" ht="29" x14ac:dyDescent="0.35">
      <c r="A207" s="28" t="s">
        <v>628</v>
      </c>
      <c r="B207" s="29" t="s">
        <v>627</v>
      </c>
      <c r="C207" s="33">
        <v>10</v>
      </c>
      <c r="D207" s="20" t="s">
        <v>457</v>
      </c>
      <c r="E207" s="16" t="s">
        <v>528</v>
      </c>
      <c r="F207" s="20">
        <v>612</v>
      </c>
      <c r="G207" s="26" t="s">
        <v>622</v>
      </c>
      <c r="H207" s="20" t="s">
        <v>298</v>
      </c>
      <c r="I207" s="20">
        <v>300155</v>
      </c>
      <c r="J207" s="20" t="s">
        <v>458</v>
      </c>
      <c r="K207" s="20" t="s">
        <v>635</v>
      </c>
      <c r="L207" s="19"/>
      <c r="M207" s="25" t="str">
        <f t="shared" si="12"/>
        <v>||VEEA9302069E0|AAOL860322NW8|10|30001000000500010951|Petición firmada por el Receptor||</v>
      </c>
      <c r="N207" s="30" t="str">
        <f t="shared" si="11"/>
        <v>||SPR190613I52|10-03-2026 18:00:00|30001000000500003456|Petición firmada por el Receptor||</v>
      </c>
      <c r="O207" s="31" t="str">
        <f t="shared" si="10"/>
        <v>||VEEA9302069E0|AAOL860322NW8|10|30001000000500010951|Petición firmada por el Receptor||
||SPR190613I52|10-03-2026 18:00:00|30001000000500003456|Petición firmada por el Receptor||</v>
      </c>
    </row>
    <row r="208" spans="1:15" ht="29" x14ac:dyDescent="0.35">
      <c r="A208" s="28" t="s">
        <v>628</v>
      </c>
      <c r="B208" s="29" t="s">
        <v>627</v>
      </c>
      <c r="C208" s="33">
        <v>10</v>
      </c>
      <c r="D208" s="20" t="s">
        <v>509</v>
      </c>
      <c r="E208" s="16" t="s">
        <v>528</v>
      </c>
      <c r="F208" s="20">
        <v>616</v>
      </c>
      <c r="G208" s="26" t="s">
        <v>622</v>
      </c>
      <c r="H208" s="20" t="s">
        <v>298</v>
      </c>
      <c r="I208" s="20" t="s">
        <v>346</v>
      </c>
      <c r="J208" s="20">
        <v>632</v>
      </c>
      <c r="K208" s="20" t="s">
        <v>636</v>
      </c>
      <c r="L208" s="19"/>
      <c r="M208" s="25" t="str">
        <f t="shared" si="12"/>
        <v>||MOMK921104BF4|AAOL860322NW8|10|30001000000500010951|Petición firmada por el Receptor||</v>
      </c>
      <c r="N208" s="30" t="str">
        <f t="shared" si="11"/>
        <v>||SPR190613I52|10-03-2026 18:00:00|30001000000500003456|Petición firmada por el Receptor||</v>
      </c>
      <c r="O208" s="31" t="str">
        <f t="shared" si="10"/>
        <v>||MOMK921104BF4|AAOL860322NW8|10|30001000000500010951|Petición firmada por el Receptor||
||SPR190613I52|10-03-2026 18:00:00|30001000000500003456|Petición firmada por el Receptor||</v>
      </c>
    </row>
    <row r="209" spans="1:15" ht="29" x14ac:dyDescent="0.35">
      <c r="A209" s="28" t="s">
        <v>628</v>
      </c>
      <c r="B209" s="29" t="s">
        <v>627</v>
      </c>
      <c r="C209" s="33">
        <v>10</v>
      </c>
      <c r="D209" s="20" t="s">
        <v>387</v>
      </c>
      <c r="E209" s="16" t="s">
        <v>528</v>
      </c>
      <c r="F209" s="20">
        <v>612</v>
      </c>
      <c r="G209" s="26" t="s">
        <v>622</v>
      </c>
      <c r="H209" s="20" t="s">
        <v>298</v>
      </c>
      <c r="I209" s="20" t="s">
        <v>217</v>
      </c>
      <c r="J209" s="20">
        <v>632</v>
      </c>
      <c r="K209" s="20" t="s">
        <v>635</v>
      </c>
      <c r="L209" s="19"/>
      <c r="M209" s="25" t="str">
        <f t="shared" si="12"/>
        <v>||LADB9205132N5|AAOL860322NW8|10|30001000000500010951|Petición firmada por el Receptor||</v>
      </c>
      <c r="N209" s="30" t="str">
        <f t="shared" si="11"/>
        <v>||SPR190613I52|10-03-2026 18:00:00|30001000000500003456|Petición firmada por el Receptor||</v>
      </c>
      <c r="O209" s="31" t="str">
        <f t="shared" si="10"/>
        <v>||LADB9205132N5|AAOL860322NW8|10|30001000000500010951|Petición firmada por el Receptor||
||SPR190613I52|10-03-2026 18:00:00|30001000000500003456|Petición firmada por el Receptor||</v>
      </c>
    </row>
    <row r="210" spans="1:15" ht="29" x14ac:dyDescent="0.35">
      <c r="A210" s="28" t="s">
        <v>628</v>
      </c>
      <c r="B210" s="29" t="s">
        <v>627</v>
      </c>
      <c r="C210" s="20">
        <v>10</v>
      </c>
      <c r="D210" s="20" t="s">
        <v>454</v>
      </c>
      <c r="E210" s="16" t="s">
        <v>528</v>
      </c>
      <c r="F210" s="20">
        <v>621</v>
      </c>
      <c r="G210" s="26" t="s">
        <v>622</v>
      </c>
      <c r="H210" s="20" t="s">
        <v>298</v>
      </c>
      <c r="I210" s="20" t="s">
        <v>455</v>
      </c>
      <c r="J210" s="20" t="s">
        <v>456</v>
      </c>
      <c r="K210" s="20" t="s">
        <v>635</v>
      </c>
      <c r="L210" s="19"/>
      <c r="M210" s="25" t="str">
        <f t="shared" si="12"/>
        <v>||OECB620119A17|AAOL860322NW8|10|30001000000500010951|Petición firmada por el Receptor||</v>
      </c>
      <c r="N210" s="30" t="str">
        <f t="shared" si="11"/>
        <v>||SPR190613I52|10-03-2026 18:00:00|30001000000500003456|Petición firmada por el Receptor||</v>
      </c>
      <c r="O210" s="31" t="str">
        <f t="shared" si="10"/>
        <v>||OECB620119A17|AAOL860322NW8|10|30001000000500010951|Petición firmada por el Receptor||
||SPR190613I52|10-03-2026 18:00:00|30001000000500003456|Petición firmada por el Receptor||</v>
      </c>
    </row>
    <row r="211" spans="1:15" ht="29" x14ac:dyDescent="0.35">
      <c r="A211" s="28" t="s">
        <v>628</v>
      </c>
      <c r="B211" s="29" t="s">
        <v>627</v>
      </c>
      <c r="C211" s="20">
        <v>10</v>
      </c>
      <c r="D211" s="20" t="s">
        <v>510</v>
      </c>
      <c r="E211" s="16" t="s">
        <v>528</v>
      </c>
      <c r="F211" s="20">
        <v>621</v>
      </c>
      <c r="G211" s="26" t="s">
        <v>622</v>
      </c>
      <c r="H211" s="20" t="s">
        <v>298</v>
      </c>
      <c r="I211" s="20" t="s">
        <v>346</v>
      </c>
      <c r="J211" s="20" t="s">
        <v>298</v>
      </c>
      <c r="K211" s="20" t="s">
        <v>636</v>
      </c>
      <c r="L211" s="19"/>
      <c r="M211" s="25" t="str">
        <f t="shared" si="12"/>
        <v>||MOBK9201138K9|AAOL860322NW8|10|30001000000500010951|Petición firmada por el Receptor||</v>
      </c>
      <c r="N211" s="30" t="str">
        <f t="shared" si="11"/>
        <v>||SPR190613I52|10-03-2026 18:00:00|30001000000500003456|Petición firmada por el Receptor||</v>
      </c>
      <c r="O211" s="31" t="str">
        <f t="shared" si="10"/>
        <v>||MOBK9201138K9|AAOL860322NW8|10|30001000000500010951|Petición firmada por el Receptor||
||SPR190613I52|10-03-2026 18:00:00|30001000000500003456|Petición firmada por el Receptor||</v>
      </c>
    </row>
    <row r="212" spans="1:15" ht="29" x14ac:dyDescent="0.35">
      <c r="A212" s="28" t="s">
        <v>628</v>
      </c>
      <c r="B212" s="29" t="s">
        <v>627</v>
      </c>
      <c r="C212" s="20">
        <v>10</v>
      </c>
      <c r="D212" s="20" t="s">
        <v>388</v>
      </c>
      <c r="E212" s="16" t="s">
        <v>528</v>
      </c>
      <c r="F212" s="20">
        <v>621</v>
      </c>
      <c r="G212" s="26" t="s">
        <v>622</v>
      </c>
      <c r="H212" s="20" t="s">
        <v>298</v>
      </c>
      <c r="I212" s="20" t="s">
        <v>217</v>
      </c>
      <c r="J212" s="20">
        <v>632</v>
      </c>
      <c r="K212" s="20" t="s">
        <v>635</v>
      </c>
      <c r="L212" s="19"/>
      <c r="M212" s="25" t="str">
        <f t="shared" si="12"/>
        <v>||BECE870824R19|AAOL860322NW8|10|30001000000500010951|Petición firmada por el Receptor||</v>
      </c>
      <c r="N212" s="30" t="str">
        <f t="shared" si="11"/>
        <v>||SPR190613I52|10-03-2026 18:00:00|30001000000500003456|Petición firmada por el Receptor||</v>
      </c>
      <c r="O212" s="31" t="str">
        <f t="shared" si="10"/>
        <v>||BECE870824R19|AAOL860322NW8|10|30001000000500010951|Petición firmada por el Receptor||
||SPR190613I52|10-03-2026 18:00:00|30001000000500003456|Petición firmada por el Receptor||</v>
      </c>
    </row>
    <row r="213" spans="1:15" ht="29" x14ac:dyDescent="0.35">
      <c r="A213" s="28" t="s">
        <v>628</v>
      </c>
      <c r="B213" s="29" t="s">
        <v>627</v>
      </c>
      <c r="C213" s="20">
        <v>10</v>
      </c>
      <c r="D213" s="20" t="s">
        <v>459</v>
      </c>
      <c r="E213" s="16" t="s">
        <v>528</v>
      </c>
      <c r="F213" s="20">
        <v>626</v>
      </c>
      <c r="G213" s="26" t="s">
        <v>622</v>
      </c>
      <c r="H213" s="20" t="s">
        <v>298</v>
      </c>
      <c r="I213" s="20" t="s">
        <v>217</v>
      </c>
      <c r="J213" s="20" t="s">
        <v>460</v>
      </c>
      <c r="K213" s="20" t="s">
        <v>635</v>
      </c>
      <c r="L213" s="19"/>
      <c r="M213" s="25" t="str">
        <f t="shared" si="12"/>
        <v>||NOTD8302237B0|AAOL860322NW8|10|30001000000500010951|Petición firmada por el Receptor||</v>
      </c>
      <c r="N213" s="30" t="str">
        <f t="shared" si="11"/>
        <v>||SPR190613I52|10-03-2026 18:00:00|30001000000500003456|Petición firmada por el Receptor||</v>
      </c>
      <c r="O213" s="31" t="str">
        <f t="shared" si="10"/>
        <v>||NOTD8302237B0|AAOL860322NW8|10|30001000000500010951|Petición firmada por el Receptor||
||SPR190613I52|10-03-2026 18:00:00|30001000000500003456|Petición firmada por el Receptor||</v>
      </c>
    </row>
    <row r="214" spans="1:15" ht="43.5" x14ac:dyDescent="0.35">
      <c r="A214" s="28" t="s">
        <v>628</v>
      </c>
      <c r="B214" s="29" t="s">
        <v>627</v>
      </c>
      <c r="C214" s="20">
        <v>10</v>
      </c>
      <c r="D214" s="20" t="s">
        <v>511</v>
      </c>
      <c r="E214" s="16" t="s">
        <v>528</v>
      </c>
      <c r="F214" s="20">
        <v>626</v>
      </c>
      <c r="G214" s="26" t="s">
        <v>622</v>
      </c>
      <c r="H214" s="20" t="s">
        <v>298</v>
      </c>
      <c r="I214" s="20" t="s">
        <v>217</v>
      </c>
      <c r="J214" s="20" t="s">
        <v>512</v>
      </c>
      <c r="K214" s="20" t="s">
        <v>635</v>
      </c>
      <c r="L214" s="19"/>
      <c r="M214" s="25" t="str">
        <f t="shared" si="12"/>
        <v>||RACE841013CR3|AAOL860322NW8|10|30001000000500010951|Petición firmada por el Receptor||</v>
      </c>
      <c r="N214" s="30" t="str">
        <f t="shared" si="11"/>
        <v>||SPR190613I52|10-03-2026 18:00:00|30001000000500003456|Petición firmada por el Receptor||</v>
      </c>
      <c r="O214" s="31" t="str">
        <f t="shared" si="10"/>
        <v>||RACE841013CR3|AAOL860322NW8|10|30001000000500010951|Petición firmada por el Receptor||
||SPR190613I52|10-03-2026 18:00:00|30001000000500003456|Petición firmada por el Receptor||</v>
      </c>
    </row>
    <row r="215" spans="1:15" ht="29" x14ac:dyDescent="0.35">
      <c r="A215" s="28" t="s">
        <v>628</v>
      </c>
      <c r="B215" s="29" t="s">
        <v>627</v>
      </c>
      <c r="C215" s="20">
        <v>10</v>
      </c>
      <c r="D215" s="20" t="s">
        <v>389</v>
      </c>
      <c r="E215" s="16" t="s">
        <v>528</v>
      </c>
      <c r="F215" s="20">
        <v>626</v>
      </c>
      <c r="G215" s="26" t="s">
        <v>622</v>
      </c>
      <c r="H215" s="20" t="s">
        <v>298</v>
      </c>
      <c r="I215" s="20">
        <v>300155</v>
      </c>
      <c r="J215" s="20">
        <v>632</v>
      </c>
      <c r="K215" s="20" t="s">
        <v>635</v>
      </c>
      <c r="L215" s="19"/>
      <c r="M215" s="25" t="str">
        <f t="shared" si="12"/>
        <v>||GOHK9511044X8|AAOL860322NW8|10|30001000000500010951|Petición firmada por el Receptor||</v>
      </c>
      <c r="N215" s="30" t="str">
        <f t="shared" si="11"/>
        <v>||SPR190613I52|10-03-2026 18:00:00|30001000000500003456|Petición firmada por el Receptor||</v>
      </c>
      <c r="O215" s="31" t="str">
        <f t="shared" si="10"/>
        <v>||GOHK9511044X8|AAOL860322NW8|10|30001000000500010951|Petición firmada por el Receptor||
||SPR190613I52|10-03-2026 18:00:00|30001000000500003456|Petición firmada por el Receptor||</v>
      </c>
    </row>
    <row r="216" spans="1:15" ht="72.5" x14ac:dyDescent="0.35">
      <c r="A216" s="28" t="s">
        <v>628</v>
      </c>
      <c r="B216" s="29" t="s">
        <v>627</v>
      </c>
      <c r="C216" s="20">
        <v>10</v>
      </c>
      <c r="D216" s="16" t="s">
        <v>462</v>
      </c>
      <c r="E216" s="16" t="s">
        <v>528</v>
      </c>
      <c r="F216" s="16">
        <v>626</v>
      </c>
      <c r="G216" s="26" t="s">
        <v>622</v>
      </c>
      <c r="H216" s="20" t="s">
        <v>298</v>
      </c>
      <c r="I216" s="20" t="s">
        <v>217</v>
      </c>
      <c r="J216" s="20" t="s">
        <v>507</v>
      </c>
      <c r="K216" s="20" t="s">
        <v>635</v>
      </c>
      <c r="M216" s="25" t="str">
        <f t="shared" si="12"/>
        <v>||CAUI830917RA5|AAOL860322NW8|10|30001000000500010951|Petición firmada por el Receptor||</v>
      </c>
      <c r="N216" s="30" t="str">
        <f t="shared" si="11"/>
        <v>||SPR190613I52|10-03-2026 18:00:00|30001000000500003456|Petición firmada por el Receptor||</v>
      </c>
      <c r="O216" s="31" t="str">
        <f t="shared" si="10"/>
        <v>||CAUI830917RA5|AAOL860322NW8|10|30001000000500010951|Petición firmada por el Receptor||
||SPR190613I52|10-03-2026 18:00:00|30001000000500003456|Petición firmada por el Receptor||</v>
      </c>
    </row>
  </sheetData>
  <phoneticPr fontId="6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73BEB-D5B4-421A-B6A8-DC4A35466FD7}">
  <dimension ref="A1:O226"/>
  <sheetViews>
    <sheetView tabSelected="1" zoomScale="55" zoomScaleNormal="55" workbookViewId="0">
      <pane ySplit="1" topLeftCell="A20" activePane="bottomLeft" state="frozen"/>
      <selection pane="bottomLeft" activeCell="L31" sqref="L31"/>
    </sheetView>
  </sheetViews>
  <sheetFormatPr baseColWidth="10" defaultRowHeight="14.5" x14ac:dyDescent="0.35"/>
  <cols>
    <col min="1" max="1" width="7.1796875" customWidth="1"/>
    <col min="2" max="2" width="14.08984375" bestFit="1" customWidth="1"/>
    <col min="3" max="3" width="15.1796875" bestFit="1" customWidth="1"/>
    <col min="5" max="5" width="20.36328125" customWidth="1"/>
    <col min="6" max="6" width="19.1796875" bestFit="1" customWidth="1"/>
    <col min="7" max="7" width="12.81640625" customWidth="1"/>
    <col min="8" max="8" width="17.26953125" bestFit="1" customWidth="1"/>
    <col min="9" max="9" width="12.7265625" bestFit="1" customWidth="1"/>
    <col min="10" max="10" width="45.1796875" bestFit="1" customWidth="1"/>
    <col min="11" max="11" width="14.7265625" bestFit="1" customWidth="1"/>
    <col min="12" max="12" width="24.08984375" bestFit="1" customWidth="1"/>
    <col min="13" max="13" width="14.81640625" bestFit="1" customWidth="1"/>
    <col min="14" max="14" width="25.36328125" bestFit="1" customWidth="1"/>
    <col min="15" max="15" width="16.1796875" bestFit="1" customWidth="1"/>
  </cols>
  <sheetData>
    <row r="1" spans="1:15" ht="21" x14ac:dyDescent="0.35">
      <c r="A1" s="32" t="s">
        <v>291</v>
      </c>
      <c r="B1" s="32" t="s">
        <v>292</v>
      </c>
      <c r="C1" s="32" t="s">
        <v>293</v>
      </c>
      <c r="D1" s="32" t="s">
        <v>307</v>
      </c>
      <c r="E1" s="32" t="s">
        <v>623</v>
      </c>
      <c r="F1" s="32" t="s">
        <v>295</v>
      </c>
      <c r="G1" s="32" t="s">
        <v>296</v>
      </c>
      <c r="H1" s="32" t="s">
        <v>299</v>
      </c>
      <c r="I1" s="32" t="s">
        <v>650</v>
      </c>
      <c r="J1" s="32" t="s">
        <v>294</v>
      </c>
      <c r="K1" s="32" t="s">
        <v>630</v>
      </c>
      <c r="L1" s="32" t="s">
        <v>631</v>
      </c>
      <c r="M1" s="32" t="s">
        <v>632</v>
      </c>
      <c r="N1" s="32" t="s">
        <v>633</v>
      </c>
      <c r="O1" s="32" t="s">
        <v>634</v>
      </c>
    </row>
    <row r="2" spans="1:15" ht="221" customHeight="1" x14ac:dyDescent="0.35">
      <c r="A2" s="33">
        <v>1</v>
      </c>
      <c r="B2" s="20" t="s">
        <v>437</v>
      </c>
      <c r="C2" s="16" t="s">
        <v>521</v>
      </c>
      <c r="D2" s="20">
        <v>626</v>
      </c>
      <c r="E2" s="35" t="s">
        <v>614</v>
      </c>
      <c r="F2" s="20">
        <v>3</v>
      </c>
      <c r="G2" s="20" t="s">
        <v>641</v>
      </c>
      <c r="H2" s="20">
        <v>68</v>
      </c>
      <c r="I2" s="20" t="s">
        <v>635</v>
      </c>
      <c r="J2" s="34" t="s">
        <v>653</v>
      </c>
      <c r="K2" s="23"/>
      <c r="L2" s="23"/>
      <c r="M2" s="23"/>
      <c r="N2" s="23"/>
      <c r="O2" s="23"/>
    </row>
    <row r="3" spans="1:15" ht="29" x14ac:dyDescent="0.35">
      <c r="A3" s="33">
        <v>1</v>
      </c>
      <c r="B3" s="20" t="s">
        <v>311</v>
      </c>
      <c r="C3" s="16" t="s">
        <v>521</v>
      </c>
      <c r="D3" s="20">
        <v>626</v>
      </c>
      <c r="E3" s="35" t="s">
        <v>614</v>
      </c>
      <c r="F3" s="20">
        <v>3</v>
      </c>
      <c r="G3" s="20" t="s">
        <v>217</v>
      </c>
      <c r="H3" s="20">
        <v>78</v>
      </c>
      <c r="I3" s="20" t="s">
        <v>635</v>
      </c>
      <c r="J3" s="20"/>
      <c r="K3" s="23"/>
      <c r="L3" s="23"/>
      <c r="M3" s="23"/>
      <c r="N3" s="23"/>
      <c r="O3" s="23"/>
    </row>
    <row r="4" spans="1:15" ht="43.5" x14ac:dyDescent="0.35">
      <c r="A4" s="33">
        <v>1</v>
      </c>
      <c r="B4" s="20" t="s">
        <v>391</v>
      </c>
      <c r="C4" s="16" t="s">
        <v>521</v>
      </c>
      <c r="D4" s="21">
        <v>605626</v>
      </c>
      <c r="E4" s="35" t="s">
        <v>614</v>
      </c>
      <c r="F4" s="20">
        <v>819</v>
      </c>
      <c r="G4" s="20" t="s">
        <v>641</v>
      </c>
      <c r="H4" s="20" t="s">
        <v>467</v>
      </c>
      <c r="I4" s="20" t="s">
        <v>636</v>
      </c>
      <c r="J4" s="20"/>
      <c r="K4" s="23"/>
      <c r="L4" s="23"/>
      <c r="M4" s="23"/>
      <c r="N4" s="23"/>
      <c r="O4" s="23"/>
    </row>
    <row r="5" spans="1:15" ht="43.5" x14ac:dyDescent="0.35">
      <c r="A5" s="33">
        <v>2</v>
      </c>
      <c r="B5" s="20" t="s">
        <v>297</v>
      </c>
      <c r="C5" s="16" t="s">
        <v>521</v>
      </c>
      <c r="D5" s="20">
        <v>606</v>
      </c>
      <c r="E5" s="35" t="s">
        <v>614</v>
      </c>
      <c r="F5" s="20" t="s">
        <v>298</v>
      </c>
      <c r="G5" s="20" t="s">
        <v>644</v>
      </c>
      <c r="H5" s="20">
        <v>453</v>
      </c>
      <c r="I5" s="20" t="s">
        <v>635</v>
      </c>
      <c r="J5" s="20"/>
      <c r="K5" s="23"/>
      <c r="L5" s="23"/>
      <c r="M5" s="23"/>
      <c r="N5" s="23"/>
      <c r="O5" s="23"/>
    </row>
    <row r="6" spans="1:15" ht="29" x14ac:dyDescent="0.35">
      <c r="A6" s="33">
        <v>2</v>
      </c>
      <c r="B6" s="20" t="s">
        <v>473</v>
      </c>
      <c r="C6" s="16" t="s">
        <v>521</v>
      </c>
      <c r="D6" s="20">
        <v>605</v>
      </c>
      <c r="E6" s="35" t="s">
        <v>614</v>
      </c>
      <c r="F6" s="20" t="s">
        <v>298</v>
      </c>
      <c r="G6" s="20" t="s">
        <v>217</v>
      </c>
      <c r="H6" s="20">
        <v>1076</v>
      </c>
      <c r="I6" s="20" t="s">
        <v>636</v>
      </c>
      <c r="J6" s="20"/>
      <c r="K6" s="23"/>
      <c r="L6" s="23"/>
      <c r="M6" s="23"/>
      <c r="N6" s="23"/>
      <c r="O6" s="23"/>
    </row>
    <row r="7" spans="1:15" ht="29" x14ac:dyDescent="0.35">
      <c r="A7" s="33">
        <v>2</v>
      </c>
      <c r="B7" s="20" t="s">
        <v>398</v>
      </c>
      <c r="C7" s="16" t="s">
        <v>521</v>
      </c>
      <c r="D7" s="20" t="s">
        <v>367</v>
      </c>
      <c r="E7" s="35" t="s">
        <v>614</v>
      </c>
      <c r="F7" s="20" t="s">
        <v>298</v>
      </c>
      <c r="G7" s="20" t="s">
        <v>217</v>
      </c>
      <c r="H7" s="20">
        <v>907</v>
      </c>
      <c r="I7" s="20" t="s">
        <v>635</v>
      </c>
      <c r="J7" s="20"/>
      <c r="K7" s="23"/>
      <c r="L7" s="23"/>
      <c r="M7" s="23"/>
      <c r="N7" s="23"/>
      <c r="O7" s="23"/>
    </row>
    <row r="8" spans="1:15" ht="58" x14ac:dyDescent="0.35">
      <c r="A8" s="33">
        <v>3</v>
      </c>
      <c r="B8" s="20" t="s">
        <v>408</v>
      </c>
      <c r="C8" s="16" t="s">
        <v>521</v>
      </c>
      <c r="D8" s="20" t="s">
        <v>643</v>
      </c>
      <c r="E8" s="35" t="s">
        <v>614</v>
      </c>
      <c r="F8" s="20" t="s">
        <v>298</v>
      </c>
      <c r="G8" s="20" t="s">
        <v>642</v>
      </c>
      <c r="H8" s="20">
        <v>95</v>
      </c>
      <c r="I8" s="20" t="s">
        <v>635</v>
      </c>
      <c r="J8" s="20"/>
      <c r="K8" s="23"/>
      <c r="L8" s="23"/>
      <c r="M8" s="23"/>
      <c r="N8" s="23"/>
      <c r="O8" s="23"/>
    </row>
    <row r="9" spans="1:15" ht="72.5" x14ac:dyDescent="0.35">
      <c r="A9" s="33">
        <v>3</v>
      </c>
      <c r="B9" s="20" t="s">
        <v>518</v>
      </c>
      <c r="C9" s="16" t="s">
        <v>521</v>
      </c>
      <c r="D9" s="20" t="s">
        <v>645</v>
      </c>
      <c r="E9" s="35" t="s">
        <v>614</v>
      </c>
      <c r="F9" s="17">
        <v>203</v>
      </c>
      <c r="G9" s="22" t="s">
        <v>517</v>
      </c>
      <c r="H9" s="22">
        <v>44</v>
      </c>
      <c r="I9" s="20" t="s">
        <v>636</v>
      </c>
      <c r="J9" s="20"/>
      <c r="K9" s="23"/>
      <c r="L9" s="23"/>
      <c r="M9" s="23"/>
      <c r="N9" s="23"/>
      <c r="O9" s="23"/>
    </row>
    <row r="10" spans="1:15" ht="43.5" x14ac:dyDescent="0.35">
      <c r="A10" s="33">
        <v>3</v>
      </c>
      <c r="B10" s="20" t="s">
        <v>323</v>
      </c>
      <c r="C10" s="16" t="s">
        <v>521</v>
      </c>
      <c r="D10" s="20" t="s">
        <v>646</v>
      </c>
      <c r="E10" s="35" t="s">
        <v>614</v>
      </c>
      <c r="F10" s="20" t="s">
        <v>324</v>
      </c>
      <c r="G10" s="20" t="s">
        <v>325</v>
      </c>
      <c r="H10" s="20" t="s">
        <v>326</v>
      </c>
      <c r="I10" s="20" t="s">
        <v>635</v>
      </c>
      <c r="J10" s="20"/>
      <c r="K10" s="23"/>
      <c r="L10" s="23"/>
      <c r="M10" s="23"/>
      <c r="N10" s="23"/>
      <c r="O10" s="23"/>
    </row>
    <row r="11" spans="1:15" ht="43.5" x14ac:dyDescent="0.35">
      <c r="A11" s="33">
        <v>4</v>
      </c>
      <c r="B11" s="20" t="s">
        <v>319</v>
      </c>
      <c r="C11" s="16" t="s">
        <v>521</v>
      </c>
      <c r="D11" s="20" t="s">
        <v>318</v>
      </c>
      <c r="E11" s="35" t="s">
        <v>614</v>
      </c>
      <c r="F11" s="20">
        <v>735</v>
      </c>
      <c r="G11" s="20" t="s">
        <v>320</v>
      </c>
      <c r="H11" s="20" t="s">
        <v>321</v>
      </c>
      <c r="I11" s="20" t="s">
        <v>635</v>
      </c>
      <c r="J11" s="20"/>
      <c r="K11" s="23"/>
      <c r="L11" s="23"/>
      <c r="M11" s="23"/>
      <c r="N11" s="23"/>
      <c r="O11" s="23"/>
    </row>
    <row r="12" spans="1:15" ht="29" x14ac:dyDescent="0.35">
      <c r="A12" s="33">
        <v>4</v>
      </c>
      <c r="B12" s="20" t="s">
        <v>589</v>
      </c>
      <c r="C12" s="16" t="s">
        <v>521</v>
      </c>
      <c r="D12" s="20">
        <v>610</v>
      </c>
      <c r="E12" s="35" t="s">
        <v>614</v>
      </c>
      <c r="F12" s="20" t="s">
        <v>298</v>
      </c>
      <c r="G12" s="20" t="s">
        <v>346</v>
      </c>
      <c r="H12" s="20" t="s">
        <v>298</v>
      </c>
      <c r="I12" s="20" t="s">
        <v>636</v>
      </c>
      <c r="J12" s="20"/>
      <c r="K12" s="23"/>
      <c r="L12" s="23"/>
      <c r="M12" s="23"/>
      <c r="N12" s="23"/>
      <c r="O12" s="23"/>
    </row>
    <row r="13" spans="1:15" ht="29" x14ac:dyDescent="0.35">
      <c r="A13" s="33">
        <v>4</v>
      </c>
      <c r="B13" s="20" t="s">
        <v>409</v>
      </c>
      <c r="C13" s="16" t="s">
        <v>521</v>
      </c>
      <c r="D13" s="20">
        <v>605</v>
      </c>
      <c r="E13" s="35" t="s">
        <v>614</v>
      </c>
      <c r="F13" s="20">
        <v>3</v>
      </c>
      <c r="G13" s="20" t="s">
        <v>217</v>
      </c>
      <c r="H13" s="20">
        <v>907</v>
      </c>
      <c r="I13" s="20" t="s">
        <v>635</v>
      </c>
      <c r="J13" s="20"/>
      <c r="K13" s="23"/>
      <c r="L13" s="23"/>
      <c r="M13" s="23"/>
      <c r="N13" s="23"/>
      <c r="O13" s="23"/>
    </row>
    <row r="14" spans="1:15" ht="29" x14ac:dyDescent="0.35">
      <c r="A14" s="33">
        <v>5</v>
      </c>
      <c r="B14" s="20" t="s">
        <v>404</v>
      </c>
      <c r="C14" s="16" t="s">
        <v>521</v>
      </c>
      <c r="D14" s="20">
        <v>612</v>
      </c>
      <c r="E14" s="35" t="s">
        <v>614</v>
      </c>
      <c r="F14" s="20" t="s">
        <v>405</v>
      </c>
      <c r="G14" s="20" t="s">
        <v>406</v>
      </c>
      <c r="H14" s="20" t="s">
        <v>407</v>
      </c>
      <c r="I14" s="20" t="s">
        <v>635</v>
      </c>
      <c r="J14" s="20"/>
      <c r="K14" s="23"/>
      <c r="L14" s="23"/>
      <c r="M14" s="23"/>
      <c r="N14" s="23"/>
      <c r="O14" s="23"/>
    </row>
    <row r="15" spans="1:15" ht="43.5" x14ac:dyDescent="0.35">
      <c r="A15" s="33">
        <v>5</v>
      </c>
      <c r="B15" s="20" t="s">
        <v>514</v>
      </c>
      <c r="C15" s="16" t="s">
        <v>521</v>
      </c>
      <c r="D15" s="20">
        <v>612</v>
      </c>
      <c r="E15" s="35" t="s">
        <v>614</v>
      </c>
      <c r="F15" s="20" t="s">
        <v>515</v>
      </c>
      <c r="G15" s="20" t="s">
        <v>516</v>
      </c>
      <c r="H15" s="20">
        <v>734</v>
      </c>
      <c r="I15" s="20" t="s">
        <v>636</v>
      </c>
      <c r="J15" s="20"/>
      <c r="K15" s="23"/>
      <c r="L15" s="23"/>
      <c r="M15" s="23"/>
      <c r="N15" s="23"/>
      <c r="O15" s="23"/>
    </row>
    <row r="16" spans="1:15" ht="29" x14ac:dyDescent="0.35">
      <c r="A16" s="33">
        <v>5</v>
      </c>
      <c r="B16" s="20" t="s">
        <v>338</v>
      </c>
      <c r="C16" s="16" t="s">
        <v>521</v>
      </c>
      <c r="D16" s="20" t="s">
        <v>300</v>
      </c>
      <c r="E16" s="35" t="s">
        <v>614</v>
      </c>
      <c r="F16" s="20">
        <v>3</v>
      </c>
      <c r="G16" s="20" t="s">
        <v>217</v>
      </c>
      <c r="H16" s="20" t="s">
        <v>341</v>
      </c>
      <c r="I16" s="20" t="s">
        <v>635</v>
      </c>
      <c r="J16" s="20"/>
      <c r="K16" s="23"/>
      <c r="L16" s="23"/>
      <c r="M16" s="23"/>
      <c r="N16" s="23"/>
      <c r="O16" s="23"/>
    </row>
    <row r="17" spans="1:15" ht="29" x14ac:dyDescent="0.35">
      <c r="A17" s="33">
        <v>6</v>
      </c>
      <c r="B17" s="20" t="s">
        <v>347</v>
      </c>
      <c r="C17" s="16" t="s">
        <v>521</v>
      </c>
      <c r="D17" s="20">
        <v>605</v>
      </c>
      <c r="E17" s="35" t="s">
        <v>614</v>
      </c>
      <c r="F17" s="20" t="s">
        <v>298</v>
      </c>
      <c r="G17" s="20" t="s">
        <v>217</v>
      </c>
      <c r="H17" s="20">
        <v>434</v>
      </c>
      <c r="I17" s="20" t="s">
        <v>635</v>
      </c>
      <c r="J17" s="20"/>
      <c r="K17" s="23"/>
      <c r="L17" s="23"/>
      <c r="M17" s="23"/>
      <c r="N17" s="23"/>
      <c r="O17" s="23"/>
    </row>
    <row r="18" spans="1:15" ht="29" x14ac:dyDescent="0.35">
      <c r="A18" s="33">
        <v>6</v>
      </c>
      <c r="B18" s="20" t="s">
        <v>487</v>
      </c>
      <c r="C18" s="16" t="s">
        <v>521</v>
      </c>
      <c r="D18" s="20">
        <v>607</v>
      </c>
      <c r="E18" s="35" t="s">
        <v>614</v>
      </c>
      <c r="F18" s="20" t="s">
        <v>298</v>
      </c>
      <c r="G18" s="20" t="s">
        <v>217</v>
      </c>
      <c r="H18" s="20">
        <v>2223</v>
      </c>
      <c r="I18" s="20" t="s">
        <v>636</v>
      </c>
      <c r="J18" s="20"/>
      <c r="K18" s="23"/>
      <c r="L18" s="23"/>
      <c r="M18" s="23"/>
      <c r="N18" s="23"/>
      <c r="O18" s="23"/>
    </row>
    <row r="19" spans="1:15" ht="29" x14ac:dyDescent="0.35">
      <c r="A19" s="33">
        <v>6</v>
      </c>
      <c r="B19" s="20" t="s">
        <v>426</v>
      </c>
      <c r="C19" s="16" t="s">
        <v>521</v>
      </c>
      <c r="D19" s="20">
        <v>605</v>
      </c>
      <c r="E19" s="35" t="s">
        <v>614</v>
      </c>
      <c r="F19" s="20" t="s">
        <v>298</v>
      </c>
      <c r="G19" s="20" t="s">
        <v>217</v>
      </c>
      <c r="H19" s="20">
        <v>946</v>
      </c>
      <c r="I19" s="20" t="s">
        <v>635</v>
      </c>
      <c r="J19" s="20"/>
      <c r="K19" s="23"/>
      <c r="L19" s="23"/>
      <c r="M19" s="23"/>
      <c r="N19" s="23"/>
      <c r="O19" s="23"/>
    </row>
    <row r="20" spans="1:15" ht="29" x14ac:dyDescent="0.35">
      <c r="A20" s="33">
        <v>7</v>
      </c>
      <c r="B20" s="20" t="s">
        <v>348</v>
      </c>
      <c r="C20" s="16" t="s">
        <v>524</v>
      </c>
      <c r="D20" s="20">
        <v>605</v>
      </c>
      <c r="E20" s="35" t="s">
        <v>619</v>
      </c>
      <c r="F20" s="20" t="s">
        <v>298</v>
      </c>
      <c r="G20" s="20" t="s">
        <v>217</v>
      </c>
      <c r="H20" s="20">
        <v>1123</v>
      </c>
      <c r="I20" s="20" t="s">
        <v>635</v>
      </c>
      <c r="J20" s="20"/>
      <c r="K20" s="23"/>
      <c r="L20" s="23"/>
      <c r="M20" s="23"/>
      <c r="N20" s="23"/>
      <c r="O20" s="23"/>
    </row>
    <row r="21" spans="1:15" ht="29" x14ac:dyDescent="0.35">
      <c r="A21" s="33">
        <v>7</v>
      </c>
      <c r="B21" s="20" t="s">
        <v>486</v>
      </c>
      <c r="C21" s="16" t="s">
        <v>524</v>
      </c>
      <c r="D21" s="20">
        <v>607</v>
      </c>
      <c r="E21" s="35" t="s">
        <v>619</v>
      </c>
      <c r="F21" s="20" t="s">
        <v>298</v>
      </c>
      <c r="G21" s="20" t="s">
        <v>217</v>
      </c>
      <c r="H21" s="20">
        <v>2223</v>
      </c>
      <c r="I21" s="20" t="s">
        <v>636</v>
      </c>
      <c r="J21" s="20"/>
      <c r="K21" s="23"/>
      <c r="L21" s="23"/>
      <c r="M21" s="23"/>
      <c r="N21" s="23"/>
      <c r="O21" s="23"/>
    </row>
    <row r="22" spans="1:15" ht="29" x14ac:dyDescent="0.35">
      <c r="A22" s="33">
        <v>7</v>
      </c>
      <c r="B22" s="20" t="s">
        <v>438</v>
      </c>
      <c r="C22" s="16" t="s">
        <v>524</v>
      </c>
      <c r="D22" s="20">
        <v>605</v>
      </c>
      <c r="E22" s="35" t="s">
        <v>619</v>
      </c>
      <c r="F22" s="20" t="s">
        <v>298</v>
      </c>
      <c r="G22" s="20" t="s">
        <v>217</v>
      </c>
      <c r="H22" s="20">
        <v>120</v>
      </c>
      <c r="I22" s="20" t="s">
        <v>635</v>
      </c>
      <c r="J22" s="20"/>
      <c r="K22" s="23"/>
      <c r="L22" s="23"/>
      <c r="M22" s="23"/>
      <c r="N22" s="23"/>
      <c r="O22" s="23"/>
    </row>
    <row r="23" spans="1:15" ht="29" x14ac:dyDescent="0.35">
      <c r="A23" s="33">
        <v>8</v>
      </c>
      <c r="B23" s="20" t="s">
        <v>378</v>
      </c>
      <c r="C23" s="16" t="s">
        <v>524</v>
      </c>
      <c r="D23" s="20">
        <v>605</v>
      </c>
      <c r="E23" s="35" t="s">
        <v>619</v>
      </c>
      <c r="F23" s="20" t="s">
        <v>298</v>
      </c>
      <c r="G23" s="20" t="s">
        <v>217</v>
      </c>
      <c r="H23" s="20">
        <v>1112</v>
      </c>
      <c r="I23" s="20" t="s">
        <v>635</v>
      </c>
      <c r="J23" s="20"/>
      <c r="K23" s="23"/>
      <c r="L23" s="23"/>
      <c r="M23" s="23"/>
      <c r="N23" s="23"/>
      <c r="O23" s="23"/>
    </row>
    <row r="24" spans="1:15" ht="29" x14ac:dyDescent="0.35">
      <c r="A24" s="33">
        <v>8</v>
      </c>
      <c r="B24" s="20" t="s">
        <v>497</v>
      </c>
      <c r="C24" s="16" t="s">
        <v>524</v>
      </c>
      <c r="D24" s="20">
        <v>610</v>
      </c>
      <c r="E24" s="35" t="s">
        <v>619</v>
      </c>
      <c r="F24" s="20" t="s">
        <v>298</v>
      </c>
      <c r="G24" s="20" t="s">
        <v>217</v>
      </c>
      <c r="H24" s="20">
        <v>907</v>
      </c>
      <c r="I24" s="20" t="s">
        <v>636</v>
      </c>
      <c r="J24" s="20"/>
      <c r="K24" s="23"/>
      <c r="L24" s="23"/>
      <c r="M24" s="23"/>
      <c r="N24" s="23"/>
      <c r="O24" s="23"/>
    </row>
    <row r="25" spans="1:15" ht="29" x14ac:dyDescent="0.35">
      <c r="A25" s="33">
        <v>8</v>
      </c>
      <c r="B25" s="20" t="s">
        <v>445</v>
      </c>
      <c r="C25" s="16" t="s">
        <v>524</v>
      </c>
      <c r="D25" s="20">
        <v>605</v>
      </c>
      <c r="E25" s="35" t="s">
        <v>619</v>
      </c>
      <c r="F25" s="20" t="s">
        <v>298</v>
      </c>
      <c r="G25" s="20" t="s">
        <v>217</v>
      </c>
      <c r="H25" s="20">
        <v>907</v>
      </c>
      <c r="I25" s="20" t="s">
        <v>635</v>
      </c>
      <c r="J25" s="20"/>
      <c r="K25" s="23"/>
      <c r="L25" s="23"/>
      <c r="M25" s="23"/>
      <c r="N25" s="23"/>
      <c r="O25" s="23"/>
    </row>
    <row r="26" spans="1:15" ht="29" x14ac:dyDescent="0.35">
      <c r="A26" s="33">
        <v>9</v>
      </c>
      <c r="B26" s="20" t="s">
        <v>461</v>
      </c>
      <c r="C26" s="16" t="s">
        <v>524</v>
      </c>
      <c r="D26" s="20">
        <v>612</v>
      </c>
      <c r="E26" s="35" t="s">
        <v>619</v>
      </c>
      <c r="F26" s="20" t="s">
        <v>298</v>
      </c>
      <c r="G26" s="20" t="s">
        <v>217</v>
      </c>
      <c r="H26" s="20">
        <v>632</v>
      </c>
      <c r="I26" s="20" t="s">
        <v>635</v>
      </c>
      <c r="J26" s="20"/>
      <c r="K26" s="23"/>
      <c r="L26" s="23"/>
      <c r="M26" s="23"/>
      <c r="N26" s="23"/>
      <c r="O26" s="23"/>
    </row>
    <row r="27" spans="1:15" ht="29" x14ac:dyDescent="0.35">
      <c r="A27" s="33">
        <v>9</v>
      </c>
      <c r="B27" s="20" t="s">
        <v>504</v>
      </c>
      <c r="C27" s="16" t="s">
        <v>524</v>
      </c>
      <c r="D27" s="20">
        <v>612</v>
      </c>
      <c r="E27" s="35" t="s">
        <v>619</v>
      </c>
      <c r="F27" s="20" t="s">
        <v>298</v>
      </c>
      <c r="G27" s="20" t="s">
        <v>217</v>
      </c>
      <c r="H27" s="20">
        <v>603</v>
      </c>
      <c r="I27" s="20" t="s">
        <v>636</v>
      </c>
      <c r="J27" s="20"/>
      <c r="K27" s="23"/>
      <c r="L27" s="23"/>
      <c r="M27" s="23"/>
      <c r="N27" s="23"/>
      <c r="O27" s="23"/>
    </row>
    <row r="28" spans="1:15" ht="29" x14ac:dyDescent="0.35">
      <c r="A28" s="33">
        <v>9</v>
      </c>
      <c r="B28" s="20" t="s">
        <v>383</v>
      </c>
      <c r="C28" s="16" t="s">
        <v>524</v>
      </c>
      <c r="D28" s="20">
        <v>612</v>
      </c>
      <c r="E28" s="35" t="s">
        <v>619</v>
      </c>
      <c r="F28" s="20" t="s">
        <v>298</v>
      </c>
      <c r="G28" s="20" t="s">
        <v>384</v>
      </c>
      <c r="H28" s="20">
        <v>632</v>
      </c>
      <c r="I28" s="20" t="s">
        <v>635</v>
      </c>
      <c r="J28" s="20"/>
      <c r="K28" s="23"/>
      <c r="L28" s="23"/>
      <c r="M28" s="23"/>
      <c r="N28" s="23"/>
      <c r="O28" s="23"/>
    </row>
    <row r="29" spans="1:15" x14ac:dyDescent="0.35">
      <c r="A29" s="33">
        <v>10</v>
      </c>
      <c r="B29" s="20" t="s">
        <v>457</v>
      </c>
      <c r="C29" s="16" t="s">
        <v>524</v>
      </c>
      <c r="D29" s="20">
        <v>612</v>
      </c>
      <c r="E29" s="35" t="s">
        <v>619</v>
      </c>
      <c r="F29" s="20" t="s">
        <v>298</v>
      </c>
      <c r="G29" s="20">
        <v>300155</v>
      </c>
      <c r="H29" s="20" t="s">
        <v>458</v>
      </c>
      <c r="I29" s="20" t="s">
        <v>635</v>
      </c>
      <c r="J29" s="20"/>
      <c r="K29" s="23"/>
      <c r="L29" s="23"/>
      <c r="M29" s="23"/>
      <c r="N29" s="23"/>
      <c r="O29" s="23"/>
    </row>
    <row r="30" spans="1:15" ht="29" x14ac:dyDescent="0.35">
      <c r="A30" s="33">
        <v>10</v>
      </c>
      <c r="B30" s="20" t="s">
        <v>509</v>
      </c>
      <c r="C30" s="16" t="s">
        <v>524</v>
      </c>
      <c r="D30" s="20">
        <v>616</v>
      </c>
      <c r="E30" s="35" t="s">
        <v>619</v>
      </c>
      <c r="F30" s="20" t="s">
        <v>298</v>
      </c>
      <c r="G30" s="20" t="s">
        <v>346</v>
      </c>
      <c r="H30" s="20">
        <v>632</v>
      </c>
      <c r="I30" s="20" t="s">
        <v>636</v>
      </c>
      <c r="J30" s="20"/>
      <c r="K30" s="23"/>
      <c r="L30" s="23"/>
      <c r="M30" s="23"/>
      <c r="N30" s="23"/>
      <c r="O30" s="23"/>
    </row>
    <row r="31" spans="1:15" ht="29" x14ac:dyDescent="0.35">
      <c r="A31" s="33">
        <v>10</v>
      </c>
      <c r="B31" s="20" t="s">
        <v>387</v>
      </c>
      <c r="C31" s="16" t="s">
        <v>524</v>
      </c>
      <c r="D31" s="20">
        <v>612</v>
      </c>
      <c r="E31" s="35" t="s">
        <v>619</v>
      </c>
      <c r="F31" s="20" t="s">
        <v>298</v>
      </c>
      <c r="G31" s="20" t="s">
        <v>217</v>
      </c>
      <c r="H31" s="20">
        <v>632</v>
      </c>
      <c r="I31" s="20" t="s">
        <v>635</v>
      </c>
      <c r="J31" s="20"/>
      <c r="K31" s="23"/>
      <c r="L31" s="23" t="s">
        <v>660</v>
      </c>
      <c r="M31" s="23"/>
      <c r="N31" s="23"/>
      <c r="O31" s="23"/>
    </row>
    <row r="32" spans="1:15" ht="72.5" x14ac:dyDescent="0.35">
      <c r="A32" s="20">
        <v>4</v>
      </c>
      <c r="B32" s="20" t="s">
        <v>522</v>
      </c>
      <c r="C32" s="16" t="s">
        <v>524</v>
      </c>
      <c r="D32" s="20" t="s">
        <v>647</v>
      </c>
      <c r="E32" s="35" t="s">
        <v>619</v>
      </c>
      <c r="F32" s="20">
        <v>3</v>
      </c>
      <c r="G32" s="20" t="s">
        <v>523</v>
      </c>
      <c r="H32" s="20">
        <v>43</v>
      </c>
      <c r="I32" s="20" t="s">
        <v>656</v>
      </c>
      <c r="J32" s="23"/>
      <c r="K32" s="23"/>
      <c r="L32" s="23"/>
      <c r="M32" s="23"/>
      <c r="N32" s="23"/>
      <c r="O32" s="23"/>
    </row>
    <row r="33" spans="1:15" ht="72.5" x14ac:dyDescent="0.35">
      <c r="A33" s="20">
        <v>4</v>
      </c>
      <c r="B33" s="20" t="s">
        <v>520</v>
      </c>
      <c r="C33" s="16" t="s">
        <v>524</v>
      </c>
      <c r="D33" s="20" t="s">
        <v>648</v>
      </c>
      <c r="E33" s="35" t="s">
        <v>619</v>
      </c>
      <c r="F33" s="20" t="s">
        <v>298</v>
      </c>
      <c r="G33" s="20" t="s">
        <v>171</v>
      </c>
      <c r="H33" s="20">
        <v>41</v>
      </c>
      <c r="I33" s="20" t="s">
        <v>654</v>
      </c>
      <c r="J33" s="23"/>
      <c r="K33" s="23"/>
      <c r="L33" s="23"/>
      <c r="M33" s="23"/>
      <c r="N33" s="23"/>
      <c r="O33" s="23"/>
    </row>
    <row r="34" spans="1:15" ht="58" x14ac:dyDescent="0.35">
      <c r="A34" s="20">
        <v>4</v>
      </c>
      <c r="B34" s="20" t="s">
        <v>26</v>
      </c>
      <c r="C34" s="16" t="s">
        <v>524</v>
      </c>
      <c r="D34" s="20">
        <v>601</v>
      </c>
      <c r="E34" s="35" t="s">
        <v>619</v>
      </c>
      <c r="F34" s="20" t="s">
        <v>651</v>
      </c>
      <c r="G34" s="20" t="s">
        <v>652</v>
      </c>
      <c r="H34" s="20">
        <v>849</v>
      </c>
      <c r="I34" s="20" t="s">
        <v>636</v>
      </c>
      <c r="J34" s="23"/>
      <c r="K34" s="23"/>
      <c r="L34" s="23"/>
      <c r="M34" s="23"/>
      <c r="N34" s="23"/>
      <c r="O34" s="23"/>
    </row>
    <row r="35" spans="1:15" ht="58" x14ac:dyDescent="0.35">
      <c r="A35" s="20">
        <v>4</v>
      </c>
      <c r="B35" s="20" t="s">
        <v>418</v>
      </c>
      <c r="C35" s="16" t="s">
        <v>551</v>
      </c>
      <c r="D35" s="20">
        <v>607</v>
      </c>
      <c r="E35" s="35" t="s">
        <v>649</v>
      </c>
      <c r="F35" s="20" t="s">
        <v>298</v>
      </c>
      <c r="G35" s="20" t="s">
        <v>217</v>
      </c>
      <c r="H35" s="20">
        <v>160</v>
      </c>
      <c r="I35" s="20" t="s">
        <v>655</v>
      </c>
      <c r="J35" s="23"/>
      <c r="K35" s="23"/>
      <c r="L35" s="23"/>
      <c r="M35" s="23"/>
      <c r="N35" s="23"/>
      <c r="O35" s="23"/>
    </row>
    <row r="36" spans="1:15" ht="58" x14ac:dyDescent="0.35">
      <c r="A36" s="20">
        <v>4</v>
      </c>
      <c r="B36" s="20" t="s">
        <v>331</v>
      </c>
      <c r="C36" s="16" t="s">
        <v>610</v>
      </c>
      <c r="D36" s="20">
        <v>614</v>
      </c>
      <c r="E36" s="26" t="s">
        <v>617</v>
      </c>
      <c r="F36" s="20" t="s">
        <v>298</v>
      </c>
      <c r="G36" s="20" t="s">
        <v>217</v>
      </c>
      <c r="H36" s="20">
        <v>775</v>
      </c>
      <c r="I36" s="20" t="s">
        <v>657</v>
      </c>
      <c r="J36" s="23"/>
      <c r="K36" s="23"/>
      <c r="L36" s="23" t="s">
        <v>658</v>
      </c>
      <c r="M36" s="23"/>
      <c r="N36" s="23"/>
      <c r="O36" s="23"/>
    </row>
    <row r="37" spans="1:15" ht="58" x14ac:dyDescent="0.35">
      <c r="A37" s="20">
        <v>5</v>
      </c>
      <c r="B37" s="20" t="s">
        <v>420</v>
      </c>
      <c r="C37" s="16" t="s">
        <v>611</v>
      </c>
      <c r="D37" s="20">
        <v>621</v>
      </c>
      <c r="E37" s="26" t="s">
        <v>618</v>
      </c>
      <c r="F37" s="20" t="s">
        <v>421</v>
      </c>
      <c r="G37" s="20" t="s">
        <v>422</v>
      </c>
      <c r="H37" s="20" t="s">
        <v>423</v>
      </c>
      <c r="I37" s="20" t="s">
        <v>657</v>
      </c>
      <c r="J37" s="23"/>
      <c r="K37" s="23"/>
      <c r="L37" s="23" t="s">
        <v>659</v>
      </c>
      <c r="M37" s="23"/>
      <c r="N37" s="23"/>
      <c r="O37" s="23"/>
    </row>
    <row r="38" spans="1:15" x14ac:dyDescent="0.35">
      <c r="A38" s="20"/>
      <c r="B38" s="20"/>
      <c r="C38" s="16"/>
      <c r="D38" s="20"/>
      <c r="E38" s="26"/>
      <c r="F38" s="20"/>
      <c r="G38" s="20"/>
      <c r="H38" s="20"/>
      <c r="I38" s="23"/>
      <c r="J38" s="23"/>
      <c r="K38" s="23"/>
      <c r="L38" s="23"/>
      <c r="M38" s="23"/>
      <c r="N38" s="23"/>
      <c r="O38" s="23"/>
    </row>
    <row r="39" spans="1:15" x14ac:dyDescent="0.35">
      <c r="A39" s="20"/>
      <c r="B39" s="20"/>
      <c r="C39" s="16"/>
      <c r="D39" s="20"/>
      <c r="E39" s="26"/>
      <c r="F39" s="20"/>
      <c r="G39" s="20"/>
      <c r="H39" s="20"/>
      <c r="I39" s="23"/>
      <c r="J39" s="23"/>
      <c r="K39" s="23"/>
      <c r="L39" s="23"/>
      <c r="M39" s="23"/>
      <c r="N39" s="23"/>
      <c r="O39" s="23"/>
    </row>
    <row r="40" spans="1:15" x14ac:dyDescent="0.35">
      <c r="A40" s="20"/>
      <c r="B40" s="20"/>
      <c r="C40" s="16"/>
      <c r="D40" s="20"/>
      <c r="E40" s="26"/>
      <c r="F40" s="20"/>
      <c r="G40" s="20"/>
      <c r="H40" s="20"/>
      <c r="I40" s="23"/>
      <c r="J40" s="23"/>
      <c r="K40" s="23"/>
      <c r="L40" s="23"/>
      <c r="M40" s="23"/>
      <c r="N40" s="23"/>
      <c r="O40" s="23"/>
    </row>
    <row r="41" spans="1:15" x14ac:dyDescent="0.35">
      <c r="A41" s="20"/>
      <c r="B41" s="20"/>
      <c r="C41" s="16"/>
      <c r="D41" s="20"/>
      <c r="E41" s="26"/>
      <c r="F41" s="20"/>
      <c r="G41" s="20"/>
      <c r="H41" s="20"/>
      <c r="I41" s="23"/>
      <c r="J41" s="23"/>
      <c r="K41" s="23"/>
      <c r="L41" s="23"/>
      <c r="M41" s="23"/>
      <c r="N41" s="23"/>
      <c r="O41" s="23"/>
    </row>
    <row r="42" spans="1:15" x14ac:dyDescent="0.35">
      <c r="A42" s="20"/>
      <c r="B42" s="20"/>
      <c r="C42" s="16"/>
      <c r="D42" s="20"/>
      <c r="E42" s="26"/>
      <c r="F42" s="20"/>
      <c r="G42" s="20"/>
      <c r="H42" s="20"/>
      <c r="I42" s="23"/>
      <c r="J42" s="23"/>
      <c r="K42" s="23"/>
      <c r="L42" s="23"/>
      <c r="M42" s="23"/>
      <c r="N42" s="23"/>
      <c r="O42" s="23"/>
    </row>
    <row r="43" spans="1:15" x14ac:dyDescent="0.35">
      <c r="A43" s="20"/>
      <c r="B43" s="20"/>
      <c r="C43" s="16"/>
      <c r="D43" s="20"/>
      <c r="E43" s="26"/>
      <c r="F43" s="20"/>
      <c r="G43" s="20"/>
      <c r="H43" s="20"/>
      <c r="I43" s="23"/>
      <c r="J43" s="23"/>
      <c r="K43" s="23"/>
      <c r="L43" s="23"/>
      <c r="M43" s="23"/>
      <c r="N43" s="23"/>
      <c r="O43" s="23"/>
    </row>
    <row r="44" spans="1:15" x14ac:dyDescent="0.35">
      <c r="A44" s="20"/>
      <c r="B44" s="20"/>
      <c r="C44" s="16"/>
      <c r="D44" s="20"/>
      <c r="E44" s="26"/>
      <c r="F44" s="20"/>
      <c r="G44" s="20"/>
      <c r="H44" s="20"/>
      <c r="I44" s="23"/>
      <c r="J44" s="23"/>
      <c r="K44" s="23"/>
      <c r="L44" s="23"/>
      <c r="M44" s="23"/>
      <c r="N44" s="23"/>
      <c r="O44" s="23"/>
    </row>
    <row r="45" spans="1:15" x14ac:dyDescent="0.35">
      <c r="A45" s="20"/>
      <c r="B45" s="20"/>
      <c r="C45" s="16"/>
      <c r="D45" s="20"/>
      <c r="E45" s="26"/>
      <c r="F45" s="20"/>
      <c r="G45" s="20"/>
      <c r="H45" s="20"/>
      <c r="I45" s="23"/>
      <c r="J45" s="23"/>
      <c r="K45" s="23"/>
      <c r="L45" s="23"/>
      <c r="M45" s="23"/>
      <c r="N45" s="23"/>
      <c r="O45" s="23"/>
    </row>
    <row r="46" spans="1:15" x14ac:dyDescent="0.35">
      <c r="A46" s="20"/>
      <c r="B46" s="20"/>
      <c r="C46" s="16"/>
      <c r="D46" s="20"/>
      <c r="E46" s="26"/>
      <c r="F46" s="20"/>
      <c r="G46" s="20"/>
      <c r="H46" s="20"/>
      <c r="I46" s="23"/>
      <c r="J46" s="23"/>
      <c r="K46" s="23"/>
      <c r="L46" s="23"/>
      <c r="M46" s="23"/>
      <c r="N46" s="23"/>
      <c r="O46" s="23"/>
    </row>
    <row r="47" spans="1:15" x14ac:dyDescent="0.35">
      <c r="A47" s="20"/>
      <c r="B47" s="20"/>
      <c r="C47" s="16"/>
      <c r="D47" s="20"/>
      <c r="E47" s="26"/>
      <c r="F47" s="20"/>
      <c r="G47" s="20"/>
      <c r="H47" s="20"/>
      <c r="I47" s="23"/>
      <c r="J47" s="23"/>
      <c r="K47" s="23"/>
      <c r="L47" s="23"/>
      <c r="M47" s="23"/>
      <c r="N47" s="23"/>
      <c r="O47" s="23"/>
    </row>
    <row r="48" spans="1:15" x14ac:dyDescent="0.35">
      <c r="A48" s="20"/>
      <c r="B48" s="20"/>
      <c r="C48" s="16"/>
      <c r="D48" s="20"/>
      <c r="E48" s="26"/>
      <c r="F48" s="20"/>
      <c r="G48" s="20"/>
      <c r="H48" s="20"/>
      <c r="I48" s="23"/>
      <c r="J48" s="23"/>
      <c r="K48" s="23"/>
      <c r="L48" s="23"/>
      <c r="M48" s="23"/>
      <c r="N48" s="23"/>
      <c r="O48" s="23"/>
    </row>
    <row r="49" spans="1:15" x14ac:dyDescent="0.35">
      <c r="A49" s="20"/>
      <c r="B49" s="20"/>
      <c r="C49" s="16"/>
      <c r="D49" s="20"/>
      <c r="E49" s="26"/>
      <c r="F49" s="20"/>
      <c r="G49" s="20"/>
      <c r="H49" s="20"/>
      <c r="I49" s="23"/>
      <c r="J49" s="23"/>
      <c r="K49" s="23"/>
      <c r="L49" s="23"/>
      <c r="M49" s="23"/>
      <c r="N49" s="23"/>
      <c r="O49" s="23"/>
    </row>
    <row r="50" spans="1:15" x14ac:dyDescent="0.35">
      <c r="A50" s="20"/>
      <c r="B50" s="20"/>
      <c r="C50" s="16"/>
      <c r="D50" s="20"/>
      <c r="E50" s="26"/>
      <c r="F50" s="20"/>
      <c r="G50" s="20"/>
      <c r="H50" s="20"/>
      <c r="I50" s="23"/>
      <c r="J50" s="23"/>
      <c r="K50" s="23"/>
      <c r="L50" s="23"/>
      <c r="M50" s="23"/>
      <c r="N50" s="23"/>
      <c r="O50" s="23"/>
    </row>
    <row r="51" spans="1:15" x14ac:dyDescent="0.35">
      <c r="A51" s="20"/>
      <c r="B51" s="20"/>
      <c r="C51" s="16"/>
      <c r="D51" s="20"/>
      <c r="E51" s="26"/>
      <c r="F51" s="20"/>
      <c r="G51" s="20"/>
      <c r="H51" s="20"/>
      <c r="I51" s="23"/>
      <c r="J51" s="23"/>
      <c r="K51" s="23"/>
      <c r="L51" s="23"/>
      <c r="M51" s="23"/>
      <c r="N51" s="23"/>
      <c r="O51" s="23"/>
    </row>
    <row r="52" spans="1:15" x14ac:dyDescent="0.35">
      <c r="A52" s="20"/>
      <c r="B52" s="20"/>
      <c r="C52" s="16"/>
      <c r="D52" s="20"/>
      <c r="E52" s="26"/>
      <c r="F52" s="20"/>
      <c r="G52" s="20"/>
      <c r="H52" s="20"/>
      <c r="I52" s="23"/>
      <c r="J52" s="23"/>
      <c r="K52" s="23"/>
      <c r="L52" s="23"/>
      <c r="M52" s="23"/>
      <c r="N52" s="23"/>
      <c r="O52" s="23"/>
    </row>
    <row r="53" spans="1:15" x14ac:dyDescent="0.35">
      <c r="A53" s="20"/>
      <c r="B53" s="20"/>
      <c r="C53" s="16"/>
      <c r="D53" s="20"/>
      <c r="E53" s="26"/>
      <c r="F53" s="20"/>
      <c r="G53" s="20"/>
      <c r="H53" s="20"/>
      <c r="I53" s="23"/>
      <c r="J53" s="23"/>
      <c r="K53" s="23"/>
      <c r="L53" s="23"/>
      <c r="M53" s="23"/>
      <c r="N53" s="23"/>
      <c r="O53" s="23"/>
    </row>
    <row r="54" spans="1:15" x14ac:dyDescent="0.35">
      <c r="A54" s="20"/>
      <c r="B54" s="20"/>
      <c r="C54" s="16"/>
      <c r="D54" s="20"/>
      <c r="E54" s="26"/>
      <c r="F54" s="20"/>
      <c r="G54" s="20"/>
      <c r="H54" s="20"/>
      <c r="I54" s="23"/>
      <c r="J54" s="23"/>
      <c r="K54" s="23"/>
      <c r="L54" s="23"/>
      <c r="M54" s="23"/>
      <c r="N54" s="23"/>
      <c r="O54" s="23"/>
    </row>
    <row r="55" spans="1:15" x14ac:dyDescent="0.35">
      <c r="A55" s="20"/>
      <c r="B55" s="20"/>
      <c r="C55" s="16"/>
      <c r="D55" s="21"/>
      <c r="E55" s="26"/>
      <c r="F55" s="20"/>
      <c r="G55" s="20"/>
      <c r="H55" s="20"/>
      <c r="I55" s="23"/>
      <c r="J55" s="23"/>
      <c r="K55" s="23"/>
      <c r="L55" s="23"/>
      <c r="M55" s="23"/>
      <c r="N55" s="23"/>
      <c r="O55" s="23"/>
    </row>
    <row r="56" spans="1:15" x14ac:dyDescent="0.35">
      <c r="A56" s="20"/>
      <c r="B56" s="20"/>
      <c r="C56" s="16"/>
      <c r="D56" s="20"/>
      <c r="E56" s="26"/>
      <c r="F56" s="20"/>
      <c r="G56" s="20"/>
      <c r="H56" s="20"/>
      <c r="I56" s="23"/>
      <c r="J56" s="23"/>
      <c r="K56" s="23"/>
      <c r="L56" s="23"/>
      <c r="M56" s="23"/>
      <c r="N56" s="23"/>
      <c r="O56" s="23"/>
    </row>
    <row r="57" spans="1:15" x14ac:dyDescent="0.35">
      <c r="A57" s="20"/>
      <c r="B57" s="20"/>
      <c r="C57" s="16"/>
      <c r="D57" s="20"/>
      <c r="E57" s="26"/>
      <c r="F57" s="20"/>
      <c r="G57" s="20"/>
      <c r="H57" s="20"/>
      <c r="I57" s="23"/>
      <c r="J57" s="23"/>
      <c r="K57" s="23"/>
      <c r="L57" s="23"/>
      <c r="M57" s="23"/>
      <c r="N57" s="23"/>
      <c r="O57" s="23"/>
    </row>
    <row r="58" spans="1:15" x14ac:dyDescent="0.35">
      <c r="A58" s="20"/>
      <c r="B58" s="20"/>
      <c r="C58" s="16"/>
      <c r="D58" s="21"/>
      <c r="E58" s="26"/>
      <c r="F58" s="20"/>
      <c r="G58" s="20"/>
      <c r="H58" s="20"/>
      <c r="I58" s="23"/>
      <c r="J58" s="23"/>
      <c r="K58" s="23"/>
      <c r="L58" s="23"/>
      <c r="M58" s="23"/>
      <c r="N58" s="23"/>
      <c r="O58" s="23"/>
    </row>
    <row r="59" spans="1:15" x14ac:dyDescent="0.35">
      <c r="A59" s="20"/>
      <c r="B59" s="20"/>
      <c r="C59" s="16"/>
      <c r="D59" s="20"/>
      <c r="E59" s="26"/>
      <c r="F59" s="20"/>
      <c r="G59" s="20"/>
      <c r="H59" s="20"/>
      <c r="I59" s="23"/>
      <c r="J59" s="23"/>
      <c r="K59" s="23"/>
      <c r="L59" s="23"/>
      <c r="M59" s="23"/>
      <c r="N59" s="23"/>
      <c r="O59" s="23"/>
    </row>
    <row r="60" spans="1:15" x14ac:dyDescent="0.35">
      <c r="A60" s="20"/>
      <c r="B60" s="20"/>
      <c r="C60" s="16"/>
      <c r="D60" s="20"/>
      <c r="E60" s="26"/>
      <c r="F60" s="20"/>
      <c r="G60" s="20"/>
      <c r="H60" s="20"/>
      <c r="I60" s="23"/>
      <c r="J60" s="23"/>
      <c r="K60" s="23"/>
      <c r="L60" s="23"/>
      <c r="M60" s="23"/>
      <c r="N60" s="23"/>
      <c r="O60" s="23"/>
    </row>
    <row r="61" spans="1:15" x14ac:dyDescent="0.35">
      <c r="A61" s="20"/>
      <c r="B61" s="20"/>
      <c r="C61" s="16"/>
      <c r="D61" s="20"/>
      <c r="E61" s="26"/>
      <c r="F61" s="20"/>
      <c r="G61" s="20"/>
      <c r="H61" s="20"/>
      <c r="I61" s="23"/>
      <c r="J61" s="23"/>
      <c r="K61" s="23"/>
      <c r="L61" s="23"/>
      <c r="M61" s="23"/>
      <c r="N61" s="23"/>
      <c r="O61" s="23"/>
    </row>
    <row r="62" spans="1:15" x14ac:dyDescent="0.35">
      <c r="A62" s="20"/>
      <c r="B62" s="20"/>
      <c r="C62" s="16"/>
      <c r="D62" s="20"/>
      <c r="E62" s="26"/>
      <c r="F62" s="20"/>
      <c r="G62" s="20"/>
      <c r="H62" s="20"/>
      <c r="I62" s="23"/>
      <c r="J62" s="23"/>
      <c r="K62" s="23"/>
      <c r="L62" s="23"/>
      <c r="M62" s="23"/>
      <c r="N62" s="23"/>
      <c r="O62" s="23"/>
    </row>
    <row r="63" spans="1:15" x14ac:dyDescent="0.35">
      <c r="A63" s="20"/>
      <c r="B63" s="20"/>
      <c r="C63" s="16"/>
      <c r="D63" s="20"/>
      <c r="E63" s="26"/>
      <c r="F63" s="20"/>
      <c r="G63" s="20"/>
      <c r="H63" s="20"/>
      <c r="I63" s="23"/>
      <c r="J63" s="23"/>
      <c r="K63" s="23"/>
      <c r="L63" s="23"/>
      <c r="M63" s="23"/>
      <c r="N63" s="23"/>
      <c r="O63" s="23"/>
    </row>
    <row r="64" spans="1:15" x14ac:dyDescent="0.35">
      <c r="A64" s="20"/>
      <c r="B64" s="20"/>
      <c r="C64" s="16"/>
      <c r="D64" s="20"/>
      <c r="E64" s="26"/>
      <c r="F64" s="20"/>
      <c r="G64" s="20"/>
      <c r="H64" s="20"/>
      <c r="I64" s="23"/>
      <c r="J64" s="23"/>
      <c r="K64" s="23"/>
      <c r="L64" s="23"/>
      <c r="M64" s="23"/>
      <c r="N64" s="23"/>
      <c r="O64" s="23"/>
    </row>
    <row r="65" spans="1:15" x14ac:dyDescent="0.35">
      <c r="A65" s="20"/>
      <c r="B65" s="20"/>
      <c r="C65" s="16"/>
      <c r="D65" s="20"/>
      <c r="E65" s="26"/>
      <c r="F65" s="20"/>
      <c r="G65" s="20"/>
      <c r="H65" s="20"/>
      <c r="I65" s="23"/>
      <c r="J65" s="23"/>
      <c r="K65" s="23"/>
      <c r="L65" s="23"/>
      <c r="M65" s="23"/>
      <c r="N65" s="23"/>
      <c r="O65" s="23"/>
    </row>
    <row r="66" spans="1:15" x14ac:dyDescent="0.35">
      <c r="A66" s="20"/>
      <c r="B66" s="20"/>
      <c r="C66" s="16"/>
      <c r="D66" s="20"/>
      <c r="E66" s="26"/>
      <c r="F66" s="20"/>
      <c r="G66" s="20"/>
      <c r="H66" s="20"/>
      <c r="I66" s="23"/>
      <c r="J66" s="23"/>
      <c r="K66" s="23"/>
      <c r="L66" s="23"/>
      <c r="M66" s="23"/>
      <c r="N66" s="23"/>
      <c r="O66" s="23"/>
    </row>
    <row r="67" spans="1:15" x14ac:dyDescent="0.35">
      <c r="A67" s="20"/>
      <c r="B67" s="20"/>
      <c r="C67" s="16"/>
      <c r="D67" s="20"/>
      <c r="E67" s="26"/>
      <c r="F67" s="20"/>
      <c r="G67" s="20"/>
      <c r="H67" s="20"/>
      <c r="I67" s="23"/>
      <c r="J67" s="23"/>
      <c r="K67" s="23"/>
      <c r="L67" s="23"/>
      <c r="M67" s="23"/>
      <c r="N67" s="23"/>
      <c r="O67" s="23"/>
    </row>
    <row r="68" spans="1:15" x14ac:dyDescent="0.35">
      <c r="A68" s="20"/>
      <c r="B68" s="20"/>
      <c r="C68" s="16"/>
      <c r="D68" s="20"/>
      <c r="E68" s="26"/>
      <c r="F68" s="20"/>
      <c r="G68" s="20"/>
      <c r="H68" s="20"/>
      <c r="I68" s="23"/>
      <c r="J68" s="23"/>
      <c r="K68" s="23"/>
      <c r="L68" s="23"/>
      <c r="M68" s="23"/>
      <c r="N68" s="23"/>
      <c r="O68" s="23"/>
    </row>
    <row r="69" spans="1:15" x14ac:dyDescent="0.35">
      <c r="A69" s="20"/>
      <c r="B69" s="20"/>
      <c r="C69" s="16"/>
      <c r="D69" s="20"/>
      <c r="E69" s="26"/>
      <c r="F69" s="20"/>
      <c r="G69" s="20"/>
      <c r="H69" s="20"/>
      <c r="I69" s="23"/>
      <c r="J69" s="23"/>
      <c r="K69" s="23"/>
      <c r="L69" s="23"/>
      <c r="M69" s="23"/>
      <c r="N69" s="23"/>
      <c r="O69" s="23"/>
    </row>
    <row r="70" spans="1:15" x14ac:dyDescent="0.35">
      <c r="A70" s="20"/>
      <c r="B70" s="20"/>
      <c r="C70" s="16"/>
      <c r="D70" s="20"/>
      <c r="E70" s="26"/>
      <c r="F70" s="20"/>
      <c r="G70" s="20"/>
      <c r="H70" s="21"/>
      <c r="I70" s="23"/>
      <c r="J70" s="23"/>
      <c r="K70" s="23"/>
      <c r="L70" s="23"/>
      <c r="M70" s="23"/>
      <c r="N70" s="23"/>
      <c r="O70" s="23"/>
    </row>
    <row r="71" spans="1:15" x14ac:dyDescent="0.35">
      <c r="A71" s="20"/>
      <c r="B71" s="20"/>
      <c r="C71" s="16"/>
      <c r="D71" s="20"/>
      <c r="E71" s="26"/>
      <c r="F71" s="20"/>
      <c r="G71" s="20"/>
      <c r="H71" s="20"/>
      <c r="I71" s="23"/>
      <c r="J71" s="23"/>
      <c r="K71" s="23"/>
      <c r="L71" s="23"/>
      <c r="M71" s="23"/>
      <c r="N71" s="23"/>
      <c r="O71" s="23"/>
    </row>
    <row r="72" spans="1:15" x14ac:dyDescent="0.35">
      <c r="A72" s="20"/>
      <c r="B72" s="20"/>
      <c r="C72" s="16"/>
      <c r="D72" s="20"/>
      <c r="E72" s="26"/>
      <c r="F72" s="20"/>
      <c r="G72" s="20"/>
      <c r="H72" s="20"/>
      <c r="I72" s="23"/>
      <c r="J72" s="23"/>
      <c r="K72" s="23"/>
      <c r="L72" s="23"/>
      <c r="M72" s="23"/>
      <c r="N72" s="23"/>
      <c r="O72" s="23"/>
    </row>
    <row r="73" spans="1:15" x14ac:dyDescent="0.35">
      <c r="A73" s="20"/>
      <c r="B73" s="20"/>
      <c r="C73" s="16"/>
      <c r="D73" s="20"/>
      <c r="E73" s="26"/>
      <c r="F73" s="20"/>
      <c r="G73" s="20"/>
      <c r="H73" s="20"/>
      <c r="I73" s="23"/>
      <c r="J73" s="23"/>
      <c r="K73" s="23"/>
      <c r="L73" s="23"/>
      <c r="M73" s="23"/>
      <c r="N73" s="23"/>
      <c r="O73" s="23"/>
    </row>
    <row r="74" spans="1:15" x14ac:dyDescent="0.35">
      <c r="A74" s="20"/>
      <c r="B74" s="20"/>
      <c r="C74" s="16"/>
      <c r="D74" s="20"/>
      <c r="E74" s="26"/>
      <c r="F74" s="20"/>
      <c r="G74" s="20"/>
      <c r="H74" s="20"/>
      <c r="I74" s="23"/>
      <c r="J74" s="23"/>
      <c r="K74" s="23"/>
      <c r="L74" s="23"/>
      <c r="M74" s="23"/>
      <c r="N74" s="23"/>
      <c r="O74" s="23"/>
    </row>
    <row r="75" spans="1:15" x14ac:dyDescent="0.35">
      <c r="A75" s="20"/>
      <c r="B75" s="20"/>
      <c r="C75" s="16"/>
      <c r="D75" s="20"/>
      <c r="E75" s="26"/>
      <c r="F75" s="20"/>
      <c r="G75" s="20"/>
      <c r="H75" s="20"/>
      <c r="I75" s="23"/>
      <c r="J75" s="23"/>
      <c r="K75" s="23"/>
      <c r="L75" s="23"/>
      <c r="M75" s="23"/>
      <c r="N75" s="23"/>
      <c r="O75" s="23"/>
    </row>
    <row r="76" spans="1:15" x14ac:dyDescent="0.35">
      <c r="A76" s="20"/>
      <c r="B76" s="20"/>
      <c r="C76" s="16"/>
      <c r="D76" s="20"/>
      <c r="E76" s="26"/>
      <c r="F76" s="20"/>
      <c r="G76" s="20"/>
      <c r="H76" s="20"/>
      <c r="I76" s="23"/>
      <c r="J76" s="23"/>
      <c r="K76" s="23"/>
      <c r="L76" s="23"/>
      <c r="M76" s="23"/>
      <c r="N76" s="23"/>
      <c r="O76" s="23"/>
    </row>
    <row r="77" spans="1:15" x14ac:dyDescent="0.35">
      <c r="A77" s="20"/>
      <c r="B77" s="20"/>
      <c r="C77" s="16"/>
      <c r="D77" s="20"/>
      <c r="E77" s="26"/>
      <c r="F77" s="20"/>
      <c r="G77" s="20"/>
      <c r="H77" s="20"/>
      <c r="I77" s="23"/>
      <c r="J77" s="23"/>
      <c r="K77" s="23"/>
      <c r="L77" s="23"/>
      <c r="M77" s="23"/>
      <c r="N77" s="23"/>
      <c r="O77" s="23"/>
    </row>
    <row r="78" spans="1:15" x14ac:dyDescent="0.35">
      <c r="A78" s="20"/>
      <c r="B78" s="20"/>
      <c r="C78" s="16"/>
      <c r="D78" s="20"/>
      <c r="E78" s="26"/>
      <c r="F78" s="20"/>
      <c r="G78" s="20"/>
      <c r="H78" s="20"/>
      <c r="I78" s="23"/>
      <c r="J78" s="23"/>
      <c r="K78" s="23"/>
      <c r="L78" s="23"/>
      <c r="M78" s="23"/>
      <c r="N78" s="23"/>
      <c r="O78" s="23"/>
    </row>
    <row r="79" spans="1:15" x14ac:dyDescent="0.35">
      <c r="A79" s="20"/>
      <c r="B79" s="20"/>
      <c r="C79" s="16"/>
      <c r="D79" s="20"/>
      <c r="E79" s="26"/>
      <c r="F79" s="20"/>
      <c r="G79" s="20"/>
      <c r="H79" s="20"/>
      <c r="I79" s="23"/>
      <c r="J79" s="23"/>
      <c r="K79" s="23"/>
      <c r="L79" s="23"/>
      <c r="M79" s="23"/>
      <c r="N79" s="23"/>
      <c r="O79" s="23"/>
    </row>
    <row r="80" spans="1:15" x14ac:dyDescent="0.35">
      <c r="A80" s="20"/>
      <c r="B80" s="20"/>
      <c r="C80" s="16"/>
      <c r="D80" s="20"/>
      <c r="E80" s="26"/>
      <c r="F80" s="20"/>
      <c r="G80" s="20"/>
      <c r="H80" s="20"/>
      <c r="I80" s="23"/>
      <c r="J80" s="23"/>
      <c r="K80" s="23"/>
      <c r="L80" s="23"/>
      <c r="M80" s="23"/>
      <c r="N80" s="23"/>
      <c r="O80" s="23"/>
    </row>
    <row r="81" spans="1:15" x14ac:dyDescent="0.35">
      <c r="A81" s="20"/>
      <c r="B81" s="20"/>
      <c r="C81" s="16"/>
      <c r="D81" s="20"/>
      <c r="E81" s="26"/>
      <c r="F81" s="20"/>
      <c r="G81" s="20"/>
      <c r="H81" s="20"/>
      <c r="I81" s="23"/>
      <c r="J81" s="23"/>
      <c r="K81" s="23"/>
      <c r="L81" s="23"/>
      <c r="M81" s="23"/>
      <c r="N81" s="23"/>
      <c r="O81" s="23"/>
    </row>
    <row r="82" spans="1:15" x14ac:dyDescent="0.35">
      <c r="A82" s="20"/>
      <c r="B82" s="20"/>
      <c r="C82" s="16"/>
      <c r="D82" s="20"/>
      <c r="E82" s="26"/>
      <c r="F82" s="20"/>
      <c r="G82" s="20"/>
      <c r="H82" s="20"/>
      <c r="I82" s="23"/>
      <c r="J82" s="23"/>
      <c r="K82" s="23"/>
      <c r="L82" s="23"/>
      <c r="M82" s="23"/>
      <c r="N82" s="23"/>
      <c r="O82" s="23"/>
    </row>
    <row r="83" spans="1:15" x14ac:dyDescent="0.35">
      <c r="A83" s="20"/>
      <c r="B83" s="20"/>
      <c r="C83" s="16"/>
      <c r="D83" s="20"/>
      <c r="E83" s="26"/>
      <c r="F83" s="20"/>
      <c r="G83" s="20"/>
      <c r="H83" s="20"/>
      <c r="I83" s="23"/>
      <c r="J83" s="23"/>
      <c r="K83" s="23"/>
      <c r="L83" s="23"/>
      <c r="M83" s="23"/>
      <c r="N83" s="23"/>
      <c r="O83" s="23"/>
    </row>
    <row r="84" spans="1:15" x14ac:dyDescent="0.35">
      <c r="A84" s="20"/>
      <c r="B84" s="20"/>
      <c r="C84" s="16"/>
      <c r="D84" s="20"/>
      <c r="E84" s="26"/>
      <c r="F84" s="20"/>
      <c r="G84" s="20"/>
      <c r="H84" s="20"/>
      <c r="I84" s="23"/>
      <c r="J84" s="23"/>
      <c r="K84" s="23"/>
      <c r="L84" s="23"/>
      <c r="M84" s="23"/>
      <c r="N84" s="23"/>
      <c r="O84" s="23"/>
    </row>
    <row r="85" spans="1:15" x14ac:dyDescent="0.35">
      <c r="A85" s="20"/>
      <c r="B85" s="20"/>
      <c r="C85" s="16"/>
      <c r="D85" s="20"/>
      <c r="E85" s="26"/>
      <c r="F85" s="20"/>
      <c r="G85" s="20"/>
      <c r="H85" s="20"/>
      <c r="I85" s="23"/>
      <c r="J85" s="23"/>
      <c r="K85" s="23"/>
      <c r="L85" s="23"/>
      <c r="M85" s="23"/>
      <c r="N85" s="23"/>
      <c r="O85" s="23"/>
    </row>
    <row r="86" spans="1:15" x14ac:dyDescent="0.35">
      <c r="A86" s="20"/>
      <c r="B86" s="20"/>
      <c r="C86" s="16"/>
      <c r="D86" s="20"/>
      <c r="E86" s="26"/>
      <c r="F86" s="20"/>
      <c r="G86" s="20"/>
      <c r="H86" s="20"/>
      <c r="I86" s="23"/>
      <c r="J86" s="23"/>
      <c r="K86" s="23"/>
      <c r="L86" s="23"/>
      <c r="M86" s="23"/>
      <c r="N86" s="23"/>
      <c r="O86" s="23"/>
    </row>
    <row r="87" spans="1:15" x14ac:dyDescent="0.35">
      <c r="A87" s="20"/>
      <c r="B87" s="20"/>
      <c r="C87" s="16"/>
      <c r="D87" s="20"/>
      <c r="E87" s="26"/>
      <c r="F87" s="17"/>
      <c r="G87" s="22"/>
      <c r="H87" s="22"/>
      <c r="I87" s="23"/>
      <c r="J87" s="23"/>
      <c r="K87" s="23"/>
      <c r="L87" s="23"/>
      <c r="M87" s="23"/>
      <c r="N87" s="23"/>
      <c r="O87" s="23"/>
    </row>
    <row r="88" spans="1:15" x14ac:dyDescent="0.35">
      <c r="A88" s="20"/>
      <c r="B88" s="20"/>
      <c r="C88" s="16"/>
      <c r="D88" s="20"/>
      <c r="E88" s="26"/>
      <c r="F88" s="20"/>
      <c r="G88" s="20"/>
      <c r="H88" s="20"/>
      <c r="I88" s="23"/>
      <c r="J88" s="23"/>
      <c r="K88" s="23"/>
      <c r="L88" s="23"/>
      <c r="M88" s="23"/>
      <c r="N88" s="23"/>
      <c r="O88" s="23"/>
    </row>
    <row r="89" spans="1:15" x14ac:dyDescent="0.35">
      <c r="A89" s="20"/>
      <c r="B89" s="20"/>
      <c r="C89" s="16"/>
      <c r="D89" s="20"/>
      <c r="E89" s="26"/>
      <c r="F89" s="20"/>
      <c r="G89" s="20"/>
      <c r="H89" s="20"/>
      <c r="I89" s="23"/>
      <c r="J89" s="23"/>
      <c r="K89" s="23"/>
      <c r="L89" s="23"/>
      <c r="M89" s="23"/>
      <c r="N89" s="23"/>
      <c r="O89" s="23"/>
    </row>
    <row r="90" spans="1:15" x14ac:dyDescent="0.35">
      <c r="A90" s="20"/>
      <c r="B90" s="20"/>
      <c r="C90" s="16"/>
      <c r="D90" s="20"/>
      <c r="E90" s="26"/>
      <c r="F90" s="20"/>
      <c r="G90" s="20"/>
      <c r="H90" s="20"/>
      <c r="I90" s="23"/>
      <c r="J90" s="23"/>
      <c r="K90" s="23"/>
      <c r="L90" s="23"/>
      <c r="M90" s="23"/>
      <c r="N90" s="23"/>
      <c r="O90" s="23"/>
    </row>
    <row r="91" spans="1:15" x14ac:dyDescent="0.35">
      <c r="A91" s="20"/>
      <c r="B91" s="20"/>
      <c r="C91" s="16"/>
      <c r="D91" s="20"/>
      <c r="E91" s="26"/>
      <c r="F91" s="20"/>
      <c r="G91" s="20"/>
      <c r="H91" s="20"/>
      <c r="I91" s="23"/>
      <c r="J91" s="23"/>
      <c r="K91" s="23"/>
      <c r="L91" s="23"/>
      <c r="M91" s="23"/>
      <c r="N91" s="23"/>
      <c r="O91" s="23"/>
    </row>
    <row r="92" spans="1:15" x14ac:dyDescent="0.35">
      <c r="A92" s="20"/>
      <c r="B92" s="20"/>
      <c r="C92" s="16"/>
      <c r="D92" s="20"/>
      <c r="E92" s="26"/>
      <c r="F92" s="20"/>
      <c r="G92" s="20"/>
      <c r="H92" s="20"/>
      <c r="I92" s="23"/>
      <c r="J92" s="23"/>
      <c r="K92" s="23"/>
      <c r="L92" s="23"/>
      <c r="M92" s="23"/>
      <c r="N92" s="23"/>
      <c r="O92" s="23"/>
    </row>
    <row r="93" spans="1:15" x14ac:dyDescent="0.35">
      <c r="A93" s="20"/>
      <c r="B93" s="20"/>
      <c r="C93" s="16"/>
      <c r="D93" s="20"/>
      <c r="E93" s="26"/>
      <c r="F93" s="20"/>
      <c r="G93" s="20"/>
      <c r="H93" s="20"/>
      <c r="I93" s="23"/>
      <c r="J93" s="23"/>
      <c r="K93" s="23"/>
      <c r="L93" s="23"/>
      <c r="M93" s="23"/>
      <c r="N93" s="23"/>
      <c r="O93" s="23"/>
    </row>
    <row r="94" spans="1:15" x14ac:dyDescent="0.35">
      <c r="A94" s="20"/>
      <c r="B94" s="20"/>
      <c r="C94" s="16"/>
      <c r="D94" s="20"/>
      <c r="E94" s="26"/>
      <c r="F94" s="20"/>
      <c r="G94" s="20"/>
      <c r="H94" s="20"/>
      <c r="I94" s="23"/>
      <c r="J94" s="23"/>
      <c r="K94" s="23"/>
      <c r="L94" s="23"/>
      <c r="M94" s="23"/>
      <c r="N94" s="23"/>
      <c r="O94" s="23"/>
    </row>
    <row r="95" spans="1:15" x14ac:dyDescent="0.35">
      <c r="A95" s="20"/>
      <c r="B95" s="20"/>
      <c r="C95" s="16"/>
      <c r="D95" s="20"/>
      <c r="E95" s="26"/>
      <c r="F95" s="20"/>
      <c r="G95" s="20"/>
      <c r="H95" s="20"/>
      <c r="I95" s="23"/>
      <c r="J95" s="23"/>
      <c r="K95" s="23"/>
      <c r="L95" s="23"/>
      <c r="M95" s="23"/>
      <c r="N95" s="23"/>
      <c r="O95" s="23"/>
    </row>
    <row r="96" spans="1:15" x14ac:dyDescent="0.35">
      <c r="A96" s="20"/>
      <c r="B96" s="20"/>
      <c r="C96" s="16"/>
      <c r="D96" s="20"/>
      <c r="E96" s="26"/>
      <c r="F96" s="20"/>
      <c r="G96" s="20"/>
      <c r="H96" s="20"/>
      <c r="I96" s="23"/>
      <c r="J96" s="23"/>
      <c r="K96" s="23"/>
      <c r="L96" s="23"/>
      <c r="M96" s="23"/>
      <c r="N96" s="23"/>
      <c r="O96" s="23"/>
    </row>
    <row r="97" spans="1:15" x14ac:dyDescent="0.35">
      <c r="A97" s="20"/>
      <c r="B97" s="20"/>
      <c r="C97" s="16"/>
      <c r="D97" s="20"/>
      <c r="E97" s="26"/>
      <c r="F97" s="20"/>
      <c r="G97" s="20"/>
      <c r="H97" s="20"/>
      <c r="I97" s="23"/>
      <c r="J97" s="23"/>
      <c r="K97" s="23"/>
      <c r="L97" s="23"/>
      <c r="M97" s="23"/>
      <c r="N97" s="23"/>
      <c r="O97" s="23"/>
    </row>
    <row r="98" spans="1:15" x14ac:dyDescent="0.35">
      <c r="A98" s="20"/>
      <c r="B98" s="20"/>
      <c r="C98" s="16"/>
      <c r="D98" s="20"/>
      <c r="E98" s="26"/>
      <c r="F98" s="20"/>
      <c r="G98" s="20"/>
      <c r="H98" s="20"/>
      <c r="I98" s="23"/>
      <c r="J98" s="23"/>
      <c r="K98" s="23"/>
      <c r="L98" s="23"/>
      <c r="M98" s="23"/>
      <c r="N98" s="23"/>
      <c r="O98" s="23"/>
    </row>
    <row r="99" spans="1:15" x14ac:dyDescent="0.35">
      <c r="A99" s="20"/>
      <c r="B99" s="20"/>
      <c r="C99" s="16"/>
      <c r="D99" s="20"/>
      <c r="E99" s="26"/>
      <c r="F99" s="20"/>
      <c r="G99" s="20"/>
      <c r="H99" s="20"/>
      <c r="I99" s="23"/>
      <c r="J99" s="23"/>
      <c r="K99" s="23"/>
      <c r="L99" s="23"/>
      <c r="M99" s="23"/>
      <c r="N99" s="23"/>
      <c r="O99" s="23"/>
    </row>
    <row r="100" spans="1:15" x14ac:dyDescent="0.35">
      <c r="A100" s="20"/>
      <c r="B100" s="20"/>
      <c r="C100" s="16"/>
      <c r="D100" s="20"/>
      <c r="E100" s="26"/>
      <c r="F100" s="20"/>
      <c r="G100" s="20"/>
      <c r="H100" s="20"/>
      <c r="I100" s="23"/>
      <c r="J100" s="23"/>
      <c r="K100" s="23"/>
      <c r="L100" s="23"/>
      <c r="M100" s="23"/>
      <c r="N100" s="23"/>
      <c r="O100" s="23"/>
    </row>
    <row r="101" spans="1:15" x14ac:dyDescent="0.35">
      <c r="A101" s="20"/>
      <c r="B101" s="20"/>
      <c r="C101" s="16"/>
      <c r="D101" s="20"/>
      <c r="E101" s="26"/>
      <c r="F101" s="20"/>
      <c r="G101" s="20"/>
      <c r="H101" s="20"/>
      <c r="I101" s="23"/>
      <c r="J101" s="23"/>
      <c r="K101" s="23"/>
      <c r="L101" s="23"/>
      <c r="M101" s="23"/>
      <c r="N101" s="23"/>
      <c r="O101" s="23"/>
    </row>
    <row r="102" spans="1:15" x14ac:dyDescent="0.35">
      <c r="A102" s="20"/>
      <c r="B102" s="20"/>
      <c r="C102" s="16"/>
      <c r="D102" s="20"/>
      <c r="E102" s="26"/>
      <c r="F102" s="20"/>
      <c r="G102" s="20"/>
      <c r="H102" s="20"/>
      <c r="I102" s="23"/>
      <c r="J102" s="23"/>
      <c r="K102" s="23"/>
      <c r="L102" s="23"/>
      <c r="M102" s="23"/>
      <c r="N102" s="23"/>
      <c r="O102" s="23"/>
    </row>
    <row r="103" spans="1:15" x14ac:dyDescent="0.35">
      <c r="A103" s="20"/>
      <c r="B103" s="20"/>
      <c r="C103" s="16"/>
      <c r="D103" s="20"/>
      <c r="E103" s="26"/>
      <c r="F103" s="20"/>
      <c r="G103" s="20"/>
      <c r="H103" s="20"/>
      <c r="I103" s="23"/>
      <c r="J103" s="23"/>
      <c r="K103" s="23"/>
      <c r="L103" s="23"/>
      <c r="M103" s="23"/>
      <c r="N103" s="23"/>
      <c r="O103" s="23"/>
    </row>
    <row r="104" spans="1:15" x14ac:dyDescent="0.35">
      <c r="A104" s="20"/>
      <c r="B104" s="20"/>
      <c r="C104" s="16"/>
      <c r="D104" s="20"/>
      <c r="E104" s="26"/>
      <c r="F104" s="20"/>
      <c r="G104" s="20"/>
      <c r="H104" s="20"/>
      <c r="I104" s="23"/>
      <c r="J104" s="23"/>
      <c r="K104" s="23"/>
      <c r="L104" s="23"/>
      <c r="M104" s="23"/>
      <c r="N104" s="23"/>
      <c r="O104" s="23"/>
    </row>
    <row r="105" spans="1:15" x14ac:dyDescent="0.35">
      <c r="A105" s="20"/>
      <c r="B105" s="20"/>
      <c r="C105" s="16"/>
      <c r="D105" s="20"/>
      <c r="E105" s="26"/>
      <c r="F105" s="20"/>
      <c r="G105" s="20"/>
      <c r="H105" s="20"/>
      <c r="I105" s="23"/>
      <c r="J105" s="23"/>
      <c r="K105" s="23"/>
      <c r="L105" s="23"/>
      <c r="M105" s="23"/>
      <c r="N105" s="23"/>
      <c r="O105" s="23"/>
    </row>
    <row r="106" spans="1:15" x14ac:dyDescent="0.35">
      <c r="A106" s="20"/>
      <c r="B106" s="20"/>
      <c r="C106" s="16"/>
      <c r="D106" s="20"/>
      <c r="E106" s="26"/>
      <c r="F106" s="20"/>
      <c r="G106" s="20"/>
      <c r="H106" s="20"/>
      <c r="I106" s="23"/>
      <c r="J106" s="23"/>
      <c r="K106" s="23"/>
      <c r="L106" s="23"/>
      <c r="M106" s="23"/>
      <c r="N106" s="23"/>
      <c r="O106" s="23"/>
    </row>
    <row r="107" spans="1:15" x14ac:dyDescent="0.35">
      <c r="A107" s="20"/>
      <c r="B107" s="20"/>
      <c r="C107" s="16"/>
      <c r="D107" s="20"/>
      <c r="E107" s="26"/>
      <c r="F107" s="20"/>
      <c r="G107" s="20"/>
      <c r="H107" s="20"/>
      <c r="I107" s="23"/>
      <c r="J107" s="23"/>
      <c r="K107" s="23"/>
      <c r="L107" s="23"/>
      <c r="M107" s="23"/>
      <c r="N107" s="23"/>
      <c r="O107" s="23"/>
    </row>
    <row r="108" spans="1:15" x14ac:dyDescent="0.35">
      <c r="A108" s="20"/>
      <c r="B108" s="20"/>
      <c r="C108" s="16"/>
      <c r="D108" s="20"/>
      <c r="E108" s="26"/>
      <c r="F108" s="20"/>
      <c r="G108" s="20"/>
      <c r="H108" s="20"/>
      <c r="I108" s="23"/>
      <c r="J108" s="23"/>
      <c r="K108" s="23"/>
      <c r="L108" s="23"/>
      <c r="M108" s="23"/>
      <c r="N108" s="23"/>
      <c r="O108" s="23"/>
    </row>
    <row r="109" spans="1:15" x14ac:dyDescent="0.35">
      <c r="A109" s="20"/>
      <c r="B109" s="20"/>
      <c r="C109" s="16"/>
      <c r="D109" s="20"/>
      <c r="E109" s="26"/>
      <c r="F109" s="20"/>
      <c r="G109" s="20"/>
      <c r="H109" s="20"/>
      <c r="I109" s="23"/>
      <c r="J109" s="23"/>
      <c r="K109" s="23"/>
      <c r="L109" s="23"/>
      <c r="M109" s="23"/>
      <c r="N109" s="23"/>
      <c r="O109" s="23"/>
    </row>
    <row r="110" spans="1:15" x14ac:dyDescent="0.35">
      <c r="A110" s="20"/>
      <c r="B110" s="20"/>
      <c r="C110" s="16"/>
      <c r="D110" s="20"/>
      <c r="E110" s="26"/>
      <c r="F110" s="20"/>
      <c r="G110" s="20"/>
      <c r="H110" s="20"/>
      <c r="I110" s="23"/>
      <c r="J110" s="23"/>
      <c r="K110" s="23"/>
      <c r="L110" s="23"/>
      <c r="M110" s="23"/>
      <c r="N110" s="23"/>
      <c r="O110" s="23"/>
    </row>
    <row r="111" spans="1:15" x14ac:dyDescent="0.35">
      <c r="A111" s="20"/>
      <c r="B111" s="20"/>
      <c r="C111" s="16"/>
      <c r="D111" s="20"/>
      <c r="E111" s="26"/>
      <c r="F111" s="20"/>
      <c r="G111" s="20"/>
      <c r="H111" s="20"/>
      <c r="I111" s="23"/>
      <c r="J111" s="23"/>
      <c r="K111" s="23"/>
      <c r="L111" s="23"/>
      <c r="M111" s="23"/>
      <c r="N111" s="23"/>
      <c r="O111" s="23"/>
    </row>
    <row r="112" spans="1:15" x14ac:dyDescent="0.35">
      <c r="A112" s="20"/>
      <c r="B112" s="20"/>
      <c r="C112" s="16"/>
      <c r="D112" s="20"/>
      <c r="E112" s="26"/>
      <c r="F112" s="20"/>
      <c r="G112" s="20"/>
      <c r="H112" s="20"/>
      <c r="I112" s="23"/>
      <c r="J112" s="23"/>
      <c r="K112" s="23"/>
      <c r="L112" s="23"/>
      <c r="M112" s="23"/>
      <c r="N112" s="23"/>
      <c r="O112" s="23"/>
    </row>
    <row r="113" spans="1:15" x14ac:dyDescent="0.35">
      <c r="A113" s="20"/>
      <c r="B113" s="20"/>
      <c r="C113" s="16"/>
      <c r="D113" s="20"/>
      <c r="E113" s="26"/>
      <c r="F113" s="20"/>
      <c r="G113" s="20"/>
      <c r="H113" s="20"/>
      <c r="I113" s="23"/>
      <c r="J113" s="23"/>
      <c r="K113" s="23"/>
      <c r="L113" s="23"/>
      <c r="M113" s="23"/>
      <c r="N113" s="23"/>
      <c r="O113" s="23"/>
    </row>
    <row r="114" spans="1:15" x14ac:dyDescent="0.35">
      <c r="A114" s="20"/>
      <c r="B114" s="20"/>
      <c r="C114" s="16"/>
      <c r="D114" s="20"/>
      <c r="E114" s="26"/>
      <c r="F114" s="20"/>
      <c r="G114" s="20"/>
      <c r="H114" s="20"/>
      <c r="I114" s="23"/>
      <c r="J114" s="23"/>
      <c r="K114" s="23"/>
      <c r="L114" s="23"/>
      <c r="M114" s="23"/>
      <c r="N114" s="23"/>
      <c r="O114" s="23"/>
    </row>
    <row r="115" spans="1:15" x14ac:dyDescent="0.35">
      <c r="A115" s="20"/>
      <c r="B115" s="20"/>
      <c r="C115" s="16"/>
      <c r="D115" s="20"/>
      <c r="E115" s="26"/>
      <c r="F115" s="20"/>
      <c r="G115" s="20"/>
      <c r="H115" s="20"/>
      <c r="I115" s="23"/>
      <c r="J115" s="23"/>
      <c r="K115" s="23"/>
      <c r="L115" s="23"/>
      <c r="M115" s="23"/>
      <c r="N115" s="23"/>
      <c r="O115" s="23"/>
    </row>
    <row r="116" spans="1:15" x14ac:dyDescent="0.35">
      <c r="A116" s="20"/>
      <c r="B116" s="20"/>
      <c r="C116" s="16"/>
      <c r="D116" s="20"/>
      <c r="E116" s="26"/>
      <c r="F116" s="20"/>
      <c r="G116" s="20"/>
      <c r="H116" s="20"/>
      <c r="I116" s="23"/>
      <c r="J116" s="23"/>
      <c r="K116" s="23"/>
      <c r="L116" s="23"/>
      <c r="M116" s="23"/>
      <c r="N116" s="23"/>
      <c r="O116" s="23"/>
    </row>
    <row r="117" spans="1:15" x14ac:dyDescent="0.35">
      <c r="A117" s="20"/>
      <c r="B117" s="20"/>
      <c r="C117" s="16"/>
      <c r="D117" s="20"/>
      <c r="E117" s="26"/>
      <c r="F117" s="20"/>
      <c r="G117" s="20"/>
      <c r="H117" s="20"/>
      <c r="I117" s="23"/>
      <c r="J117" s="23"/>
      <c r="K117" s="23"/>
      <c r="L117" s="23"/>
      <c r="M117" s="23"/>
      <c r="N117" s="23"/>
      <c r="O117" s="23"/>
    </row>
    <row r="118" spans="1:15" x14ac:dyDescent="0.35">
      <c r="A118" s="20"/>
      <c r="B118" s="20"/>
      <c r="C118" s="16"/>
      <c r="D118" s="20"/>
      <c r="E118" s="26"/>
      <c r="F118" s="20"/>
      <c r="G118" s="20"/>
      <c r="H118" s="20"/>
      <c r="I118" s="23"/>
      <c r="J118" s="23"/>
      <c r="K118" s="23"/>
      <c r="L118" s="23"/>
      <c r="M118" s="23"/>
      <c r="N118" s="23"/>
      <c r="O118" s="23"/>
    </row>
    <row r="119" spans="1:15" x14ac:dyDescent="0.35">
      <c r="A119" s="20"/>
      <c r="B119" s="20"/>
      <c r="C119" s="16"/>
      <c r="D119" s="20"/>
      <c r="E119" s="26"/>
      <c r="F119" s="20"/>
      <c r="G119" s="20"/>
      <c r="H119" s="20"/>
      <c r="I119" s="23"/>
      <c r="J119" s="23"/>
      <c r="K119" s="23"/>
      <c r="L119" s="23"/>
      <c r="M119" s="23"/>
      <c r="N119" s="23"/>
      <c r="O119" s="23"/>
    </row>
    <row r="120" spans="1:15" x14ac:dyDescent="0.35">
      <c r="A120" s="20"/>
      <c r="B120" s="20"/>
      <c r="C120" s="16"/>
      <c r="D120" s="20"/>
      <c r="E120" s="26"/>
      <c r="F120" s="20"/>
      <c r="G120" s="20"/>
      <c r="H120" s="20"/>
      <c r="I120" s="23"/>
      <c r="J120" s="23"/>
      <c r="K120" s="23"/>
      <c r="L120" s="23"/>
      <c r="M120" s="23"/>
      <c r="N120" s="23"/>
      <c r="O120" s="23"/>
    </row>
    <row r="121" spans="1:15" x14ac:dyDescent="0.35">
      <c r="A121" s="20"/>
      <c r="B121" s="20"/>
      <c r="C121" s="16"/>
      <c r="D121" s="20"/>
      <c r="E121" s="26"/>
      <c r="F121" s="20"/>
      <c r="G121" s="20"/>
      <c r="H121" s="20"/>
      <c r="I121" s="23"/>
      <c r="J121" s="23"/>
      <c r="K121" s="23"/>
      <c r="L121" s="23"/>
      <c r="M121" s="23"/>
      <c r="N121" s="23"/>
      <c r="O121" s="23"/>
    </row>
    <row r="122" spans="1:15" x14ac:dyDescent="0.35">
      <c r="A122" s="20"/>
      <c r="B122" s="20"/>
      <c r="C122" s="16"/>
      <c r="D122" s="20"/>
      <c r="E122" s="26"/>
      <c r="F122" s="20"/>
      <c r="G122" s="20"/>
      <c r="H122" s="20"/>
      <c r="I122" s="23"/>
      <c r="J122" s="23"/>
      <c r="K122" s="23"/>
      <c r="L122" s="23"/>
      <c r="M122" s="23"/>
      <c r="N122" s="23"/>
      <c r="O122" s="23"/>
    </row>
    <row r="123" spans="1:15" x14ac:dyDescent="0.35">
      <c r="A123" s="20"/>
      <c r="B123" s="20"/>
      <c r="C123" s="16"/>
      <c r="D123" s="20"/>
      <c r="E123" s="26"/>
      <c r="F123" s="20"/>
      <c r="G123" s="20"/>
      <c r="H123" s="20"/>
      <c r="I123" s="23"/>
      <c r="J123" s="23"/>
      <c r="K123" s="23"/>
      <c r="L123" s="23"/>
      <c r="M123" s="23"/>
      <c r="N123" s="23"/>
      <c r="O123" s="23"/>
    </row>
    <row r="124" spans="1:15" x14ac:dyDescent="0.35">
      <c r="A124" s="20"/>
      <c r="B124" s="20"/>
      <c r="C124" s="16"/>
      <c r="D124" s="20"/>
      <c r="E124" s="26"/>
      <c r="F124" s="20"/>
      <c r="G124" s="20"/>
      <c r="H124" s="20"/>
      <c r="I124" s="23"/>
      <c r="J124" s="23"/>
      <c r="K124" s="23"/>
      <c r="L124" s="23"/>
      <c r="M124" s="23"/>
      <c r="N124" s="23"/>
      <c r="O124" s="23"/>
    </row>
    <row r="125" spans="1:15" x14ac:dyDescent="0.35">
      <c r="A125" s="20"/>
      <c r="B125" s="20"/>
      <c r="C125" s="16"/>
      <c r="D125" s="20"/>
      <c r="E125" s="26"/>
      <c r="F125" s="20"/>
      <c r="G125" s="20"/>
      <c r="H125" s="20"/>
      <c r="I125" s="23"/>
      <c r="J125" s="23"/>
      <c r="K125" s="23"/>
      <c r="L125" s="23"/>
      <c r="M125" s="23"/>
      <c r="N125" s="23"/>
      <c r="O125" s="23"/>
    </row>
    <row r="126" spans="1:15" x14ac:dyDescent="0.35">
      <c r="A126" s="20"/>
      <c r="B126" s="20"/>
      <c r="C126" s="16"/>
      <c r="D126" s="20"/>
      <c r="E126" s="26"/>
      <c r="F126" s="20"/>
      <c r="G126" s="20"/>
      <c r="H126" s="20"/>
      <c r="I126" s="23"/>
      <c r="J126" s="23"/>
      <c r="K126" s="23"/>
      <c r="L126" s="23"/>
      <c r="M126" s="23"/>
      <c r="N126" s="23"/>
      <c r="O126" s="23"/>
    </row>
    <row r="127" spans="1:15" x14ac:dyDescent="0.35">
      <c r="A127" s="20"/>
      <c r="B127" s="20"/>
      <c r="C127" s="16"/>
      <c r="D127" s="20"/>
      <c r="E127" s="26"/>
      <c r="F127" s="20"/>
      <c r="G127" s="20"/>
      <c r="H127" s="20"/>
      <c r="I127" s="23"/>
      <c r="J127" s="23"/>
      <c r="K127" s="23"/>
      <c r="L127" s="23"/>
      <c r="M127" s="23"/>
      <c r="N127" s="23"/>
      <c r="O127" s="23"/>
    </row>
    <row r="128" spans="1:15" x14ac:dyDescent="0.35">
      <c r="A128" s="20"/>
      <c r="B128" s="20"/>
      <c r="C128" s="16"/>
      <c r="D128" s="20"/>
      <c r="E128" s="26"/>
      <c r="F128" s="20"/>
      <c r="G128" s="20"/>
      <c r="H128" s="20"/>
      <c r="I128" s="23"/>
      <c r="J128" s="23"/>
      <c r="K128" s="23"/>
      <c r="L128" s="23"/>
      <c r="M128" s="23"/>
      <c r="N128" s="23"/>
      <c r="O128" s="23"/>
    </row>
    <row r="129" spans="1:15" x14ac:dyDescent="0.35">
      <c r="A129" s="20"/>
      <c r="B129" s="20"/>
      <c r="C129" s="16"/>
      <c r="D129" s="20"/>
      <c r="E129" s="26"/>
      <c r="F129" s="20"/>
      <c r="G129" s="20"/>
      <c r="H129" s="20"/>
      <c r="I129" s="23"/>
      <c r="J129" s="23"/>
      <c r="K129" s="23"/>
      <c r="L129" s="23"/>
      <c r="M129" s="23"/>
      <c r="N129" s="23"/>
      <c r="O129" s="23"/>
    </row>
    <row r="130" spans="1:15" x14ac:dyDescent="0.35">
      <c r="A130" s="20"/>
      <c r="B130" s="20"/>
      <c r="C130" s="16"/>
      <c r="D130" s="20"/>
      <c r="E130" s="26"/>
      <c r="F130" s="20"/>
      <c r="G130" s="20"/>
      <c r="H130" s="20"/>
      <c r="I130" s="23"/>
      <c r="J130" s="23"/>
      <c r="K130" s="23"/>
      <c r="L130" s="23"/>
      <c r="M130" s="23"/>
      <c r="N130" s="23"/>
      <c r="O130" s="23"/>
    </row>
    <row r="131" spans="1:15" x14ac:dyDescent="0.35">
      <c r="A131" s="20"/>
      <c r="B131" s="20"/>
      <c r="C131" s="16"/>
      <c r="D131" s="20"/>
      <c r="E131" s="26"/>
      <c r="F131" s="20"/>
      <c r="G131" s="20"/>
      <c r="H131" s="20"/>
      <c r="I131" s="23"/>
      <c r="J131" s="23"/>
      <c r="K131" s="23"/>
      <c r="L131" s="23"/>
      <c r="M131" s="23"/>
      <c r="N131" s="23"/>
      <c r="O131" s="23"/>
    </row>
    <row r="132" spans="1:15" x14ac:dyDescent="0.35">
      <c r="A132" s="20"/>
      <c r="B132" s="20"/>
      <c r="C132" s="16"/>
      <c r="D132" s="20"/>
      <c r="E132" s="26"/>
      <c r="F132" s="20"/>
      <c r="G132" s="20"/>
      <c r="H132" s="20"/>
      <c r="I132" s="23"/>
      <c r="J132" s="23"/>
      <c r="K132" s="23"/>
      <c r="L132" s="23"/>
      <c r="M132" s="23"/>
      <c r="N132" s="23"/>
      <c r="O132" s="23"/>
    </row>
    <row r="133" spans="1:15" x14ac:dyDescent="0.35">
      <c r="A133" s="20"/>
      <c r="B133" s="20"/>
      <c r="C133" s="16"/>
      <c r="D133" s="20"/>
      <c r="E133" s="26"/>
      <c r="F133" s="20"/>
      <c r="G133" s="20"/>
      <c r="H133" s="20"/>
      <c r="I133" s="23"/>
      <c r="J133" s="23"/>
      <c r="K133" s="23"/>
      <c r="L133" s="23"/>
      <c r="M133" s="23"/>
      <c r="N133" s="23"/>
      <c r="O133" s="23"/>
    </row>
    <row r="134" spans="1:15" x14ac:dyDescent="0.35">
      <c r="A134" s="20"/>
      <c r="B134" s="20"/>
      <c r="C134" s="16"/>
      <c r="D134" s="20"/>
      <c r="E134" s="26"/>
      <c r="F134" s="21"/>
      <c r="G134" s="20"/>
      <c r="H134" s="20"/>
      <c r="I134" s="23"/>
      <c r="J134" s="23"/>
      <c r="K134" s="23"/>
      <c r="L134" s="23"/>
      <c r="M134" s="23"/>
      <c r="N134" s="23"/>
      <c r="O134" s="23"/>
    </row>
    <row r="135" spans="1:15" x14ac:dyDescent="0.35">
      <c r="A135" s="20"/>
      <c r="B135" s="20"/>
      <c r="C135" s="16"/>
      <c r="D135" s="20"/>
      <c r="E135" s="26"/>
      <c r="F135" s="20"/>
      <c r="G135" s="20"/>
      <c r="H135" s="20"/>
      <c r="I135" s="23"/>
      <c r="J135" s="23"/>
      <c r="K135" s="23"/>
      <c r="L135" s="23"/>
      <c r="M135" s="23"/>
      <c r="N135" s="23"/>
      <c r="O135" s="23"/>
    </row>
    <row r="136" spans="1:15" x14ac:dyDescent="0.35">
      <c r="A136" s="20"/>
      <c r="B136" s="20"/>
      <c r="C136" s="16"/>
      <c r="D136" s="20"/>
      <c r="E136" s="26"/>
      <c r="F136" s="20"/>
      <c r="G136" s="20"/>
      <c r="H136" s="20"/>
      <c r="I136" s="23"/>
      <c r="J136" s="23"/>
      <c r="K136" s="23"/>
      <c r="L136" s="23"/>
      <c r="M136" s="23"/>
      <c r="N136" s="23"/>
      <c r="O136" s="23"/>
    </row>
    <row r="137" spans="1:15" x14ac:dyDescent="0.35">
      <c r="A137" s="20"/>
      <c r="B137" s="20"/>
      <c r="C137" s="16"/>
      <c r="D137" s="20"/>
      <c r="E137" s="26"/>
      <c r="F137" s="20"/>
      <c r="G137" s="20"/>
      <c r="H137" s="20"/>
      <c r="I137" s="23"/>
      <c r="J137" s="23"/>
      <c r="K137" s="23"/>
      <c r="L137" s="23"/>
      <c r="M137" s="23"/>
      <c r="N137" s="23"/>
      <c r="O137" s="23"/>
    </row>
    <row r="138" spans="1:15" x14ac:dyDescent="0.35">
      <c r="A138" s="20"/>
      <c r="B138" s="20"/>
      <c r="C138" s="16"/>
      <c r="D138" s="20"/>
      <c r="E138" s="26"/>
      <c r="F138" s="20"/>
      <c r="G138" s="20"/>
      <c r="H138" s="20"/>
      <c r="I138" s="23"/>
      <c r="J138" s="23"/>
      <c r="K138" s="23"/>
      <c r="L138" s="23"/>
      <c r="M138" s="23"/>
      <c r="N138" s="23"/>
      <c r="O138" s="23"/>
    </row>
    <row r="139" spans="1:15" x14ac:dyDescent="0.35">
      <c r="A139" s="20"/>
      <c r="B139" s="20"/>
      <c r="C139" s="16"/>
      <c r="D139" s="20"/>
      <c r="E139" s="26"/>
      <c r="F139" s="20"/>
      <c r="G139" s="20"/>
      <c r="H139" s="20"/>
      <c r="I139" s="23"/>
      <c r="J139" s="23"/>
      <c r="K139" s="23"/>
      <c r="L139" s="23"/>
      <c r="M139" s="23"/>
      <c r="N139" s="23"/>
      <c r="O139" s="23"/>
    </row>
    <row r="140" spans="1:15" x14ac:dyDescent="0.35">
      <c r="A140" s="20"/>
      <c r="B140" s="20"/>
      <c r="C140" s="16"/>
      <c r="D140" s="20"/>
      <c r="E140" s="26"/>
      <c r="F140" s="20"/>
      <c r="G140" s="20"/>
      <c r="H140" s="20"/>
      <c r="I140" s="23"/>
      <c r="J140" s="23"/>
      <c r="K140" s="23"/>
      <c r="L140" s="23"/>
      <c r="M140" s="23"/>
      <c r="N140" s="23"/>
      <c r="O140" s="23"/>
    </row>
    <row r="141" spans="1:15" x14ac:dyDescent="0.35">
      <c r="A141" s="20"/>
      <c r="B141" s="20"/>
      <c r="C141" s="16"/>
      <c r="D141" s="20"/>
      <c r="E141" s="26"/>
      <c r="F141" s="20"/>
      <c r="G141" s="20"/>
      <c r="H141" s="20"/>
      <c r="I141" s="23"/>
      <c r="J141" s="23"/>
      <c r="K141" s="23"/>
      <c r="L141" s="23"/>
      <c r="M141" s="23"/>
      <c r="N141" s="23"/>
      <c r="O141" s="23"/>
    </row>
    <row r="142" spans="1:15" x14ac:dyDescent="0.35">
      <c r="A142" s="20"/>
      <c r="B142" s="20"/>
      <c r="C142" s="16"/>
      <c r="D142" s="20"/>
      <c r="E142" s="26"/>
      <c r="F142" s="20"/>
      <c r="G142" s="20"/>
      <c r="H142" s="20"/>
      <c r="I142" s="23"/>
      <c r="J142" s="23"/>
      <c r="K142" s="23"/>
      <c r="L142" s="23"/>
      <c r="M142" s="23"/>
      <c r="N142" s="23"/>
      <c r="O142" s="23"/>
    </row>
    <row r="143" spans="1:15" x14ac:dyDescent="0.35">
      <c r="A143" s="20"/>
      <c r="B143" s="20"/>
      <c r="C143" s="16"/>
      <c r="D143" s="20"/>
      <c r="E143" s="26"/>
      <c r="F143" s="20"/>
      <c r="G143" s="20"/>
      <c r="H143" s="20"/>
      <c r="I143" s="23"/>
      <c r="J143" s="23"/>
      <c r="K143" s="23"/>
      <c r="L143" s="23"/>
      <c r="M143" s="23"/>
      <c r="N143" s="23"/>
      <c r="O143" s="23"/>
    </row>
    <row r="144" spans="1:15" x14ac:dyDescent="0.35">
      <c r="A144" s="20"/>
      <c r="B144" s="20"/>
      <c r="C144" s="16"/>
      <c r="D144" s="20"/>
      <c r="E144" s="26"/>
      <c r="F144" s="20"/>
      <c r="G144" s="20"/>
      <c r="H144" s="20"/>
      <c r="I144" s="23"/>
      <c r="J144" s="23"/>
      <c r="K144" s="23"/>
      <c r="L144" s="23"/>
      <c r="M144" s="23"/>
      <c r="N144" s="23"/>
      <c r="O144" s="23"/>
    </row>
    <row r="145" spans="1:15" x14ac:dyDescent="0.35">
      <c r="A145" s="20"/>
      <c r="B145" s="20"/>
      <c r="C145" s="16"/>
      <c r="D145" s="20"/>
      <c r="E145" s="26"/>
      <c r="F145" s="20"/>
      <c r="G145" s="20"/>
      <c r="H145" s="20"/>
      <c r="I145" s="23"/>
      <c r="J145" s="23"/>
      <c r="K145" s="23"/>
      <c r="L145" s="23"/>
      <c r="M145" s="23"/>
      <c r="N145" s="23"/>
      <c r="O145" s="23"/>
    </row>
    <row r="146" spans="1:15" x14ac:dyDescent="0.35">
      <c r="A146" s="20"/>
      <c r="B146" s="20"/>
      <c r="C146" s="16"/>
      <c r="D146" s="20"/>
      <c r="E146" s="26"/>
      <c r="F146" s="20"/>
      <c r="G146" s="20"/>
      <c r="H146" s="20"/>
      <c r="I146" s="23"/>
      <c r="J146" s="23"/>
      <c r="K146" s="23"/>
      <c r="L146" s="23"/>
      <c r="M146" s="23"/>
      <c r="N146" s="23"/>
      <c r="O146" s="23"/>
    </row>
    <row r="147" spans="1:15" x14ac:dyDescent="0.35">
      <c r="A147" s="20"/>
      <c r="B147" s="20"/>
      <c r="C147" s="16"/>
      <c r="D147" s="20"/>
      <c r="E147" s="26"/>
      <c r="F147" s="20"/>
      <c r="G147" s="20"/>
      <c r="H147" s="20"/>
      <c r="I147" s="23"/>
      <c r="J147" s="23"/>
      <c r="K147" s="23"/>
      <c r="L147" s="23"/>
      <c r="M147" s="23"/>
      <c r="N147" s="23"/>
      <c r="O147" s="23"/>
    </row>
    <row r="148" spans="1:15" x14ac:dyDescent="0.35">
      <c r="A148" s="20"/>
      <c r="B148" s="20"/>
      <c r="C148" s="16"/>
      <c r="D148" s="20"/>
      <c r="E148" s="26"/>
      <c r="F148" s="20"/>
      <c r="G148" s="20"/>
      <c r="H148" s="20"/>
      <c r="I148" s="23"/>
      <c r="J148" s="23"/>
      <c r="K148" s="23"/>
      <c r="L148" s="23"/>
      <c r="M148" s="23"/>
      <c r="N148" s="23"/>
      <c r="O148" s="23"/>
    </row>
    <row r="149" spans="1:15" x14ac:dyDescent="0.35">
      <c r="A149" s="20"/>
      <c r="B149" s="20"/>
      <c r="C149" s="16"/>
      <c r="D149" s="20"/>
      <c r="E149" s="26"/>
      <c r="F149" s="20"/>
      <c r="G149" s="20"/>
      <c r="H149" s="20"/>
      <c r="I149" s="23"/>
      <c r="J149" s="23"/>
      <c r="K149" s="23"/>
      <c r="L149" s="23"/>
      <c r="M149" s="23"/>
      <c r="N149" s="23"/>
      <c r="O149" s="23"/>
    </row>
    <row r="150" spans="1:15" x14ac:dyDescent="0.35">
      <c r="A150" s="20"/>
      <c r="B150" s="20"/>
      <c r="C150" s="16"/>
      <c r="D150" s="20"/>
      <c r="E150" s="26"/>
      <c r="F150" s="20"/>
      <c r="G150" s="20"/>
      <c r="H150" s="20"/>
      <c r="I150" s="23"/>
      <c r="J150" s="23"/>
      <c r="K150" s="23"/>
      <c r="L150" s="23"/>
      <c r="M150" s="23"/>
      <c r="N150" s="23"/>
      <c r="O150" s="23"/>
    </row>
    <row r="151" spans="1:15" x14ac:dyDescent="0.35">
      <c r="A151" s="20"/>
      <c r="B151" s="20"/>
      <c r="C151" s="16"/>
      <c r="D151" s="20"/>
      <c r="E151" s="26"/>
      <c r="F151" s="20"/>
      <c r="G151" s="20"/>
      <c r="H151" s="20"/>
      <c r="I151" s="23"/>
      <c r="J151" s="23"/>
      <c r="K151" s="23"/>
      <c r="L151" s="23"/>
      <c r="M151" s="23"/>
      <c r="N151" s="23"/>
      <c r="O151" s="23"/>
    </row>
    <row r="152" spans="1:15" x14ac:dyDescent="0.35">
      <c r="A152" s="20"/>
      <c r="B152" s="20"/>
      <c r="C152" s="16"/>
      <c r="D152" s="20"/>
      <c r="E152" s="26"/>
      <c r="F152" s="20"/>
      <c r="G152" s="20"/>
      <c r="H152" s="20"/>
      <c r="I152" s="23"/>
      <c r="J152" s="23"/>
      <c r="K152" s="23"/>
      <c r="L152" s="23"/>
      <c r="M152" s="23"/>
      <c r="N152" s="23"/>
      <c r="O152" s="23"/>
    </row>
    <row r="153" spans="1:15" x14ac:dyDescent="0.35">
      <c r="A153" s="20"/>
      <c r="B153" s="20"/>
      <c r="C153" s="16"/>
      <c r="D153" s="20"/>
      <c r="E153" s="26"/>
      <c r="F153" s="20"/>
      <c r="G153" s="20"/>
      <c r="H153" s="20"/>
      <c r="I153" s="23"/>
      <c r="J153" s="23"/>
      <c r="K153" s="23"/>
      <c r="L153" s="23"/>
      <c r="M153" s="23"/>
      <c r="N153" s="23"/>
      <c r="O153" s="23"/>
    </row>
    <row r="154" spans="1:15" x14ac:dyDescent="0.35">
      <c r="A154" s="20"/>
      <c r="B154" s="20"/>
      <c r="C154" s="16"/>
      <c r="D154" s="20"/>
      <c r="E154" s="26"/>
      <c r="F154" s="20"/>
      <c r="G154" s="20"/>
      <c r="H154" s="20"/>
      <c r="I154" s="23"/>
      <c r="J154" s="23"/>
      <c r="K154" s="23"/>
      <c r="L154" s="23"/>
      <c r="M154" s="23"/>
      <c r="N154" s="23"/>
      <c r="O154" s="23"/>
    </row>
    <row r="155" spans="1:15" x14ac:dyDescent="0.35">
      <c r="A155" s="20"/>
      <c r="B155" s="20"/>
      <c r="C155" s="16"/>
      <c r="D155" s="20"/>
      <c r="E155" s="26"/>
      <c r="F155" s="20"/>
      <c r="G155" s="20"/>
      <c r="H155" s="20"/>
      <c r="I155" s="23"/>
      <c r="J155" s="23"/>
      <c r="K155" s="23"/>
      <c r="L155" s="23"/>
      <c r="M155" s="23"/>
      <c r="N155" s="23"/>
      <c r="O155" s="23"/>
    </row>
    <row r="156" spans="1:15" x14ac:dyDescent="0.35">
      <c r="A156" s="20"/>
      <c r="B156" s="20"/>
      <c r="C156" s="16"/>
      <c r="D156" s="20"/>
      <c r="E156" s="26"/>
      <c r="F156" s="20"/>
      <c r="G156" s="20"/>
      <c r="H156" s="20"/>
      <c r="I156" s="23"/>
      <c r="J156" s="23"/>
      <c r="K156" s="23"/>
      <c r="L156" s="23"/>
      <c r="M156" s="23"/>
      <c r="N156" s="23"/>
      <c r="O156" s="23"/>
    </row>
    <row r="157" spans="1:15" x14ac:dyDescent="0.35">
      <c r="A157" s="20"/>
      <c r="B157" s="20"/>
      <c r="C157" s="16"/>
      <c r="D157" s="20"/>
      <c r="E157" s="26"/>
      <c r="F157" s="20"/>
      <c r="G157" s="20"/>
      <c r="H157" s="20"/>
      <c r="I157" s="23"/>
      <c r="J157" s="23"/>
      <c r="K157" s="23"/>
      <c r="L157" s="23"/>
      <c r="M157" s="23"/>
      <c r="N157" s="23"/>
      <c r="O157" s="23"/>
    </row>
    <row r="158" spans="1:15" x14ac:dyDescent="0.35">
      <c r="A158" s="20"/>
      <c r="B158" s="20"/>
      <c r="C158" s="16"/>
      <c r="D158" s="20"/>
      <c r="E158" s="26"/>
      <c r="F158" s="20"/>
      <c r="G158" s="20"/>
      <c r="H158" s="20"/>
      <c r="I158" s="23"/>
      <c r="J158" s="23"/>
      <c r="K158" s="23"/>
      <c r="L158" s="23"/>
      <c r="M158" s="23"/>
      <c r="N158" s="23"/>
      <c r="O158" s="23"/>
    </row>
    <row r="159" spans="1:15" x14ac:dyDescent="0.35">
      <c r="A159" s="20"/>
      <c r="B159" s="20"/>
      <c r="C159" s="16"/>
      <c r="D159" s="20"/>
      <c r="E159" s="26"/>
      <c r="F159" s="20"/>
      <c r="G159" s="20"/>
      <c r="H159" s="20"/>
      <c r="I159" s="23"/>
      <c r="J159" s="23"/>
      <c r="K159" s="23"/>
      <c r="L159" s="23"/>
      <c r="M159" s="23"/>
      <c r="N159" s="23"/>
      <c r="O159" s="23"/>
    </row>
    <row r="160" spans="1:15" x14ac:dyDescent="0.35">
      <c r="A160" s="20"/>
      <c r="B160" s="20"/>
      <c r="C160" s="16"/>
      <c r="D160" s="20"/>
      <c r="E160" s="26"/>
      <c r="F160" s="20"/>
      <c r="G160" s="20"/>
      <c r="H160" s="20"/>
      <c r="I160" s="23"/>
      <c r="J160" s="23"/>
      <c r="K160" s="23"/>
      <c r="L160" s="23"/>
      <c r="M160" s="23"/>
      <c r="N160" s="23"/>
      <c r="O160" s="23"/>
    </row>
    <row r="161" spans="1:15" x14ac:dyDescent="0.35">
      <c r="A161" s="20"/>
      <c r="B161" s="20"/>
      <c r="C161" s="16"/>
      <c r="D161" s="20"/>
      <c r="E161" s="26"/>
      <c r="F161" s="20"/>
      <c r="G161" s="20"/>
      <c r="H161" s="20"/>
      <c r="I161" s="23"/>
      <c r="J161" s="23"/>
      <c r="K161" s="23"/>
      <c r="L161" s="23"/>
      <c r="M161" s="23"/>
      <c r="N161" s="23"/>
      <c r="O161" s="23"/>
    </row>
    <row r="162" spans="1:15" x14ac:dyDescent="0.35">
      <c r="A162" s="20"/>
      <c r="B162" s="20"/>
      <c r="C162" s="16"/>
      <c r="D162" s="20"/>
      <c r="E162" s="26"/>
      <c r="F162" s="20"/>
      <c r="G162" s="20"/>
      <c r="H162" s="20"/>
      <c r="I162" s="23"/>
      <c r="J162" s="23"/>
      <c r="K162" s="23"/>
      <c r="L162" s="23"/>
      <c r="M162" s="23"/>
      <c r="N162" s="23"/>
      <c r="O162" s="23"/>
    </row>
    <row r="163" spans="1:15" x14ac:dyDescent="0.35">
      <c r="A163" s="20"/>
      <c r="B163" s="20"/>
      <c r="C163" s="16"/>
      <c r="D163" s="20"/>
      <c r="E163" s="26"/>
      <c r="F163" s="20"/>
      <c r="G163" s="20"/>
      <c r="H163" s="20"/>
      <c r="I163" s="23"/>
      <c r="J163" s="23"/>
      <c r="K163" s="23"/>
      <c r="L163" s="23"/>
      <c r="M163" s="23"/>
      <c r="N163" s="23"/>
      <c r="O163" s="23"/>
    </row>
    <row r="164" spans="1:15" x14ac:dyDescent="0.35">
      <c r="A164" s="20"/>
      <c r="B164" s="20"/>
      <c r="C164" s="16"/>
      <c r="D164" s="20"/>
      <c r="E164" s="26"/>
      <c r="F164" s="20"/>
      <c r="G164" s="20"/>
      <c r="H164" s="20"/>
      <c r="I164" s="23"/>
      <c r="J164" s="23"/>
      <c r="K164" s="23"/>
      <c r="L164" s="23"/>
      <c r="M164" s="23"/>
      <c r="N164" s="23"/>
      <c r="O164" s="23"/>
    </row>
    <row r="165" spans="1:15" x14ac:dyDescent="0.35">
      <c r="A165" s="20"/>
      <c r="B165" s="20"/>
      <c r="C165" s="16"/>
      <c r="D165" s="20"/>
      <c r="E165" s="26"/>
      <c r="F165" s="20"/>
      <c r="G165" s="20"/>
      <c r="H165" s="20"/>
      <c r="I165" s="23"/>
      <c r="J165" s="23"/>
      <c r="K165" s="23"/>
      <c r="L165" s="23"/>
      <c r="M165" s="23"/>
      <c r="N165" s="23"/>
      <c r="O165" s="23"/>
    </row>
    <row r="166" spans="1:15" x14ac:dyDescent="0.35">
      <c r="A166" s="20"/>
      <c r="B166" s="20"/>
      <c r="C166" s="16"/>
      <c r="D166" s="20"/>
      <c r="E166" s="26"/>
      <c r="F166" s="20"/>
      <c r="G166" s="20"/>
      <c r="H166" s="20"/>
      <c r="I166" s="23"/>
      <c r="J166" s="23"/>
      <c r="K166" s="23"/>
      <c r="L166" s="23"/>
      <c r="M166" s="23"/>
      <c r="N166" s="23"/>
      <c r="O166" s="23"/>
    </row>
    <row r="167" spans="1:15" x14ac:dyDescent="0.35">
      <c r="A167" s="20"/>
      <c r="B167" s="20"/>
      <c r="C167" s="16"/>
      <c r="D167" s="20"/>
      <c r="E167" s="26"/>
      <c r="F167" s="20"/>
      <c r="G167" s="20"/>
      <c r="H167" s="20"/>
      <c r="I167" s="23"/>
      <c r="J167" s="23"/>
      <c r="K167" s="23"/>
      <c r="L167" s="23"/>
      <c r="M167" s="23"/>
      <c r="N167" s="23"/>
      <c r="O167" s="23"/>
    </row>
    <row r="168" spans="1:15" x14ac:dyDescent="0.35">
      <c r="A168" s="20"/>
      <c r="B168" s="20"/>
      <c r="C168" s="16"/>
      <c r="D168" s="20"/>
      <c r="E168" s="26"/>
      <c r="F168" s="20"/>
      <c r="G168" s="20"/>
      <c r="H168" s="20"/>
      <c r="I168" s="23"/>
      <c r="J168" s="23"/>
      <c r="K168" s="23"/>
      <c r="L168" s="23"/>
      <c r="M168" s="23"/>
      <c r="N168" s="23"/>
      <c r="O168" s="23"/>
    </row>
    <row r="169" spans="1:15" x14ac:dyDescent="0.35">
      <c r="A169" s="20"/>
      <c r="B169" s="20"/>
      <c r="C169" s="16"/>
      <c r="D169" s="20"/>
      <c r="E169" s="26"/>
      <c r="F169" s="20"/>
      <c r="G169" s="20"/>
      <c r="H169" s="20"/>
      <c r="I169" s="23"/>
      <c r="J169" s="23"/>
      <c r="K169" s="23"/>
      <c r="L169" s="23"/>
      <c r="M169" s="23"/>
      <c r="N169" s="23"/>
      <c r="O169" s="23"/>
    </row>
    <row r="170" spans="1:15" x14ac:dyDescent="0.35">
      <c r="A170" s="20"/>
      <c r="B170" s="20"/>
      <c r="C170" s="16"/>
      <c r="D170" s="20"/>
      <c r="E170" s="26"/>
      <c r="F170" s="20"/>
      <c r="G170" s="20"/>
      <c r="H170" s="20"/>
      <c r="I170" s="23"/>
      <c r="J170" s="23"/>
      <c r="K170" s="23"/>
      <c r="L170" s="23"/>
      <c r="M170" s="23"/>
      <c r="N170" s="23"/>
      <c r="O170" s="23"/>
    </row>
    <row r="171" spans="1:15" x14ac:dyDescent="0.35">
      <c r="A171" s="20"/>
      <c r="B171" s="20"/>
      <c r="C171" s="16"/>
      <c r="D171" s="20"/>
      <c r="E171" s="26"/>
      <c r="F171" s="20"/>
      <c r="G171" s="20"/>
      <c r="H171" s="20"/>
      <c r="I171" s="23"/>
      <c r="J171" s="23"/>
      <c r="K171" s="23"/>
      <c r="L171" s="23"/>
      <c r="M171" s="23"/>
      <c r="N171" s="23"/>
      <c r="O171" s="23"/>
    </row>
    <row r="172" spans="1:15" x14ac:dyDescent="0.35">
      <c r="A172" s="20"/>
      <c r="B172" s="20"/>
      <c r="C172" s="16"/>
      <c r="D172" s="20"/>
      <c r="E172" s="26"/>
      <c r="F172" s="20"/>
      <c r="G172" s="20"/>
      <c r="H172" s="20"/>
      <c r="I172" s="23"/>
      <c r="J172" s="23"/>
      <c r="K172" s="23"/>
      <c r="L172" s="23"/>
      <c r="M172" s="23"/>
      <c r="N172" s="23"/>
      <c r="O172" s="23"/>
    </row>
    <row r="173" spans="1:15" x14ac:dyDescent="0.35">
      <c r="A173" s="20"/>
      <c r="B173" s="20"/>
      <c r="C173" s="16"/>
      <c r="D173" s="20"/>
      <c r="E173" s="26"/>
      <c r="F173" s="20"/>
      <c r="G173" s="20"/>
      <c r="H173" s="20"/>
      <c r="I173" s="23"/>
      <c r="J173" s="23"/>
      <c r="K173" s="23"/>
      <c r="L173" s="23"/>
      <c r="M173" s="23"/>
      <c r="N173" s="23"/>
      <c r="O173" s="23"/>
    </row>
    <row r="174" spans="1:15" x14ac:dyDescent="0.35">
      <c r="A174" s="20"/>
      <c r="B174" s="20"/>
      <c r="C174" s="16"/>
      <c r="D174" s="20"/>
      <c r="E174" s="26"/>
      <c r="F174" s="20"/>
      <c r="G174" s="20"/>
      <c r="H174" s="20"/>
      <c r="I174" s="23"/>
      <c r="J174" s="23"/>
      <c r="K174" s="23"/>
      <c r="L174" s="23"/>
      <c r="M174" s="23"/>
      <c r="N174" s="23"/>
      <c r="O174" s="23"/>
    </row>
    <row r="175" spans="1:15" x14ac:dyDescent="0.35">
      <c r="A175" s="20"/>
      <c r="B175" s="20"/>
      <c r="C175" s="16"/>
      <c r="D175" s="20"/>
      <c r="E175" s="26"/>
      <c r="F175" s="20"/>
      <c r="G175" s="20"/>
      <c r="H175" s="20"/>
      <c r="I175" s="23"/>
      <c r="J175" s="23"/>
      <c r="K175" s="23"/>
      <c r="L175" s="23"/>
      <c r="M175" s="23"/>
      <c r="N175" s="23"/>
      <c r="O175" s="23"/>
    </row>
    <row r="176" spans="1:15" x14ac:dyDescent="0.35">
      <c r="A176" s="20"/>
      <c r="B176" s="20"/>
      <c r="C176" s="16"/>
      <c r="D176" s="20"/>
      <c r="E176" s="26"/>
      <c r="F176" s="20"/>
      <c r="G176" s="20"/>
      <c r="H176" s="20"/>
      <c r="I176" s="23"/>
      <c r="J176" s="23"/>
      <c r="K176" s="23"/>
      <c r="L176" s="23"/>
      <c r="M176" s="23"/>
      <c r="N176" s="23"/>
      <c r="O176" s="23"/>
    </row>
    <row r="177" spans="1:15" x14ac:dyDescent="0.35">
      <c r="A177" s="20"/>
      <c r="B177" s="20"/>
      <c r="C177" s="16"/>
      <c r="D177" s="20"/>
      <c r="E177" s="26"/>
      <c r="F177" s="20"/>
      <c r="G177" s="20"/>
      <c r="H177" s="20"/>
      <c r="I177" s="23"/>
      <c r="J177" s="23"/>
      <c r="K177" s="23"/>
      <c r="L177" s="23"/>
      <c r="M177" s="23"/>
      <c r="N177" s="23"/>
      <c r="O177" s="23"/>
    </row>
    <row r="178" spans="1:15" x14ac:dyDescent="0.35">
      <c r="A178" s="20"/>
      <c r="B178" s="20"/>
      <c r="C178" s="16"/>
      <c r="D178" s="20"/>
      <c r="E178" s="26"/>
      <c r="F178" s="20"/>
      <c r="G178" s="20"/>
      <c r="H178" s="20"/>
      <c r="I178" s="23"/>
      <c r="J178" s="23"/>
      <c r="K178" s="23"/>
      <c r="L178" s="23"/>
      <c r="M178" s="23"/>
      <c r="N178" s="23"/>
      <c r="O178" s="23"/>
    </row>
    <row r="179" spans="1:15" x14ac:dyDescent="0.35">
      <c r="A179" s="20"/>
      <c r="B179" s="20"/>
      <c r="C179" s="16"/>
      <c r="D179" s="20"/>
      <c r="E179" s="26"/>
      <c r="F179" s="20"/>
      <c r="G179" s="20"/>
      <c r="H179" s="20"/>
      <c r="I179" s="23"/>
      <c r="J179" s="23"/>
      <c r="K179" s="23"/>
      <c r="L179" s="23"/>
      <c r="M179" s="23"/>
      <c r="N179" s="23"/>
      <c r="O179" s="23"/>
    </row>
    <row r="180" spans="1:15" x14ac:dyDescent="0.35">
      <c r="A180" s="20"/>
      <c r="B180" s="20"/>
      <c r="C180" s="16"/>
      <c r="D180" s="20"/>
      <c r="E180" s="26"/>
      <c r="F180" s="20"/>
      <c r="G180" s="20"/>
      <c r="H180" s="20"/>
      <c r="I180" s="23"/>
      <c r="J180" s="23"/>
      <c r="K180" s="23"/>
      <c r="L180" s="23"/>
      <c r="M180" s="23"/>
      <c r="N180" s="23"/>
      <c r="O180" s="23"/>
    </row>
    <row r="181" spans="1:15" x14ac:dyDescent="0.35">
      <c r="A181" s="20"/>
      <c r="B181" s="20"/>
      <c r="C181" s="16"/>
      <c r="D181" s="20"/>
      <c r="E181" s="26"/>
      <c r="F181" s="20"/>
      <c r="G181" s="20"/>
      <c r="H181" s="20"/>
      <c r="I181" s="23"/>
      <c r="J181" s="23"/>
      <c r="K181" s="23"/>
      <c r="L181" s="23"/>
      <c r="M181" s="23"/>
      <c r="N181" s="23"/>
      <c r="O181" s="23"/>
    </row>
    <row r="182" spans="1:15" x14ac:dyDescent="0.35">
      <c r="A182" s="20"/>
      <c r="B182" s="20"/>
      <c r="C182" s="16"/>
      <c r="D182" s="20"/>
      <c r="E182" s="26"/>
      <c r="F182" s="20"/>
      <c r="G182" s="20"/>
      <c r="H182" s="20"/>
      <c r="I182" s="23"/>
      <c r="J182" s="23"/>
      <c r="K182" s="23"/>
      <c r="L182" s="23"/>
      <c r="M182" s="23"/>
      <c r="N182" s="23"/>
      <c r="O182" s="23"/>
    </row>
    <row r="183" spans="1:15" x14ac:dyDescent="0.35">
      <c r="A183" s="20"/>
      <c r="B183" s="20"/>
      <c r="C183" s="16"/>
      <c r="D183" s="20"/>
      <c r="E183" s="26"/>
      <c r="F183" s="20"/>
      <c r="G183" s="20"/>
      <c r="H183" s="20"/>
      <c r="I183" s="23"/>
      <c r="J183" s="23"/>
      <c r="K183" s="23"/>
      <c r="L183" s="23"/>
      <c r="M183" s="23"/>
      <c r="N183" s="23"/>
      <c r="O183" s="23"/>
    </row>
    <row r="184" spans="1:15" x14ac:dyDescent="0.35">
      <c r="A184" s="20"/>
      <c r="B184" s="20"/>
      <c r="C184" s="16"/>
      <c r="D184" s="20"/>
      <c r="E184" s="26"/>
      <c r="F184" s="20"/>
      <c r="G184" s="20"/>
      <c r="H184" s="20"/>
      <c r="I184" s="23"/>
      <c r="J184" s="23"/>
      <c r="K184" s="23"/>
      <c r="L184" s="23"/>
      <c r="M184" s="23"/>
      <c r="N184" s="23"/>
      <c r="O184" s="23"/>
    </row>
    <row r="185" spans="1:15" x14ac:dyDescent="0.35">
      <c r="A185" s="20"/>
      <c r="B185" s="20"/>
      <c r="C185" s="16"/>
      <c r="D185" s="20"/>
      <c r="E185" s="26"/>
      <c r="F185" s="20"/>
      <c r="G185" s="20"/>
      <c r="H185" s="20"/>
      <c r="I185" s="23"/>
      <c r="J185" s="23"/>
      <c r="K185" s="23"/>
      <c r="L185" s="23"/>
      <c r="M185" s="23"/>
      <c r="N185" s="23"/>
      <c r="O185" s="23"/>
    </row>
    <row r="186" spans="1:15" x14ac:dyDescent="0.35">
      <c r="A186" s="20"/>
      <c r="B186" s="20"/>
      <c r="C186" s="16"/>
      <c r="D186" s="20"/>
      <c r="E186" s="26"/>
      <c r="F186" s="20"/>
      <c r="G186" s="20"/>
      <c r="H186" s="20"/>
      <c r="I186" s="23"/>
      <c r="J186" s="23"/>
      <c r="K186" s="23"/>
      <c r="L186" s="23"/>
      <c r="M186" s="23"/>
      <c r="N186" s="23"/>
      <c r="O186" s="23"/>
    </row>
    <row r="187" spans="1:15" x14ac:dyDescent="0.35">
      <c r="A187" s="20"/>
      <c r="B187" s="20"/>
      <c r="C187" s="16"/>
      <c r="D187" s="20"/>
      <c r="E187" s="26"/>
      <c r="F187" s="20"/>
      <c r="G187" s="20"/>
      <c r="H187" s="20"/>
      <c r="I187" s="23"/>
      <c r="J187" s="23"/>
      <c r="K187" s="23"/>
      <c r="L187" s="23"/>
      <c r="M187" s="23"/>
      <c r="N187" s="23"/>
      <c r="O187" s="23"/>
    </row>
    <row r="188" spans="1:15" x14ac:dyDescent="0.35">
      <c r="A188" s="20"/>
      <c r="B188" s="20"/>
      <c r="C188" s="16"/>
      <c r="D188" s="20"/>
      <c r="E188" s="26"/>
      <c r="F188" s="20"/>
      <c r="G188" s="20"/>
      <c r="H188" s="20"/>
      <c r="I188" s="23"/>
      <c r="J188" s="23"/>
      <c r="K188" s="23"/>
      <c r="L188" s="23"/>
      <c r="M188" s="23"/>
      <c r="N188" s="23"/>
      <c r="O188" s="23"/>
    </row>
    <row r="189" spans="1:15" x14ac:dyDescent="0.35">
      <c r="A189" s="20"/>
      <c r="B189" s="20"/>
      <c r="C189" s="16"/>
      <c r="D189" s="20"/>
      <c r="E189" s="26"/>
      <c r="F189" s="20"/>
      <c r="G189" s="20"/>
      <c r="H189" s="20"/>
      <c r="I189" s="23"/>
      <c r="J189" s="23"/>
      <c r="K189" s="23"/>
      <c r="L189" s="23"/>
      <c r="M189" s="23"/>
      <c r="N189" s="23"/>
      <c r="O189" s="23"/>
    </row>
    <row r="190" spans="1:15" x14ac:dyDescent="0.35">
      <c r="A190" s="20"/>
      <c r="B190" s="20"/>
      <c r="C190" s="16"/>
      <c r="D190" s="20"/>
      <c r="E190" s="26"/>
      <c r="F190" s="20"/>
      <c r="G190" s="20"/>
      <c r="H190" s="20"/>
      <c r="I190" s="23"/>
      <c r="J190" s="23"/>
      <c r="K190" s="23"/>
      <c r="L190" s="23"/>
      <c r="M190" s="23"/>
      <c r="N190" s="23"/>
      <c r="O190" s="23"/>
    </row>
    <row r="191" spans="1:15" x14ac:dyDescent="0.35">
      <c r="A191" s="20"/>
      <c r="B191" s="20"/>
      <c r="C191" s="16"/>
      <c r="D191" s="20"/>
      <c r="E191" s="26"/>
      <c r="F191" s="20"/>
      <c r="G191" s="20"/>
      <c r="H191" s="20"/>
      <c r="I191" s="23"/>
      <c r="J191" s="23"/>
      <c r="K191" s="23"/>
      <c r="L191" s="23"/>
      <c r="M191" s="23"/>
      <c r="N191" s="23"/>
      <c r="O191" s="23"/>
    </row>
    <row r="192" spans="1:15" x14ac:dyDescent="0.35">
      <c r="A192" s="20"/>
      <c r="B192" s="20"/>
      <c r="C192" s="16"/>
      <c r="D192" s="20"/>
      <c r="E192" s="26"/>
      <c r="F192" s="20"/>
      <c r="G192" s="20"/>
      <c r="H192" s="20"/>
      <c r="I192" s="23"/>
      <c r="J192" s="23"/>
      <c r="K192" s="23"/>
      <c r="L192" s="23"/>
      <c r="M192" s="23"/>
      <c r="N192" s="23"/>
      <c r="O192" s="23"/>
    </row>
    <row r="193" spans="1:15" x14ac:dyDescent="0.35">
      <c r="A193" s="20"/>
      <c r="B193" s="20"/>
      <c r="C193" s="16"/>
      <c r="D193" s="20"/>
      <c r="E193" s="26"/>
      <c r="F193" s="20"/>
      <c r="G193" s="20"/>
      <c r="H193" s="20"/>
      <c r="I193" s="23"/>
      <c r="J193" s="23"/>
      <c r="K193" s="23"/>
      <c r="L193" s="23"/>
      <c r="M193" s="23"/>
      <c r="N193" s="23"/>
      <c r="O193" s="23"/>
    </row>
    <row r="194" spans="1:15" x14ac:dyDescent="0.35">
      <c r="A194" s="20"/>
      <c r="B194" s="20"/>
      <c r="C194" s="16"/>
      <c r="D194" s="20"/>
      <c r="E194" s="26"/>
      <c r="F194" s="20"/>
      <c r="G194" s="20"/>
      <c r="H194" s="20"/>
      <c r="I194" s="23"/>
      <c r="J194" s="23"/>
      <c r="K194" s="23"/>
      <c r="L194" s="23"/>
      <c r="M194" s="23"/>
      <c r="N194" s="23"/>
      <c r="O194" s="23"/>
    </row>
    <row r="195" spans="1:15" x14ac:dyDescent="0.35">
      <c r="A195" s="20"/>
      <c r="B195" s="20"/>
      <c r="C195" s="16"/>
      <c r="D195" s="20"/>
      <c r="E195" s="26"/>
      <c r="F195" s="20"/>
      <c r="G195" s="20"/>
      <c r="H195" s="20"/>
      <c r="I195" s="23"/>
      <c r="J195" s="23"/>
      <c r="K195" s="23"/>
      <c r="L195" s="23"/>
      <c r="M195" s="23"/>
      <c r="N195" s="23"/>
      <c r="O195" s="23"/>
    </row>
    <row r="196" spans="1:15" x14ac:dyDescent="0.35">
      <c r="A196" s="20"/>
      <c r="B196" s="20"/>
      <c r="C196" s="16"/>
      <c r="D196" s="20"/>
      <c r="E196" s="26"/>
      <c r="F196" s="20"/>
      <c r="G196" s="20"/>
      <c r="H196" s="20"/>
      <c r="I196" s="23"/>
      <c r="J196" s="23"/>
      <c r="K196" s="23"/>
      <c r="L196" s="23"/>
      <c r="M196" s="23"/>
      <c r="N196" s="23"/>
      <c r="O196" s="23"/>
    </row>
    <row r="197" spans="1:15" x14ac:dyDescent="0.35">
      <c r="A197" s="20"/>
      <c r="B197" s="20"/>
      <c r="C197" s="16"/>
      <c r="D197" s="20"/>
      <c r="E197" s="26"/>
      <c r="F197" s="20"/>
      <c r="G197" s="20"/>
      <c r="H197" s="20"/>
      <c r="I197" s="23"/>
      <c r="J197" s="23"/>
      <c r="K197" s="23"/>
      <c r="L197" s="23"/>
      <c r="M197" s="23"/>
      <c r="N197" s="23"/>
      <c r="O197" s="23"/>
    </row>
    <row r="198" spans="1:15" x14ac:dyDescent="0.35">
      <c r="A198" s="20"/>
      <c r="B198" s="20"/>
      <c r="C198" s="16"/>
      <c r="D198" s="20"/>
      <c r="E198" s="26"/>
      <c r="F198" s="20"/>
      <c r="G198" s="20"/>
      <c r="H198" s="20"/>
      <c r="I198" s="23"/>
      <c r="J198" s="23"/>
      <c r="K198" s="23"/>
      <c r="L198" s="23"/>
      <c r="M198" s="23"/>
      <c r="N198" s="23"/>
      <c r="O198" s="23"/>
    </row>
    <row r="199" spans="1:15" x14ac:dyDescent="0.35">
      <c r="A199" s="20"/>
      <c r="B199" s="20"/>
      <c r="C199" s="16"/>
      <c r="D199" s="20"/>
      <c r="E199" s="26"/>
      <c r="F199" s="20"/>
      <c r="G199" s="20"/>
      <c r="H199" s="20"/>
      <c r="I199" s="23"/>
      <c r="J199" s="23"/>
      <c r="K199" s="23"/>
      <c r="L199" s="23"/>
      <c r="M199" s="23"/>
      <c r="N199" s="23"/>
      <c r="O199" s="23"/>
    </row>
    <row r="200" spans="1:15" x14ac:dyDescent="0.35">
      <c r="A200" s="20"/>
      <c r="B200" s="20"/>
      <c r="C200" s="16"/>
      <c r="D200" s="20"/>
      <c r="E200" s="26"/>
      <c r="F200" s="20"/>
      <c r="G200" s="20"/>
      <c r="H200" s="20"/>
      <c r="I200" s="23"/>
      <c r="J200" s="23"/>
      <c r="K200" s="23"/>
      <c r="L200" s="23"/>
      <c r="M200" s="23"/>
      <c r="N200" s="23"/>
      <c r="O200" s="23"/>
    </row>
    <row r="201" spans="1:15" x14ac:dyDescent="0.35">
      <c r="A201" s="20"/>
      <c r="B201" s="20"/>
      <c r="C201" s="16"/>
      <c r="D201" s="20"/>
      <c r="E201" s="26"/>
      <c r="F201" s="20"/>
      <c r="G201" s="20"/>
      <c r="H201" s="20"/>
      <c r="I201" s="23"/>
      <c r="J201" s="23"/>
      <c r="K201" s="23"/>
      <c r="L201" s="23"/>
      <c r="M201" s="23"/>
      <c r="N201" s="23"/>
      <c r="O201" s="23"/>
    </row>
    <row r="202" spans="1:15" x14ac:dyDescent="0.35">
      <c r="A202" s="20"/>
      <c r="B202" s="20"/>
      <c r="C202" s="16"/>
      <c r="D202" s="20"/>
      <c r="E202" s="26"/>
      <c r="F202" s="20"/>
      <c r="G202" s="20"/>
      <c r="H202" s="20"/>
      <c r="I202" s="23"/>
      <c r="J202" s="23"/>
      <c r="K202" s="23"/>
      <c r="L202" s="23"/>
      <c r="M202" s="23"/>
      <c r="N202" s="23"/>
      <c r="O202" s="23"/>
    </row>
    <row r="203" spans="1:15" x14ac:dyDescent="0.35">
      <c r="A203" s="20"/>
      <c r="B203" s="20"/>
      <c r="C203" s="16"/>
      <c r="D203" s="20"/>
      <c r="E203" s="26"/>
      <c r="F203" s="20"/>
      <c r="G203" s="20"/>
      <c r="H203" s="20"/>
      <c r="I203" s="23"/>
      <c r="J203" s="23"/>
      <c r="K203" s="23"/>
      <c r="L203" s="23"/>
      <c r="M203" s="23"/>
      <c r="N203" s="23"/>
      <c r="O203" s="23"/>
    </row>
    <row r="204" spans="1:15" x14ac:dyDescent="0.35">
      <c r="A204" s="20"/>
      <c r="B204" s="20"/>
      <c r="C204" s="16"/>
      <c r="D204" s="20"/>
      <c r="E204" s="26"/>
      <c r="F204" s="20"/>
      <c r="G204" s="20"/>
      <c r="H204" s="20"/>
      <c r="I204" s="23"/>
      <c r="J204" s="23"/>
      <c r="K204" s="23"/>
      <c r="L204" s="23"/>
      <c r="M204" s="23"/>
      <c r="N204" s="23"/>
      <c r="O204" s="23"/>
    </row>
    <row r="205" spans="1:15" x14ac:dyDescent="0.35">
      <c r="A205" s="20"/>
      <c r="B205" s="20"/>
      <c r="C205" s="16"/>
      <c r="D205" s="20"/>
      <c r="E205" s="26"/>
      <c r="F205" s="20"/>
      <c r="G205" s="20"/>
      <c r="H205" s="20"/>
      <c r="I205" s="23"/>
      <c r="J205" s="23"/>
      <c r="K205" s="23"/>
      <c r="L205" s="23"/>
      <c r="M205" s="23"/>
      <c r="N205" s="23"/>
      <c r="O205" s="23"/>
    </row>
    <row r="206" spans="1:15" x14ac:dyDescent="0.35">
      <c r="A206" s="20"/>
      <c r="B206" s="20"/>
      <c r="C206" s="16"/>
      <c r="D206" s="20"/>
      <c r="E206" s="26"/>
      <c r="F206" s="20"/>
      <c r="G206" s="20"/>
      <c r="H206" s="20"/>
      <c r="I206" s="23"/>
      <c r="J206" s="23"/>
      <c r="K206" s="23"/>
      <c r="L206" s="23"/>
      <c r="M206" s="23"/>
      <c r="N206" s="23"/>
      <c r="O206" s="23"/>
    </row>
    <row r="207" spans="1:15" x14ac:dyDescent="0.35">
      <c r="A207" s="20"/>
      <c r="B207" s="20"/>
      <c r="C207" s="16"/>
      <c r="D207" s="20"/>
      <c r="E207" s="26"/>
      <c r="F207" s="20"/>
      <c r="G207" s="20"/>
      <c r="H207" s="20"/>
      <c r="I207" s="23"/>
      <c r="J207" s="23"/>
      <c r="K207" s="23"/>
      <c r="L207" s="23"/>
      <c r="M207" s="23"/>
      <c r="N207" s="23"/>
      <c r="O207" s="23"/>
    </row>
    <row r="208" spans="1:15" x14ac:dyDescent="0.35">
      <c r="A208" s="20"/>
      <c r="B208" s="20"/>
      <c r="C208" s="16"/>
      <c r="D208" s="20"/>
      <c r="E208" s="26"/>
      <c r="F208" s="20"/>
      <c r="G208" s="20"/>
      <c r="H208" s="20"/>
      <c r="I208" s="23"/>
      <c r="J208" s="23"/>
      <c r="K208" s="23"/>
      <c r="L208" s="23"/>
      <c r="M208" s="23"/>
      <c r="N208" s="23"/>
      <c r="O208" s="23"/>
    </row>
    <row r="209" spans="1:15" x14ac:dyDescent="0.35">
      <c r="A209" s="20"/>
      <c r="B209" s="20"/>
      <c r="C209" s="16"/>
      <c r="D209" s="20"/>
      <c r="E209" s="26"/>
      <c r="F209" s="20"/>
      <c r="G209" s="20"/>
      <c r="H209" s="20"/>
      <c r="I209" s="23"/>
      <c r="J209" s="23"/>
      <c r="K209" s="23"/>
      <c r="L209" s="23"/>
      <c r="M209" s="23"/>
      <c r="N209" s="23"/>
      <c r="O209" s="23"/>
    </row>
    <row r="210" spans="1:15" x14ac:dyDescent="0.35">
      <c r="A210" s="20"/>
      <c r="B210" s="20"/>
      <c r="C210" s="16"/>
      <c r="D210" s="20"/>
      <c r="E210" s="26"/>
      <c r="F210" s="20"/>
      <c r="G210" s="20"/>
      <c r="H210" s="20"/>
      <c r="I210" s="23"/>
      <c r="J210" s="23"/>
      <c r="K210" s="23"/>
      <c r="L210" s="23"/>
      <c r="M210" s="23"/>
      <c r="N210" s="23"/>
      <c r="O210" s="23"/>
    </row>
    <row r="211" spans="1:15" x14ac:dyDescent="0.35">
      <c r="A211" s="20"/>
      <c r="B211" s="20"/>
      <c r="C211" s="16"/>
      <c r="D211" s="20"/>
      <c r="E211" s="26"/>
      <c r="F211" s="20"/>
      <c r="G211" s="20"/>
      <c r="H211" s="20"/>
      <c r="I211" s="23"/>
      <c r="J211" s="23"/>
      <c r="K211" s="23"/>
      <c r="L211" s="23"/>
      <c r="M211" s="23"/>
      <c r="N211" s="23"/>
      <c r="O211" s="23"/>
    </row>
    <row r="212" spans="1:15" x14ac:dyDescent="0.35">
      <c r="A212" s="20"/>
      <c r="B212" s="20"/>
      <c r="C212" s="16"/>
      <c r="D212" s="20"/>
      <c r="E212" s="26"/>
      <c r="F212" s="20"/>
      <c r="G212" s="20"/>
      <c r="H212" s="20"/>
      <c r="I212" s="23"/>
      <c r="J212" s="23"/>
      <c r="K212" s="23"/>
      <c r="L212" s="23"/>
      <c r="M212" s="23"/>
      <c r="N212" s="23"/>
      <c r="O212" s="23"/>
    </row>
    <row r="213" spans="1:15" x14ac:dyDescent="0.35">
      <c r="A213" s="20"/>
      <c r="B213" s="20"/>
      <c r="C213" s="16"/>
      <c r="D213" s="20"/>
      <c r="E213" s="26"/>
      <c r="F213" s="20"/>
      <c r="G213" s="20"/>
      <c r="H213" s="20"/>
      <c r="I213" s="23"/>
      <c r="J213" s="23"/>
      <c r="K213" s="23"/>
      <c r="L213" s="23"/>
      <c r="M213" s="23"/>
      <c r="N213" s="23"/>
      <c r="O213" s="23"/>
    </row>
    <row r="214" spans="1:15" x14ac:dyDescent="0.35">
      <c r="A214" s="20"/>
      <c r="B214" s="20"/>
      <c r="C214" s="16"/>
      <c r="D214" s="20"/>
      <c r="E214" s="26"/>
      <c r="F214" s="20"/>
      <c r="G214" s="20"/>
      <c r="H214" s="20"/>
      <c r="I214" s="23"/>
      <c r="J214" s="23"/>
      <c r="K214" s="23"/>
      <c r="L214" s="23"/>
      <c r="M214" s="23"/>
      <c r="N214" s="23"/>
      <c r="O214" s="23"/>
    </row>
    <row r="215" spans="1:15" x14ac:dyDescent="0.35">
      <c r="A215" s="20"/>
      <c r="B215" s="20"/>
      <c r="C215" s="16"/>
      <c r="D215" s="20"/>
      <c r="E215" s="26"/>
      <c r="F215" s="20"/>
      <c r="G215" s="20"/>
      <c r="H215" s="20"/>
      <c r="I215" s="23"/>
      <c r="J215" s="23"/>
      <c r="K215" s="23"/>
      <c r="L215" s="23"/>
      <c r="M215" s="23"/>
      <c r="N215" s="23"/>
      <c r="O215" s="23"/>
    </row>
    <row r="216" spans="1:15" x14ac:dyDescent="0.35">
      <c r="A216" s="20"/>
      <c r="B216" s="20"/>
      <c r="C216" s="16"/>
      <c r="D216" s="20"/>
      <c r="E216" s="26"/>
      <c r="F216" s="20"/>
      <c r="G216" s="20"/>
      <c r="H216" s="20"/>
      <c r="I216" s="23"/>
      <c r="J216" s="23"/>
      <c r="K216" s="23"/>
      <c r="L216" s="23"/>
      <c r="M216" s="23"/>
      <c r="N216" s="23"/>
      <c r="O216" s="23"/>
    </row>
    <row r="217" spans="1:15" x14ac:dyDescent="0.35">
      <c r="A217" s="20"/>
      <c r="B217" s="20"/>
      <c r="C217" s="16"/>
      <c r="D217" s="20"/>
      <c r="E217" s="26"/>
      <c r="F217" s="20"/>
      <c r="G217" s="20"/>
      <c r="H217" s="20"/>
      <c r="I217" s="23"/>
      <c r="J217" s="23"/>
      <c r="K217" s="23"/>
      <c r="L217" s="23"/>
      <c r="M217" s="23"/>
      <c r="N217" s="23"/>
      <c r="O217" s="23"/>
    </row>
    <row r="218" spans="1:15" x14ac:dyDescent="0.35">
      <c r="A218" s="20"/>
      <c r="B218" s="20"/>
      <c r="C218" s="16"/>
      <c r="D218" s="20"/>
      <c r="E218" s="26"/>
      <c r="F218" s="20"/>
      <c r="G218" s="20"/>
      <c r="H218" s="20"/>
      <c r="I218" s="23"/>
      <c r="J218" s="23"/>
      <c r="K218" s="23"/>
      <c r="L218" s="23"/>
      <c r="M218" s="23"/>
      <c r="N218" s="23"/>
      <c r="O218" s="23"/>
    </row>
    <row r="219" spans="1:15" x14ac:dyDescent="0.35">
      <c r="A219" s="20"/>
      <c r="B219" s="20"/>
      <c r="C219" s="16"/>
      <c r="D219" s="20"/>
      <c r="E219" s="26"/>
      <c r="F219" s="20"/>
      <c r="G219" s="20"/>
      <c r="H219" s="20"/>
      <c r="I219" s="23"/>
      <c r="J219" s="23"/>
      <c r="K219" s="23"/>
      <c r="L219" s="23"/>
      <c r="M219" s="23"/>
      <c r="N219" s="23"/>
      <c r="O219" s="23"/>
    </row>
    <row r="220" spans="1:15" x14ac:dyDescent="0.35">
      <c r="A220" s="20"/>
      <c r="B220" s="20"/>
      <c r="C220" s="16"/>
      <c r="D220" s="20"/>
      <c r="E220" s="26"/>
      <c r="F220" s="20"/>
      <c r="G220" s="20"/>
      <c r="H220" s="20"/>
      <c r="I220" s="23"/>
      <c r="J220" s="23"/>
      <c r="K220" s="23"/>
      <c r="L220" s="23"/>
      <c r="M220" s="23"/>
      <c r="N220" s="23"/>
      <c r="O220" s="23"/>
    </row>
    <row r="221" spans="1:15" x14ac:dyDescent="0.35">
      <c r="A221" s="20"/>
      <c r="B221" s="20"/>
      <c r="C221" s="16"/>
      <c r="D221" s="20"/>
      <c r="E221" s="26"/>
      <c r="F221" s="20"/>
      <c r="G221" s="20"/>
      <c r="H221" s="20"/>
      <c r="I221" s="23"/>
      <c r="J221" s="23"/>
      <c r="K221" s="23"/>
      <c r="L221" s="23"/>
      <c r="M221" s="23"/>
      <c r="N221" s="23"/>
      <c r="O221" s="23"/>
    </row>
    <row r="222" spans="1:15" x14ac:dyDescent="0.35">
      <c r="A222" s="20"/>
      <c r="B222" s="20"/>
      <c r="C222" s="16"/>
      <c r="D222" s="20"/>
      <c r="E222" s="26"/>
      <c r="F222" s="20"/>
      <c r="G222" s="20"/>
      <c r="H222" s="20"/>
      <c r="I222" s="23"/>
      <c r="J222" s="23"/>
      <c r="K222" s="23"/>
      <c r="L222" s="23"/>
      <c r="M222" s="23"/>
      <c r="N222" s="23"/>
      <c r="O222" s="23"/>
    </row>
    <row r="223" spans="1:15" x14ac:dyDescent="0.35">
      <c r="A223" s="20"/>
      <c r="B223" s="20"/>
      <c r="C223" s="16"/>
      <c r="D223" s="20"/>
      <c r="E223" s="26"/>
      <c r="F223" s="20"/>
      <c r="G223" s="20"/>
      <c r="H223" s="20"/>
      <c r="I223" s="23"/>
      <c r="J223" s="23"/>
      <c r="K223" s="23"/>
      <c r="L223" s="23"/>
      <c r="M223" s="23"/>
      <c r="N223" s="23"/>
      <c r="O223" s="23"/>
    </row>
    <row r="224" spans="1:15" x14ac:dyDescent="0.35">
      <c r="A224" s="20"/>
      <c r="B224" s="20"/>
      <c r="C224" s="16"/>
      <c r="D224" s="20"/>
      <c r="E224" s="26"/>
      <c r="F224" s="20"/>
      <c r="G224" s="20"/>
      <c r="H224" s="20"/>
      <c r="I224" s="23"/>
      <c r="J224" s="23"/>
      <c r="K224" s="23"/>
      <c r="L224" s="23"/>
      <c r="M224" s="23"/>
      <c r="N224" s="23"/>
      <c r="O224" s="23"/>
    </row>
    <row r="225" spans="1:15" x14ac:dyDescent="0.35">
      <c r="A225" s="20"/>
      <c r="B225" s="20"/>
      <c r="C225" s="16"/>
      <c r="D225" s="20"/>
      <c r="E225" s="26"/>
      <c r="F225" s="20"/>
      <c r="G225" s="20"/>
      <c r="H225" s="20"/>
      <c r="I225" s="23"/>
      <c r="J225" s="23"/>
      <c r="K225" s="23"/>
      <c r="L225" s="23"/>
      <c r="M225" s="23"/>
      <c r="N225" s="23"/>
      <c r="O225" s="23"/>
    </row>
    <row r="226" spans="1:15" x14ac:dyDescent="0.35">
      <c r="A226" s="20"/>
      <c r="B226" s="16"/>
      <c r="C226" s="16"/>
      <c r="D226" s="16"/>
      <c r="E226" s="26"/>
      <c r="F226" s="20"/>
      <c r="G226" s="20"/>
      <c r="H226" s="20"/>
      <c r="I226" s="23"/>
      <c r="J226" s="23"/>
      <c r="K226" s="23"/>
      <c r="L226" s="23"/>
      <c r="M226" s="23"/>
      <c r="N226" s="23"/>
      <c r="O226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9F032-CF8B-4244-854D-C299D385C8FA}">
  <dimension ref="A1:O1"/>
  <sheetViews>
    <sheetView zoomScale="85" zoomScaleNormal="85" workbookViewId="0">
      <selection sqref="A1:O1"/>
    </sheetView>
  </sheetViews>
  <sheetFormatPr baseColWidth="10" defaultRowHeight="14.5" x14ac:dyDescent="0.35"/>
  <sheetData>
    <row r="1" spans="1:15" ht="21" x14ac:dyDescent="0.35">
      <c r="A1" s="32" t="s">
        <v>291</v>
      </c>
      <c r="B1" s="32" t="s">
        <v>292</v>
      </c>
      <c r="C1" s="32" t="s">
        <v>293</v>
      </c>
      <c r="D1" s="32" t="s">
        <v>307</v>
      </c>
      <c r="E1" s="32" t="s">
        <v>623</v>
      </c>
      <c r="F1" s="32" t="s">
        <v>295</v>
      </c>
      <c r="G1" s="32" t="s">
        <v>296</v>
      </c>
      <c r="H1" s="32" t="s">
        <v>299</v>
      </c>
      <c r="I1" s="32" t="s">
        <v>650</v>
      </c>
      <c r="J1" s="32" t="s">
        <v>294</v>
      </c>
      <c r="K1" s="32" t="s">
        <v>630</v>
      </c>
      <c r="L1" s="32" t="s">
        <v>631</v>
      </c>
      <c r="M1" s="32" t="s">
        <v>632</v>
      </c>
      <c r="N1" s="32" t="s">
        <v>633</v>
      </c>
      <c r="O1" s="32" t="s">
        <v>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RFCs</vt:lpstr>
      <vt:lpstr>Pruebas Portal</vt:lpstr>
      <vt:lpstr>Pruebas WS</vt:lpstr>
      <vt:lpstr>Pruebas Negocio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Licencia Office</dc:creator>
  <cp:lastModifiedBy>Daniel Alejandro Robles Rodriguez</cp:lastModifiedBy>
  <cp:lastPrinted>2026-03-25T20:13:18Z</cp:lastPrinted>
  <dcterms:created xsi:type="dcterms:W3CDTF">2025-07-24T22:39:01Z</dcterms:created>
  <dcterms:modified xsi:type="dcterms:W3CDTF">2026-05-08T00:34:05Z</dcterms:modified>
</cp:coreProperties>
</file>