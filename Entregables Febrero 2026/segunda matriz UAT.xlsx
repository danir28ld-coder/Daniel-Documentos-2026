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C:\Users\Daniel Robles\Desktop\"/>
    </mc:Choice>
  </mc:AlternateContent>
  <xr:revisionPtr revIDLastSave="0" documentId="13_ncr:1_{59C9110A-36D6-4914-9171-444280843716}" xr6:coauthVersionLast="47" xr6:coauthVersionMax="47" xr10:uidLastSave="{00000000-0000-0000-0000-000000000000}"/>
  <bookViews>
    <workbookView xWindow="-110" yWindow="-110" windowWidth="19420" windowHeight="10300" firstSheet="1" activeTab="2" xr2:uid="{EEFA02A7-E4FC-4790-8FE9-55D032403B17}"/>
  </bookViews>
  <sheets>
    <sheet name="RFCs" sheetId="3" r:id="rId1"/>
    <sheet name="PRUEBAS" sheetId="13" r:id="rId2"/>
    <sheet name="PRUEBAS 2" sheetId="14" r:id="rId3"/>
    <sheet name="Correo" sheetId="11" r:id="rId4"/>
    <sheet name="Res" sheetId="12" r:id="rId5"/>
    <sheet name="Matriz" sheetId="5" r:id="rId6"/>
    <sheet name="Anexo1" sheetId="6" r:id="rId7"/>
    <sheet name="Anexo2" sheetId="7" r:id="rId8"/>
    <sheet name="Anexo3" sheetId="8" r:id="rId9"/>
    <sheet name="Anexo5" sheetId="9" r:id="rId10"/>
    <sheet name="Anexo6" sheetId="10" r:id="rId11"/>
  </sheets>
  <definedNames>
    <definedName name="_xlnm._FilterDatabase" localSheetId="1" hidden="1">PRUEBAS!$N$1:$R$5</definedName>
    <definedName name="_xlnm._FilterDatabase" localSheetId="2" hidden="1">'PRUEBAS 2'!$D$1:$D$226</definedName>
    <definedName name="_xlnm._FilterDatabase" localSheetId="0" hidden="1">RFCs!$B$2:$H$123</definedName>
    <definedName name="_Toc194504630" localSheetId="4">Res!$B$49</definedName>
    <definedName name="_Toc194504631" localSheetId="4">Res!$B$61</definedName>
    <definedName name="_Toc207811947" localSheetId="4">Res!$B$23</definedName>
    <definedName name="_Toc207811948" localSheetId="4">Res!$B$27</definedName>
    <definedName name="_Toc207870631" localSheetId="4">Res!$B$40</definedName>
    <definedName name="_Toc207878889" localSheetId="4">Res!$B$50</definedName>
    <definedName name="_Toc207878890" localSheetId="4">Res!$B$61</definedName>
    <definedName name="_Toc207879021" localSheetId="4">Res!$B$69</definedName>
    <definedName name="_Toc207879022" localSheetId="4">Res!$B$73</definedName>
    <definedName name="_Toc207879758" localSheetId="4">Res!$B$77</definedName>
    <definedName name="_Toc207879759" localSheetId="4">Res!$B$84</definedName>
    <definedName name="_Toc207879760" localSheetId="4">Res!$B$88</definedName>
    <definedName name="_Toc207879761" localSheetId="4">Res!$B$93</definedName>
    <definedName name="_Toc207879762" localSheetId="4">Res!$B$97</definedName>
    <definedName name="_Toc207879764" localSheetId="4">Res!$B$101</definedName>
    <definedName name="_Toc207879765" localSheetId="4">Res!$B$103</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4" l="1"/>
  <c r="O4" i="14"/>
  <c r="O5" i="14"/>
  <c r="O6" i="14"/>
  <c r="O7" i="14"/>
  <c r="O8" i="14"/>
  <c r="O9" i="14"/>
  <c r="O10" i="14"/>
  <c r="O11" i="14"/>
  <c r="O12" i="14"/>
  <c r="O13" i="14"/>
  <c r="O14" i="14"/>
  <c r="O15" i="14"/>
  <c r="O16" i="14"/>
  <c r="O17" i="14"/>
  <c r="O18" i="14"/>
  <c r="O19" i="14"/>
  <c r="O20" i="14"/>
  <c r="O21" i="14"/>
  <c r="O22" i="14"/>
  <c r="O23" i="14"/>
  <c r="O24" i="14"/>
  <c r="O25" i="14"/>
  <c r="O26" i="14"/>
  <c r="O27" i="14"/>
  <c r="O28" i="14"/>
  <c r="O29" i="14"/>
  <c r="O30" i="14"/>
  <c r="O31" i="14"/>
  <c r="O32" i="14"/>
  <c r="O33" i="14"/>
  <c r="O34" i="14"/>
  <c r="O35" i="14"/>
  <c r="O36" i="14"/>
  <c r="O37" i="14"/>
  <c r="O38" i="14"/>
  <c r="O39" i="14"/>
  <c r="O40" i="14"/>
  <c r="O41" i="14"/>
  <c r="O42" i="14"/>
  <c r="O43" i="14"/>
  <c r="O44" i="14"/>
  <c r="O45" i="14"/>
  <c r="O46" i="14"/>
  <c r="O47" i="14"/>
  <c r="O48" i="14"/>
  <c r="O49" i="14"/>
  <c r="O50" i="14"/>
  <c r="O51" i="14"/>
  <c r="O52" i="14"/>
  <c r="O53" i="14"/>
  <c r="O54" i="14"/>
  <c r="O55" i="14"/>
  <c r="O56" i="14"/>
  <c r="O57" i="14"/>
  <c r="O58" i="14"/>
  <c r="O59" i="14"/>
  <c r="O60" i="14"/>
  <c r="O61" i="14"/>
  <c r="O62" i="14"/>
  <c r="O63" i="14"/>
  <c r="O64" i="14"/>
  <c r="O65" i="14"/>
  <c r="O66" i="14"/>
  <c r="O67" i="14"/>
  <c r="O68" i="14"/>
  <c r="O69" i="14"/>
  <c r="O70" i="14"/>
  <c r="O71" i="14"/>
  <c r="O72" i="14"/>
  <c r="O73" i="14"/>
  <c r="O74" i="14"/>
  <c r="O75" i="14"/>
  <c r="O76" i="14"/>
  <c r="O77" i="14"/>
  <c r="O78" i="14"/>
  <c r="O79" i="14"/>
  <c r="O80" i="14"/>
  <c r="O81" i="14"/>
  <c r="O82" i="14"/>
  <c r="O83" i="14"/>
  <c r="O84" i="14"/>
  <c r="O85" i="14"/>
  <c r="O86" i="14"/>
  <c r="O87" i="14"/>
  <c r="O88" i="14"/>
  <c r="O89" i="14"/>
  <c r="O90" i="14"/>
  <c r="O91" i="14"/>
  <c r="O92" i="14"/>
  <c r="O93" i="14"/>
  <c r="O94" i="14"/>
  <c r="O95" i="14"/>
  <c r="O96" i="14"/>
  <c r="O97" i="14"/>
  <c r="O98" i="14"/>
  <c r="O99" i="14"/>
  <c r="O100" i="14"/>
  <c r="O101" i="14"/>
  <c r="O102" i="14"/>
  <c r="O103" i="14"/>
  <c r="O104" i="14"/>
  <c r="O105" i="14"/>
  <c r="O106" i="14"/>
  <c r="O107" i="14"/>
  <c r="O108" i="14"/>
  <c r="O109" i="14"/>
  <c r="O110" i="14"/>
  <c r="O111" i="14"/>
  <c r="O112" i="14"/>
  <c r="O113" i="14"/>
  <c r="O114" i="14"/>
  <c r="O115" i="14"/>
  <c r="O116" i="14"/>
  <c r="O117" i="14"/>
  <c r="O118" i="14"/>
  <c r="O119" i="14"/>
  <c r="O120" i="14"/>
  <c r="O121" i="14"/>
  <c r="O122" i="14"/>
  <c r="O123" i="14"/>
  <c r="O124" i="14"/>
  <c r="O125" i="14"/>
  <c r="O126" i="14"/>
  <c r="O127" i="14"/>
  <c r="O128" i="14"/>
  <c r="O129" i="14"/>
  <c r="O130" i="14"/>
  <c r="O131" i="14"/>
  <c r="O132" i="14"/>
  <c r="O133" i="14"/>
  <c r="O134" i="14"/>
  <c r="O135" i="14"/>
  <c r="O136" i="14"/>
  <c r="O137" i="14"/>
  <c r="O138" i="14"/>
  <c r="O139" i="14"/>
  <c r="O140" i="14"/>
  <c r="O141" i="14"/>
  <c r="O142" i="14"/>
  <c r="O143" i="14"/>
  <c r="O144" i="14"/>
  <c r="O145" i="14"/>
  <c r="O146" i="14"/>
  <c r="O147" i="14"/>
  <c r="O148" i="14"/>
  <c r="O149" i="14"/>
  <c r="O150" i="14"/>
  <c r="O151" i="14"/>
  <c r="O152" i="14"/>
  <c r="O153" i="14"/>
  <c r="O154" i="14"/>
  <c r="O155" i="14"/>
  <c r="O156" i="14"/>
  <c r="O157" i="14"/>
  <c r="O158" i="14"/>
  <c r="O159" i="14"/>
  <c r="O160" i="14"/>
  <c r="O161" i="14"/>
  <c r="O162" i="14"/>
  <c r="O163" i="14"/>
  <c r="O164" i="14"/>
  <c r="O165" i="14"/>
  <c r="O166" i="14"/>
  <c r="O167" i="14"/>
  <c r="O168" i="14"/>
  <c r="O169" i="14"/>
  <c r="O170" i="14"/>
  <c r="O171" i="14"/>
  <c r="O172" i="14"/>
  <c r="O173" i="14"/>
  <c r="O174" i="14"/>
  <c r="O175" i="14"/>
  <c r="O176" i="14"/>
  <c r="O177" i="14"/>
  <c r="O178" i="14"/>
  <c r="O179" i="14"/>
  <c r="O180" i="14"/>
  <c r="O181" i="14"/>
  <c r="O182" i="14"/>
  <c r="O183" i="14"/>
  <c r="O184" i="14"/>
  <c r="O185" i="14"/>
  <c r="O186" i="14"/>
  <c r="O187" i="14"/>
  <c r="O188" i="14"/>
  <c r="O189" i="14"/>
  <c r="O190" i="14"/>
  <c r="O191" i="14"/>
  <c r="O192" i="14"/>
  <c r="O193" i="14"/>
  <c r="O194" i="14"/>
  <c r="O195" i="14"/>
  <c r="O196" i="14"/>
  <c r="O197" i="14"/>
  <c r="O198" i="14"/>
  <c r="O199" i="14"/>
  <c r="O200" i="14"/>
  <c r="O201" i="14"/>
  <c r="O202" i="14"/>
  <c r="O203" i="14"/>
  <c r="O204" i="14"/>
  <c r="O205" i="14"/>
  <c r="O206" i="14"/>
  <c r="O207" i="14"/>
  <c r="O208" i="14"/>
  <c r="O209" i="14"/>
  <c r="O210" i="14"/>
  <c r="O211" i="14"/>
  <c r="O212" i="14"/>
  <c r="O213" i="14"/>
  <c r="O214" i="14"/>
  <c r="O215" i="14"/>
  <c r="O216" i="14"/>
  <c r="O217" i="14"/>
  <c r="O218" i="14"/>
  <c r="O219" i="14"/>
  <c r="O220" i="14"/>
  <c r="O221" i="14"/>
  <c r="O222" i="14"/>
  <c r="O223" i="14"/>
  <c r="O224" i="14"/>
  <c r="O225" i="14"/>
  <c r="O226" i="14"/>
  <c r="N3" i="14"/>
  <c r="N4" i="14"/>
  <c r="N5" i="14"/>
  <c r="N6" i="14"/>
  <c r="N7" i="14"/>
  <c r="N8" i="14"/>
  <c r="N9" i="14"/>
  <c r="N10" i="14"/>
  <c r="N11" i="14"/>
  <c r="N12" i="14"/>
  <c r="N13" i="14"/>
  <c r="N14" i="14"/>
  <c r="N15" i="14"/>
  <c r="N16" i="14"/>
  <c r="N17" i="14"/>
  <c r="N18" i="14"/>
  <c r="N19" i="14"/>
  <c r="N20" i="14"/>
  <c r="N21" i="14"/>
  <c r="N22" i="14"/>
  <c r="N23" i="14"/>
  <c r="N24" i="14"/>
  <c r="N25" i="14"/>
  <c r="N26" i="14"/>
  <c r="N27" i="14"/>
  <c r="N28" i="14"/>
  <c r="N29" i="14"/>
  <c r="N30" i="14"/>
  <c r="N31" i="14"/>
  <c r="N32" i="14"/>
  <c r="N33" i="14"/>
  <c r="N34" i="14"/>
  <c r="N35" i="14"/>
  <c r="N36" i="14"/>
  <c r="N37" i="14"/>
  <c r="N38" i="14"/>
  <c r="N39" i="14"/>
  <c r="N40" i="14"/>
  <c r="N41" i="14"/>
  <c r="N42" i="14"/>
  <c r="N43" i="14"/>
  <c r="N44" i="14"/>
  <c r="N45" i="14"/>
  <c r="N46" i="14"/>
  <c r="N47" i="14"/>
  <c r="N48" i="14"/>
  <c r="N49" i="14"/>
  <c r="N50" i="14"/>
  <c r="N51" i="14"/>
  <c r="N52" i="14"/>
  <c r="N53" i="14"/>
  <c r="N54" i="14"/>
  <c r="N55" i="14"/>
  <c r="N56" i="14"/>
  <c r="N57" i="14"/>
  <c r="N58" i="14"/>
  <c r="N59" i="14"/>
  <c r="N60" i="14"/>
  <c r="N61" i="14"/>
  <c r="N62" i="14"/>
  <c r="N63" i="14"/>
  <c r="N64" i="14"/>
  <c r="N65" i="14"/>
  <c r="N66" i="14"/>
  <c r="N67" i="14"/>
  <c r="N68" i="14"/>
  <c r="N69" i="14"/>
  <c r="N70" i="14"/>
  <c r="N71" i="14"/>
  <c r="N72" i="14"/>
  <c r="N73" i="14"/>
  <c r="N74" i="14"/>
  <c r="N75" i="14"/>
  <c r="N76" i="14"/>
  <c r="N77" i="14"/>
  <c r="N78" i="14"/>
  <c r="N79" i="14"/>
  <c r="N80" i="14"/>
  <c r="N81" i="14"/>
  <c r="N82" i="14"/>
  <c r="N83" i="14"/>
  <c r="N84" i="14"/>
  <c r="N85" i="14"/>
  <c r="N86" i="14"/>
  <c r="N87" i="14"/>
  <c r="N88" i="14"/>
  <c r="N89" i="14"/>
  <c r="N90" i="14"/>
  <c r="N91" i="14"/>
  <c r="N92" i="14"/>
  <c r="N93" i="14"/>
  <c r="N94" i="14"/>
  <c r="N95" i="14"/>
  <c r="N96" i="14"/>
  <c r="N97" i="14"/>
  <c r="N98" i="14"/>
  <c r="N99" i="14"/>
  <c r="N100" i="14"/>
  <c r="N101" i="14"/>
  <c r="N102" i="14"/>
  <c r="N103" i="14"/>
  <c r="N104" i="14"/>
  <c r="N105" i="14"/>
  <c r="N106" i="14"/>
  <c r="N107" i="14"/>
  <c r="N108" i="14"/>
  <c r="N109" i="14"/>
  <c r="N110" i="14"/>
  <c r="N111" i="14"/>
  <c r="N112" i="14"/>
  <c r="N113" i="14"/>
  <c r="N114" i="14"/>
  <c r="N115" i="14"/>
  <c r="N116" i="14"/>
  <c r="N117" i="14"/>
  <c r="N118" i="14"/>
  <c r="N119" i="14"/>
  <c r="N120" i="14"/>
  <c r="N121" i="14"/>
  <c r="N122" i="14"/>
  <c r="N123" i="14"/>
  <c r="N124" i="14"/>
  <c r="N125" i="14"/>
  <c r="N126" i="14"/>
  <c r="N127" i="14"/>
  <c r="N128" i="14"/>
  <c r="N129" i="14"/>
  <c r="N130" i="14"/>
  <c r="N131" i="14"/>
  <c r="N132" i="14"/>
  <c r="N133" i="14"/>
  <c r="N134" i="14"/>
  <c r="N135" i="14"/>
  <c r="N136" i="14"/>
  <c r="N137" i="14"/>
  <c r="N138" i="14"/>
  <c r="N139" i="14"/>
  <c r="N140" i="14"/>
  <c r="N141" i="14"/>
  <c r="N142" i="14"/>
  <c r="N143" i="14"/>
  <c r="N144" i="14"/>
  <c r="N145" i="14"/>
  <c r="N146" i="14"/>
  <c r="N147" i="14"/>
  <c r="N148" i="14"/>
  <c r="N149" i="14"/>
  <c r="N150" i="14"/>
  <c r="N151" i="14"/>
  <c r="N152" i="14"/>
  <c r="N153" i="14"/>
  <c r="N154" i="14"/>
  <c r="N155" i="14"/>
  <c r="N156" i="14"/>
  <c r="N157" i="14"/>
  <c r="N158" i="14"/>
  <c r="N159" i="14"/>
  <c r="N160" i="14"/>
  <c r="N161" i="14"/>
  <c r="N162" i="14"/>
  <c r="N163" i="14"/>
  <c r="N164" i="14"/>
  <c r="N165" i="14"/>
  <c r="N166" i="14"/>
  <c r="N167" i="14"/>
  <c r="N168" i="14"/>
  <c r="N169" i="14"/>
  <c r="N170" i="14"/>
  <c r="N171" i="14"/>
  <c r="N172" i="14"/>
  <c r="N173" i="14"/>
  <c r="N174" i="14"/>
  <c r="N175" i="14"/>
  <c r="N176" i="14"/>
  <c r="N177" i="14"/>
  <c r="N178" i="14"/>
  <c r="N179" i="14"/>
  <c r="N180" i="14"/>
  <c r="N181" i="14"/>
  <c r="N182" i="14"/>
  <c r="N183" i="14"/>
  <c r="N184" i="14"/>
  <c r="N185" i="14"/>
  <c r="N186" i="14"/>
  <c r="N187" i="14"/>
  <c r="N188" i="14"/>
  <c r="N189" i="14"/>
  <c r="N190" i="14"/>
  <c r="N191" i="14"/>
  <c r="N192" i="14"/>
  <c r="N193" i="14"/>
  <c r="N194" i="14"/>
  <c r="N195" i="14"/>
  <c r="N196" i="14"/>
  <c r="N197" i="14"/>
  <c r="N198" i="14"/>
  <c r="N199" i="14"/>
  <c r="N200" i="14"/>
  <c r="N201" i="14"/>
  <c r="N202" i="14"/>
  <c r="N203" i="14"/>
  <c r="N204" i="14"/>
  <c r="N205" i="14"/>
  <c r="N206" i="14"/>
  <c r="N207" i="14"/>
  <c r="N208" i="14"/>
  <c r="N209" i="14"/>
  <c r="N210" i="14"/>
  <c r="N211" i="14"/>
  <c r="N212" i="14"/>
  <c r="N213" i="14"/>
  <c r="N214" i="14"/>
  <c r="N215" i="14"/>
  <c r="N216" i="14"/>
  <c r="N217" i="14"/>
  <c r="N218" i="14"/>
  <c r="N219" i="14"/>
  <c r="N220" i="14"/>
  <c r="N221" i="14"/>
  <c r="N222" i="14"/>
  <c r="N223" i="14"/>
  <c r="N224" i="14"/>
  <c r="N225" i="14"/>
  <c r="N226" i="14"/>
  <c r="M25" i="14"/>
  <c r="M26" i="14"/>
  <c r="M27" i="14"/>
  <c r="M28" i="14"/>
  <c r="M29" i="14"/>
  <c r="M30" i="14"/>
  <c r="M31" i="14"/>
  <c r="M32" i="14"/>
  <c r="M33" i="14"/>
  <c r="M34" i="14"/>
  <c r="M35" i="14"/>
  <c r="M36" i="14"/>
  <c r="M37" i="14"/>
  <c r="M38" i="14"/>
  <c r="M39" i="14"/>
  <c r="M40" i="14"/>
  <c r="M41" i="14"/>
  <c r="M42" i="14"/>
  <c r="M43" i="14"/>
  <c r="M44" i="14"/>
  <c r="M45" i="14"/>
  <c r="M46" i="14"/>
  <c r="M47" i="14"/>
  <c r="M48" i="14"/>
  <c r="M49" i="14"/>
  <c r="M50" i="14"/>
  <c r="M51" i="14"/>
  <c r="M52" i="14"/>
  <c r="M53" i="14"/>
  <c r="M54" i="14"/>
  <c r="M55" i="14"/>
  <c r="M56" i="14"/>
  <c r="M57" i="14"/>
  <c r="M58" i="14"/>
  <c r="M59" i="14"/>
  <c r="M60" i="14"/>
  <c r="M61" i="14"/>
  <c r="M62" i="14"/>
  <c r="M63" i="14"/>
  <c r="M64" i="14"/>
  <c r="M65" i="14"/>
  <c r="M66" i="14"/>
  <c r="M67" i="14"/>
  <c r="M68" i="14"/>
  <c r="M69" i="14"/>
  <c r="M70" i="14"/>
  <c r="M71" i="14"/>
  <c r="M72" i="14"/>
  <c r="M73" i="14"/>
  <c r="M74" i="14"/>
  <c r="M75" i="14"/>
  <c r="M76" i="14"/>
  <c r="M77" i="14"/>
  <c r="M78" i="14"/>
  <c r="M79" i="14"/>
  <c r="M80" i="14"/>
  <c r="M81" i="14"/>
  <c r="M82" i="14"/>
  <c r="M83" i="14"/>
  <c r="M84" i="14"/>
  <c r="M85" i="14"/>
  <c r="M86" i="14"/>
  <c r="M87" i="14"/>
  <c r="M88" i="14"/>
  <c r="M89" i="14"/>
  <c r="M90" i="14"/>
  <c r="M91" i="14"/>
  <c r="M92" i="14"/>
  <c r="M93" i="14"/>
  <c r="M94" i="14"/>
  <c r="M95" i="14"/>
  <c r="M96" i="14"/>
  <c r="M97" i="14"/>
  <c r="M98" i="14"/>
  <c r="M99" i="14"/>
  <c r="M100" i="14"/>
  <c r="M101" i="14"/>
  <c r="M102" i="14"/>
  <c r="M103" i="14"/>
  <c r="M104" i="14"/>
  <c r="M105" i="14"/>
  <c r="M106" i="14"/>
  <c r="M107" i="14"/>
  <c r="M108" i="14"/>
  <c r="M109" i="14"/>
  <c r="M110" i="14"/>
  <c r="M111" i="14"/>
  <c r="M112" i="14"/>
  <c r="M113" i="14"/>
  <c r="M114" i="14"/>
  <c r="M115" i="14"/>
  <c r="M116" i="14"/>
  <c r="M117" i="14"/>
  <c r="M118" i="14"/>
  <c r="M119" i="14"/>
  <c r="M120" i="14"/>
  <c r="M121" i="14"/>
  <c r="M122" i="14"/>
  <c r="M123" i="14"/>
  <c r="M124" i="14"/>
  <c r="M125" i="14"/>
  <c r="M126" i="14"/>
  <c r="M127" i="14"/>
  <c r="M128" i="14"/>
  <c r="M129" i="14"/>
  <c r="M130" i="14"/>
  <c r="M131" i="14"/>
  <c r="M132" i="14"/>
  <c r="M133" i="14"/>
  <c r="M134" i="14"/>
  <c r="M135" i="14"/>
  <c r="M136" i="14"/>
  <c r="M137" i="14"/>
  <c r="M138" i="14"/>
  <c r="M139" i="14"/>
  <c r="M140" i="14"/>
  <c r="M141" i="14"/>
  <c r="M142" i="14"/>
  <c r="M143" i="14"/>
  <c r="M144" i="14"/>
  <c r="M145" i="14"/>
  <c r="M146" i="14"/>
  <c r="M147" i="14"/>
  <c r="M148" i="14"/>
  <c r="M149" i="14"/>
  <c r="M150" i="14"/>
  <c r="M151" i="14"/>
  <c r="M152" i="14"/>
  <c r="M153" i="14"/>
  <c r="M154" i="14"/>
  <c r="M155" i="14"/>
  <c r="M156" i="14"/>
  <c r="M157" i="14"/>
  <c r="M158" i="14"/>
  <c r="M159" i="14"/>
  <c r="M160" i="14"/>
  <c r="M161" i="14"/>
  <c r="M162" i="14"/>
  <c r="M163" i="14"/>
  <c r="M164" i="14"/>
  <c r="M165" i="14"/>
  <c r="M166" i="14"/>
  <c r="M167" i="14"/>
  <c r="M168" i="14"/>
  <c r="M169" i="14"/>
  <c r="M170" i="14"/>
  <c r="M171" i="14"/>
  <c r="M172" i="14"/>
  <c r="M173" i="14"/>
  <c r="M174" i="14"/>
  <c r="M175" i="14"/>
  <c r="M176" i="14"/>
  <c r="M177" i="14"/>
  <c r="M178" i="14"/>
  <c r="M179" i="14"/>
  <c r="M180" i="14"/>
  <c r="M181" i="14"/>
  <c r="M182" i="14"/>
  <c r="M183" i="14"/>
  <c r="M184" i="14"/>
  <c r="M185" i="14"/>
  <c r="M186" i="14"/>
  <c r="M187" i="14"/>
  <c r="M188" i="14"/>
  <c r="M189" i="14"/>
  <c r="M190" i="14"/>
  <c r="M191" i="14"/>
  <c r="M192" i="14"/>
  <c r="M193" i="14"/>
  <c r="M194" i="14"/>
  <c r="M195" i="14"/>
  <c r="M196" i="14"/>
  <c r="M197" i="14"/>
  <c r="M198" i="14"/>
  <c r="M199" i="14"/>
  <c r="M200" i="14"/>
  <c r="M201" i="14"/>
  <c r="M202" i="14"/>
  <c r="M203" i="14"/>
  <c r="M204" i="14"/>
  <c r="M205" i="14"/>
  <c r="M206" i="14"/>
  <c r="M207" i="14"/>
  <c r="M208" i="14"/>
  <c r="M209" i="14"/>
  <c r="M210" i="14"/>
  <c r="M211" i="14"/>
  <c r="M212" i="14"/>
  <c r="M213" i="14"/>
  <c r="M214" i="14"/>
  <c r="M215" i="14"/>
  <c r="M216" i="14"/>
  <c r="M217" i="14"/>
  <c r="M218" i="14"/>
  <c r="M219" i="14"/>
  <c r="M220" i="14"/>
  <c r="M221" i="14"/>
  <c r="M222" i="14"/>
  <c r="M223" i="14"/>
  <c r="M224" i="14"/>
  <c r="M225" i="14"/>
  <c r="M226" i="14"/>
  <c r="M21" i="14"/>
  <c r="M22" i="14"/>
  <c r="M23" i="14"/>
  <c r="M24" i="14"/>
  <c r="M15" i="14"/>
  <c r="M16" i="14"/>
  <c r="M17" i="14"/>
  <c r="M18" i="14"/>
  <c r="M19" i="14"/>
  <c r="M20" i="14"/>
  <c r="M4" i="14"/>
  <c r="M5" i="14"/>
  <c r="M6" i="14"/>
  <c r="M7" i="14"/>
  <c r="M8" i="14"/>
  <c r="M9" i="14"/>
  <c r="M10" i="14"/>
  <c r="M11" i="14"/>
  <c r="M12" i="14"/>
  <c r="M13" i="14"/>
  <c r="M14" i="14"/>
  <c r="M3" i="14"/>
  <c r="O2" i="14"/>
  <c r="N2" i="14"/>
  <c r="M2"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tc={793327C0-2C86-457E-B9C6-AC78A14842F8}</author>
    <author>tc={24D3C258-9E52-4BAE-9B8A-A2FAD2BA80B6}</author>
    <author>tc={64154E85-ECC9-45DE-8CD4-98E56445B9BE}</author>
  </authors>
  <commentList>
    <comment ref="G5" authorId="0" shapeId="0" xr:uid="{793327C0-2C86-457E-B9C6-AC78A14842F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agrega 884</t>
      </text>
    </comment>
    <comment ref="G112" authorId="1" shapeId="0" xr:uid="{24D3C258-9E52-4BAE-9B8A-A2FAD2BA80B6}">
      <text>
        <t>[Comentario encadenado]
Su versión de Excel le permite leer este comentario encadenado; sin embargo, las ediciones que se apliquen se quitarán si el archivo se abre en una versión más reciente de Excel. Más información: https://go.microsoft.com/fwlink/?linkid=870924
Comentario:
    Se agrega 1132</t>
      </text>
    </comment>
    <comment ref="G116" authorId="2" shapeId="0" xr:uid="{64154E85-ECC9-45DE-8CD4-98E56445B9BE}">
      <text>
        <t>[Comentario encadenado]
Su versión de Excel le permite leer este comentario encadenado; sin embargo, las ediciones que se apliquen se quitarán si el archivo se abre en una versión más reciente de Excel. Más información: https://go.microsoft.com/fwlink/?linkid=870924
Comentario:
    Se agrega 632</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tc={C8BD3382-85A8-4CD4-9813-1C27C9D320A5}</author>
    <author>tc={D1C45EA3-B433-4B95-8F1F-57045CF8E615}</author>
    <author>tc={549E687A-DF82-4188-9F53-29DBC400AA84}</author>
    <author>tc={0E091157-1458-439A-9233-C0737773FD94}</author>
    <author>tc={A2243B14-6D22-4036-B40B-AC43C72791C8}</author>
  </authors>
  <commentList>
    <comment ref="I37" authorId="0" shapeId="0" xr:uid="{C8BD3382-85A8-4CD4-9813-1C27C9D320A5}">
      <text>
        <t>[Comentario encadenado]
Su versión de Excel le permite leer este comentario encadenado; sin embargo, las ediciones que se apliquen se quitarán si el archivo se abre en una versión más reciente de Excel. Más información: https://go.microsoft.com/fwlink/?linkid=870924
Comentario:
    Se agrega 1132</t>
      </text>
    </comment>
    <comment ref="I38" authorId="1" shapeId="0" xr:uid="{D1C45EA3-B433-4B95-8F1F-57045CF8E615}">
      <text>
        <t>[Comentario encadenado]
Su versión de Excel le permite leer este comentario encadenado; sin embargo, las ediciones que se apliquen se quitarán si el archivo se abre en una versión más reciente de Excel. Más información: https://go.microsoft.com/fwlink/?linkid=870924
Comentario:
    Se agrega 884</t>
      </text>
    </comment>
    <comment ref="I74" authorId="2" shapeId="0" xr:uid="{549E687A-DF82-4188-9F53-29DBC400AA84}">
      <text>
        <t>[Comentario encadenado]
Su versión de Excel le permite leer este comentario encadenado; sin embargo, las ediciones que se apliquen se quitarán si el archivo se abre en una versión más reciente de Excel. Más información: https://go.microsoft.com/fwlink/?linkid=870924
Comentario:
    Se agrega 632</t>
      </text>
    </comment>
    <comment ref="I89" authorId="3" shapeId="0" xr:uid="{0E091157-1458-439A-9233-C0737773FD94}">
      <text>
        <t>[Comentario encadenado]
Su versión de Excel le permite leer este comentario encadenado; sin embargo, las ediciones que se apliquen se quitarán si el archivo se abre en una versión más reciente de Excel. Más información: https://go.microsoft.com/fwlink/?linkid=870924
Comentario:
    Se agrega 884</t>
      </text>
    </comment>
    <comment ref="I91" authorId="4" shapeId="0" xr:uid="{A2243B14-6D22-4036-B40B-AC43C72791C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agrega 884</t>
      </text>
    </comment>
  </commentList>
</comments>
</file>

<file path=xl/sharedStrings.xml><?xml version="1.0" encoding="utf-8"?>
<sst xmlns="http://schemas.openxmlformats.org/spreadsheetml/2006/main" count="4316" uniqueCount="1139">
  <si>
    <t>RFC</t>
  </si>
  <si>
    <t>Régimen</t>
  </si>
  <si>
    <t>CECR840904UI6</t>
  </si>
  <si>
    <t>OISB750324KL2</t>
  </si>
  <si>
    <t>AUAR6704193R1</t>
  </si>
  <si>
    <t>MEBB740726PL3</t>
  </si>
  <si>
    <t>OISD850709LL2</t>
  </si>
  <si>
    <t>LISM8007175X7</t>
  </si>
  <si>
    <t>SOSR8903218GA</t>
  </si>
  <si>
    <t>LISL770624GFA</t>
  </si>
  <si>
    <t>SIPJ7701252K6</t>
  </si>
  <si>
    <t>MERJ810501RU9</t>
  </si>
  <si>
    <t>TERC5907248N2</t>
  </si>
  <si>
    <t>OISM840515T37</t>
  </si>
  <si>
    <t>OIAF881228HJ2</t>
  </si>
  <si>
    <t>SIER6502063K4</t>
  </si>
  <si>
    <t>CEOM610502QV3</t>
  </si>
  <si>
    <t>MOHP750504359</t>
  </si>
  <si>
    <t>OIGA5909039K0</t>
  </si>
  <si>
    <t>MOHA670828BY1</t>
  </si>
  <si>
    <t>AUJT670922VE3</t>
  </si>
  <si>
    <t>RORS7308252Y4</t>
  </si>
  <si>
    <t>MERA761226DN0</t>
  </si>
  <si>
    <t>OEOL6602178H5</t>
  </si>
  <si>
    <t>OIVM670429NF5</t>
  </si>
  <si>
    <t>AAO0906029N5</t>
  </si>
  <si>
    <t>ECH130516B29</t>
  </si>
  <si>
    <t>IFL880814NJ2</t>
  </si>
  <si>
    <t>ISP0603149B7</t>
  </si>
  <si>
    <t>GPU0812178MA</t>
  </si>
  <si>
    <t>CNA091107CZ0</t>
  </si>
  <si>
    <t>RXE9707293W8</t>
  </si>
  <si>
    <t>MAC0209142L8</t>
  </si>
  <si>
    <t>KDI061003P34</t>
  </si>
  <si>
    <t>HUV080702I39</t>
  </si>
  <si>
    <t>EUUD9608054A0</t>
  </si>
  <si>
    <t>ACTIVO</t>
  </si>
  <si>
    <t>Tabla Cancelados</t>
  </si>
  <si>
    <t>JOMG8001105L0</t>
  </si>
  <si>
    <t>MANL540622PA2</t>
  </si>
  <si>
    <t>ROCI870318AJ5</t>
  </si>
  <si>
    <t>Tabla Bloqueados</t>
  </si>
  <si>
    <t>AAAE761227VE0</t>
  </si>
  <si>
    <t>Tabla Excluidos</t>
  </si>
  <si>
    <t>PM</t>
  </si>
  <si>
    <t>LORG8109066P7</t>
  </si>
  <si>
    <t>GOUA500223BP9</t>
  </si>
  <si>
    <t>AEGB580504DDA</t>
  </si>
  <si>
    <t>REACTIVADO</t>
  </si>
  <si>
    <t>EIGG550131151</t>
  </si>
  <si>
    <t>SAGJ790902T13</t>
  </si>
  <si>
    <t>PUVE3501265A9</t>
  </si>
  <si>
    <t>SUSPENDIDO</t>
  </si>
  <si>
    <t>ZASR5401272Y2</t>
  </si>
  <si>
    <t>SURA900828DS5</t>
  </si>
  <si>
    <t>GOMV640914RU9</t>
  </si>
  <si>
    <t>COME921226KH7</t>
  </si>
  <si>
    <t>CIMS880918UN6</t>
  </si>
  <si>
    <t>SODJ820412I18</t>
  </si>
  <si>
    <t>MUEE6303231H4</t>
  </si>
  <si>
    <t>GOAC830909HD0</t>
  </si>
  <si>
    <t>MUEV671210UL7</t>
  </si>
  <si>
    <t>CEPN4403278H1*</t>
  </si>
  <si>
    <t>MOGN781102V66*</t>
  </si>
  <si>
    <t>ZUGA500721BJA*</t>
  </si>
  <si>
    <t>AEAJ9004233H2</t>
  </si>
  <si>
    <t>SAGI6709236S7</t>
  </si>
  <si>
    <t>PUQR470910976</t>
  </si>
  <si>
    <t>EICC791202C69</t>
  </si>
  <si>
    <t>BUQL870328BK4</t>
  </si>
  <si>
    <t>MAOM690217CYA</t>
  </si>
  <si>
    <t>PARA581114H66</t>
  </si>
  <si>
    <t>AEAA7412085SA</t>
  </si>
  <si>
    <t>VAVD880310JY5</t>
  </si>
  <si>
    <t>SISD900719AQ8</t>
  </si>
  <si>
    <t>LACB8306218F1</t>
  </si>
  <si>
    <t>SAGF730206ICA</t>
  </si>
  <si>
    <t>EICN870414UR7</t>
  </si>
  <si>
    <t>BUQD731003JH5</t>
  </si>
  <si>
    <t>WIAI760708RV8</t>
  </si>
  <si>
    <t>HOEL751123G90</t>
  </si>
  <si>
    <t>HOEB720910PJ6</t>
  </si>
  <si>
    <t>LULF6702182P0</t>
  </si>
  <si>
    <t>MOTR520607N58</t>
  </si>
  <si>
    <t>METM910919RP7</t>
  </si>
  <si>
    <t>EIGA450723BD7</t>
  </si>
  <si>
    <t>AEAA7911249G7</t>
  </si>
  <si>
    <t>ROVD601216PX3</t>
  </si>
  <si>
    <t>https://peuat.siat.sat.gob.mx/app/PE/faces/index.jsp</t>
  </si>
  <si>
    <t>ESTATUS</t>
  </si>
  <si>
    <t>ROLES ZONA FRONTERIZA</t>
  </si>
  <si>
    <t>OBLIGACIÓN</t>
  </si>
  <si>
    <t>ACTIVIDAD</t>
  </si>
  <si>
    <t>MAMJ880630UA6</t>
  </si>
  <si>
    <t>COCI540620TD5</t>
  </si>
  <si>
    <t xml:space="preserve">	300665</t>
  </si>
  <si>
    <t>EICL840608GQ9</t>
  </si>
  <si>
    <t>EIAD870130Q60</t>
  </si>
  <si>
    <t xml:space="preserve">	601</t>
  </si>
  <si>
    <t>EICJ820719TD5</t>
  </si>
  <si>
    <t>COCH450529A22</t>
  </si>
  <si>
    <t>MODF831005239</t>
  </si>
  <si>
    <t>621, 612</t>
  </si>
  <si>
    <t>COCC701105BX8</t>
  </si>
  <si>
    <t xml:space="preserve">	612</t>
  </si>
  <si>
    <t xml:space="preserve">	606</t>
  </si>
  <si>
    <t xml:space="preserve">	
REACTIVADO</t>
  </si>
  <si>
    <t xml:space="preserve">	909</t>
  </si>
  <si>
    <t xml:space="preserve">	616</t>
  </si>
  <si>
    <t>300665, 300682</t>
  </si>
  <si>
    <t xml:space="preserve">	605</t>
  </si>
  <si>
    <t>605, 611</t>
  </si>
  <si>
    <t>1112, 71</t>
  </si>
  <si>
    <t>495, 828, 824</t>
  </si>
  <si>
    <t xml:space="preserve">	608</t>
  </si>
  <si>
    <t>AEAT8601081T6</t>
  </si>
  <si>
    <t>AEAS901122DK2</t>
  </si>
  <si>
    <t xml:space="preserve">	462</t>
  </si>
  <si>
    <t>VAVB480831L8A</t>
  </si>
  <si>
    <t>VAVD5404091F0</t>
  </si>
  <si>
    <t>VAVO891021RC8</t>
  </si>
  <si>
    <t>CAAE830322IF6</t>
  </si>
  <si>
    <t>PEAE8409065L6</t>
  </si>
  <si>
    <t xml:space="preserve">	276</t>
  </si>
  <si>
    <t>EIGE740910HW5</t>
  </si>
  <si>
    <t xml:space="preserve">	876</t>
  </si>
  <si>
    <t>VAOJ640822H49</t>
  </si>
  <si>
    <t xml:space="preserve">	450</t>
  </si>
  <si>
    <t>AEGM510604VA9</t>
  </si>
  <si>
    <t>SOAA760319GF9</t>
  </si>
  <si>
    <t xml:space="preserve">	615</t>
  </si>
  <si>
    <t xml:space="preserve">	636</t>
  </si>
  <si>
    <t>FOAA940117HN3</t>
  </si>
  <si>
    <t>FOAA730615EW7</t>
  </si>
  <si>
    <t xml:space="preserve">	83</t>
  </si>
  <si>
    <t>FOAD830807FI2</t>
  </si>
  <si>
    <t xml:space="preserve">	52</t>
  </si>
  <si>
    <t>PABJ380128544</t>
  </si>
  <si>
    <t xml:space="preserve">	571</t>
  </si>
  <si>
    <t xml:space="preserve">	621</t>
  </si>
  <si>
    <t>695, 	675</t>
  </si>
  <si>
    <t>SISJ840426V55</t>
  </si>
  <si>
    <t>VAVI881031ML4</t>
  </si>
  <si>
    <t xml:space="preserve">	632</t>
  </si>
  <si>
    <t>VALJ851211JF4</t>
  </si>
  <si>
    <t>ROVJ4304083HA</t>
  </si>
  <si>
    <t>VAVJ720212CH2</t>
  </si>
  <si>
    <t xml:space="preserve">
612, 605</t>
  </si>
  <si>
    <t>LISJ670127HL9</t>
  </si>
  <si>
    <t xml:space="preserve">	609</t>
  </si>
  <si>
    <t>OISA780226CG9</t>
  </si>
  <si>
    <t xml:space="preserve">	664</t>
  </si>
  <si>
    <t>FCA901215MN3</t>
  </si>
  <si>
    <t>SIAT – estádo Cancelado 
SIAT – estádo Suspendido
SIREFE 17-H y 17-H bis*
EFOS Definitivos 
SIAT- No se encuentra en el padrón</t>
  </si>
  <si>
    <t>605 Sueldos y Salarios e Ingresos Asimilados a Salarios</t>
  </si>
  <si>
    <t>606 Arrendamiento</t>
  </si>
  <si>
    <t>608 Demás ingresos</t>
  </si>
  <si>
    <t>611 Ingresos por Dividendos (socios y accionistas)</t>
  </si>
  <si>
    <t>612 Personas Físicas con Actividades Empresariales y Profesionales</t>
  </si>
  <si>
    <t>614 Ingresos por intereses</t>
  </si>
  <si>
    <t>615 Régimen de los ingresos por obtención de premios</t>
  </si>
  <si>
    <t>616 Sin obligaciones fiscales</t>
  </si>
  <si>
    <t>607 Enajenación o Adquisición de Bienes</t>
  </si>
  <si>
    <t>621 Incorporación Fiscal</t>
  </si>
  <si>
    <t xml:space="preserve">626 Simplificado de Confianza, con los roles distintivos de      arrendamiento (300033 y 300452). </t>
  </si>
  <si>
    <t>Valor</t>
  </si>
  <si>
    <t>Regla</t>
  </si>
  <si>
    <t>Generales</t>
  </si>
  <si>
    <t>Bandera Validez de Obligaciones del emisor</t>
  </si>
  <si>
    <t>RNA04</t>
  </si>
  <si>
    <t>0=No Puede Facturar</t>
  </si>
  <si>
    <t>.En tanto no esté listo el servicio de SIREFE, se validará el RFC del emisor en la Lista de Contribuyentes Cancelados que actualmente se opera para restringir el certificado que emite el Servicio de Administración Tributaria a los contribuyentes de conformidad con el artículo 17-H-bis.
.La validación de los EFOS Definitivos se deberá realizar en la Lista de Contribuyentes Cancelados que se administra a través del aplicativo LCO Catálogos,
.Se deberán aplicar las siguientes validaciones al RFC del emisor y mostrar el valor como resultado de la petición.
.Se asignará un valor de 1, 2, 3 o 4 si no se encuentra en la lista de cancelados (17-H-bis) y “0” si se encuentra. 
.Se asignará un valor de 1, 2, 3 o 4 si no se encuentra en la lista de bloqueados (17-H) y “0” si se encuentra.
.Nota: La descripción de la transmisión de datos para esta validación se encuentra definida en la Especificación de Interfaz de la Solución en el apartado “Bandera Validez de Obligaciones”.</t>
  </si>
  <si>
    <t>1 = Puede facturar (IVA exento, tasa 0% y 16%)</t>
  </si>
  <si>
    <t>SIAT – Estado diferente a Cancelado o Suspendido</t>
  </si>
  <si>
    <t>2 = Habilitado para facturar – Zona fronteriza norte (IVA exento, tasa 0%, 8% y 16%)</t>
  </si>
  <si>
    <t>SIAT – Estado diferente a Cancelado o Suspendido y que cuentes con los ROLES 300665 o 300667.</t>
  </si>
  <si>
    <t>3 = Habilitado para facturar – Zona Fronteriza Sur (IVA exento, tasa 0%, 8% y 16%)</t>
  </si>
  <si>
    <t>SIAT – Estado diferente a Cancelado o Suspendido y que cuente con los ROLES 300682 o 300684.</t>
  </si>
  <si>
    <t>4 = Cuenta con Obligaciones Fiscales para facturar en la zona fronteriza norte y zona fronteriza sur (IVA exento, tasa 0%, 8% y 16%)</t>
  </si>
  <si>
    <t>SIAT – Estado diferente a Cancelado o Suspendido
Si el contribuyente cuenta con alguno de los roles de la zona fronteriza norte (300665 o 300667) y con alguno de los roles definidos para la zona fronteriza sur (300682 o 300684).</t>
  </si>
  <si>
    <t>Bandera SNCF del emisor</t>
  </si>
  <si>
    <t>RNA05</t>
  </si>
  <si>
    <t>0= NO Cuenta con el ROL del SNCF</t>
  </si>
  <si>
    <t>SIAT-Sin el ROL SNCF</t>
  </si>
  <si>
    <t>.Se deberá validar la marca del SNCF correspondiente en la Lista de contribuyentes inscritos no cancelados (LRFC).
.En tanto no se cuente con el ROL específico para este apartado, se realizará la validación sobre el padrón entregado a la ACDMA, para actualizar la lista de RFCs en lo correspondiente a la bandera SNCF.
Nota: La descripción de la transmisión de datos para esta validación se encuentra definida en la Especificación de Interfaz de la Solución en el apartado “Bandera SNCF”.</t>
  </si>
  <si>
    <t xml:space="preserve"> 1= SI Cuenta con el ROL del SNCF</t>
  </si>
  <si>
    <t>SIAT- con el ROL SNCF</t>
  </si>
  <si>
    <t>Validación del RFC del Receptor
(Inscrito no cancelado)</t>
  </si>
  <si>
    <t>RNA06</t>
  </si>
  <si>
    <t>0= NO habilitado para recibir facturas</t>
  </si>
  <si>
    <t>SIAT – Estado Cancelado
Lista excluidos -  Está en el listado de contribuyentes excluidos</t>
  </si>
  <si>
    <t xml:space="preserve">Nota: La descripción de la transmisión de datos para esta validación se encuentra definida en la Especificación de Interfaz de la Solución en el apartado “Bandera Validez de Obligaciones </t>
  </si>
  <si>
    <t xml:space="preserve"> 1= SI está habilitado para recibir facturas</t>
  </si>
  <si>
    <t>SIAT – Cuenta con cualquier estatus diferente a cancelado
Lista excluidos- No está en el listado de contribuyentes excluidos</t>
  </si>
  <si>
    <r>
      <t xml:space="preserve">Bandera de Facturación a través del Adquirente / </t>
    </r>
    <r>
      <rPr>
        <b/>
        <sz val="8"/>
        <color theme="1"/>
        <rFont val="Aptos Narrow"/>
        <family val="2"/>
        <scheme val="minor"/>
      </rPr>
      <t xml:space="preserve">Tipo operación 01 </t>
    </r>
  </si>
  <si>
    <t>RNA07</t>
  </si>
  <si>
    <t>Valor=1</t>
  </si>
  <si>
    <t>612 Personas Físicas con Actividades Empresariales y Profesionales 
y tenga asignada exclusivamente alguna de las actividades enlistadas en al Anexo 1. del 1-78</t>
  </si>
  <si>
    <t xml:space="preserve">Validar que el RFC del emisor en SIAT, se trate de una persona física, con RFC vigente </t>
  </si>
  <si>
    <t>621 Incorporación Fiscal
y tenga asignada exclusivamente alguna de las actividades enlistadas en al Anexo 1. del 1-78</t>
  </si>
  <si>
    <t>626 Simplificado de Confianza
y tenga asignada exclusivamente alguna de las actividades enlistadas en al Anexo 1. del 1-78</t>
  </si>
  <si>
    <t>Valor=0</t>
  </si>
  <si>
    <t>Cuando no se cumpla con las validaciones anteriores o bien se trate de una Personal moral se deberá asignar el valor “0”.</t>
  </si>
  <si>
    <r>
      <t>Bandera de Facturación a través del Adquirente /</t>
    </r>
    <r>
      <rPr>
        <b/>
        <sz val="8"/>
        <color theme="1"/>
        <rFont val="Aptos Narrow"/>
        <family val="2"/>
        <scheme val="minor"/>
      </rPr>
      <t xml:space="preserve"> Tipo operación 2</t>
    </r>
  </si>
  <si>
    <t>RNA08</t>
  </si>
  <si>
    <t xml:space="preserve">626 Simplificado de Confianza, con los roles distintivos de arrendamiento. (300033 y 300452)  </t>
  </si>
  <si>
    <r>
      <t>Bandera de Facturación a través del Adquirente /</t>
    </r>
    <r>
      <rPr>
        <b/>
        <sz val="8"/>
        <color theme="1"/>
        <rFont val="Aptos Narrow"/>
        <family val="2"/>
        <scheme val="minor"/>
      </rPr>
      <t xml:space="preserve"> Tipo operación 03</t>
    </r>
  </si>
  <si>
    <t>RNA09</t>
  </si>
  <si>
    <t>612 Personas Físicas con Actividades Empresariales y Profesionales
Además, tenga asignada algunas de las actividades enlistadas en al Anexo 3.
90,94,95,96,97,98,99,100,101,102,103,104,105,106,107,108,110,111,112,113,114,115,116,117</t>
  </si>
  <si>
    <t>Validar que el RFC del emisor en SIAT, se trate de una persona física, con RFC vigente</t>
  </si>
  <si>
    <t>621 Incorporación Fiscal
Además, tenga asignada algunas de las actividades enlistadas en al Anexo 3.
90,94,95,96,97,98,99,100,101,102,103,104,105,106,107,108,110,111,112,113,114,115,116,117</t>
  </si>
  <si>
    <t>626 Simplificado de Confianza
Además, tenga asignada algunas de las actividades enlistadas en al Anexo 3.
90,94,95,96,97,98,99,100,101,102,103,104,105,106,107,108,110,111,112,113,114,115,116,117</t>
  </si>
  <si>
    <r>
      <t>Bandera de Facturación a través del Adquirente /</t>
    </r>
    <r>
      <rPr>
        <b/>
        <sz val="8"/>
        <color theme="1"/>
        <rFont val="Aptos Narrow"/>
        <family val="2"/>
        <scheme val="minor"/>
      </rPr>
      <t xml:space="preserve"> Tipo operación 04</t>
    </r>
  </si>
  <si>
    <t>RNA10</t>
  </si>
  <si>
    <r>
      <t>Bandera de Facturación a través del Adquirente /</t>
    </r>
    <r>
      <rPr>
        <b/>
        <sz val="8"/>
        <color theme="1"/>
        <rFont val="Aptos Narrow"/>
        <family val="2"/>
        <scheme val="minor"/>
      </rPr>
      <t xml:space="preserve"> Tipo operación 05</t>
    </r>
  </si>
  <si>
    <t>RNA11</t>
  </si>
  <si>
    <t>612 Personas Físicas con Actividades Empresariales y Profesionales
Además, tenga asignada algunas de las actividades enlistadas en al Anexo 6.
Clave 909, 1132, 884, 1131, 1133</t>
  </si>
  <si>
    <t>621 Incorporación Fiscal
Además, tenga asignada algunas de las actividades enlistadas en al Anexo 6.
Clave 909, 1132, 884, 1131, 1133</t>
  </si>
  <si>
    <t>626 Simplificado de Confianza
Además, tenga asignada algunas de las actividades enlistadas en al Anexo 6.
Clave 909, 1132, 884, 1131, 1133</t>
  </si>
  <si>
    <r>
      <t>Bandera de Facturación a través del Adquirente /</t>
    </r>
    <r>
      <rPr>
        <b/>
        <sz val="8"/>
        <color theme="1"/>
        <rFont val="Aptos Narrow"/>
        <family val="2"/>
        <scheme val="minor"/>
      </rPr>
      <t xml:space="preserve"> Tipo operación 06</t>
    </r>
  </si>
  <si>
    <t>RNA12</t>
  </si>
  <si>
    <t>605	Sueldos y Salarios e Ingresos Asimilados a Salarios</t>
  </si>
  <si>
    <t>626 Simplificado de Confianza</t>
  </si>
  <si>
    <r>
      <t>Bandera de Facturación a través del Adquirente /</t>
    </r>
    <r>
      <rPr>
        <b/>
        <sz val="8"/>
        <color theme="1"/>
        <rFont val="Aptos Narrow"/>
        <family val="2"/>
        <scheme val="minor"/>
      </rPr>
      <t xml:space="preserve"> Tipo operación 07</t>
    </r>
  </si>
  <si>
    <t>RNA13</t>
  </si>
  <si>
    <r>
      <t>Bandera de Facturación a través del Adquirente /</t>
    </r>
    <r>
      <rPr>
        <b/>
        <sz val="8"/>
        <color theme="1"/>
        <rFont val="Aptos Narrow"/>
        <family val="2"/>
        <scheme val="minor"/>
      </rPr>
      <t xml:space="preserve"> Tipo operación 08</t>
    </r>
  </si>
  <si>
    <t>RNA14</t>
  </si>
  <si>
    <t>606	Arrendamiento</t>
  </si>
  <si>
    <t>608	Demás ingresos</t>
  </si>
  <si>
    <t>611	Ingresos por Dividendos (socios y accionistas)</t>
  </si>
  <si>
    <t>614	Ingresos por intereses</t>
  </si>
  <si>
    <t>616	Sin obligaciones fiscales</t>
  </si>
  <si>
    <t>615	Régimen de los ingresos por obtención de premios</t>
  </si>
  <si>
    <r>
      <t>Bandera de Facturación a través del Adquirente /</t>
    </r>
    <r>
      <rPr>
        <b/>
        <sz val="8"/>
        <color theme="1"/>
        <rFont val="Aptos Narrow"/>
        <family val="2"/>
        <scheme val="minor"/>
      </rPr>
      <t xml:space="preserve"> Tipo operación 09</t>
    </r>
  </si>
  <si>
    <t>RNA15</t>
  </si>
  <si>
    <t>612 Personas Físicas con Actividades Empresariales y Profesionales
Además, tenga asignada exclusivamente algunas de las actividades enlistadas en al Anexo 5. con clave actividad 632</t>
  </si>
  <si>
    <t>621 Incorporación Fiscal
Además, tenga asignada exclusivamente algunas de las actividades enlistadas en al Anexo 5. con clave actividad 632</t>
  </si>
  <si>
    <t>626 Simplificado de Confianza
Además, tenga asignada exclusivamente algunas de las actividades enlistadas en al Anexo 5. con clave actividad 632</t>
  </si>
  <si>
    <r>
      <t>Bandera de Facturación a través del Adquirente /</t>
    </r>
    <r>
      <rPr>
        <b/>
        <sz val="8"/>
        <color theme="1"/>
        <rFont val="Aptos Narrow"/>
        <family val="2"/>
        <scheme val="minor"/>
      </rPr>
      <t xml:space="preserve"> Tipo operación 10</t>
    </r>
  </si>
  <si>
    <t>RNA16</t>
  </si>
  <si>
    <t>Descripción actividad económica</t>
  </si>
  <si>
    <t>Clave actividad</t>
  </si>
  <si>
    <t>Siembra, cultivo y cosecha de soya</t>
  </si>
  <si>
    <t>Siembra, cultivo y cosecha de cártamo</t>
  </si>
  <si>
    <t>Siembra, cultivo y cosecha de girasol</t>
  </si>
  <si>
    <t>Siembra, cultivo y cosecha anual de otras semillas oleaginosas</t>
  </si>
  <si>
    <t>Siembra, cultivo y cosecha de frijol</t>
  </si>
  <si>
    <t>Siembra, cultivo y cosecha de garbanzo</t>
  </si>
  <si>
    <t>Siembra, cultivo y cosecha de otras legumbres</t>
  </si>
  <si>
    <t>Siembra, cultivo y cosecha de trigo</t>
  </si>
  <si>
    <t>Siembra, cultivo y cosecha de maíz grano</t>
  </si>
  <si>
    <t>Siembra, cultivo y cosecha de maíz forrajero</t>
  </si>
  <si>
    <t>Siembra, cultivo y cosecha de arroz</t>
  </si>
  <si>
    <t>Siembra, cultivo y cosecha de sorgo grano</t>
  </si>
  <si>
    <t>Siembra, cultivo y cosecha de avena grano</t>
  </si>
  <si>
    <t>Siembra, cultivo y cosecha de cebada grano</t>
  </si>
  <si>
    <t>Siembra, cultivo y cosecha de sorgo forrajero</t>
  </si>
  <si>
    <t>Siembra, cultivo y cosecha de avena forrajera</t>
  </si>
  <si>
    <t>Siembra, cultivo y cosecha de otros cereales</t>
  </si>
  <si>
    <t>Siembra, cultivo y cosecha de jitomate o tomate rojo</t>
  </si>
  <si>
    <t>Siembra, cultivo y cosecha de chile</t>
  </si>
  <si>
    <t>Siembra, cultivo y cosecha de cebolla</t>
  </si>
  <si>
    <t>Siembra, cultivo y cosecha de melón o sandía</t>
  </si>
  <si>
    <t>Siembra, cultivo y cosecha de tomate verde</t>
  </si>
  <si>
    <t>Siembra, cultivo y cosecha de papa</t>
  </si>
  <si>
    <t>Siembra, cultivo y cosecha de calabacita</t>
  </si>
  <si>
    <t>Siembra, cultivo y cosecha de otras hortalizas y semillas de hortalizas</t>
  </si>
  <si>
    <t>Siembra, cultivo y cosecha de naranja</t>
  </si>
  <si>
    <t>Siembra, cultivo y cosecha de limón</t>
  </si>
  <si>
    <t>Siembra, cultivo y cosecha de cítricos</t>
  </si>
  <si>
    <t>Siembra, cultivo y cosecha de café</t>
  </si>
  <si>
    <t>Siembra, cultivo y cosecha de plátano</t>
  </si>
  <si>
    <t>Siembra, cultivo y cosecha de mango</t>
  </si>
  <si>
    <t>Siembra, cultivo y cosecha de aguacate</t>
  </si>
  <si>
    <t>Siembra, cultivo y cosecha de uva</t>
  </si>
  <si>
    <t>Siembra, cultivo y cosecha de manzana</t>
  </si>
  <si>
    <t>Siembra, cultivo y cosecha de cacao</t>
  </si>
  <si>
    <t>Siembra, cultivo y cosecha de otros frutales no cítricos</t>
  </si>
  <si>
    <t>Siembra, cultivo y cosecha de productos alimenticios en invernaderos</t>
  </si>
  <si>
    <t>Siembra, cultivo y cosecha de flores a cielo abierto</t>
  </si>
  <si>
    <t>Siembra, cultivo y cosecha de flores en invernadero</t>
  </si>
  <si>
    <t>Siembra, cultivo y cosecha de árboles de Navidad y de especies maderables de ciclos productivos de 10 años o menos</t>
  </si>
  <si>
    <t>Siembra, cultivo y cosecha de otros cultivos en invernaderos y viveros</t>
  </si>
  <si>
    <t>Siembra, cultivo y cosecha de tabaco</t>
  </si>
  <si>
    <t>Siembra, cultivo y cosecha de algodón</t>
  </si>
  <si>
    <t>Siembra, cultivo y cosecha de caña de azúcar</t>
  </si>
  <si>
    <t>Siembra, cultivo y cosecha de alfalfa</t>
  </si>
  <si>
    <t>Siembra, cultivo y cosecha de trébol, pastos y zacates</t>
  </si>
  <si>
    <t>Siembra, cultivo y cosecha de coco y coquito de aceite</t>
  </si>
  <si>
    <t>Siembra, cultivo y cosecha de cacahuate</t>
  </si>
  <si>
    <t>Siembra, cultivo y cosecha de agave o maguey tequilero</t>
  </si>
  <si>
    <t>Siembra, cultivo y cosecha de otros cultivos</t>
  </si>
  <si>
    <t>Cría y engorda de vacas, reses o novillos para venta de su carne</t>
  </si>
  <si>
    <t>Cría y engorda de vacas, reses o novillos para venta de leche</t>
  </si>
  <si>
    <t>Cría y engorda de vacas, reses o novillos para su venta</t>
  </si>
  <si>
    <t>Cría y engorda de cerdos en granja</t>
  </si>
  <si>
    <t>Cría y engorda de cerdos en patios y lugares distintos a granjas</t>
  </si>
  <si>
    <t>Cría y engorda de gallinas ponedoras de huevo para reproducción</t>
  </si>
  <si>
    <t>Cría y engorda de gallinas ponedoras de huevo para consumo</t>
  </si>
  <si>
    <t>Cría y engorda de pollos para venta de su carne</t>
  </si>
  <si>
    <t>Cría y engorda de guajolotes o pavos para la venta de su carne y producción de huevo</t>
  </si>
  <si>
    <t>Producción de aves de corral en incubadora</t>
  </si>
  <si>
    <t>Cría y engorda de otras aves para venta de su carne y producción de huevo</t>
  </si>
  <si>
    <t>Cría y engorda de borregos</t>
  </si>
  <si>
    <t>Cría y engorda de borregos en forma conjunta con cabras o chivos</t>
  </si>
  <si>
    <t>Cría y engorda de cabras o chivos</t>
  </si>
  <si>
    <t>Cría, fomento y cuidado de camarones</t>
  </si>
  <si>
    <t>Cría, cultivo, fomento y cuidado de animales acuáticos, excepto camarones</t>
  </si>
  <si>
    <t>Explotación, recolección y venta de miel de abeja y otros productos derivados</t>
  </si>
  <si>
    <t>Cría y engorda de caballos, mulas, burros y otros équidos</t>
  </si>
  <si>
    <t>Cría y explotación de animales de piel con pelaje fino</t>
  </si>
  <si>
    <t>Cría y explotación de otros animales</t>
  </si>
  <si>
    <t>Actividades forestales como plantación, reforestación y conservación, con el propósito de realizar la venta en pie de árboles maderables</t>
  </si>
  <si>
    <t>Cultivo de especies forestales para tareas de reforestación</t>
  </si>
  <si>
    <t>Recolección de productos forestales como gomas, resinas, rizomas, fibras y heno. recolección de frutas silvestres y plantas medicinales y raíces</t>
  </si>
  <si>
    <t>Tala de árboles, desbastado y el descortezado de troncos y la producción de trozas, astillas y rajas de madera</t>
  </si>
  <si>
    <t>Pesca de camarón</t>
  </si>
  <si>
    <t>Pesca de atunes</t>
  </si>
  <si>
    <t>Pesca de sardina y anchoveta</t>
  </si>
  <si>
    <t>Pesca de otras especies</t>
  </si>
  <si>
    <t>Clave obligación</t>
  </si>
  <si>
    <t>Descripción obligación</t>
  </si>
  <si>
    <t>Pago provisional trimestral de ISR por arrendamiento de inmuebles, PF</t>
  </si>
  <si>
    <t>Pago provisional mensual de ISR por arrendamiento de inmuebles PF</t>
  </si>
  <si>
    <t>Declaración cuatrimestral de ISR por arrendamiento a través de fideicomiso por cuenta del fideicomitente o fideicomisario</t>
  </si>
  <si>
    <t>Pago definitivo mensual de IVA.</t>
  </si>
  <si>
    <t>Pago definitivo semestral de IVA</t>
  </si>
  <si>
    <t>declaración informativa mensual de retenciones de ISR por arrendamiento de inmuebles</t>
  </si>
  <si>
    <t>Pago provisional mensual de ISR por servicios profesionales. Régimen de Actividades Empresariales y Profesionales</t>
  </si>
  <si>
    <t>Pago provisional esporádico de ISR por servicios profesionales. Régimen de Actividades Empresariales y Profesionales</t>
  </si>
  <si>
    <t>Pago provisional mensual de ISR por actividades empresariales. Régimen de Actividades Empresariales y Profesionales</t>
  </si>
  <si>
    <t>Pago provisional semestral de ISR por actividades empresariales. Régimen de Actividades Empresariales y Profesionales</t>
  </si>
  <si>
    <t>Declaración de pago provisional mensual de ISR. Régimen de los Demás Ingresos (ingresos periódicos)</t>
  </si>
  <si>
    <t>Declaración de pago provisional semestral de ISR. Régimen de los Demás Ingresos. (Intereses y ganancia cambiaria)</t>
  </si>
  <si>
    <t>Pago provisional trimestral por actividades empresariales personas físicas (histórico).</t>
  </si>
  <si>
    <t>Declaración de pago provisional trimestral de ISR. Régimen de los Demás Ingresos.</t>
  </si>
  <si>
    <t>Pago provisional trimestral de IVA (histórico)</t>
  </si>
  <si>
    <t>Pago provisional normal.</t>
  </si>
  <si>
    <t>Pago provisional adicional.</t>
  </si>
  <si>
    <t>Pagos provisionales.</t>
  </si>
  <si>
    <t>Declaración informativa semestral de proveedores de bienes y servicios e información de terceros. ISR, IEPS.</t>
  </si>
  <si>
    <t>Declaración informativa trimestral de proveedores de bienes y servicios e información de terceros. ISR, IEPS.</t>
  </si>
  <si>
    <t>Declaración informativa bimestral de proveedores de bienes y servicios e información de terceros. ISR, IEPS.</t>
  </si>
  <si>
    <t>Declaración informativa mensual de proveedores de bienes y servicios e información de terceros. ISR, IEPS.</t>
  </si>
  <si>
    <t>Declaración Informativa mensual de Proveedores</t>
  </si>
  <si>
    <t>Pago definitivo bimestral del RIF</t>
  </si>
  <si>
    <t>Pago definitivo bimestral de IVA.</t>
  </si>
  <si>
    <t>Pago definitivo trimestral de IVA.</t>
  </si>
  <si>
    <t>Pago provisional de ISR de Personas Físicas del Régimen de Actividades Agrícolas.</t>
  </si>
  <si>
    <t>Pago provisional de ISR de Coordinado, impuesto propio.</t>
  </si>
  <si>
    <t>Declaración Informativa mensual de operaciones</t>
  </si>
  <si>
    <t>ISR Semestral. Régimen de Sector Primario. Impuesto Propio</t>
  </si>
  <si>
    <t>ISR Semestral. Régimen de Sector Primario. Impuesto de Integrantes.</t>
  </si>
  <si>
    <t>Pago provisional bimestral del RIF</t>
  </si>
  <si>
    <t>Pago provisional cuatrimestral del RIF</t>
  </si>
  <si>
    <t>Minería de carbón mineral</t>
  </si>
  <si>
    <t>Minería de cobre y níquel</t>
  </si>
  <si>
    <t>Minería de plomo y zinc</t>
  </si>
  <si>
    <t>Minería de manganeso</t>
  </si>
  <si>
    <t>Minería de mercurio y antimonio</t>
  </si>
  <si>
    <t>Minería de uranio y minerales radiactivos</t>
  </si>
  <si>
    <t>Minería de otros minerales metálicos</t>
  </si>
  <si>
    <t>Minería de piedra de cal</t>
  </si>
  <si>
    <t>Minería de mármol</t>
  </si>
  <si>
    <t>Minería de otras piedras dimensionadas</t>
  </si>
  <si>
    <t>Minería de arena y grava para la construcción</t>
  </si>
  <si>
    <t>Minería de tezontle y tepetate</t>
  </si>
  <si>
    <t>Minería de feldespato</t>
  </si>
  <si>
    <t>Minería de sílice</t>
  </si>
  <si>
    <t>Minería de caolín</t>
  </si>
  <si>
    <t>Minería de otras arcillas y otros minerales refractarios</t>
  </si>
  <si>
    <t>Minería de piedra de yeso</t>
  </si>
  <si>
    <t>Minería de barita</t>
  </si>
  <si>
    <t>Minería de roca fosfórica</t>
  </si>
  <si>
    <t>Minería de fluorita</t>
  </si>
  <si>
    <t>Minería de grafito</t>
  </si>
  <si>
    <t>Minería de azufre</t>
  </si>
  <si>
    <t>Minería de minerales no metálicos para productos químicos</t>
  </si>
  <si>
    <t>Minería de otros minerales no metálicos</t>
  </si>
  <si>
    <t>Comercio al por menor de artesanías</t>
  </si>
  <si>
    <t>Clave</t>
  </si>
  <si>
    <t>Descripción de la actividad</t>
  </si>
  <si>
    <t>Actividades que incluye</t>
  </si>
  <si>
    <t>909</t>
  </si>
  <si>
    <t>Manejo de desechos no peligrosos y servicios de remediación a zonas dañadas por desechos no peligrosos</t>
  </si>
  <si>
    <t>Manejo de desechos no peligrosos y servicios de remediación a zonas dañadas por desechos no peligrosos, como la recolección y manejo de desechos no peligrosos, la operación de sitios para enterrar desechos no peligrosos (confinamiento), la recuperación y</t>
  </si>
  <si>
    <t>1132</t>
  </si>
  <si>
    <t>Regulación y fomento estatal de actividades para mejorar y preservar el medio ambiente</t>
  </si>
  <si>
    <t>Al establecimiento de normas y procedimientos para mejorar y preservar el medio ambiente, y a la administración y regulación de programas para el manejo de desechos, a proporcionar el servicio de manejo de desechos (como recolección y confinamiento de des</t>
  </si>
  <si>
    <t>884</t>
  </si>
  <si>
    <t>Servicios combinados de apoyo en instalaciones</t>
  </si>
  <si>
    <t>Servicios combinados de apoyo en instalaciones dedicados principalmente a proporcionar el personal para llevar a cabo de manera combinada servicios de limpieza, mantenimiento, recolección de basura, seguridad y lavandería, entre otros</t>
  </si>
  <si>
    <t>1131</t>
  </si>
  <si>
    <t>Regulación y fomento federal de actividades para mejorar y preservar el medio ambiente</t>
  </si>
  <si>
    <t>1133</t>
  </si>
  <si>
    <t>Regulación y fomento municipal de actividades para mejorar y preservar el medio ambiente</t>
  </si>
  <si>
    <t xml:space="preserve">	300665, 300682, 	300155</t>
  </si>
  <si>
    <t xml:space="preserve">	300033, 300155, 	300452, 	300475, 	300665, 	300667</t>
  </si>
  <si>
    <t>735, 738</t>
  </si>
  <si>
    <t>300155, 300484, 300665, 300514</t>
  </si>
  <si>
    <t>20,26,597,218,79,189,203,61</t>
  </si>
  <si>
    <t xml:space="preserve">	300066, 300055, 	300030, 300483</t>
  </si>
  <si>
    <t xml:space="preserve">	300665, 300155</t>
  </si>
  <si>
    <t>300365,	300031, 300155</t>
  </si>
  <si>
    <t xml:space="preserve">	300665, 300475, 300155</t>
  </si>
  <si>
    <t>3,9, 20,26,597,31,33,203,579,30</t>
  </si>
  <si>
    <t>300317, 300482, 300250, 300429, 300155, 300505, 300682</t>
  </si>
  <si>
    <t>300475, 300155, 300682</t>
  </si>
  <si>
    <t>300155, 300476, 300505, 300682</t>
  </si>
  <si>
    <t xml:space="preserve">	300682, 300031, 300155</t>
  </si>
  <si>
    <t>738, 735</t>
  </si>
  <si>
    <t xml:space="preserve">	300682, 300514, 300505	, 300476, 300155</t>
  </si>
  <si>
    <t>300682, 300512,300155</t>
  </si>
  <si>
    <t>300682, 300475, 300155</t>
  </si>
  <si>
    <t>300682, 300155, 300475</t>
  </si>
  <si>
    <t>3, 9, 30, 31,203,579</t>
  </si>
  <si>
    <t xml:space="preserve">	300682, 	300505, 300476, 300155</t>
  </si>
  <si>
    <t>33, 3</t>
  </si>
  <si>
    <t>300682, 	300476, 300295, 300155</t>
  </si>
  <si>
    <t>300665, 300682,300155,300031</t>
  </si>
  <si>
    <t>300665, 300682,300155, 300031</t>
  </si>
  <si>
    <t xml:space="preserve">300665, 300682,300155, 300031,300295,300476,300505	</t>
  </si>
  <si>
    <t>300665, 300682,300514,300505,300155</t>
  </si>
  <si>
    <t xml:space="preserve">	300682, 	300665, 	300155, 	300033</t>
  </si>
  <si>
    <t xml:space="preserve">	300155, 300512, 	300452, 	300033</t>
  </si>
  <si>
    <t xml:space="preserve">	300155, 	300031</t>
  </si>
  <si>
    <t>3,9,30,31,203,579</t>
  </si>
  <si>
    <t>300155, 	300476, 300509</t>
  </si>
  <si>
    <t xml:space="preserve">	300155, 300031</t>
  </si>
  <si>
    <t>3,9,30,579,33,203,31</t>
  </si>
  <si>
    <t xml:space="preserve">	300429, 300155</t>
  </si>
  <si>
    <t xml:space="preserve">	300155,	300031</t>
  </si>
  <si>
    <t xml:space="preserve">	300514,300505,	300476,300155</t>
  </si>
  <si>
    <t xml:space="preserve">	300031,	300155,	300452,300033</t>
  </si>
  <si>
    <t>9,20,26,30,597,46,203,579,44</t>
  </si>
  <si>
    <t xml:space="preserve">	300016,300506,	300061,	300030,	300055, 	300066</t>
  </si>
  <si>
    <t>8,9,30,218,2024,26,44,46,79,203,579,597</t>
  </si>
  <si>
    <t>300477,300066,	300030,	300055</t>
  </si>
  <si>
    <t>9,30,46,203,579,44</t>
  </si>
  <si>
    <t xml:space="preserve">	300506,	300483,
300066,	300055</t>
  </si>
  <si>
    <t>9,20,26,30,579,46,72,203,597,44</t>
  </si>
  <si>
    <t>300506,	300510,	300481,300030,	300055,300066</t>
  </si>
  <si>
    <t>8,597,20,24,26,27,30,9,46,61,79,203,218,579,44</t>
  </si>
  <si>
    <t xml:space="preserve">	300506,	300481,	300030,300051,	300061,	300055,300066</t>
  </si>
  <si>
    <t>8,9,79,20,24,26,30,218,44,46,61,203,579,597</t>
  </si>
  <si>
    <t>8,9,20,24,218,26,30,203,79,46,61,44,579,597</t>
  </si>
  <si>
    <t xml:space="preserve">
300506,300477,	300066,300030,	300055</t>
  </si>
  <si>
    <t>9,20,26,30,579,46,203,44,597</t>
  </si>
  <si>
    <t>300487,	300061,	300030,	300055,	300066</t>
  </si>
  <si>
    <t>189, 203, 196, 716, 715, 574, 717, 718</t>
  </si>
  <si>
    <t xml:space="preserve">	300506, 300067, 	300024, 	300153, 	300483, 	300055,	300066</t>
  </si>
  <si>
    <t xml:space="preserve">	300440,	300056, 	300441</t>
  </si>
  <si>
    <t xml:space="preserve">	300155, 300475</t>
  </si>
  <si>
    <t xml:space="preserve">	300155</t>
  </si>
  <si>
    <t>300155, 	300031</t>
  </si>
  <si>
    <t xml:space="preserve">	300490, 	300476, 	300155</t>
  </si>
  <si>
    <t xml:space="preserve">	300476, 300155, 300490</t>
  </si>
  <si>
    <t xml:space="preserve">	300031, 300155</t>
  </si>
  <si>
    <t xml:space="preserve">	300475, 	300155</t>
  </si>
  <si>
    <t xml:space="preserve">	300682, 	300056</t>
  </si>
  <si>
    <t>300031, 300155</t>
  </si>
  <si>
    <t xml:space="preserve">	300524, 	300440,	300505, 	300478, 	300441, 	300155</t>
  </si>
  <si>
    <t xml:space="preserve">	300514, 	300476, 300155</t>
  </si>
  <si>
    <t xml:space="preserve">	300514, 	300476, 300155, 300031</t>
  </si>
  <si>
    <t xml:space="preserve">	300155, 300452, 	300033, 300475</t>
  </si>
  <si>
    <t xml:space="preserve">	300155, 	300031, 	300452, 	300033</t>
  </si>
  <si>
    <t xml:space="preserve">	735, 738</t>
  </si>
  <si>
    <t xml:space="preserve">	300033, 300452, 	300514, 	300476, 	300155</t>
  </si>
  <si>
    <t xml:space="preserve">	300033, 300452, 	300155, 300031</t>
  </si>
  <si>
    <t>300665, 300033, 300452, 300031, 300155</t>
  </si>
  <si>
    <t>3, 9, 579, 31,30</t>
  </si>
  <si>
    <t xml:space="preserve">	300155, 	300476, 300505</t>
  </si>
  <si>
    <t>735, 	738</t>
  </si>
  <si>
    <t xml:space="preserve">	300514, 	300505, 	300476, 	300155</t>
  </si>
  <si>
    <t>300155, 300031</t>
  </si>
  <si>
    <t>8,9, 30, 218, 203, 79, 20, 24,26, 61, 579, 597, 46, 44</t>
  </si>
  <si>
    <t xml:space="preserve">	300506, 	300477, 	300066, 	300153, 300030, 300055</t>
  </si>
  <si>
    <t xml:space="preserve">	611</t>
  </si>
  <si>
    <t xml:space="preserve">	300505, 	300295, 	300155</t>
  </si>
  <si>
    <t xml:space="preserve">300031, 300155 </t>
  </si>
  <si>
    <t xml:space="preserve">	300505, 	300476, 	300155</t>
  </si>
  <si>
    <t xml:space="preserve">	1112, 	880</t>
  </si>
  <si>
    <t xml:space="preserve">
300155, 300031</t>
  </si>
  <si>
    <t>CANCELADO POR CESE TOTAL DE OPERACIONES</t>
  </si>
  <si>
    <t xml:space="preserve">	612, 	605</t>
  </si>
  <si>
    <t>3, 9, 30, 33, 203, 579</t>
  </si>
  <si>
    <t xml:space="preserve">	300155, 
300031, 	300317, 	300484</t>
  </si>
  <si>
    <t xml:space="preserve">	679</t>
  </si>
  <si>
    <t xml:space="preserve">	300031,  300155</t>
  </si>
  <si>
    <t xml:space="preserve">	300050, 	300155</t>
  </si>
  <si>
    <t xml:space="preserve">	332</t>
  </si>
  <si>
    <t xml:space="preserve">	2223</t>
  </si>
  <si>
    <t>no existe</t>
  </si>
  <si>
    <t xml:space="preserve">	300155, 	300317</t>
  </si>
  <si>
    <t xml:space="preserve">	735</t>
  </si>
  <si>
    <t xml:space="preserve">	300514, 300476, 300155</t>
  </si>
  <si>
    <t xml:space="preserve">	622</t>
  </si>
  <si>
    <t>300524, 300440, 	300476, 	300155</t>
  </si>
  <si>
    <t xml:space="preserve">	300155, 	300475</t>
  </si>
  <si>
    <t xml:space="preserve">
399</t>
  </si>
  <si>
    <t xml:space="preserve">	300440, 	300441, 	300155</t>
  </si>
  <si>
    <t xml:space="preserve">	300440, 	300524, 	300476, 300441, 300155
300429, </t>
  </si>
  <si>
    <t xml:space="preserve">	29</t>
  </si>
  <si>
    <t xml:space="preserve">	618</t>
  </si>
  <si>
    <t xml:space="preserve">
300031, 	300155</t>
  </si>
  <si>
    <t xml:space="preserve">	907</t>
  </si>
  <si>
    <t xml:space="preserve">	946</t>
  </si>
  <si>
    <t xml:space="preserve">	300440, 	300155, 	300441</t>
  </si>
  <si>
    <t xml:space="preserve">	300155, 	300441</t>
  </si>
  <si>
    <t xml:space="preserve">	3</t>
  </si>
  <si>
    <t xml:space="preserve">	300155, 		300031</t>
  </si>
  <si>
    <t xml:space="preserve">	300031, 	300155</t>
  </si>
  <si>
    <t>300031, 	300155</t>
  </si>
  <si>
    <t xml:space="preserve">	510</t>
  </si>
  <si>
    <t>CEPN4403278H1</t>
  </si>
  <si>
    <t>COGZ9009256C0</t>
  </si>
  <si>
    <t>MOGN781102V66</t>
  </si>
  <si>
    <t>ZUGA500721BJA</t>
  </si>
  <si>
    <t>CEGJ801110GE2</t>
  </si>
  <si>
    <t>ROVC631203RD9</t>
  </si>
  <si>
    <t>300031, 300155, 	300665, 	300682</t>
  </si>
  <si>
    <t xml:space="preserve">	131</t>
  </si>
  <si>
    <t xml:space="preserve">	923</t>
  </si>
  <si>
    <t xml:space="preserve">
923</t>
  </si>
  <si>
    <t xml:space="preserve">	ACTIVO</t>
  </si>
  <si>
    <t xml:space="preserve">	738, 	735</t>
  </si>
  <si>
    <t>300155, 	300505, 	300514, 	300665, 	300682</t>
  </si>
  <si>
    <t xml:space="preserve">	122</t>
  </si>
  <si>
    <t>Tabla</t>
  </si>
  <si>
    <t>Tabla Cancelados,  17HBis</t>
  </si>
  <si>
    <t>Lista</t>
  </si>
  <si>
    <t>1. CECR840904UI6</t>
  </si>
  <si>
    <t>2. LISM8007175X7</t>
  </si>
  <si>
    <t>Restringidos por el 17 H Bis</t>
  </si>
  <si>
    <t>1. LISL770624GFA</t>
  </si>
  <si>
    <t>2. SIPJ7701252K6</t>
  </si>
  <si>
    <t>Bloqueados por el 17 H</t>
  </si>
  <si>
    <t>1. OISM840515T37</t>
  </si>
  <si>
    <t>2. OIAF881228HJ2</t>
  </si>
  <si>
    <t>EFOS definitivos</t>
  </si>
  <si>
    <t xml:space="preserve">1. AAO0906029N5 – Moral </t>
  </si>
  <si>
    <t>2. ECH130516B29 - Moral</t>
  </si>
  <si>
    <t>Listado de contribuyentes excluidos</t>
  </si>
  <si>
    <t>RE: MATRIZ RFC PRUEBAS WSSP</t>
  </si>
  <si>
    <t>Buen día Benjamin,</t>
  </si>
  <si>
    <t>Referente al proyecto de Sector Primario. Solicitamos de tu apoyo para dar de alta los siguientes RFC en las tablas correspondientes: Bloqueados, Cancelados y Excluidos.</t>
  </si>
  <si>
    <r>
      <t xml:space="preserve">RFC para solicitar en la tabla </t>
    </r>
    <r>
      <rPr>
        <b/>
        <sz val="11"/>
        <color theme="1"/>
        <rFont val="Aptos"/>
        <family val="2"/>
      </rPr>
      <t>BLOQUEADOS</t>
    </r>
  </si>
  <si>
    <r>
      <t xml:space="preserve">RFC para solicitar en la tabla </t>
    </r>
    <r>
      <rPr>
        <b/>
        <sz val="11"/>
        <color theme="1"/>
        <rFont val="Aptos"/>
        <family val="2"/>
      </rPr>
      <t>CANCELADOS</t>
    </r>
  </si>
  <si>
    <t>MANL540622PA2       </t>
  </si>
  <si>
    <r>
      <t>LISM8007175X7</t>
    </r>
    <r>
      <rPr>
        <sz val="11"/>
        <color theme="1"/>
        <rFont val="Aptos"/>
        <family val="2"/>
      </rPr>
      <t> </t>
    </r>
  </si>
  <si>
    <r>
      <t xml:space="preserve">RFC para solicitar en la tabla </t>
    </r>
    <r>
      <rPr>
        <b/>
        <sz val="11"/>
        <color theme="1"/>
        <rFont val="Aptos"/>
        <family val="2"/>
      </rPr>
      <t>EXCLUIDOS</t>
    </r>
  </si>
  <si>
    <t>AAO0906029N5  </t>
  </si>
  <si>
    <t>ECH130516B29  </t>
  </si>
  <si>
    <t>Agradecería que me confirmes una vez que hayan sido dados de alta.</t>
  </si>
  <si>
    <t>Nota: Actualmente estamos realizando pruebas en el siguiente ambiente:</t>
  </si>
  <si>
    <t xml:space="preserve">	871, 70</t>
  </si>
  <si>
    <t>834, 157</t>
  </si>
  <si>
    <t>907, 1132</t>
  </si>
  <si>
    <t xml:space="preserve">
1112, 632</t>
  </si>
  <si>
    <t>RN</t>
  </si>
  <si>
    <t>TO</t>
  </si>
  <si>
    <t>Emisor</t>
  </si>
  <si>
    <t>Receptor</t>
  </si>
  <si>
    <t>Resultado esperado</t>
  </si>
  <si>
    <t>Request</t>
  </si>
  <si>
    <t>RNA04 Tabla cancelados</t>
  </si>
  <si>
    <t>Rechazado</t>
  </si>
  <si>
    <t>Correcto</t>
  </si>
  <si>
    <t>https://www.uat.cloudb.sat.gob.mx/pcsectorprimario/</t>
  </si>
  <si>
    <t>RFC Masivo        </t>
  </si>
  <si>
    <t>UAT</t>
  </si>
  <si>
    <t>MAT</t>
  </si>
  <si>
    <t>RNA012 Tipo Operación 06</t>
  </si>
  <si>
    <t>RNA10 Tipo de operación 04</t>
  </si>
  <si>
    <t>RNA013 Tipo de Operación 07</t>
  </si>
  <si>
    <t>RNA07 Tipo Operación 01</t>
  </si>
  <si>
    <t>Aprobada</t>
  </si>
  <si>
    <t>Actividad</t>
  </si>
  <si>
    <t>Obligaciones</t>
  </si>
  <si>
    <t>RNA08 Tipo Operación 02</t>
  </si>
  <si>
    <t>RNA09 Tipo Operación 03</t>
  </si>
  <si>
    <t>RNA11 Tipo Operación 05</t>
  </si>
  <si>
    <t>RNA014 Tipo de Operación 08</t>
  </si>
  <si>
    <t>RNA015 Tipo de Operación 09</t>
  </si>
  <si>
    <t>RNA016 Tipo Operación 10</t>
  </si>
  <si>
    <t>RNA04 Tabla Bloqueados</t>
  </si>
  <si>
    <t>R</t>
  </si>
  <si>
    <t>Roles</t>
  </si>
  <si>
    <t>RNA04 Roles</t>
  </si>
  <si>
    <t>RNA06 Tabla Excluidos</t>
  </si>
  <si>
    <t>RNA04 Reactivado en MAT</t>
  </si>
  <si>
    <t>RNA04 Cancelado Por Liquidación Total Del Activo</t>
  </si>
  <si>
    <t>RFC No está en MAT – RFC Ampliado</t>
  </si>
  <si>
    <t>RNA04 SUSPENDIDO</t>
  </si>
  <si>
    <t>Rechazada</t>
  </si>
  <si>
    <r>
      <t xml:space="preserve">605, </t>
    </r>
    <r>
      <rPr>
        <b/>
        <sz val="8"/>
        <rFont val="Aptos Narrow"/>
        <family val="2"/>
        <scheme val="minor"/>
      </rPr>
      <t>611</t>
    </r>
  </si>
  <si>
    <t>Error El RFC Emisor no se encuentra registrado</t>
  </si>
  <si>
    <r>
      <t>Error</t>
    </r>
    <r>
      <rPr>
        <sz val="9"/>
        <color rgb="FF8A6D3B"/>
        <rFont val="Noto Sans"/>
        <family val="2"/>
      </rPr>
      <t> El RFC Receptor no se encuentra registrado</t>
    </r>
  </si>
  <si>
    <t>Abrobado</t>
  </si>
  <si>
    <t>Resultado</t>
  </si>
  <si>
    <t>{
    "rfcEmisor": "GOAC830909HD0" ,
    "rfcReceptor": "AUAR6704193R1",
    "rfcPrestador":"SPR190613I52",
    "tipoOperacion": "1",
    "fechaHoraPeticion": "17/09/2025 12:47:56",
    "certReceptor": "hshdgssdjh",
    "selloReceptor": "JhuKKHVEugf4qkRmjgLutHdv5KQ=",
    "numeroSerieReceptor": "30001000000500003397",
    "certPrestador": "MIIFgjCCA2qgAwIBAgIUMzAwMDEwMDAwMDA0MDAwMDUzMDIwDQYJKoZIhvcNAQELBQAwggErMQ8wDQYDVQQDDAZBQyBVQVQxLjAsBgNVBAoMJVNFUlZJQ0lPIERFIEFETUlOSVNUUkFDSU9OIFRSSUJVVEFSSUExGjAYBgNVBAsMEVNBVC1JRVMgXV0aG9yaXR5MSgwJgYJKoZIhvcNAQkBFhlvc2Nhci5tYXJ0aW5lekBzYXQuZ29iLm14MR0wGwYDVQQJDBQzcmEgY2VycmFkYSBkZSBjYWRpejEOMAwGA1UEEQwFMDYzNzAxCzAJBgNVBAYTAk1YMRkwFwYDVQQIDBBDSVVEQUQgREUgTUVYSUNPMREwDwYDVQQHDAhDT1lPQUNBTjERMA8GA1UELRMIMi41LjQuNDUxJTAjBgkqhkiG9w0BCQITFnJlc3BvbnNhYmxlOiBBQ0RNQS1TQVQwHhcNMjAwMzA2MDEwMjU3WhcNMjQwMzA2MDEwMjU3WjCBqTEcMBoGA1UEAxMTSEVDVE9SIFNFUlJBTk8gTEVPTjEcMBoGA1UEKRMTSEVDVE9SIFNFUlJBTk8gTEVPTjEcMBoGA1UEChMTSEVDVE9SIFNFUlJBTk8gTEVPTjEWMBQGA1UELRMNQUFBQTU1MDQyMEk1NjEbMBkGA1UEBRMSQUFBQTU1MDQyMEhDTExHTDAzMRgwFgYDVQQLEw9TZWN0b3IgcHJpbWFyaW8wggEiMA0GCSqGSIb3DQEBAQUAA4IBDwAwggEKAoIBAQCxfD7hhRoJvPhKI6L2sgR5l3Elc5N4CtXmjgyOkmU/KBA6AWhHcz1oFqzQPABb7CYjCubMGUaLI73nf5wJlekCfc2tVzhFbHhI2tDZ/BZPKuit8ev0yBmYlo95MPexc+hBtyVo/jIWCPzmMA+1LQLH/ALANTh+zTtcwkipxmO6NwcWJItP10I5Jpwy3XyftdXYxVui+nr5QzsuvldSnuEeqFRNd0f4jNRVwD/GP6nl+IBKrvhNyfRCHAftswlR6bAh8qxc3T/c6CH3kXOhuOitpvbpzQXyFlr8bW5EIebVp9y77TTJnzFFtRZ0Q5dCaOOWxlVoBOrr3trmz5vHacnjAgMBAAGjHTAbMAwGA1UdEwEB/wQCMAAwCwYDVR0PBAQDAgbAMA0GCSqGSIb3DQEBCwUAA4ICAQAQaIA+BfYKHX1lUz4Y6AnrlqccVtmZOXmAa+6tVoj2ilmi+4vE1C1CLtUhY0R5cBq0RIi+tg88OfE2Q+g4zIEPu3NETrwH2FxpiMbEejaqAbiUDgBFZQWwcZ39pQwU4m5Foe4+bELdp3D+QkYlDUN/aNHDdF2PWp3JAoQdyDLrh4RnZ6U70GYH1N6bY0UJCpaZhAPKxKHQ6j73SGLMuP4voYzlPKiLWrO7x0JQUn+Yj1+ODUeyF9MfGN7ebl430n2CWdTktA2KE5DiWXTwGm3otEYrvjvWDloq+EkIrujAjXOeFD/gmvV2YfKhjdy88RyqH2OXa1z0R8RJfzrp9RIsrm4vHHn2Hx3SWSOwxJHuWIbk88y7ln738Ev8hi/sev3YoqOPADTb62182W9eM/AxDzae1AdXqt2CyPAJjInp/9LlJS3oZvuDpFWb55ot7fE80UAHxgfxJPsbItS09hM4Hm67CQzOBr6e3sb/vhpSAwgFV90Q+vI4vWnJUSui2+naygbUZY1mGHiZKamj3defFliXFendQqaMLv2EUILjZn9c49XFBmVSMZJ/jUqeeJKgfrCGYjBVE+DCUfDZIqdoE2END9rZfe9tG5qfcr7Hru0YdU9/TGInIuA4g9mBCAgaSeEbEZSzNaYd/tCj5TPvpSjeF56Ta+sv9T4GVN54hg==",
    "selloPrestador": "JhuKKHVEugf4qkRmjgLutHdv5KQ=",
    "numeroSeriePrestador": "30001000000500003144"
}</t>
  </si>
  <si>
    <t>{
   "messageError": null,
   "resultadoValidacion": "OperaciÃ³n rechazada",
   "rfcEmisor": "GOAC830909HD0 - No puede aplicar la facilidad de facturaciÃ³n a travÃ©s del adquirente.",
   "rfcReceptor": "AUAR6704193R1 ",
   "tipoOperacion": "1",
   "descripcionTipoOperacion": null,
   "numeroAprobacion": "114",
   "fechaConsulta": "2025-09-17 12:49:04",
   "firmaDigiyal": "||OperaciÃ³n rechazada|GOAC830909HD0 - No puede aplicar la facilidad de facturaciÃ³n a travÃ©s del adquirente.|AUAR6704193R1 |1|114|2025-09-17 12:49:04|",
   "estatus": "OperaciÃ³n rechazada",
   "numCertificado": null,
   "acuseBase64": null,
   "selloDigital": "XV5cAjsSGuYQ9DDQa9rF7P4zig79PLgxPKU8xGMMhWXtGQixkZvMfCSjee3JCSjKpQRugQCaCVbYDoA4D+Pzg/dR2s8QsoEjd7ZhU3KKKt56jjiInhyag48eieYc53w18d6HdJZK6Xr8BTgd/PZlzrP9i+4aJWErK/bWoGurIqo="
}</t>
  </si>
  <si>
    <t>{
   "messageError": null,
   "resultadoValidacion": "OperaciÃ³n rechazada",
   "rfcEmisor": "OISD850709LL2 - No puede aplicar la facilidad de facturaciÃ³n a travÃ©s del adquirente.",
   "rfcReceptor": "AUAR6704193R1 ",
   "tipoOperacion": "1",
   "descripcionTipoOperacion": null,
   "numeroAprobacion": "115",
   "fechaConsulta": "2025-09-17 12:51:53",
   "firmaDigiyal": "||OperaciÃ³n rechazada|OISD850709LL2 - No puede aplicar la facilidad de facturaciÃ³n a travÃ©s del adquirente.|AUAR6704193R1 |1|115|2025-09-17 12:51:53|",
   "estatus": "OperaciÃ³n rechazada",
   "numCertificado": null,
   "acuseBase64": null,
   "selloDigital": "krMTzgGsA19ia4uffPvLhypGUDHDqmPONRAige3v8lQw48TE4cCc06xYa968BtBZDju3fbIYYqUJ3fULs4TzqH8JjiInD5jio+iau983CekhQmsKRGbPkvXPuxvw/G3ZRRRQbZ/aKsPrtKPDu2EpLaKUuCGavKBBdv2JZ7AFvz4="
}</t>
  </si>
  <si>
    <t>{
   "messageError": null,
   "resultadoValidacion": "OperaciÃ³n rechazada",
   "rfcEmisor": "COCI540620TD5 - No puede aplicar la facilidad de facturaciÃ³n a travÃ©s del adquirente.",
   "rfcReceptor": "AUAR6704193R1 ",
   "tipoOperacion": "1",
   "descripcionTipoOperacion": null,
   "numeroAprobacion": "116",
   "fechaConsulta": "2025-09-17 12:52:44",
   "firmaDigiyal": "||OperaciÃ³n rechazada|COCI540620TD5 - No puede aplicar la facilidad de facturaciÃ³n a travÃ©s del adquirente.|AUAR6704193R1 |1|116|2025-09-17 12:52:44|",
   "estatus": "OperaciÃ³n rechazada",
   "numCertificado": null,
   "acuseBase64": null,
   "selloDigital": "JHzGH9vMMCNQTSNIPfkF+shr7nxtaX2ncxVd008qyC/UwwKn/BoI8Ns0zuUY/+UWoNBDnpsibjk89qFkKKkb4PlYWmGKJ32jLTq2qyvzaZpVFk4cZZ9AURM53Dw0O5YrvmkjfPXd/NevRY3NtoImIX8Bx1uI3bQYJ41bTB+t9NE="
}</t>
  </si>
  <si>
    <t>{
   "messageError": null,
   "resultadoValidacion": "OperaciÃ³n rechazada",
   "rfcEmisor": "ROVD601216PX3 - No puede aplicar la facilidad de facturaciÃ³n a travÃ©s del adquirente.",
   "rfcReceptor": "AUAR6704193R1 ",
   "tipoOperacion": "1",
   "descripcionTipoOperacion": null,
   "numeroAprobacion": "117",
   "fechaConsulta": "2025-09-17 12:53:36",
   "firmaDigiyal": "||OperaciÃ³n rechazada|ROVD601216PX3 - No puede aplicar la facilidad de facturaciÃ³n a travÃ©s del adquirente.|AUAR6704193R1 |1|117|2025-09-17 12:53:36|",
   "estatus": "OperaciÃ³n rechazada",
   "numCertificado": null,
   "acuseBase64": null,
   "selloDigital": "C1V1U+sLLt9F4vClEG0+v/SpUUMod/a5QtzSLDuj8pS2I6CIkisU+czeZEHc+BbRbtMCWqXLzldERwTlsd81dgKs+9BxlYfQA73WOJBmx/zmwplJ5TS3LL6ehW9PSnlkB74OkIAYvOC5/J6QPZjEyLYfzM7i2AVxY3OglKJv43Q="
}</t>
  </si>
  <si>
    <t>{
   "messageError": null,
   "resultadoValidacion": "OperaciÃ³n aprobada",
   "rfcEmisor": "MAMJ880630UA6 - Habilitado para facturar (4)",
   "rfcReceptor": "AUAR6704193R1",
   "tipoOperacion": "1",
   "descripcionTipoOperacion": null,
   "numeroAprobacion": "118",
   "fechaConsulta": "2025-09-17 12:54:26",
   "firmaDigiyal": "||OperaciÃ³n aprobada|MAMJ880630UA6|4|AUAR6704193R1|1|118|2025-09-17 12:54:26|",
   "estatus": "OperaciÃ³n aprobada",
   "numCertificado": null,
   "acuseBase64": null,
   "selloDigital": "CgAJAGS/CrwXYdnCRYvj3+5yIMbJwMhVylPgDbINiJRVfwQXpWz6Yqgz+V8WPXJxCLL3jGYLH8+YhoftvakSlxYeWOLFhdSRXKgnzX4D0SCEqn5iqQ9RE9X3pA5ALGN0JCLKLYGxxBGigqk9JSbK8F2pLVEBEvatMj+L0P33F+U="
}</t>
  </si>
  <si>
    <t>{
   "messageError": null,
   "resultadoValidacion": "OperaciÃ³n aprobada",
   "rfcEmisor": "COCC701105BX8 - Habilitado para facturar (3)",
   "rfcReceptor": "AUAR6704193R1",
   "tipoOperacion": "1",
   "descripcionTipoOperacion": null,
   "numeroAprobacion": "119",
   "fechaConsulta": "2025-09-17 12:57:09",
   "firmaDigiyal": "||OperaciÃ³n aprobada|COCC701105BX8|3|AUAR6704193R1|1|119|2025-09-17 12:57:09|",
   "estatus": "OperaciÃ³n aprobada",
   "numCertificado": null,
   "acuseBase64": null,
   "selloDigital": "kGQHn6dHdqGIMWwdrZczi7VKU1UVrrOT4dRqgSDTJ0aGYZEsfoJVYFb5FRUerp4Nu5nSelt0nFM5i7GRxUo9dNprMdp/0Zs20/nv3eUP/jn6LSCc8tMDaKuz5D8nmUg1pFYAA/3RjmmMBKM1Ioi5VSXCgyd/7Sq3DbCRnDd6ebw="
}</t>
  </si>
  <si>
    <t>{
   "messageError": null,
   "resultadoValidacion": "OperaciÃ³n aprobada",
   "rfcEmisor": "SAGF730206ICA - Habilitado para facturar (4)",
   "rfcReceptor": "AUAR6704193R1",
   "tipoOperacion": "2",
   "descripcionTipoOperacion": null,
   "numeroAprobacion": "121",
   "fechaConsulta": "2025-09-17 12:58:09",
   "firmaDigiyal": "||OperaciÃ³n aprobada|SAGF730206ICA|4|AUAR6704193R1|2|121|2025-09-17 12:58:09|",
   "estatus": "OperaciÃ³n aprobada",
   "numCertificado": null,
   "acuseBase64": null,
   "selloDigital": "g0pX1Qv9wsZUbtVGbiEDQKI5atoMCXt3YjqOvFg1cSS7aTGFILaj0irTVyX2ySo9JytUyp4myNRNifRLGYQ4KtmGUlBS6FqJ3RrAy4s5fky7wXNyNSbqZO8UJ4eVCBJwPsFY1Tvh2y0BE4eWLup5caR8viI3O46aQGvy7IZ1/1k="
}</t>
  </si>
  <si>
    <t>{
    "rfcEmisor": "SAGF730206ICA" ,
    "rfcReceptor": "AUAR6704193R1",
    "rfcPrestador":"SPR190613I52",
    "tipoOperacion": "2",
    "fechaHoraPeticion": "17/09/2025 12:47:56",
    "certReceptor": "hshdgssdjh",
    "selloReceptor": "JhuKKHVEugf4qkRmjgLutHdv5KQ=",
    "numeroSerieReceptor": "30001000000500003397",
    "certPrestador": "MIIFgjCCA2qgAwIBAgIUMzAwMDEwMDAwMDA0MDAwMDUzMDIwDQYJKoZIhvcNAQELBQAwggErMQ8wDQYDVQQDDAZBQyBVQVQxLjAsBgNVBAoMJVNFUlZJQ0lPIERFIEFETUlOSVNUUkFDSU9OIFRSSUJVVEFSSUExGjAYBgNVBAsMEVNBVC1JRVMgXV0aG9yaXR5MSgwJgYJKoZIhvcNAQkBFhlvc2Nhci5tYXJ0aW5lekBzYXQuZ29iLm14MR0wGwYDVQQJDBQzcmEgY2VycmFkYSBkZSBjYWRpejEOMAwGA1UEEQwFMDYzNzAxCzAJBgNVBAYTAk1YMRkwFwYDVQQIDBBDSVVEQUQgREUgTUVYSUNPMREwDwYDVQQHDAhDT1lPQUNBTjERMA8GA1UELRMIMi41LjQuNDUxJTAjBgkqhkiG9w0BCQITFnJlc3BvbnNhYmxlOiBBQ0RNQS1TQVQwHhcNMjAwMzA2MDEwMjU3WhcNMjQwMzA2MDEwMjU3WjCBqTEcMBoGA1UEAxMTSEVDVE9SIFNFUlJBTk8gTEVPTjEcMBoGA1UEKRMTSEVDVE9SIFNFUlJBTk8gTEVPTjEcMBoGA1UEChMTSEVDVE9SIFNFUlJBTk8gTEVPTjEWMBQGA1UELRMNQUFBQTU1MDQyMEk1NjEbMBkGA1UEBRMSQUFBQTU1MDQyMEhDTExHTDAzMRgwFgYDVQQLEw9TZWN0b3IgcHJpbWFyaW8wggEiMA0GCSqGSIb3DQEBAQUAA4IBDwAwggEKAoIBAQCxfD7hhRoJvPhKI6L2sgR5l3Elc5N4CtXmjgyOkmU/KBA6AWhHcz1oFqzQPABb7CYjCubMGUaLI73nf5wJlekCfc2tVzhFbHhI2tDZ/BZPKuit8ev0yBmYlo95MPexc+hBtyVo/jIWCPzmMA+1LQLH/ALANTh+zTtcwkipxmO6NwcWJItP10I5Jpwy3XyftdXYxVui+nr5QzsuvldSnuEeqFRNd0f4jNRVwD/GP6nl+IBKrvhNyfRCHAftswlR6bAh8qxc3T/c6CH3kXOhuOitpvbpzQXyFlr8bW5EIebVp9y77TTJnzFFtRZ0Q5dCaOOWxlVoBOrr3trmz5vHacnjAgMBAAGjHTAbMAwGA1UdEwEB/wQCMAAwCwYDVR0PBAQDAgbAMA0GCSqGSIb3DQEBCwUAA4ICAQAQaIA+BfYKHX1lUz4Y6AnrlqccVtmZOXmAa+6tVoj2ilmi+4vE1C1CLtUhY0R5cBq0RIi+tg88OfE2Q+g4zIEPu3NETrwH2FxpiMbEejaqAbiUDgBFZQWwcZ39pQwU4m5Foe4+bELdp3D+QkYlDUN/aNHDdF2PWp3JAoQdyDLrh4RnZ6U70GYH1N6bY0UJCpaZhAPKxKHQ6j73SGLMuP4voYzlPKiLWrO7x0JQUn+Yj1+ODUeyF9MfGN7ebl430n2CWdTktA2KE5DiWXTwGm3otEYrvjvWDloq+EkIrujAjXOeFD/gmvV2YfKhjdy88RyqH2OXa1z0R8RJfzrp9RIsrm4vHHn2Hx3SWSOwxJHuWIbk88y7ln738Ev8hi/sev3YoqOPADTb62182W9eM/AxDzae1AdXqt2CyPAJjInp/9LlJS3oZvuDpFWb55ot7fE80UAHxgfxJPsbItS09hM4Hm67CQzOBr6e3sb/vhpSAwgFV90Q+vI4vWnJUSui2+naygbUZY1mGHiZKamj3defFliXFendQqaMLv2EUILjZn9c49XFBmVSMZJ/jUqeeJKgfrCGYjBVE+DCUfDZIqdoE2END9rZfe9tG5qfcr7Hru0YdU9/TGInIuA4g9mBCAgaSeEbEZSzNaYd/tCj5TPvpSjeF56Ta+sv9T4GVN54hg==",
    "selloPrestador": "JhuKKHVEugf4qkRmjgLutHdv5KQ=",
    "numeroSeriePrestador": "30001000000500003144"
}</t>
  </si>
  <si>
    <t>{
   "messageError": null,
   "resultadoValidacion": "OperaciÃ³n rechazada",
   "rfcEmisor": "EICL840608GQ9 - No puede aplicar la facilidad de facturaciÃ³n a travÃ©s del adquirente.",
   "rfcReceptor": "AUAR6704193R1 ",
   "tipoOperacion": "2",
   "descripcionTipoOperacion": null,
   "numeroAprobacion": "122",
   "fechaConsulta": "2025-09-17 13:06:51",
   "firmaDigiyal": "||OperaciÃ³n rechazada|EICL840608GQ9 - No puede aplicar la facilidad de facturaciÃ³n a travÃ©s del adquirente.|AUAR6704193R1 |2|122|2025-09-17 13:06:51|",
   "estatus": "OperaciÃ³n rechazada",
   "numCertificado": null,
   "acuseBase64": null,
   "selloDigital": "pcABFq+Kf0sKIs2mLKYreE0uRAPHoHH/F7DMVFmSSB4UN9zTq8uSU1gSFY8i/bAHunq/xORBv9de7TVljWFOErF282MzXWMJnio8bUVUnqU7X5N8+lTQsuT20T7Foj57H42XzbzD9n0lBtXbRBHG+wm3mx+mNnXuC5G0kOwS+B8="
}</t>
  </si>
  <si>
    <t>{
   "messageError": null,
   "resultadoValidacion": "OperaciÃ³n aprobada",
   "rfcEmisor": "SISJ840426V55 - Habilitado para facturar (1)",
   "rfcReceptor": "AUAR6704193R1",
   "tipoOperacion": "2",
   "descripcionTipoOperacion": null,
   "numeroAprobacion": "123",
   "fechaConsulta": "2025-09-17 13:09:31",
   "firmaDigiyal": "||OperaciÃ³n aprobada|SISJ840426V55|1|AUAR6704193R1|2|123|2025-09-17 13:09:31|",
   "estatus": "OperaciÃ³n aprobada",
   "numCertificado": null,
   "acuseBase64": null,
   "selloDigital": "J7KeYiizxtSDi2ASU5QU9WPiSIJqeCISavshBEZEsPXFc73Rmmc/Sn2/URTsDdeto9NN+uPzys+h8HKb6oZo/qrT3KTET+9zJHhfM1ecUtpUToPXuukC9cLKLDUhwQcJkrhGzGNIcUCa3wEEXfaiMhxJrUognLkvXnWWLlq+vjg="
}</t>
  </si>
  <si>
    <t>{
   "messageError": null,
   "resultadoValidacion": "OperaciÃ³n aprobada",
   "rfcEmisor": "ROVD601216PX3 - Habilitado para facturar (1)",
   "rfcReceptor": "AUAR6704193R1",
   "tipoOperacion": "2",
   "descripcionTipoOperacion": null,
   "numeroAprobacion": "124",
   "fechaConsulta": "2025-09-17 13:10:06",
   "firmaDigiyal": "||OperaciÃ³n aprobada|ROVD601216PX3|1|AUAR6704193R1|2|124|2025-09-17 13:10:06|",
   "estatus": "OperaciÃ³n aprobada",
   "numCertificado": null,
   "acuseBase64": null,
   "selloDigital": "U14BArZVGtsa+MBfUEgoV5cOgV6QUWAQ+MZTeSyn97C6ZOFQ3li9002Y3TrMBudLd1FzIck2pa1UGPfblcTUyizwKbooidSG+KU/wkXcxsvfIoizwPnC+/bnH7VQUGStIQmwwDeEsN/HezuBRPjWtg8e57hmRxgDjZvQg4xHs9Q="
}</t>
  </si>
  <si>
    <t>{
    "rfcEmisor": "MODF831005239" ,
    "rfcReceptor": "AUAR6704193R1",
    "rfcPrestador":"SPR190613I52",
    "tipoOperacion": "3",
    "fechaHoraPeticion": "17/09/2025 12:47:56",
    "certReceptor": "hshdgssdjh",
    "selloReceptor": "JhuKKHVEugf4qkRmjgLutHdv5KQ=",
    "numeroSerieReceptor": "30001000000500003397",
    "certPrestador": "MIIFgjCCA2qgAwIBAgIUMzAwMDEwMDAwMDA0MDAwMDUzMDIwDQYJKoZIhvcNAQELBQAwggErMQ8wDQYDVQQDDAZBQyBVQVQxLjAsBgNVBAoMJVNFUlZJQ0lPIERFIEFETUlOSVNUUkFDSU9OIFRSSUJVVEFSSUExGjAYBgNVBAsMEVNBVC1JRVMgXV0aG9yaXR5MSgwJgYJKoZIhvcNAQkBFhlvc2Nhci5tYXJ0aW5lekBzYXQuZ29iLm14MR0wGwYDVQQJDBQzcmEgY2VycmFkYSBkZSBjYWRpejEOMAwGA1UEEQwFMDYzNzAxCzAJBgNVBAYTAk1YMRkwFwYDVQQIDBBDSVVEQUQgREUgTUVYSUNPMREwDwYDVQQHDAhDT1lPQUNBTjERMA8GA1UELRMIMi41LjQuNDUxJTAjBgkqhkiG9w0BCQITFnJlc3BvbnNhYmxlOiBBQ0RNQS1TQVQwHhcNMjAwMzA2MDEwMjU3WhcNMjQwMzA2MDEwMjU3WjCBqTEcMBoGA1UEAxMTSEVDVE9SIFNFUlJBTk8gTEVPTjEcMBoGA1UEKRMTSEVDVE9SIFNFUlJBTk8gTEVPTjEcMBoGA1UEChMTSEVDVE9SIFNFUlJBTk8gTEVPTjEWMBQGA1UELRMNQUFBQTU1MDQyMEk1NjEbMBkGA1UEBRMSQUFBQTU1MDQyMEhDTExHTDAzMRgwFgYDVQQLEw9TZWN0b3IgcHJpbWFyaW8wggEiMA0GCSqGSIb3DQEBAQUAA4IBDwAwggEKAoIBAQCxfD7hhRoJvPhKI6L2sgR5l3Elc5N4CtXmjgyOkmU/KBA6AWhHcz1oFqzQPABb7CYjCubMGUaLI73nf5wJlekCfc2tVzhFbHhI2tDZ/BZPKuit8ev0yBmYlo95MPexc+hBtyVo/jIWCPzmMA+1LQLH/ALANTh+zTtcwkipxmO6NwcWJItP10I5Jpwy3XyftdXYxVui+nr5QzsuvldSnuEeqFRNd0f4jNRVwD/GP6nl+IBKrvhNyfRCHAftswlR6bAh8qxc3T/c6CH3kXOhuOitpvbpzQXyFlr8bW5EIebVp9y77TTJnzFFtRZ0Q5dCaOOWxlVoBOrr3trmz5vHacnjAgMBAAGjHTAbMAwGA1UdEwEB/wQCMAAwCwYDVR0PBAQDAgbAMA0GCSqGSIb3DQEBCwUAA4ICAQAQaIA+BfYKHX1lUz4Y6AnrlqccVtmZOXmAa+6tVoj2ilmi+4vE1C1CLtUhY0R5cBq0RIi+tg88OfE2Q+g4zIEPu3NETrwH2FxpiMbEejaqAbiUDgBFZQWwcZ39pQwU4m5Foe4+bELdp3D+QkYlDUN/aNHDdF2PWp3JAoQdyDLrh4RnZ6U70GYH1N6bY0UJCpaZhAPKxKHQ6j73SGLMuP4voYzlPKiLWrO7x0JQUn+Yj1+ODUeyF9MfGN7ebl430n2CWdTktA2KE5DiWXTwGm3otEYrvjvWDloq+EkIrujAjXOeFD/gmvV2YfKhjdy88RyqH2OXa1z0R8RJfzrp9RIsrm4vHHn2Hx3SWSOwxJHuWIbk88y7ln738Ev8hi/sev3YoqOPADTb62182W9eM/AxDzae1AdXqt2CyPAJjInp/9LlJS3oZvuDpFWb55ot7fE80UAHxgfxJPsbItS09hM4Hm67CQzOBr6e3sb/vhpSAwgFV90Q+vI4vWnJUSui2+naygbUZY1mGHiZKamj3defFliXFendQqaMLv2EUILjZn9c49XFBmVSMZJ/jUqeeJKgfrCGYjBVE+DCUfDZIqdoE2END9rZfe9tG5qfcr7Hru0YdU9/TGInIuA4g9mBCAgaSeEbEZSzNaYd/tCj5TPvpSjeF56Ta+sv9T4GVN54hg==",
    "selloPrestador": "JhuKKHVEugf4qkRmjgLutHdv5KQ=",
    "numeroSeriePrestador": "30001000000500003144"
}</t>
  </si>
  <si>
    <t>{
   "messageError": null,
   "resultadoValidacion": "OperaciÃ³n rechazada",
   "rfcEmisor": "MODF831005239 - No puede aplicar la facilidad de facturaciÃ³n a travÃ©s del adquirente.",
   "rfcReceptor": "AUAR6704193R1 ",
   "tipoOperacion": "3",
   "descripcionTipoOperacion": null,
   "numeroAprobacion": "125",
   "fechaConsulta": "2025-09-17 13:35:41",
   "firmaDigiyal": "||OperaciÃ³n rechazada|MODF831005239 - No puede aplicar la facilidad de facturaciÃ³n a travÃ©s del adquirente.|AUAR6704193R1 |3|125|2025-09-17 13:35:41|",
   "estatus": "OperaciÃ³n rechazada",
   "numCertificado": null,
   "acuseBase64": null,
   "selloDigital": "n2W4Zxd4QgEeqOGnrOUlz0phwMU2fN9JUL8seW5bw/tgkFKbLZX2/WGaiBNLZ67XTKp8T2iTxZzpbXuyqzNRqlp4SQG5Dxk0nav53Vba6O8Zc/GJWrT1JKPI77HWU19xWX/J3gNlb0IT4LUHjBbjkbkBCmUvZkT43kLfEP/1rzY="
}</t>
  </si>
  <si>
    <t>{
   "messageError": null,
   "resultadoValidacion": "OperaciÃ³n aprobada",
   "rfcEmisor": "EIGA450723BD7 - Habilitado para facturar (2)",
   "rfcReceptor": "AUAR6704193R1",
   "tipoOperacion": "3",
   "descripcionTipoOperacion": null,
   "numeroAprobacion": "126",
   "fechaConsulta": "2025-09-17 13:37:57",
   "firmaDigiyal": "||OperaciÃ³n aprobada|EIGA450723BD7|2|AUAR6704193R1|3|126|2025-09-17 13:37:57|",
   "estatus": "OperaciÃ³n aprobada",
   "numCertificado": null,
   "acuseBase64": null,
   "selloDigital": "LL1ehIFaLiumvr+1jIP28Usr90Ahq9pzYUslKGip/58IxfgpClxxgjAHxSSHwAYUOGNIOlD+Ae9lA5LYiSQs22SEuOgw2pW/uq9hVU1FrnrkPp2Z61Bd7wbgQDP1ojkS+vY0vxrET/bqlMUQChenvXYUBlmZZBy6tnZsuh8KUwo="
}</t>
  </si>
  <si>
    <t>{
   "messageError": null,
   "resultadoValidacion": "OperaciÃ³n aprobada",
   "rfcEmisor": "SISJ840426V55 - Habilitado para facturar (1)",
   "rfcReceptor": "AUAR6704193R1",
   "tipoOperacion": "3",
   "descripcionTipoOperacion": null,
   "numeroAprobacion": "127",
   "fechaConsulta": "2025-09-17 13:38:33",
   "firmaDigiyal": "||OperaciÃ³n aprobada|SISJ840426V55|1|AUAR6704193R1|3|127|2025-09-17 13:38:33|",
   "estatus": "OperaciÃ³n aprobada",
   "numCertificado": null,
   "acuseBase64": null,
   "selloDigital": "maJO2BnAjCIF9j3LrcGWRTCjHexwn4OzEexFLEwscq1HV7HZQ+Q4w7yJYnJdoa11rsozX42WRMEprnb2CaxafgnddiRq9zBzG6taxIGScBk4e7Nkye6H/HQxuYGB7KFIGUQDiu9reic3ts2z0tfX8C2wQ1BW4aHR5CWoGB6Ve7s="
}</t>
  </si>
  <si>
    <t>{
   "messageError": null,
   "resultadoValidacion": "OperaciÃ³n rechazada",
   "rfcEmisor": "VAVJ720212CH2 - No puede aplicar la facilidad de facturaciÃ³n a travÃ©s del adquirente.",
   "rfcReceptor": "AUAR6704193R1 ",
   "tipoOperacion": "3",
   "descripcionTipoOperacion": null,
   "numeroAprobacion": "128",
   "fechaConsulta": "2025-09-17 13:39:15",
   "firmaDigiyal": "||OperaciÃ³n rechazada|VAVJ720212CH2 - No puede aplicar la facilidad de facturaciÃ³n a travÃ©s del adquirente.|AUAR6704193R1 |3|128|2025-09-17 13:39:15|",
   "estatus": "OperaciÃ³n rechazada",
   "numCertificado": null,
   "acuseBase64": null,
   "selloDigital": "KEkb9t6SFWY+fNgPXx6DPqAQlXBhTkruAMr/g0/vdTnBZ0O5cY6GSJzchvuKh/zEe8gMFg9C1WeXJKflWFYIyUcZAbXOWgV7FMftNtYyY7+x4VjAu09CSwmtONWW9sO18JYGbAqGV7aJAtgtk0ln5SA5t0WY8YR5lEa4M1oPeZE="
}</t>
  </si>
  <si>
    <t>{
    "rfcEmisor": "GOMV640914RU9" ,
    "rfcReceptor": "AUAR6704193R1",
    "rfcPrestador":"SPR190613I52",
    "tipoOperacion": "4",
    "fechaHoraPeticion": "17/09/2025 12:47:56",
    "certReceptor": "hshdgssdjh",
    "selloReceptor": "JhuKKHVEugf4qkRmjgLutHdv5KQ=",
    "numeroSerieReceptor": "30001000000500003397",
    "certPrestador": "MIIFgjCCA2qgAwIBAgIUMzAwMDEwMDAwMDA0MDAwMDUzMDIwDQYJKoZIhvcNAQELBQAwggErMQ8wDQYDVQQDDAZBQyBVQVQxLjAsBgNVBAoMJVNFUlZJQ0lPIERFIEFETUlOSVNUUkFDSU9OIFRSSUJVVEFSSUExGjAYBgNVBAsMEVNBVC1JRVMgXV0aG9yaXR5MSgwJgYJKoZIhvcNAQkBFhlvc2Nhci5tYXJ0aW5lekBzYXQuZ29iLm14MR0wGwYDVQQJDBQzcmEgY2VycmFkYSBkZSBjYWRpejEOMAwGA1UEEQwFMDYzNzAxCzAJBgNVBAYTAk1YMRkwFwYDVQQIDBBDSVVEQUQgREUgTUVYSUNPMREwDwYDVQQHDAhDT1lPQUNBTjERMA8GA1UELRMIMi41LjQuNDUxJTAjBgkqhkiG9w0BCQITFnJlc3BvbnNhYmxlOiBBQ0RNQS1TQVQwHhcNMjAwMzA2MDEwMjU3WhcNMjQwMzA2MDEwMjU3WjCBqTEcMBoGA1UEAxMTSEVDVE9SIFNFUlJBTk8gTEVPTjEcMBoGA1UEKRMTSEVDVE9SIFNFUlJBTk8gTEVPTjEcMBoGA1UEChMTSEVDVE9SIFNFUlJBTk8gTEVPTjEWMBQGA1UELRMNQUFBQTU1MDQyMEk1NjEbMBkGA1UEBRMSQUFBQTU1MDQyMEhDTExHTDAzMRgwFgYDVQQLEw9TZWN0b3IgcHJpbWFyaW8wggEiMA0GCSqGSIb3DQEBAQUAA4IBDwAwggEKAoIBAQCxfD7hhRoJvPhKI6L2sgR5l3Elc5N4CtXmjgyOkmU/KBA6AWhHcz1oFqzQPABb7CYjCubMGUaLI73nf5wJlekCfc2tVzhFbHhI2tDZ/BZPKuit8ev0yBmYlo95MPexc+hBtyVo/jIWCPzmMA+1LQLH/ALANTh+zTtcwkipxmO6NwcWJItP10I5Jpwy3XyftdXYxVui+nr5QzsuvldSnuEeqFRNd0f4jNRVwD/GP6nl+IBKrvhNyfRCHAftswlR6bAh8qxc3T/c6CH3kXOhuOitpvbpzQXyFlr8bW5EIebVp9y77TTJnzFFtRZ0Q5dCaOOWxlVoBOrr3trmz5vHacnjAgMBAAGjHTAbMAwGA1UdEwEB/wQCMAAwCwYDVR0PBAQDAgbAMA0GCSqGSIb3DQEBCwUAA4ICAQAQaIA+BfYKHX1lUz4Y6AnrlqccVtmZOXmAa+6tVoj2ilmi+4vE1C1CLtUhY0R5cBq0RIi+tg88OfE2Q+g4zIEPu3NETrwH2FxpiMbEejaqAbiUDgBFZQWwcZ39pQwU4m5Foe4+bELdp3D+QkYlDUN/aNHDdF2PWp3JAoQdyDLrh4RnZ6U70GYH1N6bY0UJCpaZhAPKxKHQ6j73SGLMuP4voYzlPKiLWrO7x0JQUn+Yj1+ODUeyF9MfGN7ebl430n2CWdTktA2KE5DiWXTwGm3otEYrvjvWDloq+EkIrujAjXOeFD/gmvV2YfKhjdy88RyqH2OXa1z0R8RJfzrp9RIsrm4vHHn2Hx3SWSOwxJHuWIbk88y7ln738Ev8hi/sev3YoqOPADTb62182W9eM/AxDzae1AdXqt2CyPAJjInp/9LlJS3oZvuDpFWb55ot7fE80UAHxgfxJPsbItS09hM4Hm67CQzOBr6e3sb/vhpSAwgFV90Q+vI4vWnJUSui2+naygbUZY1mGHiZKamj3defFliXFendQqaMLv2EUILjZn9c49XFBmVSMZJ/jUqeeJKgfrCGYjBVE+DCUfDZIqdoE2END9rZfe9tG5qfcr7Hru0YdU9/TGInIuA4g9mBCAgaSeEbEZSzNaYd/tCj5TPvpSjeF56Ta+sv9T4GVN54hg==",
    "selloPrestador": "JhuKKHVEugf4qkRmjgLutHdv5KQ=",
    "numeroSeriePrestador": "30001000000500003144"
}</t>
  </si>
  <si>
    <t>{
   "messageError": null,
   "resultadoValidacion": "OperaciÃ³n aprobada",
   "rfcEmisor": "GOMV640914RU9 - Habilitado para facturar (3)",
   "rfcReceptor": "AUAR6704193R1",
   "tipoOperacion": "4",
   "descripcionTipoOperacion": null,
   "numeroAprobacion": "129",
   "fechaConsulta": "2025-09-17 13:40:15",
   "firmaDigiyal": "||OperaciÃ³n aprobada|GOMV640914RU9|3|AUAR6704193R1|4|129|2025-09-17 13:40:15|",
   "estatus": "OperaciÃ³n aprobada",
   "numCertificado": null,
   "acuseBase64": null,
   "selloDigital": "qdqUm8EP9CieO7bmRuKLHRktg/hrqZotPh2NTpm69XlK02mHnLjmDlooMf0n2UY1m8jOLDJJIoF9pq2T4EX9SJRNJULmP0TjEpYtmkyKy/5mALGaK36eCLy/AyZyB4paCpk9uAuF2n2KFv1BY+UvVP766tpX7VPnHeAq/ov2V5U="
}</t>
  </si>
  <si>
    <t>{
   "messageError": null,
   "resultadoValidacion": "OperaciÃ³n aprobada",
   "rfcEmisor": "SAGF730206ICA - Habilitado para facturar (4)",
   "rfcReceptor": "AUAR6704193R1",
   "tipoOperacion": "4",
   "descripcionTipoOperacion": null,
   "numeroAprobacion": "130",
   "fechaConsulta": "2025-09-17 13:41:07",
   "firmaDigiyal": "||OperaciÃ³n aprobada|SAGF730206ICA|4|AUAR6704193R1|4|130|2025-09-17 13:41:07|",
   "estatus": "OperaciÃ³n aprobada",
   "numCertificado": null,
   "acuseBase64": null,
   "selloDigital": "S0z9zhQvGNl/7suLP/dtBnfRqt1x3LAZwhbL42cltGF+k0wQwbnkrmGi193r9DfzqQxBEUaNs+dQCXv4IEbkSVFG+6N2N2Z6cCmECY1ltKY0fAubpEmGRE5xqRyYTKa5dMMFi0IRPuVji6ksfDmfUVf2bEOpnK+L1qaLZlAey3U="
}</t>
  </si>
  <si>
    <t>{
   "messageError": null,
   "resultadoValidacion": "OperaciÃ³n aprobada",
   "rfcEmisor": "COME921226KH7 - Habilitado para facturar (3)",
   "rfcReceptor": "AUAR6704193R1",
   "tipoOperacion": "4",
   "descripcionTipoOperacion": null,
   "numeroAprobacion": "131",
   "fechaConsulta": "2025-09-17 13:41:41",
   "firmaDigiyal": "||OperaciÃ³n aprobada|COME921226KH7|3|AUAR6704193R1|4|131|2025-09-17 13:41:41|",
   "estatus": "OperaciÃ³n aprobada",
   "numCertificado": null,
   "acuseBase64": null,
   "selloDigital": "gBx8YH9WvsnXix5nEm+CMEetEDDkkGuP5J94EYKnjqD6E68Tq84CooIXFjxNqAtg7hdFbcwl+BhYkKpVEbJG3FPwpGVwOEcZWr5kVB2WtU+9yEjUpvlKXzxB9a0hEmLHfgW6fOOqZ7pQsL6ee3Kk4staHzYbzajIt/0y+tjFiz4="
}</t>
  </si>
  <si>
    <t>{
   "messageError": null,
   "resultadoValidacion": "OperaciÃ³n aprobada",
   "rfcEmisor": "CEGJ801110GE2 - Habilitado para facturar (4)",
   "rfcReceptor": "AUAR6704193R1",
   "tipoOperacion": "4",
   "descripcionTipoOperacion": null,
   "numeroAprobacion": "132",
   "fechaConsulta": "2025-09-17 13:42:15",
   "firmaDigiyal": "||OperaciÃ³n aprobada|CEGJ801110GE2|4|AUAR6704193R1|4|132|2025-09-17 13:42:15|",
   "estatus": "OperaciÃ³n aprobada",
   "numCertificado": null,
   "acuseBase64": null,
   "selloDigital": "ErJjpOufV5TeIdlHs2UtboRWhml84XbYzfokMieG57cB5afogn9lcuO1/OH7NJLyZoH2XEHLQ9fiZlKyNGn/yMkwYP5AEht7GrhIJBN3PRqtiiqel8t/BV8pnKQ9df1STzC32Wa2bLCUL9UDTVlVGhTc0D9AYEeIfVspFFPCFl8="
}</t>
  </si>
  <si>
    <t>{
   "messageError": null,
   "resultadoValidacion": "OperaciÃ³n aprobada",
   "rfcEmisor": "EIGE740910HW5 - Habilitado para facturar (1)",
   "rfcReceptor": "AUAR6704193R1",
   "tipoOperacion": "4",
   "descripcionTipoOperacion": null,
   "numeroAprobacion": "133",
   "fechaConsulta": "2025-09-17 13:42:52",
   "firmaDigiyal": "||OperaciÃ³n aprobada|EIGE740910HW5|1|AUAR6704193R1|4|133|2025-09-17 13:42:52|",
   "estatus": "OperaciÃ³n aprobada",
   "numCertificado": null,
   "acuseBase64": null,
   "selloDigital": "qP3EmRGWs/3n84zZIQPNYGK3gaal9EHF/SCkJOWX/a04lVLppzqg8UbZIIlmFgE4CV2TrpDOh/wJatIpc8mnuLcWbi3XOVNAB737DLWhNFK1gspgWWFg9uMDJx9mZNQmzo3toX6LeMvmgLCqXMb7QqxBsrT5OLCafa0Lm1MP1XQ="
}</t>
  </si>
  <si>
    <t>{
   "messageError": null,
   "resultadoValidacion": "OperaciÃ³n aprobada",
   "rfcEmisor": "CIMS880918UN6 - Habilitado para facturar (3)",
   "rfcReceptor": "AUAR6704193R1",
   "tipoOperacion": "4",
   "descripcionTipoOperacion": null,
   "numeroAprobacion": "134",
   "fechaConsulta": "2025-09-17 13:43:30",
   "firmaDigiyal": "||OperaciÃ³n aprobada|CIMS880918UN6|3|AUAR6704193R1|4|134|2025-09-17 13:43:30|",
   "estatus": "OperaciÃ³n aprobada",
   "numCertificado": null,
   "acuseBase64": null,
   "selloDigital": "PpIb2CbcJQPfUh2VuTwX+yYHnbQ2NeVIQ+SinTuss3QhEjbN1rNtmjffcSN1IzJuMdE7Tj5dwCsDaDuKSfMjarQhpnTAlamFlpYymRFXjGUupqah3Df8RR66L0I/6iSt3QEHhDmTrgRX9fB0fiXplY4ML3cT8Y3tRhkAfl7L7Cc="
}</t>
  </si>
  <si>
    <t>{
   "messageError": null,
   "resultadoValidacion": "OperaciÃ³n aprobada",
   "rfcEmisor": "SOAA760319GF9 - Habilitado para facturar (1)",
   "rfcReceptor": "AUAR6704193R1",
   "tipoOperacion": "4",
   "descripcionTipoOperacion": null,
   "numeroAprobacion": "135",
   "fechaConsulta": "2025-09-17 13:44:48",
   "firmaDigiyal": "||OperaciÃ³n aprobada|SOAA760319GF9|1|AUAR6704193R1|4|135|2025-09-17 13:44:48|",
   "estatus": "OperaciÃ³n aprobada",
   "numCertificado": null,
   "acuseBase64": null,
   "selloDigital": "Pssgs9mFM2qqWu/naFOckZ55pFdZ67ZYsIluoQ2gfayvly1+Q2qaKqmLvGeyYrmMEv9b3xyAa6zO0udBQaQqRcLOVun37wAkqXbNhRtuJGY4lPRucINHWMOgKArNg72AipDZhh++pa8+vpTaN37OkHpGBX99J/9Oha+oHergtvk="
}</t>
  </si>
  <si>
    <t>{
   "messageError": null,
   "resultadoValidacion": "OperaciÃ³n aprobada",
   "rfcEmisor": "MOTR520607N58 - Habilitado para facturar (1)",
   "rfcReceptor": "AUAR6704193R1",
   "tipoOperacion": "4",
   "descripcionTipoOperacion": null,
   "numeroAprobacion": "136",
   "fechaConsulta": "2025-09-17 13:45:51",
   "firmaDigiyal": "||OperaciÃ³n aprobada|MOTR520607N58|1|AUAR6704193R1|4|136|2025-09-17 13:45:51|",
   "estatus": "OperaciÃ³n aprobada",
   "numCertificado": null,
   "acuseBase64": null,
   "selloDigital": "nf/Xf2lu1pINep/U6u6Khxxn09kBX7Y0F5+sd9pdx8nmQzi4ncgvPTycY3MOGdm/9OaEI78+KT52ntjXSsUWKCuaFgZKMVOyCPYEQKi7Ub5vGjIz5lBeO9d9DWY+A0+USwyUkoyQmdxMvNHRdkxWFGorYtRtZ8D7g2vL1g9TPa8="
}</t>
  </si>
  <si>
    <t>{
   "messageError": null,
   "resultadoValidacion": "OperaciÃ³n rechazada",
   "rfcEmisor": "ROVC631203RD9 - No puede aplicar la facilidad de facturaciÃ³n a travÃ©s del adquirente.",
   "rfcReceptor": "AUAR6704193R1 ",
   "tipoOperacion": "4",
   "descripcionTipoOperacion": null,
   "numeroAprobacion": "137",
   "fechaConsulta": "2025-09-17 13:46:29",
   "firmaDigiyal": "||OperaciÃ³n rechazada|ROVC631203RD9 - No puede aplicar la facilidad de facturaciÃ³n a travÃ©s del adquirente.|AUAR6704193R1 |4|137|2025-09-17 13:46:29|",
   "estatus": "OperaciÃ³n rechazada",
   "numCertificado": null,
   "acuseBase64": null,
   "selloDigital": "GRR1ybhJC5sF7QBtF4flp3mflVUiaJw+Zs0g4gKLwx4I+dJmWmYnKfKhf1OgJVfp4on6cnwT27TI1KPu+UPPVPVc/jRG/b1PiWWwqjh99GKsv63zgiYNqpYzYfwVJDqDfnKl868/EHJpZGoK2eGTw7CFgORMgC1+nZARhXvvmU0="
}</t>
  </si>
  <si>
    <t>{
    "rfcEmisor": "COGZ9009256C0" ,
    "rfcReceptor": "AUAR6704193R1",
    "rfcPrestador":"SPR190613I52",
    "tipoOperacion": "5",
    "fechaHoraPeticion": "17/09/2025 12:47:56",
    "certReceptor": "hshdgssdjh",
    "selloReceptor": "JhuKKHVEugf4qkRmjgLutHdv5KQ=",
    "numeroSerieReceptor": "30001000000500003397",
    "certPrestador": "MIIFgjCCA2qgAwIBAgIUMzAwMDEwMDAwMDA0MDAwMDUzMDIwDQYJKoZIhvcNAQELBQAwggErMQ8wDQYDVQQDDAZBQyBVQVQxLjAsBgNVBAoMJVNFUlZJQ0lPIERFIEFETUlOSVNUUkFDSU9OIFRSSUJVVEFSSUExGjAYBgNVBAsMEVNBVC1JRVMgXV0aG9yaXR5MSgwJgYJKoZIhvcNAQkBFhlvc2Nhci5tYXJ0aW5lekBzYXQuZ29iLm14MR0wGwYDVQQJDBQzcmEgY2VycmFkYSBkZSBjYWRpejEOMAwGA1UEEQwFMDYzNzAxCzAJBgNVBAYTAk1YMRkwFwYDVQQIDBBDSVVEQUQgREUgTUVYSUNPMREwDwYDVQQHDAhDT1lPQUNBTjERMA8GA1UELRMIMi41LjQuNDUxJTAjBgkqhkiG9w0BCQITFnJlc3BvbnNhYmxlOiBBQ0RNQS1TQVQwHhcNMjAwMzA2MDEwMjU3WhcNMjQwMzA2MDEwMjU3WjCBqTEcMBoGA1UEAxMTSEVDVE9SIFNFUlJBTk8gTEVPTjEcMBoGA1UEKRMTSEVDVE9SIFNFUlJBTk8gTEVPTjEcMBoGA1UEChMTSEVDVE9SIFNFUlJBTk8gTEVPTjEWMBQGA1UELRMNQUFBQTU1MDQyMEk1NjEbMBkGA1UEBRMSQUFBQTU1MDQyMEhDTExHTDAzMRgwFgYDVQQLEw9TZWN0b3IgcHJpbWFyaW8wggEiMA0GCSqGSIb3DQEBAQUAA4IBDwAwggEKAoIBAQCxfD7hhRoJvPhKI6L2sgR5l3Elc5N4CtXmjgyOkmU/KBA6AWhHcz1oFqzQPABb7CYjCubMGUaLI73nf5wJlekCfc2tVzhFbHhI2tDZ/BZPKuit8ev0yBmYlo95MPexc+hBtyVo/jIWCPzmMA+1LQLH/ALANTh+zTtcwkipxmO6NwcWJItP10I5Jpwy3XyftdXYxVui+nr5QzsuvldSnuEeqFRNd0f4jNRVwD/GP6nl+IBKrvhNyfRCHAftswlR6bAh8qxc3T/c6CH3kXOhuOitpvbpzQXyFlr8bW5EIebVp9y77TTJnzFFtRZ0Q5dCaOOWxlVoBOrr3trmz5vHacnjAgMBAAGjHTAbMAwGA1UdEwEB/wQCMAAwCwYDVR0PBAQDAgbAMA0GCSqGSIb3DQEBCwUAA4ICAQAQaIA+BfYKHX1lUz4Y6AnrlqccVtmZOXmAa+6tVoj2ilmi+4vE1C1CLtUhY0R5cBq0RIi+tg88OfE2Q+g4zIEPu3NETrwH2FxpiMbEejaqAbiUDgBFZQWwcZ39pQwU4m5Foe4+bELdp3D+QkYlDUN/aNHDdF2PWp3JAoQdyDLrh4RnZ6U70GYH1N6bY0UJCpaZhAPKxKHQ6j73SGLMuP4voYzlPKiLWrO7x0JQUn+Yj1+ODUeyF9MfGN7ebl430n2CWdTktA2KE5DiWXTwGm3otEYrvjvWDloq+EkIrujAjXOeFD/gmvV2YfKhjdy88RyqH2OXa1z0R8RJfzrp9RIsrm4vHHn2Hx3SWSOwxJHuWIbk88y7ln738Ev8hi/sev3YoqOPADTb62182W9eM/AxDzae1AdXqt2CyPAJjInp/9LlJS3oZvuDpFWb55ot7fE80UAHxgfxJPsbItS09hM4Hm67CQzOBr6e3sb/vhpSAwgFV90Q+vI4vWnJUSui2+naygbUZY1mGHiZKamj3defFliXFendQqaMLv2EUILjZn9c49XFBmVSMZJ/jUqeeJKgfrCGYjBVE+DCUfDZIqdoE2END9rZfe9tG5qfcr7Hru0YdU9/TGInIuA4g9mBCAgaSeEbEZSzNaYd/tCj5TPvpSjeF56Ta+sv9T4GVN54hg==",
    "selloPrestador": "JhuKKHVEugf4qkRmjgLutHdv5KQ=",
    "numeroSeriePrestador": "30001000000500003144"
}</t>
  </si>
  <si>
    <t>{
   "messageError": null,
   "resultadoValidacion": "OperaciÃ³n aprobada",
   "rfcEmisor": "COGZ9009256C0 - Habilitado para facturar (4)",
   "rfcReceptor": "AUAR6704193R1",
   "tipoOperacion": "5",
   "descripcionTipoOperacion": null,
   "numeroAprobacion": "138",
   "fechaConsulta": "2025-09-17 13:48:27",
   "firmaDigiyal": "||OperaciÃ³n aprobada|COGZ9009256C0|4|AUAR6704193R1|5|138|2025-09-17 13:48:27|",
   "estatus": "OperaciÃ³n aprobada",
   "numCertificado": null,
   "acuseBase64": null,
   "selloDigital": "YcFWr7qB8MSy91mcmpocvorHFTVX1Crbj/j1aubTqiogiAjdWepmt71xvs88nutySkjyEBM5ZK+33ZH5jYpkt0slHIG73i0vy2qZuCanB0cgCcQXzKrbN7ioNFM6vLi1iSbY+mmtitVE17NtOf7XB+Yq5OKwIyIDjIKA52kqwyM="
}</t>
  </si>
  <si>
    <t>{
   "messageError": null,
   "resultadoValidacion": "OperaciÃ³n rechazada",
   "rfcEmisor": "RORS7308252Y4 - No puede aplicar la facilidad de facturaciÃ³n a travÃ©s del adquirente.",
   "rfcReceptor": "AUAR6704193R1 ",
   "tipoOperacion": "5",
   "descripcionTipoOperacion": null,
   "numeroAprobacion": "139",
   "fechaConsulta": "2025-09-17 13:49:23",
   "firmaDigiyal": "||OperaciÃ³n rechazada|RORS7308252Y4 - No puede aplicar la facilidad de facturaciÃ³n a travÃ©s del adquirente.|AUAR6704193R1 |5|139|2025-09-17 13:49:23|",
   "estatus": "OperaciÃ³n rechazada",
   "numCertificado": null,
   "acuseBase64": null,
   "selloDigital": "eAdi6zG4GP0TMgZg5KuC7+P0oYwCnEluGMb2VjCejAyFLy5m/WvHqTdXs1fj8kalHjcmBOfZCMxA2jE8iFaYvc65oeL0m4QHW2umnNfIFgwRy7Q6EZuCDVoe+6VZFLDwyYP8Zv3Hyp/DhcxC5Ye2bcu8eZdWvK9ESyvWoEGeOfo="
}</t>
  </si>
  <si>
    <t>{
   "messageError": null,
   "resultadoValidacion": "OperaciÃ³n aprobada",
   "rfcEmisor": "SISD900719AQ8 - Habilitado para facturar (2)",
   "rfcReceptor": "AUAR6704193R1",
   "tipoOperacion": "5",
   "descripcionTipoOperacion": null,
   "numeroAprobacion": "140",
   "fechaConsulta": "2025-09-17 13:50:47",
   "firmaDigiyal": "||OperaciÃ³n aprobada|SISD900719AQ8|2|AUAR6704193R1|5|140|2025-09-17 13:50:47|",
   "estatus": "OperaciÃ³n aprobada",
   "numCertificado": null,
   "acuseBase64": null,
   "selloDigital": "OsO3agqWBK+5v2UR4iK//Wp89TjHTLhzQKNZaZ5brzzm1NSZ5HjI8a2vhtw/Oj/CoDxw8CRKZpkkj5siReA265l77bEmH+sZwwoYHbBKh141o6JPxeDdSuvD5XpDo4l3TYwxvJyAqp9K96wfT45NFDHRptvBCIV0ZnBKmirHx2Y="
}</t>
  </si>
  <si>
    <t>{
   "messageError": null,
   "resultadoValidacion": "OperaciÃ³n rechazada",
   "rfcEmisor": "SURA900828DS5 - No puede aplicar la facilidad de facturaciÃ³n a travÃ©s del adquirente.",
   "rfcReceptor": "AUAR6704193R1 ",
   "tipoOperacion": "5",
   "descripcionTipoOperacion": null,
   "numeroAprobacion": "141",
   "fechaConsulta": "2025-09-17 13:51:23",
   "firmaDigiyal": "||OperaciÃ³n rechazada|SURA900828DS5 - No puede aplicar la facilidad de facturaciÃ³n a travÃ©s del adquirente.|AUAR6704193R1 |5|141|2025-09-17 13:51:23|",
   "estatus": "OperaciÃ³n rechazada",
   "numCertificado": null,
   "acuseBase64": null,
   "selloDigital": "GvDgH29iYbTWsWdJ1i2FcHa2K+JfCpQiEVgFZaKlAULrSrpwW9dH1uoa3XQjfp/kuXhLdoy68DZtrOswG78WyJbGNb+ZQqV4dGVm/NKV9/vRd/HT9Gslp79lKRGy4sB9dPq1MM0gdwXwNAY/8P08DZSkcQy1FuezPnliNRTkvHM="
}</t>
  </si>
  <si>
    <t>{
    "rfcEmisor": "GOMV640914RU9" ,
    "rfcReceptor": "AUAR6704193R1",
    "rfcPrestador":"SPR190613I52",
    "tipoOperacion": "6",
    "fechaHoraPeticion": "17/09/2025 12:47:56",
    "certReceptor": "hshdgssdjh",
    "selloReceptor": "JhuKKHVEugf4qkRmjgLutHdv5KQ=",
    "numeroSerieReceptor": "30001000000500003397",
    "certPrestador": "MIIFgjCCA2qgAwIBAgIUMzAwMDEwMDAwMDA0MDAwMDUzMDIwDQYJKoZIhvcNAQELBQAwggErMQ8wDQYDVQQDDAZBQyBVQVQxLjAsBgNVBAoMJVNFUlZJQ0lPIERFIEFETUlOSVNUUkFDSU9OIFRSSUJVVEFSSUExGjAYBgNVBAsMEVNBVC1JRVMgXV0aG9yaXR5MSgwJgYJKoZIhvcNAQkBFhlvc2Nhci5tYXJ0aW5lekBzYXQuZ29iLm14MR0wGwYDVQQJDBQzcmEgY2VycmFkYSBkZSBjYWRpejEOMAwGA1UEEQwFMDYzNzAxCzAJBgNVBAYTAk1YMRkwFwYDVQQIDBBDSVVEQUQgREUgTUVYSUNPMREwDwYDVQQHDAhDT1lPQUNBTjERMA8GA1UELRMIMi41LjQuNDUxJTAjBgkqhkiG9w0BCQITFnJlc3BvbnNhYmxlOiBBQ0RNQS1TQVQwHhcNMjAwMzA2MDEwMjU3WhcNMjQwMzA2MDEwMjU3WjCBqTEcMBoGA1UEAxMTSEVDVE9SIFNFUlJBTk8gTEVPTjEcMBoGA1UEKRMTSEVDVE9SIFNFUlJBTk8gTEVPTjEcMBoGA1UEChMTSEVDVE9SIFNFUlJBTk8gTEVPTjEWMBQGA1UELRMNQUFBQTU1MDQyMEk1NjEbMBkGA1UEBRMSQUFBQTU1MDQyMEhDTExHTDAzMRgwFgYDVQQLEw9TZWN0b3IgcHJpbWFyaW8wggEiMA0GCSqGSIb3DQEBAQUAA4IBDwAwggEKAoIBAQCxfD7hhRoJvPhKI6L2sgR5l3Elc5N4CtXmjgyOkmU/KBA6AWhHcz1oFqzQPABb7CYjCubMGUaLI73nf5wJlekCfc2tVzhFbHhI2tDZ/BZPKuit8ev0yBmYlo95MPexc+hBtyVo/jIWCPzmMA+1LQLH/ALANTh+zTtcwkipxmO6NwcWJItP10I5Jpwy3XyftdXYxVui+nr5QzsuvldSnuEeqFRNd0f4jNRVwD/GP6nl+IBKrvhNyfRCHAftswlR6bAh8qxc3T/c6CH3kXOhuOitpvbpzQXyFlr8bW5EIebVp9y77TTJnzFFtRZ0Q5dCaOOWxlVoBOrr3trmz5vHacnjAgMBAAGjHTAbMAwGA1UdEwEB/wQCMAAwCwYDVR0PBAQDAgbAMA0GCSqGSIb3DQEBCwUAA4ICAQAQaIA+BfYKHX1lUz4Y6AnrlqccVtmZOXmAa+6tVoj2ilmi+4vE1C1CLtUhY0R5cBq0RIi+tg88OfE2Q+g4zIEPu3NETrwH2FxpiMbEejaqAbiUDgBFZQWwcZ39pQwU4m5Foe4+bELdp3D+QkYlDUN/aNHDdF2PWp3JAoQdyDLrh4RnZ6U70GYH1N6bY0UJCpaZhAPKxKHQ6j73SGLMuP4voYzlPKiLWrO7x0JQUn+Yj1+ODUeyF9MfGN7ebl430n2CWdTktA2KE5DiWXTwGm3otEYrvjvWDloq+EkIrujAjXOeFD/gmvV2YfKhjdy88RyqH2OXa1z0R8RJfzrp9RIsrm4vHHn2Hx3SWSOwxJHuWIbk88y7ln738Ev8hi/sev3YoqOPADTb62182W9eM/AxDzae1AdXqt2CyPAJjInp/9LlJS3oZvuDpFWb55ot7fE80UAHxgfxJPsbItS09hM4Hm67CQzOBr6e3sb/vhpSAwgFV90Q+vI4vWnJUSui2+naygbUZY1mGHiZKamj3defFliXFendQqaMLv2EUILjZn9c49XFBmVSMZJ/jUqeeJKgfrCGYjBVE+DCUfDZIqdoE2END9rZfe9tG5qfcr7Hru0YdU9/TGInIuA4g9mBCAgaSeEbEZSzNaYd/tCj5TPvpSjeF56Ta+sv9T4GVN54hg==",
    "selloPrestador": "JhuKKHVEugf4qkRmjgLutHdv5KQ=",
    "numeroSeriePrestador": "30001000000500003144"
}</t>
  </si>
  <si>
    <t>{
   "messageError": null,
   "resultadoValidacion": "OperaciÃ³n aprobada",
   "rfcEmisor": "GOMV640914RU9 - Habilitado para facturar (3)",
   "rfcReceptor": "AUAR6704193R1",
   "tipoOperacion": "6",
   "descripcionTipoOperacion": null,
   "numeroAprobacion": "142",
   "fechaConsulta": "2025-09-17 13:52:34",
   "firmaDigiyal": "||OperaciÃ³n aprobada|GOMV640914RU9|3|AUAR6704193R1|6|142|2025-09-17 13:52:34|",
   "estatus": "OperaciÃ³n aprobada",
   "numCertificado": null,
   "acuseBase64": null,
   "selloDigital": "Aef0jpXxfrvIZHGwbNLjV+Itn75coM4pZgbhTRsib3PjuEtqPhdyKhcBEJkcyULO5NkR8+tTfCa9R41HX9QSXn4HiIBq+d8WFnM+J0RP5ROEMgCd4KtcU0WWmqjDzkeA6lbeg0ZezXYKoPRMwpcbMI2SveyP50FgHmaiafdU5Ow="
}</t>
  </si>
  <si>
    <t>{
   "messageError": null,
   "resultadoValidacion": "OperaciÃ³n aprobada",
   "rfcEmisor": "LACB8306218F1 - Habilitado para facturar (3)",
   "rfcReceptor": "AUAR6704193R1",
   "tipoOperacion": "6",
   "descripcionTipoOperacion": null,
   "numeroAprobacion": "143",
   "fechaConsulta": "2025-09-17 13:53:40",
   "firmaDigiyal": "||OperaciÃ³n aprobada|LACB8306218F1|3|AUAR6704193R1|6|143|2025-09-17 13:53:40|",
   "estatus": "OperaciÃ³n aprobada",
   "numCertificado": null,
   "acuseBase64": null,
   "selloDigital": "KhBY7EzL9W6Ji4jOlSB2VP/4vOumAI5OtvcHuB4RCH+XUUccbl/hmNme00SugV1zd5KfTC2jHPOwr29IJST621frZ7lw0SmWBjcMcY+av2gUhqHC1jzLACkknbdrKQCYic+j8gjsRIW0k45Cg53BImrOlzioAHHNRajdYaCbrcs="
}</t>
  </si>
  <si>
    <t>{
   "messageError": null,
   "resultadoValidacion": "OperaciÃ³n aprobada",
   "rfcEmisor": "COME921226KH7 - Habilitado para facturar (3)",
   "rfcReceptor": "AUAR6704193R1",
   "tipoOperacion": "6",
   "descripcionTipoOperacion": null,
   "numeroAprobacion": "144",
   "fechaConsulta": "2025-09-17 13:54:35",
   "firmaDigiyal": "||OperaciÃ³n aprobada|COME921226KH7|3|AUAR6704193R1|6|144|2025-09-17 13:54:35|",
   "estatus": "OperaciÃ³n aprobada",
   "numCertificado": null,
   "acuseBase64": null,
   "selloDigital": "XX8qPLsbjPQ2y4XuQ8/iwxWNmki+Wzo0TwV1ULRWCdRl8GHxvCD1rkB/KG44eO/lEoOCLbhHNAmkiDNWmNpNNiCWLz/uquZBcr2fyNQHXX7BvIuU/oRoudvVxLl7SHEkw7GEWgraxg6yTF1t71mz4qV6tYvS5uv4EAjBesrfTj0="
}</t>
  </si>
  <si>
    <t>{
   "messageError": null,
   "resultadoValidacion": "OperaciÃ³n aprobada",
   "rfcEmisor": "CEGJ801110GE2 - Habilitado para facturar (4)",
   "rfcReceptor": "AUAR6704193R1",
   "tipoOperacion": "6",
   "descripcionTipoOperacion": null,
   "numeroAprobacion": "145",
   "fechaConsulta": "2025-09-17 13:55:07",
   "firmaDigiyal": "||OperaciÃ³n aprobada|CEGJ801110GE2|4|AUAR6704193R1|6|145|2025-09-17 13:55:07|",
   "estatus": "OperaciÃ³n aprobada",
   "numCertificado": null,
   "acuseBase64": null,
   "selloDigital": "Slo5VnK6QLHmsC9KU1D54AEsaY+0A/yNNL9YCnnI0CIRpJ1a5XVUZu66kDVd0aVn2Drqa02H+s2cuD8rFbZ9ekK0j07NYyLdyavc0K1mCv8+VOKdBgMJ0cnQoQWS7+YBfPUo8YxTjHDBDVpyg2e2PTvA/QNlYGToxxrNeuy6pnk="
}</t>
  </si>
  <si>
    <t>{
   "messageError": null,
   "resultadoValidacion": "OperaciÃ³n aprobada",
   "rfcEmisor": "GOAC830909HD0 - Habilitado para facturar (3)",
   "rfcReceptor": "AUAR6704193R1",
   "tipoOperacion": "6",
   "descripcionTipoOperacion": null,
   "numeroAprobacion": "146",
   "fechaConsulta": "2025-09-17 13:55:37",
   "firmaDigiyal": "||OperaciÃ³n aprobada|GOAC830909HD0|3|AUAR6704193R1|6|146|2025-09-17 13:55:37|",
   "estatus": "OperaciÃ³n aprobada",
   "numCertificado": null,
   "acuseBase64": null,
   "selloDigital": "pupL0Ca034/BWZyh68l2iqyGMCg0AvdzQb6IGkytq/HuWNemNjynQilZz3OkbkT9X3VOaxkaf1GNMFaDSDiyw2oG5DMefGJtSmQtC8dxKcfHoU7RKFvqrITXILmDashaNtsJ0JNXHNtM8dV+4WfygCQ8ycLD/10XexwKwpr6L3Q="
}</t>
  </si>
  <si>
    <t>{
   "messageError": null,
   "resultadoValidacion": "OperaciÃ³n aprobada",
   "rfcEmisor": "EIGE740910HW5 - Habilitado para facturar (1)",
   "rfcReceptor": "AUAR6704193R1",
   "tipoOperacion": "6",
   "descripcionTipoOperacion": null,
   "numeroAprobacion": "147",
   "fechaConsulta": "2025-09-17 14:00:03",
   "firmaDigiyal": "||OperaciÃ³n aprobada|EIGE740910HW5|1|AUAR6704193R1|6|147|2025-09-17 14:00:03|",
   "estatus": "OperaciÃ³n aprobada",
   "numCertificado": null,
   "acuseBase64": null,
   "selloDigital": "BcGCzavsBhOt61yNwneKJt3OYfQLTdGRYtKjCyJ1VW6WoMRUIUWMEvtY1y8yGS11jIxnaNsPUx3jUCl0r/i8+LvCM+XG+Gnp5zN6+aptM31NU44+r3twkrRu+/m074eWz3mRetj0VhReCzxgdJfJZnWL2ArAme3Y9UlEW82Dy60="
}</t>
  </si>
  <si>
    <t>{
   "messageError": null,
   "resultadoValidacion": "OperaciÃ³n aprobada",
   "rfcEmisor": "FOAA940117HN3 - Habilitado para facturar (1)",
   "rfcReceptor": "AUAR6704193R1",
   "tipoOperacion": "6",
   "descripcionTipoOperacion": null,
   "numeroAprobacion": "148",
   "fechaConsulta": "2025-09-17 14:00:40",
   "firmaDigiyal": "||OperaciÃ³n aprobada|FOAA940117HN3|1|AUAR6704193R1|6|148|2025-09-17 14:00:40|",
   "estatus": "OperaciÃ³n aprobada",
   "numCertificado": null,
   "acuseBase64": null,
   "selloDigital": "bRGq1buEvKSv8V+cMgWzvo6fQxhovqzregE4HwkgPx9gDnkFrLcTIXwNfj/1Lfhjutvd183jUQpmsKY2k+ZsEJssJnsYFnECzpMOQJ3YwPvbnExU3jjbT6QW3rRNdqHt6zcX2IsKeur9LaqZE5P2yEWKMwaRs5pInFDm4TrcDbo="
}</t>
  </si>
  <si>
    <t>{
   "messageError": null,
   "resultadoValidacion": "OperaciÃ³n aprobada",
   "rfcEmisor": "SODJ820412I18 - Habilitado para facturar (3)",
   "rfcReceptor": "AUAR6704193R1",
   "tipoOperacion": "6",
   "descripcionTipoOperacion": null,
   "numeroAprobacion": "149",
   "fechaConsulta": "2025-09-17 14:03:01",
   "firmaDigiyal": "||OperaciÃ³n aprobada|SODJ820412I18|3|AUAR6704193R1|6|149|2025-09-17 14:03:01|",
   "estatus": "OperaciÃ³n aprobada",
   "numCertificado": null,
   "acuseBase64": null,
   "selloDigital": "TWN9yniJUlMMTZyJhQaxFq0WBLfJQ8lftcuLhzrrrgBcIoAN6nRXPiZNvc1KxWkGRp1QaGE4pCfDEOEioJ4wUvAwATwb19f1e8SJCWyDG3TNc1YJrrjcdN72vQmpxRFlLh20uXkQJiL11WHlTB7frGH/JbEKEa7qjGpM0cA9PgU="
}</t>
  </si>
  <si>
    <t>{
   "messageError": null,
   "resultadoValidacion": "OperaciÃ³n aprobada",
   "rfcEmisor": "ROVC631203RD9 - Habilitado para facturar (4)",
   "rfcReceptor": "AUAR6704193R1",
   "tipoOperacion": "6",
   "descripcionTipoOperacion": null,
   "numeroAprobacion": "150",
   "fechaConsulta": "2025-09-17 14:03:56",
   "firmaDigiyal": "||OperaciÃ³n aprobada|ROVC631203RD9|4|AUAR6704193R1|6|150|2025-09-17 14:03:56|",
   "estatus": "OperaciÃ³n aprobada",
   "numCertificado": null,
   "acuseBase64": null,
   "selloDigital": "dzml/Ukamk5vNB06bTCMzPOaNrF0nd7m8dERF5ZbrmeaMl9gV8YJfvXyf+hjWVkQd2bNOEDg52P72Xifkbqd4MdJA836QXbrCHC9Z/PofRWsZpHuGVrzaLTNbJcGK8/t6CWBVPW7VaW4RXpqxVBbJzBb/iXlx8HEDzSlG1JpcqE="
}</t>
  </si>
  <si>
    <t>{
   "messageError": null,
   "resultadoValidacion": "OperaciÃ³n rechazada",
   "rfcEmisor": "ZASR5401272Y2 - No puede aplicar la facilidad de facturaciÃ³n a travÃ©s del adquirente.",
   "rfcReceptor": "AUAR6704193R1 ",
   "tipoOperacion": "6",
   "descripcionTipoOperacion": null,
   "numeroAprobacion": "151",
   "fechaConsulta": "2025-09-17 14:04:29",
   "firmaDigiyal": "||OperaciÃ³n rechazada|ZASR5401272Y2 - No puede aplicar la facilidad de facturaciÃ³n a travÃ©s del adquirente.|AUAR6704193R1 |6|151|2025-09-17 14:04:29|",
   "estatus": "OperaciÃ³n rechazada",
   "numCertificado": null,
   "acuseBase64": null,
   "selloDigital": "DKWuIJJv0TW/SsIv42ffy4cyGWnHEEyEcI+R+z+eLQcNKZ0/Om5t9ypLi3xCVbo53b4v/XZse3jFlnMYaWBTmA3kouO6VuC2BUsdHrZ0pjkYUPQNOKV3llUEFwdFOq5IOITPZoVJtBngTLw97ZvN/2prViXEH0XniIRG2AJZfcU="
}</t>
  </si>
  <si>
    <t>{
    "rfcEmisor": "CEGJ801110GE2" ,
    "rfcReceptor": "AUAR6704193R1",
    "rfcPrestador":"SPR190613I52",
    "tipoOperacion": "7",
    "fechaHoraPeticion": "17/09/2025 12:47:56",
    "certReceptor": "hshdgssdjh",
    "selloReceptor": "JhuKKHVEugf4qkRmjgLutHdv5KQ=",
    "numeroSerieReceptor": "30001000000500003397",
    "certPrestador": "MIIFgjCCA2qgAwIBAgIUMzAwMDEwMDAwMDA0MDAwMDUzMDIwDQYJKoZIhvcNAQELBQAwggErMQ8wDQYDVQQDDAZBQyBVQVQxLjAsBgNVBAoMJVNFUlZJQ0lPIERFIEFETUlOSVNUUkFDSU9OIFRSSUJVVEFSSUExGjAYBgNVBAsMEVNBVC1JRVMgXV0aG9yaXR5MSgwJgYJKoZIhvcNAQkBFhlvc2Nhci5tYXJ0aW5lekBzYXQuZ29iLm14MR0wGwYDVQQJDBQzcmEgY2VycmFkYSBkZSBjYWRpejEOMAwGA1UEEQwFMDYzNzAxCzAJBgNVBAYTAk1YMRkwFwYDVQQIDBBDSVVEQUQgREUgTUVYSUNPMREwDwYDVQQHDAhDT1lPQUNBTjERMA8GA1UELRMIMi41LjQuNDUxJTAjBgkqhkiG9w0BCQITFnJlc3BvbnNhYmxlOiBBQ0RNQS1TQVQwHhcNMjAwMzA2MDEwMjU3WhcNMjQwMzA2MDEwMjU3WjCBqTEcMBoGA1UEAxMTSEVDVE9SIFNFUlJBTk8gTEVPTjEcMBoGA1UEKRMTSEVDVE9SIFNFUlJBTk8gTEVPTjEcMBoGA1UEChMTSEVDVE9SIFNFUlJBTk8gTEVPTjEWMBQGA1UELRMNQUFBQTU1MDQyMEk1NjEbMBkGA1UEBRMSQUFBQTU1MDQyMEhDTExHTDAzMRgwFgYDVQQLEw9TZWN0b3IgcHJpbWFyaW8wggEiMA0GCSqGSIb3DQEBAQUAA4IBDwAwggEKAoIBAQCxfD7hhRoJvPhKI6L2sgR5l3Elc5N4CtXmjgyOkmU/KBA6AWhHcz1oFqzQPABb7CYjCubMGUaLI73nf5wJlekCfc2tVzhFbHhI2tDZ/BZPKuit8ev0yBmYlo95MPexc+hBtyVo/jIWCPzmMA+1LQLH/ALANTh+zTtcwkipxmO6NwcWJItP10I5Jpwy3XyftdXYxVui+nr5QzsuvldSnuEeqFRNd0f4jNRVwD/GP6nl+IBKrvhNyfRCHAftswlR6bAh8qxc3T/c6CH3kXOhuOitpvbpzQXyFlr8bW5EIebVp9y77TTJnzFFtRZ0Q5dCaOOWxlVoBOrr3trmz5vHacnjAgMBAAGjHTAbMAwGA1UdEwEB/wQCMAAwCwYDVR0PBAQDAgbAMA0GCSqGSIb3DQEBCwUAA4ICAQAQaIA+BfYKHX1lUz4Y6AnrlqccVtmZOXmAa+6tVoj2ilmi+4vE1C1CLtUhY0R5cBq0RIi+tg88OfE2Q+g4zIEPu3NETrwH2FxpiMbEejaqAbiUDgBFZQWwcZ39pQwU4m5Foe4+bELdp3D+QkYlDUN/aNHDdF2PWp3JAoQdyDLrh4RnZ6U70GYH1N6bY0UJCpaZhAPKxKHQ6j73SGLMuP4voYzlPKiLWrO7x0JQUn+Yj1+ODUeyF9MfGN7ebl430n2CWdTktA2KE5DiWXTwGm3otEYrvjvWDloq+EkIrujAjXOeFD/gmvV2YfKhjdy88RyqH2OXa1z0R8RJfzrp9RIsrm4vHHn2Hx3SWSOwxJHuWIbk88y7ln738Ev8hi/sev3YoqOPADTb62182W9eM/AxDzae1AdXqt2CyPAJjInp/9LlJS3oZvuDpFWb55ot7fE80UAHxgfxJPsbItS09hM4Hm67CQzOBr6e3sb/vhpSAwgFV90Q+vI4vWnJUSui2+naygbUZY1mGHiZKamj3defFliXFendQqaMLv2EUILjZn9c49XFBmVSMZJ/jUqeeJKgfrCGYjBVE+DCUfDZIqdoE2END9rZfe9tG5qfcr7Hru0YdU9/TGInIuA4g9mBCAgaSeEbEZSzNaYd/tCj5TPvpSjeF56Ta+sv9T4GVN54hg==",
    "selloPrestador": "JhuKKHVEugf4qkRmjgLutHdv5KQ=",
    "numeroSeriePrestador": "30001000000500003144"
}</t>
  </si>
  <si>
    <t>{
   "messageError": null,
   "resultadoValidacion": "OperaciÃ³n aprobada",
   "rfcEmisor": "CEGJ801110GE2 - Habilitado para facturar (4)",
   "rfcReceptor": "AUAR6704193R1",
   "tipoOperacion": "7",
   "descripcionTipoOperacion": null,
   "numeroAprobacion": "153",
   "fechaConsulta": "2025-09-17 14:05:56",
   "firmaDigiyal": "||OperaciÃ³n aprobada|CEGJ801110GE2|4|AUAR6704193R1|7|153|2025-09-17 14:05:56|",
   "estatus": "OperaciÃ³n aprobada",
   "numCertificado": null,
   "acuseBase64": null,
   "selloDigital": "WjpJ2iUgCvMYCiQg4z1Wz2BsRFZ5PLjuETxmz6RbBP+FsBrUG2ZEWMht1ZT/stMqupOzgxbJe97n7oe/zU0WrgPJBaHu7+nOj9vhuR7kBKy6BnQagOtwCDjMKwaBaoKZP21pqW5FColSBempllqgSoWjZD06kOQlbovLrmwNUgw="
}</t>
  </si>
  <si>
    <t>{
   "messageError": null,
   "resultadoValidacion": "OperaciÃ³n aprobada",
   "rfcEmisor": "SAGF730206ICA - Habilitado para facturar (4)",
   "rfcReceptor": "AUAR6704193R1",
   "tipoOperacion": "7",
   "descripcionTipoOperacion": null,
   "numeroAprobacion": "154",
   "fechaConsulta": "2025-09-17 14:07:35",
   "firmaDigiyal": "||OperaciÃ³n aprobada|SAGF730206ICA|4|AUAR6704193R1|7|154|2025-09-17 14:07:35|",
   "estatus": "OperaciÃ³n aprobada",
   "numCertificado": null,
   "acuseBase64": null,
   "selloDigital": "LKetR6NUsoi4n+rszNj+E8+kCmK5Lxczpg+1mxsbtIFjJ7e1G1X9EB7lfBOkTOc2Lnn1ektBKHgeqGHqrHw+wUhQUUFucWSBoN54bi7WhOmYY0JTZviJIbyvi37MyefZJdpiStc0Z4Oab7OI14O53GSzGmKaccTrq5/Ap/7CSW4="
}</t>
  </si>
  <si>
    <t>{
   "messageError": null,
   "resultadoValidacion": "OperaciÃ³n aprobada",
   "rfcEmisor": "COME921226KH7 - Habilitado para facturar (3)",
   "rfcReceptor": "AUAR6704193R1",
   "tipoOperacion": "7",
   "descripcionTipoOperacion": null,
   "numeroAprobacion": "155",
   "fechaConsulta": "2025-09-17 14:08:22",
   "firmaDigiyal": "||OperaciÃ³n aprobada|COME921226KH7|3|AUAR6704193R1|7|155|2025-09-17 14:08:22|",
   "estatus": "OperaciÃ³n aprobada",
   "numCertificado": null,
   "acuseBase64": null,
   "selloDigital": "nZW4kXdb974LVz7FRyJcyTRkQBTPRKKbl/C9q2oYmbslOaBfQPKlqx18fpD48/FOjVhUr+Jh2NFl3SuGklPctzysXKTHvThFshuNvr719Tj+QDVtpXXmprkI2Juwtbsns+XEcZlN/r9zLv90QZZ04SVjac6divxYrU2NcZDS5Ks="
}</t>
  </si>
  <si>
    <t>{
   "messageError": null,
   "resultadoValidacion": "OperaciÃ³n aprobada",
   "rfcEmisor": "CEGJ801110GE2 - Habilitado para facturar (4)",
   "rfcReceptor": "AUAR6704193R1",
   "tipoOperacion": "7",
   "descripcionTipoOperacion": null,
   "numeroAprobacion": "156",
   "fechaConsulta": "2025-09-17 14:09:19",
   "firmaDigiyal": "||OperaciÃ³n aprobada|CEGJ801110GE2|4|AUAR6704193R1|7|156|2025-09-17 14:09:19|",
   "estatus": "OperaciÃ³n aprobada",
   "numCertificado": null,
   "acuseBase64": null,
   "selloDigital": "T1qnfUQIMOfFHlF2BXMOGp1Y66BsbBMfHVA+Q/AkeN6RzI9OagOsuMd1lDdTd2Q6cacEZi8YVYu2/uruMEILob7doXOcVcQjRSHx/Eyq3trKkusl/GaZnheGDBeuOQ98yq91zVnyqixB07A7el6r5xDUbh+C54SuF+S6JyT4Gcg="
}</t>
  </si>
  <si>
    <t>{
   "messageError": null,
   "resultadoValidacion": "OperaciÃ³n aprobada",
   "rfcEmisor": "MUEE6303231H4 - Habilitado para facturar (3)",
   "rfcReceptor": "AUAR6704193R1",
   "tipoOperacion": "7",
   "descripcionTipoOperacion": null,
   "numeroAprobacion": "157",
   "fechaConsulta": "2025-09-17 14:09:50",
   "firmaDigiyal": "||OperaciÃ³n aprobada|MUEE6303231H4|3|AUAR6704193R1|7|157|2025-09-17 14:09:50|",
   "estatus": "OperaciÃ³n aprobada",
   "numCertificado": null,
   "acuseBase64": null,
   "selloDigital": "D2nHqXkU9gCKmx2r4ziWsFMWpiUsUlgwm8vTY19Bw9hMJjzSX1IVN6KHrDlJ0I7yqzgR7/yLlZ1zN8d82Mey6630UZuSZ8m6HrO9UPo+4L4hTHblhF4kcommst5g111wiiUzoYKkrjAf3ZuwvIJNlZjaTAnmBmcZhb3kz4P0cL4="
}</t>
  </si>
  <si>
    <t>{
   "messageError": null,
   "resultadoValidacion": "OperaciÃ³n aprobada",
   "rfcEmisor": "EIGE740910HW5 - Habilitado para facturar (1)",
   "rfcReceptor": "AUAR6704193R1",
   "tipoOperacion": "7",
   "descripcionTipoOperacion": null,
   "numeroAprobacion": "158",
   "fechaConsulta": "2025-09-17 14:10:23",
   "firmaDigiyal": "||OperaciÃ³n aprobada|EIGE740910HW5|1|AUAR6704193R1|7|158|2025-09-17 14:10:23|",
   "estatus": "OperaciÃ³n aprobada",
   "numCertificado": null,
   "acuseBase64": null,
   "selloDigital": "hEkuz9wTGziBLPymAZV6+7laG4nUrQkZBUBUvXEYodXMttLyfrIj5MRNxn+kcb6irM3Cw1JH0/SKQ72qF4xk83pXWp2ge6SJSMaABLFVEAKFFIeJpNDb7ygDfjmdbL4wUp9jS0oVyi5qCcovvas4klVQfmkWGwr24kSFylaGCII="
}</t>
  </si>
  <si>
    <t>{
   "messageError": null,
   "resultadoValidacion": "OperaciÃ³n aprobada",
   "rfcEmisor": "CIMS880918UN6 - Habilitado para facturar (3)",
   "rfcReceptor": "AUAR6704193R1",
   "tipoOperacion": "7",
   "descripcionTipoOperacion": null,
   "numeroAprobacion": "159",
   "fechaConsulta": "2025-09-17 14:10:53",
   "firmaDigiyal": "||OperaciÃ³n aprobada|CIMS880918UN6|3|AUAR6704193R1|7|159|2025-09-17 14:10:53|",
   "estatus": "OperaciÃ³n aprobada",
   "numCertificado": null,
   "acuseBase64": null,
   "selloDigital": "m2YnyQD9dla7NCT8+rGnDnc6VGvZv1gCRYt91cihdxNcOPm09TbKjOOXqIQb6yMm+IlUcrom1vTHxZvgOll61G9SmeLyM31Z0yG4HGHaYdQmahrA3lWT4VuNBTlYEG5g61xgyOLnTUfs49nEEJd/QV9Ysj3WVQSWw6rzidiiRMk="
}</t>
  </si>
  <si>
    <t>{
   "messageError": null,
   "resultadoValidacion": "OperaciÃ³n aprobada",
   "rfcEmisor": "EIGA450723BD7 - Habilitado para facturar (2)",
   "rfcReceptor": "AUAR6704193R1",
   "tipoOperacion": "7",
   "descripcionTipoOperacion": null,
   "numeroAprobacion": "160",
   "fechaConsulta": "2025-09-17 14:11:24",
   "firmaDigiyal": "||OperaciÃ³n aprobada|EIGA450723BD7|2|AUAR6704193R1|7|160|2025-09-17 14:11:24|",
   "estatus": "OperaciÃ³n aprobada",
   "numCertificado": null,
   "acuseBase64": null,
   "selloDigital": "NAAaXsc/docMuczRZiA83y2hDTIDvTOP0mztCmyZL3rmymGo2fRtnjsi/R7tueYYGePV1Hlgw+afxOhgZ/8e+D9MKl0UDtkq0JACh+9virmCDVDYbnYZDMeeaNdetQFXxLbDQd9WM2MvD5JcItYA/HgDF/yb9w+oOuoTmXt8nO8="
}</t>
  </si>
  <si>
    <t>{
   "messageError": null,
   "resultadoValidacion": "OperaciÃ³n aprobada",
   "rfcEmisor": "FOAA940117HN3 - Habilitado para facturar (1)",
   "rfcReceptor": "AUAR6704193R1",
   "tipoOperacion": "7",
   "descripcionTipoOperacion": null,
   "numeroAprobacion": "161",
   "fechaConsulta": "2025-09-17 14:13:19",
   "firmaDigiyal": "||OperaciÃ³n aprobada|FOAA940117HN3|1|AUAR6704193R1|7|161|2025-09-17 14:13:19|",
   "estatus": "OperaciÃ³n aprobada",
   "numCertificado": null,
   "acuseBase64": null,
   "selloDigital": "pOr9hudIEjgY/Un1Xh3GtHsWPuM3VBM1qb0v7wxELTUB+G+77iinkuADQMFosdhqJWzdtyENNRnYN5bY3L6PttRxqqtuM1JQCC4yINaCgl+laUYclyGUi8jDhBvDHQvFpbyHftNwuUv2Az8XuvYJzRJxRh7ePdvPKLkHDh+tWTM="
}</t>
  </si>
  <si>
    <t>{
   "messageError": null,
   "resultadoValidacion": "OperaciÃ³n aprobada",
   "rfcEmisor": "AEAJ9004233H2 - Habilitado para facturar (1)",
   "rfcReceptor": "AUAR6704193R1",
   "tipoOperacion": "7",
   "descripcionTipoOperacion": null,
   "numeroAprobacion": "162",
   "fechaConsulta": "2025-09-17 14:13:58",
   "firmaDigiyal": "||OperaciÃ³n aprobada|AEAJ9004233H2|1|AUAR6704193R1|7|162|2025-09-17 14:13:58|",
   "estatus": "OperaciÃ³n aprobada",
   "numCertificado": null,
   "acuseBase64": null,
   "selloDigital": "kJ27/xm5LdNlIPBqM8d0mjcuJ6LDNHjLIB9ShZX9yUaGDViLYCVH3ORDrnRMqqsmhASfSRmw2Lnt/K9eVCsuav17VJLoiSTf5k5beBuVOwNAENJYaoG3kLRmIrX/phcEyi6FaP8fcc6Kt71Xe4OEv7i87b/AzYo1s/xsGKyr2NQ="
}</t>
  </si>
  <si>
    <t>{
   "messageError": null,
   "resultadoValidacion": "OperaciÃ³n rechazada",
   "rfcEmisor": "MEBB740726PL3 - No puede aplicar la facilidad de facturaciÃ³n a travÃ©s del adquirente.",
   "rfcReceptor": "AUAR6704193R1 ",
   "tipoOperacion": "7",
   "descripcionTipoOperacion": null,
   "numeroAprobacion": "163",
   "fechaConsulta": "2025-09-17 14:14:51",
   "firmaDigiyal": "||OperaciÃ³n rechazada|MEBB740726PL3 - No puede aplicar la facilidad de facturaciÃ³n a travÃ©s del adquirente.|AUAR6704193R1 |7|163|2025-09-17 14:14:51|",
   "estatus": "OperaciÃ³n rechazada",
   "numCertificado": null,
   "acuseBase64": null,
   "selloDigital": "p15Qr4aSK8oGIQzGSmQwxUFB/pjcOhqvUpPc58MwIz5Yzj2OYZguPCVyYA55eRNyGeQlhHN+letkOEJfXPk3xN6Vg6kMDbc7h5ELJ9DYgGCj/cqOHhY5DSQXEXeVm2b8ZBJ0lAAZQG/MIOhAkizO2WC10jS2LOM6jBDUwvRWLoM="
}</t>
  </si>
  <si>
    <t>{
   "messageError": null,
   "resultadoValidacion": "OperaciÃ³n aprobada",
   "rfcEmisor": "CEOM610502QV3 - Habilitado para facturar (1)",
   "rfcReceptor": "AUAR6704193R1",
   "tipoOperacion": "8",
   "descripcionTipoOperacion": null,
   "numeroAprobacion": "164",
   "fechaConsulta": "2025-09-17 14:15:38",
   "firmaDigiyal": "||OperaciÃ³n aprobada|CEOM610502QV3|1|AUAR6704193R1|8|164|2025-09-17 14:15:38|",
   "estatus": "OperaciÃ³n aprobada",
   "numCertificado": null,
   "acuseBase64": null,
   "selloDigital": "atRo+4Qi6/KE/QsYmYC5uRZScoYSB8fsW53JQldFVUarHl/cyaQLeLjyVGzaOktKZOEnCySmKx7S7X33b5XcLGvH3h4BSABSvEIdfptIDmNK2u7pO2J3HtcNcQntz4cEhgSsOMMTBtPVGHxQkxSAckvqunptrbjEzVHffK17hMg="
}</t>
  </si>
  <si>
    <t>{
   "messageError": null,
   "resultadoValidacion": "OperaciÃ³n aprobada",
   "rfcEmisor": "SAGJ790902T13 - Habilitado para facturar (1)",
   "rfcReceptor": "AUAR6704193R1",
   "tipoOperacion": "8",
   "descripcionTipoOperacion": null,
   "numeroAprobacion": "165",
   "fechaConsulta": "2025-09-17 14:16:24",
   "firmaDigiyal": "||OperaciÃ³n aprobada|SAGJ790902T13|1|AUAR6704193R1|8|165|2025-09-17 14:16:24|",
   "estatus": "OperaciÃ³n aprobada",
   "numCertificado": null,
   "acuseBase64": null,
   "selloDigital": "BBsoMllPwh+H6BFgvy+ucuyUFhVOvVEjw0PtUBXMYs/o0f8XgxCNkxEGjeHNhCoHFdl9wQWlRelvOQbkRZ8X3jSOJBepaEuw/CMcW9sApXCiyH5HUHw+OB/dRZv6ZRavpHmP2+a3prnoWNEY94gizeN84Id+Mk2vLehnDUb3d0c="
}</t>
  </si>
  <si>
    <t>{
   "messageError": null,
   "resultadoValidacion": "OperaciÃ³n aprobada",
   "rfcEmisor": "COME921226KH7 - Habilitado para facturar (3)",
   "rfcReceptor": "AUAR6704193R1",
   "tipoOperacion": "8",
   "descripcionTipoOperacion": null,
   "numeroAprobacion": "166",
   "fechaConsulta": "2025-09-17 14:16:57",
   "firmaDigiyal": "||OperaciÃ³n aprobada|COME921226KH7|3|AUAR6704193R1|8|166|2025-09-17 14:16:57|",
   "estatus": "OperaciÃ³n aprobada",
   "numCertificado": null,
   "acuseBase64": null,
   "selloDigital": "ckvtKTwuXa9WWbrtsWvq6tb2SRwPTgFSxlcBgJDsAzgrbTIhEazafpCjf49sXB6adRfBBtdA80VGkj1O4BPHfu1DBxmHeK1Rn/m/7jHQ9ruQAytppNnv7gXzLQ1mEyZw2ceUGIx1xlZwAmv5fPlbkxY0a3mf/C00eLyXwgHG6SI="
}</t>
  </si>
  <si>
    <t>{
   "messageError": null,
   "resultadoValidacion": "OperaciÃ³n aprobada",
   "rfcEmisor": "CEGJ801110GE2 - Habilitado para facturar (4)",
   "rfcReceptor": "AUAR6704193R1",
   "tipoOperacion": "8",
   "descripcionTipoOperacion": null,
   "numeroAprobacion": "167",
   "fechaConsulta": "2025-09-17 14:17:27",
   "firmaDigiyal": "||OperaciÃ³n aprobada|CEGJ801110GE2|4|AUAR6704193R1|8|167|2025-09-17 14:17:27|",
   "estatus": "OperaciÃ³n aprobada",
   "numCertificado": null,
   "acuseBase64": null,
   "selloDigital": "M/EZEq/Nn4nvcJVS6dnBfTETMX8aziQrz+mRiZKA3zd35G3k/Se3DOCUk4T9uh9w44zmyGYqdnrBz5SgZG7Vb7kG2oKqZkoAzQaWEZkoh9z6U6rla34wWEumFe1P+2fkh6rzffHTDll7Kh6BSwcslgHTNvDmq5GasS8T7I1A8NE="
}</t>
  </si>
  <si>
    <t>{
   "messageError": null,
   "resultadoValidacion": "OperaciÃ³n aprobada",
   "rfcEmisor": "VAOJ640822H49 - Habilitado para facturar (1)",
   "rfcReceptor": "AUAR6704193R1",
   "tipoOperacion": "8",
   "descripcionTipoOperacion": null,
   "numeroAprobacion": "168",
   "fechaConsulta": "2025-09-17 14:18:05",
   "firmaDigiyal": "||OperaciÃ³n aprobada|VAOJ640822H49|1|AUAR6704193R1|8|168|2025-09-17 14:18:05|",
   "estatus": "OperaciÃ³n aprobada",
   "numCertificado": null,
   "acuseBase64": null,
   "selloDigital": "jholElyg6Zy4oOXTV7/YhdONb2TZcf2/+25kTq1o35bmxo/cQLPW5CvidtP1YvaZuYEYw1GZmWGkFJRS+cDNa3n8s9vtu7E7cLjxTIRAppNFDACJlNOXuLhrzYLeimlUGNsINIbmDs2xfpQhBBcB67qYL+LI2wq3ielWC4EWSCU="
}</t>
  </si>
  <si>
    <t>{
   "messageError": null,
   "resultadoValidacion": "OperaciÃ³n aprobada",
   "rfcEmisor": "SODJ820412I18 - Habilitado para facturar (3)",
   "rfcReceptor": "AUAR6704193R1",
   "tipoOperacion": "8",
   "descripcionTipoOperacion": null,
   "numeroAprobacion": "169",
   "fechaConsulta": "2025-09-17 14:18:37",
   "firmaDigiyal": "||OperaciÃ³n aprobada|SODJ820412I18|3|AUAR6704193R1|8|169|2025-09-17 14:18:37|",
   "estatus": "OperaciÃ³n aprobada",
   "numCertificado": null,
   "acuseBase64": null,
   "selloDigital": "n2+tXtVI3ogtOb4SygZ1Z3DXrsUUGiIv08022Li6fQLCcsPCP3rOuVjLkZDJR3Xl/IgTOYZbAPeW+UrmGBaQgmGure2U4HvvgaOJt1gnaKiIMWT/ay1NIPw3k6XkynWm6kM6tOvogkn/Ctz2OcT0CB8kguZoOnH1TE5SOCqtAuY="
}</t>
  </si>
  <si>
    <t>{
   "messageError": null,
   "resultadoValidacion": "OperaciÃ³n aprobada",
   "rfcEmisor": "FOAD830807FI2 - Habilitado para facturar (1)",
   "rfcReceptor": "AUAR6704193R1",
   "tipoOperacion": "8",
   "descripcionTipoOperacion": null,
   "numeroAprobacion": "170",
   "fechaConsulta": "2025-09-17 14:19:22",
   "firmaDigiyal": "||OperaciÃ³n aprobada|FOAD830807FI2|1|AUAR6704193R1|8|170|2025-09-17 14:19:22|",
   "estatus": "OperaciÃ³n aprobada",
   "numCertificado": null,
   "acuseBase64": null,
   "selloDigital": "J6Shc50LYZA093hszSF5vyWrRK5Ulz6lJ7kDGkWag9uBGoX8VCZzyhhYhymnf+g7xy1c3gCU/gKfXBYcbUDg31P2lGjB+wB6tgEdETeCYi2OLUWJXB5FgLZ/pBr1uClkkigElNXySKseqjiOv7nHbk8G/X4G+lJIk4uL98EO0BI="
}</t>
  </si>
  <si>
    <t>{
   "messageError": null,
   "resultadoValidacion": "OperaciÃ³n rechazada",
   "rfcEmisor": "MEBB740726PL3 - No puede aplicar la facilidad de facturaciÃ³n a travÃ©s del adquirente.",
   "rfcReceptor": "AUAR6704193R1 ",
   "tipoOperacion": "8",
   "descripcionTipoOperacion": null,
   "numeroAprobacion": "171",
   "fechaConsulta": "2025-09-17 14:20:14",
   "firmaDigiyal": "||OperaciÃ³n rechazada|MEBB740726PL3 - No puede aplicar la facilidad de facturaciÃ³n a travÃ©s del adquirente.|AUAR6704193R1 |8|171|2025-09-17 14:20:14|",
   "estatus": "OperaciÃ³n rechazada",
   "numCertificado": null,
   "acuseBase64": null,
   "selloDigital": "PZZFx04i+J11H3CRK5F/3RzXSboYEVu48y8m1hWU7kX9eZ1K56OyWTPnAxYM9Q81al+O7IlBkyjwcKDtFGj0TAXeTO0IqO5WpfUDmZSO2xO8VcgS0ufAXYAmNcXJf8/7jBPZSauy3sFxI01cpyGYr7Bp8QAtNUHyZ8SN/OVC938="
}</t>
  </si>
  <si>
    <t>{
   "messageError": null,
   "resultadoValidacion": "OperaciÃ³n aprobada",
   "rfcEmisor": "EICJ820719TD5 - Habilitado para facturar (2)",
   "rfcReceptor": "AUAR6704193R1",
   "tipoOperacion": "9",
   "descripcionTipoOperacion": null,
   "numeroAprobacion": "172",
   "fechaConsulta": "2025-09-17 14:41:47",
   "firmaDigiyal": "||OperaciÃ³n aprobada|EICJ820719TD5|2|AUAR6704193R1|9|172|2025-09-17 14:41:47|",
   "estatus": "OperaciÃ³n aprobada",
   "numCertificado": null,
   "acuseBase64": null,
   "selloDigital": "CGIRAb7IIMrVcrGYZ1szqWKMCHXAaB04eqXDTScK70Aptu4aX4VDvcI0ZSzuRzWD35p0SstoRM2Y5EB7frYibDoJ74Vuq6eWS8Ps3cP0WaKcDtziUs+z12yBL01qz9NDdHbfBqUy+i/ShTwIH/llCg8DCgoJzjQl+I4+jd8HfgQ="
}</t>
  </si>
  <si>
    <t>{
    "rfcEmisor": "EICJ820719TD5" ,
    "rfcReceptor": "AUAR6704193R1",
    "rfcPrestador":"SPR190613I52",
    "tipoOperacion": "9",
    "fechaHoraPeticion": "17/09/2025 12:47:56",
    "certReceptor": "hshdgssdjh",
    "selloReceptor": "JhuKKHVEugf4qkRmjgLutHdv5KQ=",
    "numeroSerieReceptor": "30001000000500003397",
    "certPrestador": "MIIFgjCCA2qgAwIBAgIUMzAwMDEwMDAwMDA0MDAwMDUzMDIwDQYJKoZIhvcNAQELBQAwggErMQ8wDQYDVQQDDAZBQyBVQVQxLjAsBgNVBAoMJVNFUlZJQ0lPIERFIEFETUlOSVNUUkFDSU9OIFRSSUJVVEFSSUExGjAYBgNVBAsMEVNBVC1JRVMgXV0aG9yaXR5MSgwJgYJKoZIhvcNAQkBFhlvc2Nhci5tYXJ0aW5lekBzYXQuZ29iLm14MR0wGwYDVQQJDBQzcmEgY2VycmFkYSBkZSBjYWRpejEOMAwGA1UEEQwFMDYzNzAxCzAJBgNVBAYTAk1YMRkwFwYDVQQIDBBDSVVEQUQgREUgTUVYSUNPMREwDwYDVQQHDAhDT1lPQUNBTjERMA8GA1UELRMIMi41LjQuNDUxJTAjBgkqhkiG9w0BCQITFnJlc3BvbnNhYmxlOiBBQ0RNQS1TQVQwHhcNMjAwMzA2MDEwMjU3WhcNMjQwMzA2MDEwMjU3WjCBqTEcMBoGA1UEAxMTSEVDVE9SIFNFUlJBTk8gTEVPTjEcMBoGA1UEKRMTSEVDVE9SIFNFUlJBTk8gTEVPTjEcMBoGA1UEChMTSEVDVE9SIFNFUlJBTk8gTEVPTjEWMBQGA1UELRMNQUFBQTU1MDQyMEk1NjEbMBkGA1UEBRMSQUFBQTU1MDQyMEhDTExHTDAzMRgwFgYDVQQLEw9TZWN0b3IgcHJpbWFyaW8wggEiMA0GCSqGSIb3DQEBAQUAA4IBDwAwggEKAoIBAQCxfD7hhRoJvPhKI6L2sgR5l3Elc5N4CtXmjgyOkmU/KBA6AWhHcz1oFqzQPABb7CYjCubMGUaLI73nf5wJlekCfc2tVzhFbHhI2tDZ/BZPKuit8ev0yBmYlo95MPexc+hBtyVo/jIWCPzmMA+1LQLH/ALANTh+zTtcwkipxmO6NwcWJItP10I5Jpwy3XyftdXYxVui+nr5QzsuvldSnuEeqFRNd0f4jNRVwD/GP6nl+IBKrvhNyfRCHAftswlR6bAh8qxc3T/c6CH3kXOhuOitpvbpzQXyFlr8bW5EIebVp9y77TTJnzFFtRZ0Q5dCaOOWxlVoBOrr3trmz5vHacnjAgMBAAGjHTAbMAwGA1UdEwEB/wQCMAAwCwYDVR0PBAQDAgbAMA0GCSqGSIb3DQEBCwUAA4ICAQAQaIA+BfYKHX1lUz4Y6AnrlqccVtmZOXmAa+6tVoj2ilmi+4vE1C1CLtUhY0R5cBq0RIi+tg88OfE2Q+g4zIEPu3NETrwH2FxpiMbEejaqAbiUDgBFZQWwcZ39pQwU4m5Foe4+bELdp3D+QkYlDUN/aNHDdF2PWp3JAoQdyDLrh4RnZ6U70GYH1N6bY0UJCpaZhAPKxKHQ6j73SGLMuP4voYzlPKiLWrO7x0JQUn+Yj1+ODUeyF9MfGN7ebl430n2CWdTktA2KE5DiWXTwGm3otEYrvjvWDloq+EkIrujAjXOeFD/gmvV2YfKhjdy88RyqH2OXa1z0R8RJfzrp9RIsrm4vHHn2Hx3SWSOwxJHuWIbk88y7ln738Ev8hi/sev3YoqOPADTb62182W9eM/AxDzae1AdXqt2CyPAJjInp/9LlJS3oZvuDpFWb55ot7fE80UAHxgfxJPsbItS09hM4Hm67CQzOBr6e3sb/vhpSAwgFV90Q+vI4vWnJUSui2+naygbUZY1mGHiZKamj3defFliXFendQqaMLv2EUILjZn9c49XFBmVSMZJ/jUqeeJKgfrCGYjBVE+DCUfDZIqdoE2END9rZfe9tG5qfcr7Hru0YdU9/TGInIuA4g9mBCAgaSeEbEZSzNaYd/tCj5TPvpSjeF56Ta+sv9T4GVN54hg==",
    "selloPrestador": "JhuKKHVEugf4qkRmjgLutHdv5KQ=",
    "numeroSeriePrestador": "30001000000500003144"
}</t>
  </si>
  <si>
    <t>{
   "messageError": null,
   "resultadoValidacion": "OperaciÃ³n aprobada",
   "rfcEmisor": "VAVD880310JY5 - Habilitado para facturar (1)",
   "rfcReceptor": "AUAR6704193R1",
   "tipoOperacion": "9",
   "descripcionTipoOperacion": null,
   "numeroAprobacion": "173",
   "fechaConsulta": "2025-09-17 14:42:28",
   "firmaDigiyal": "||OperaciÃ³n aprobada|VAVD880310JY5|1|AUAR6704193R1|9|173|2025-09-17 14:42:28|",
   "estatus": "OperaciÃ³n aprobada",
   "numCertificado": null,
   "acuseBase64": null,
   "selloDigital": "h8NBIFdSxMrK82vAyIWFT1hC4grTTogmJSwV8lKwopY8nycoCCUR9wG4uUBp1NRP1w2zpvamJrOuDzlRSbwwF6vRyssJbFJIJ65Haqyx69kCJSkqbaWhbhvEMGDxrvXSrXUDRWCsDUIQ0Hcovkc7nJ0dZwHr1gjLNoZY40Ar3DE="
}</t>
  </si>
  <si>
    <t>{
   "messageError": null,
   "resultadoValidacion": "OperaciÃ³n aprobada",
   "rfcEmisor": "ROVJ4304083HA - Habilitado para facturar (1)",
   "rfcReceptor": "AUAR6704193R1",
   "tipoOperacion": "9",
   "descripcionTipoOperacion": null,
   "numeroAprobacion": "174",
   "fechaConsulta": "2025-09-17 14:43:09",
   "firmaDigiyal": "||OperaciÃ³n aprobada|ROVJ4304083HA|1|AUAR6704193R1|9|174|2025-09-17 14:43:09|",
   "estatus": "OperaciÃ³n aprobada",
   "numCertificado": null,
   "acuseBase64": null,
   "selloDigital": "aPZv6P4z6pDSgfwN7NOl+PWJBuklEUG1xXB06jyUeLe2oSP7oAG1AGHF2bnFu0L1jnieJd2BW5xD/uVimHQk2kw3AsDeQ9ZcG6moSduE9MP64/hSYH9Qp8Uagj/0JBm88891gcKaUA4A/tsg/DLMuZdSo3eqmpyKKElB+cMNovA="
}</t>
  </si>
  <si>
    <t>{
   "messageError": null,
   "resultadoValidacion": "OperaciÃ³n rechazada",
   "rfcEmisor": "GOMV640914RU9 - No puede aplicar la facilidad de facturaciÃ³n a travÃ©s del adquirente.",
   "rfcReceptor": "AUAR6704193R1 ",
   "tipoOperacion": "9",
   "descripcionTipoOperacion": null,
   "numeroAprobacion": "175",
   "fechaConsulta": "2025-09-17 14:43:46",
   "firmaDigiyal": "||OperaciÃ³n rechazada|GOMV640914RU9 - No puede aplicar la facilidad de facturaciÃ³n a travÃ©s del adquirente.|AUAR6704193R1 |9|175|2025-09-17 14:43:46|",
   "estatus": "OperaciÃ³n rechazada",
   "numCertificado": null,
   "acuseBase64": null,
   "selloDigital": "cS/eAZBRtHmavQVHpRPCQPuAynxqDt18kpuG9vQuamibVuYkaSrtCnFdBOX/rW11qF3YNJUWY+98cShHULVcUs/1S9f1nr7RokQ0rzDcv99i2tDGI1Dr0SGOKYY3tMuNdoBcI+z89euDOHMJl1WYd52jlAZ43ao9dRpXiymcSlg="
}</t>
  </si>
  <si>
    <t>{
   "messageError": null,
   "resultadoValidacion": "OperaciÃ³n aprobada",
   "rfcEmisor": "EICJ820719TD5 - Habilitado para facturar (2)",
   "rfcReceptor": "AUAR6704193R1",
   "tipoOperacion": "10",
   "descripcionTipoOperacion": null,
   "numeroAprobacion": "176",
   "fechaConsulta": "2025-09-17 14:44:34",
   "firmaDigiyal": "||OperaciÃ³n aprobada|EICJ820719TD5|2|AUAR6704193R1|10|176|2025-09-17 14:44:34|",
   "estatus": "OperaciÃ³n aprobada",
   "numCertificado": null,
   "acuseBase64": null,
   "selloDigital": "VoWXooqwujrO5R/L+qmiBNZUlNUJ6U9mQmh7uLy3L8Dq+nhYCEL7STmGViNZWkE8AaxLPxGy1x19gfA3bWdHnE8Qnly3C8x304XtvlF7cJAtg9unM4ucyFhiP/nVsF3GKGJHPSLEOLVgMZ7WNNsrd6lIMVJjw63dDPXWkJMLpCM="
}</t>
  </si>
  <si>
    <t>{
    "rfcEmisor": "EICJ820719TD5" ,
    "rfcReceptor": "AUAR6704193R1",
    "rfcPrestador":"SPR190613I52",
    "tipoOperacion": "10",
    "fechaHoraPeticion": "17/09/2025 12:47:56",
    "certReceptor": "hshdgssdjh",
    "selloReceptor": "JhuKKHVEugf4qkRmjgLutHdv5KQ=",
    "numeroSerieReceptor": "30001000000500003397",
    "certPrestador": "MIIFgjCCA2qgAwIBAgIUMzAwMDEwMDAwMDA0MDAwMDUzMDIwDQYJKoZIhvcNAQELBQAwggErMQ8wDQYDVQQDDAZBQyBVQVQxLjAsBgNVBAoMJVNFUlZJQ0lPIERFIEFETUlOSVNUUkFDSU9OIFRSSUJVVEFSSUExGjAYBgNVBAsMEVNBVC1JRVMgXV0aG9yaXR5MSgwJgYJKoZIhvcNAQkBFhlvc2Nhci5tYXJ0aW5lekBzYXQuZ29iLm14MR0wGwYDVQQJDBQzcmEgY2VycmFkYSBkZSBjYWRpejEOMAwGA1UEEQwFMDYzNzAxCzAJBgNVBAYTAk1YMRkwFwYDVQQIDBBDSVVEQUQgREUgTUVYSUNPMREwDwYDVQQHDAhDT1lPQUNBTjERMA8GA1UELRMIMi41LjQuNDUxJTAjBgkqhkiG9w0BCQITFnJlc3BvbnNhYmxlOiBBQ0RNQS1TQVQwHhcNMjAwMzA2MDEwMjU3WhcNMjQwMzA2MDEwMjU3WjCBqTEcMBoGA1UEAxMTSEVDVE9SIFNFUlJBTk8gTEVPTjEcMBoGA1UEKRMTSEVDVE9SIFNFUlJBTk8gTEVPTjEcMBoGA1UEChMTSEVDVE9SIFNFUlJBTk8gTEVPTjEWMBQGA1UELRMNQUFBQTU1MDQyMEk1NjEbMBkGA1UEBRMSQUFBQTU1MDQyMEhDTExHTDAzMRgwFgYDVQQLEw9TZWN0b3IgcHJpbWFyaW8wggEiMA0GCSqGSIb3DQEBAQUAA4IBDwAwggEKAoIBAQCxfD7hhRoJvPhKI6L2sgR5l3Elc5N4CtXmjgyOkmU/KBA6AWhHcz1oFqzQPABb7CYjCubMGUaLI73nf5wJlekCfc2tVzhFbHhI2tDZ/BZPKuit8ev0yBmYlo95MPexc+hBtyVo/jIWCPzmMA+1LQLH/ALANTh+zTtcwkipxmO6NwcWJItP10I5Jpwy3XyftdXYxVui+nr5QzsuvldSnuEeqFRNd0f4jNRVwD/GP6nl+IBKrvhNyfRCHAftswlR6bAh8qxc3T/c6CH3kXOhuOitpvbpzQXyFlr8bW5EIebVp9y77TTJnzFFtRZ0Q5dCaOOWxlVoBOrr3trmz5vHacnjAgMBAAGjHTAbMAwGA1UdEwEB/wQCMAAwCwYDVR0PBAQDAgbAMA0GCSqGSIb3DQEBCwUAA4ICAQAQaIA+BfYKHX1lUz4Y6AnrlqccVtmZOXmAa+6tVoj2ilmi+4vE1C1CLtUhY0R5cBq0RIi+tg88OfE2Q+g4zIEPu3NETrwH2FxpiMbEejaqAbiUDgBFZQWwcZ39pQwU4m5Foe4+bELdp3D+QkYlDUN/aNHDdF2PWp3JAoQdyDLrh4RnZ6U70GYH1N6bY0UJCpaZhAPKxKHQ6j73SGLMuP4voYzlPKiLWrO7x0JQUn+Yj1+ODUeyF9MfGN7ebl430n2CWdTktA2KE5DiWXTwGm3otEYrvjvWDloq+EkIrujAjXOeFD/gmvV2YfKhjdy88RyqH2OXa1z0R8RJfzrp9RIsrm4vHHn2Hx3SWSOwxJHuWIbk88y7ln738Ev8hi/sev3YoqOPADTb62182W9eM/AxDzae1AdXqt2CyPAJjInp/9LlJS3oZvuDpFWb55ot7fE80UAHxgfxJPsbItS09hM4Hm67CQzOBr6e3sb/vhpSAwgFV90Q+vI4vWnJUSui2+naygbUZY1mGHiZKamj3defFliXFendQqaMLv2EUILjZn9c49XFBmVSMZJ/jUqeeJKgfrCGYjBVE+DCUfDZIqdoE2END9rZfe9tG5qfcr7Hru0YdU9/TGInIuA4g9mBCAgaSeEbEZSzNaYd/tCj5TPvpSjeF56Ta+sv9T4GVN54hg==",
    "selloPrestador": "JhuKKHVEugf4qkRmjgLutHdv5KQ=",
    "numeroSeriePrestador": "30001000000500003144"
}</t>
  </si>
  <si>
    <t>{
   "messageError": null,
   "resultadoValidacion": "OperaciÃ³n rechazada",
   "rfcEmisor": "OIVM670429NF5 - No puede aplicar la facilidad de facturaciÃ³n a travÃ©s del adquirente.",
   "rfcReceptor": "AUAR6704193R1 ",
   "tipoOperacion": "10",
   "descripcionTipoOperacion": null,
   "numeroAprobacion": "177",
   "fechaConsulta": "2025-09-17 14:45:21",
   "firmaDigiyal": "||OperaciÃ³n rechazada|OIVM670429NF5 - No puede aplicar la facilidad de facturaciÃ³n a travÃ©s del adquirente.|AUAR6704193R1 |10|177|2025-09-17 14:45:21|",
   "estatus": "OperaciÃ³n rechazada",
   "numCertificado": null,
   "acuseBase64": null,
   "selloDigital": "GKFQj4GbW7J2TalqHqijr6jEZo1F1DbNQFlgrSlNhy9Ax+KVO90yZAczDzlALN3AK//adyHUsauzw0Z0hZ8JU42weALOkGr4V5N6BQrivXNKoyO6AqcMKfTD6BL+JPFDJZZFuqch8yK06/UZnpofzheWFliNwUxhCQgk/UTjEJk="
}</t>
  </si>
  <si>
    <t>{
   "messageError": null,
   "resultadoValidacion": "OperaciÃ³n aprobada",
   "rfcEmisor": "ROVJ4304083HA - Habilitado para facturar (1)",
   "rfcReceptor": "AUAR6704193R1",
   "tipoOperacion": "10",
   "descripcionTipoOperacion": null,
   "numeroAprobacion": "178",
   "fechaConsulta": "2025-09-17 14:46:19",
   "firmaDigiyal": "||OperaciÃ³n aprobada|ROVJ4304083HA|1|AUAR6704193R1|10|178|2025-09-17 14:46:19|",
   "estatus": "OperaciÃ³n aprobada",
   "numCertificado": null,
   "acuseBase64": null,
   "selloDigital": "RdoHFVfRRkiW+zrAAlcPf00pU1yCu3WjehKIcPIZv9KIqX5RZCdxKXuLKPqZb+C/cYGBEs2mxlRnZVyPW3VFfMQFtNE0T5d0PLLWUeyGGnjvLs77Zw7D2ydDYm8njZ8pcnX7+VmVsamXnVKKQgKxXp5/Vc/WAQS/nKkPLMBvBeg="
}</t>
  </si>
  <si>
    <t>{
   "messageError": null,
   "resultadoValidacion": "OperaciÃ³n rechazada",
   "rfcEmisor": "EICL840608GQ9 - No puede aplicar la facilidad de facturaciÃ³n a travÃ©s del adquirente.",
   "rfcReceptor": "AUAR6704193R1 ",
   "tipoOperacion": "10",
   "descripcionTipoOperacion": null,
   "numeroAprobacion": "179",
   "fechaConsulta": "2025-09-17 14:46:55",
   "firmaDigiyal": "||OperaciÃ³n rechazada|EICL840608GQ9 - No puede aplicar la facilidad de facturaciÃ³n a travÃ©s del adquirente.|AUAR6704193R1 |10|179|2025-09-17 14:46:55|",
   "estatus": "OperaciÃ³n rechazada",
   "numCertificado": null,
   "acuseBase64": null,
   "selloDigital": "VdWbreiitrdWGHYjYDgMCDFPvsMB4pXPcWkinH01nbUB24T07GXulWVczqvAYXa984x5pATasS63GMY5AcExcvRhi5m/W7eBfakiCAhzpCGta59zkIsIc1amXl5R23s5tpRaSQVjlA1/QT6ToZ1AhFruBwFPikne1eNzb8sRKKQ="
}</t>
  </si>
  <si>
    <t>{
   "messageError": null,
   "resultadoValidacion": "OperaciÃ³n rechazada",
   "rfcEmisor": "CECR840904UI6 - No puede aplicar la facilidad de facturaciÃ³n a travÃ©s del adquirente. / Obligaciones no vÃ¡lidas para facturar.",
   "rfcReceptor": "AUAR6704193R1 ",
   "tipoOperacion": "7",
   "descripcionTipoOperacion": null,
   "numeroAprobacion": "180",
   "fechaConsulta": "2025-09-17 14:47:57",
   "firmaDigiyal": "||OperaciÃ³n rechazada|CECR840904UI6 - No puede aplicar la facilidad de facturaciÃ³n a travÃ©s del adquirente. / Obligaciones no vÃ¡lidas para facturar.|AUAR6704193R1 |7|180|2025-09-17 14:47:57|",
   "estatus": "OperaciÃ³n rechazada",
   "numCertificado": null,
   "acuseBase64": null,
   "selloDigital": "g2iibI8zAySiQxdEEUt+PyPP9l+DsU0z5Udr+5toszWtzaAyYFUqIAmXoYcDainUgxDSF26e34WP0FQZ+jScM+sZzyWZgza7HOl0sDJSscjsG2FNG1siof6qb76ieWqmjwrA0/ZX1oGcYL7oas9YLI7Llz8WcvxF817DH0K+bbE="
}</t>
  </si>
  <si>
    <t>{
   "messageError": null,
   "resultadoValidacion": "OperaciÃ³n rechazada",
   "rfcEmisor": "LISM8007175X7 - Obligaciones no vÃ¡lidas para facturar.",
   "rfcReceptor": "AUAR6704193R1 ",
   "tipoOperacion": "7",
   "descripcionTipoOperacion": null,
   "numeroAprobacion": "181",
   "fechaConsulta": "2025-09-17 14:48:34",
   "firmaDigiyal": "||OperaciÃ³n rechazada|LISM8007175X7 - Obligaciones no vÃ¡lidas para facturar.|AUAR6704193R1 |7|181|2025-09-17 14:48:34|",
   "estatus": "OperaciÃ³n rechazada",
   "numCertificado": null,
   "acuseBase64": null,
   "selloDigital": "EX1jhwQlp/ihlr0nbmHcSFN1vQrSYH0l+Qx402jbV8VbBj3ODKtnWvoLCjM8dQKFNox30+tqDPGX2DEQEKCqMgqryArtkdTUeuoSmgmBtzTl4k1KdpTSz+nuhCnjv83aFgPJwVeMFOV7XBKUo2Qm2NfWHW7Qf4bmfT+/BYL3P4w="
}</t>
  </si>
  <si>
    <t>{
   "messageError": null,
   "resultadoValidacion": "OperaciÃ³n rechazada",
   "rfcEmisor": "OISM840515T37 - Obligaciones no vÃ¡lidas para facturar.",
   "rfcReceptor": "AUAR6704193R1 ",
   "tipoOperacion": "7",
   "descripcionTipoOperacion": null,
   "numeroAprobacion": "182",
   "fechaConsulta": "2025-09-17 14:49:05",
   "firmaDigiyal": "||OperaciÃ³n rechazada|OISM840515T37 - Obligaciones no vÃ¡lidas para facturar.|AUAR6704193R1 |7|182|2025-09-17 14:49:05|",
   "estatus": "OperaciÃ³n rechazada",
   "numCertificado": null,
   "acuseBase64": null,
   "selloDigital": "rKhIe0+QUeJ0k3PymU5MGsjjsAMAll0DoLiN/qY5lz4LnwaEKL+bYHUdADiTtQT5fpyX1PN4VWl7EsMOh46/KxCYXo9kr4IQVvYiU8cDnd9321p3+sjkf4xObT4QB0nIlI3tuyQTTluDTzCS2yuw/+4sPB7aYFgmmlSzA0ZaO8M="
}</t>
  </si>
  <si>
    <t>{
   "messageError": null,
   "resultadoValidacion": "OperaciÃ³n rechazada",
   "rfcEmisor": "OIAF881228HJ2 - Obligaciones no vÃ¡lidas para facturar.",
   "rfcReceptor": "AUAR6704193R1 ",
   "tipoOperacion": "7",
   "descripcionTipoOperacion": null,
   "numeroAprobacion": "183",
   "fechaConsulta": "2025-09-17 14:49:44",
   "firmaDigiyal": "||OperaciÃ³n rechazada|OIAF881228HJ2 - Obligaciones no vÃ¡lidas para facturar.|AUAR6704193R1 |7|183|2025-09-17 14:49:44|",
   "estatus": "OperaciÃ³n rechazada",
   "numCertificado": null,
   "acuseBase64": null,
   "selloDigital": "poD+hP2ZxHZHGzlTWXn9uv1bcM5hwdneWxTU6bq6B030LvjJM4NC3PuRahysxUG7TDKWmHtOWcRDMWh0WfTNXXloGSgMhtuFYs1t4H5qlvAeND1ohqeV+GxgoMFVqsi9h2hszc4xgRex1TK/U/ngbDqi8WEaVZ8f+V6rkRC6Vb4="
}</t>
  </si>
  <si>
    <t>{
   "messageError": null,
   "resultadoValidacion": "OperaciÃ³n rechazada",
   "rfcEmisor": "JOMG8001105L0 - Obligaciones no vÃ¡lidas para facturar.",
   "rfcReceptor": "AUAR6704193R1 ",
   "tipoOperacion": "7",
   "descripcionTipoOperacion": null,
   "numeroAprobacion": "184",
   "fechaConsulta": "2025-09-17 14:50:24",
   "firmaDigiyal": "||OperaciÃ³n rechazada|JOMG8001105L0 - Obligaciones no vÃ¡lidas para facturar.|AUAR6704193R1 |7|184|2025-09-17 14:50:24|",
   "estatus": "OperaciÃ³n rechazada",
   "numCertificado": null,
   "acuseBase64": null,
   "selloDigital": "P8SXGGrbSx7Q4nAZ7r2ARHHniaxf//lhYHsLfUaBYBFiNyZ4revVxYAKf1gnlxJ9jegnJa5Vn6lOH3Y/Ge9vw8qhkK62eQn31+DWqZ2Essnt3mTHhfaqlqT0i+3H1BIB73fPswWDYDsfp9pGaIXr0LAmGeTriiM254mbhhVfguo="
}</t>
  </si>
  <si>
    <t>{
   "messageError": null,
   "resultadoValidacion": "OperaciÃ³n rechazada",
   "rfcEmisor": "MANL540622PA2 - Obligaciones no vÃ¡lidas para facturar.",
   "rfcReceptor": "AUAR6704193R1 ",
   "tipoOperacion": "7",
   "descripcionTipoOperacion": null,
   "numeroAprobacion": "185",
   "fechaConsulta": "2025-09-17 14:50:55",
   "firmaDigiyal": "||OperaciÃ³n rechazada|MANL540622PA2 - Obligaciones no vÃ¡lidas para facturar.|AUAR6704193R1 |7|185|2025-09-17 14:50:55|",
   "estatus": "OperaciÃ³n rechazada",
   "numCertificado": null,
   "acuseBase64": null,
   "selloDigital": "mRj5sp8FLODDedtVFzzFoJt7BM+jR+fmZtIjkeFy2MT0eV2SBamVeWFO+ZXf+kJoj5pobacsEXsCesh6FgLR+jQJ/l47jOFsQ8SGWqc5508JI+hD3T8ve+e8S6qlViOT4cyipkoL9Mf/SgqRzoS/WZFlwabsP4/bRgYkJubQ0g4="
}</t>
  </si>
  <si>
    <t>{
   "messageError": null,
   "resultadoValidacion": "OperaciÃ³n aprobada",
   "rfcEmisor": "AUAR6704193R1 - Habilitado para facturar (1)",
   "rfcReceptor": "MANL540622PA2",
   "tipoOperacion": "7",
   "descripcionTipoOperacion": null,
   "numeroAprobacion": "186",
   "fechaConsulta": "2025-09-17 14:52:18",
   "firmaDigiyal": "||OperaciÃ³n aprobada|AUAR6704193R1|1|MANL540622PA2|7|186|2025-09-17 14:52:18|",
   "estatus": "OperaciÃ³n aprobada",
   "numCertificado": null,
   "acuseBase64": null,
   "selloDigital": "OkcyEPsUfnvpMJ9Bx7uXnVyTWo2Jy4o/eqiTpxYxorbdroqQ3SVsEAt3hqWgVy/I+Vgr8h1Xsww9/lQGuT8AOZ+vBS65rejddL4CnpSgjAKdMCCHLZ4C2HcqywDhr5qYKK1yCX5oFUVOhormWaJ2sTMsiyD+zc1TujV2WStraEs="
}</t>
  </si>
  <si>
    <t>{
   "messageError": null,
   "resultadoValidacion": "OperaciÃ³n rechazada",
   "rfcEmisor": "ROCI870318AJ5 - Obligaciones no vÃ¡lidas para facturar.",
   "rfcReceptor": "AUAR6704193R1 ",
   "tipoOperacion": "7",
   "descripcionTipoOperacion": null,
   "numeroAprobacion": "187",
   "fechaConsulta": "2025-09-17 14:53:28",
   "firmaDigiyal": "||OperaciÃ³n rechazada|ROCI870318AJ5 - Obligaciones no vÃ¡lidas para facturar.|AUAR6704193R1 |7|187|2025-09-17 14:53:28|",
   "estatus": "OperaciÃ³n rechazada",
   "numCertificado": null,
   "acuseBase64": null,
   "selloDigital": "rvlRSlhG4HNlIKULYHs84nSDME9d6GTjj64xF75IbDKy6Gn2qPFRd3cNyYwnfB/1AD/4wlubWu+e8OEXLjcN48GI40UAOJtNiu+8TlXZ6dclFRFypeIkgRlCAK3+JynL6qnPmpny8LY1zeKohXFmlUft3tJU2sSFBi9Bm778QA4="
}</t>
  </si>
  <si>
    <t>{
   "messageError": null,
   "resultadoValidacion": "OperaciÃ³n rechazada",
   "rfcEmisor": "AAAE761227VE0 - No puede aplicar la facilidad de facturaciÃ³n a travÃ©s del adquirente. / Obligaciones no vÃ¡lidas para facturar.",
   "rfcReceptor": "AUAR6704193R1 ",
   "tipoOperacion": "7",
   "descripcionTipoOperacion": null,
   "numeroAprobacion": "188",
   "fechaConsulta": "2025-09-17 14:54:22",
   "firmaDigiyal": "||OperaciÃ³n rechazada|AAAE761227VE0 - No puede aplicar la facilidad de facturaciÃ³n a travÃ©s del adquirente. / Obligaciones no vÃ¡lidas para facturar.|AUAR6704193R1 |7|188|2025-09-17 14:54:22|",
   "estatus": "OperaciÃ³n rechazada",
   "numCertificado": null,
   "acuseBase64": null,
   "selloDigital": "KmD1ShTgXiG47b64Yyqerck30CmBPYUXwsBAKfHu2HdmorLymp7YunwBKNnPlBzl0g8WAZ59fbH70isIjgUqItzm/afoPmoQ4cRu9okAryYQJk/qh8MCzvs/XNYykFq7SzSi8tD3tgCaFVsGgHbrIusUN5cQYUasD/Fpj0x9rhQ="
}</t>
  </si>
  <si>
    <t>{
   "messageError": null,
   "resultadoValidacion": "OperaciÃ³n rechazada",
   "rfcEmisor": "LISL770624GFA - Obligaciones no vÃ¡lidas para facturar.",
   "rfcReceptor": "AUAR6704193R1 ",
   "tipoOperacion": "7",
   "descripcionTipoOperacion": null,
   "numeroAprobacion": "189",
   "fechaConsulta": "2025-09-17 16:10:48",
   "firmaDigiyal": "||OperaciÃ³n rechazada|LISL770624GFA - Obligaciones no vÃ¡lidas para facturar.|AUAR6704193R1 |7|189|2025-09-17 16:10:48|",
   "estatus": "OperaciÃ³n rechazada",
   "numCertificado": null,
   "acuseBase64": null,
   "selloDigital": "LU1WzRSEA/8wIhcQJf5zl/fRNYdicJ95x8a1oxJw+K+l3a59ihHr2F0TOYDvrr9FWigZWF1X+xjNOhA7nYJVXhBTyGOQNy6mlhwXyBTl0UZUZkY8eM6Mmkv9yhY7q4QI8JVlSCMmoJffcIIVyxyQhTknz+C3XXiE1dv0f26hNlM="
}</t>
  </si>
  <si>
    <t>{
   "messageError": null,
   "resultadoValidacion": "OperaciÃ³n rechazada",
   "rfcEmisor": "SIPJ7701252K6 - Obligaciones no vÃ¡lidas para facturar.",
   "rfcReceptor": "AUAR6704193R1 ",
   "tipoOperacion": "7",
   "descripcionTipoOperacion": null,
   "numeroAprobacion": "190",
   "fechaConsulta": "2025-09-17 16:12:29",
   "firmaDigiyal": "||OperaciÃ³n rechazada|SIPJ7701252K6 - Obligaciones no vÃ¡lidas para facturar.|AUAR6704193R1 |7|190|2025-09-17 16:12:29|",
   "estatus": "OperaciÃ³n rechazada",
   "numCertificado": null,
   "acuseBase64": null,
   "selloDigital": "XL9TNjUN1+8IreQnctl6Ih8GK++L2S74m60OfylljnUPYdGejjPKR/EbntsVQuWysPhB/xr0Pd85U2906nDdyRfv4Gw/zPuE6+uN1QRthBsX2RjepdvTAsJZ8ELQ9c6IOl4weK0KftoMAch8WC6UNR5gccEOdn8KACc2TUkmYFM="
}</t>
  </si>
  <si>
    <t>{
   "messageError": null,
   "resultadoValidacion": "OperaciÃ³n aprobada",
   "rfcEmisor": "VAVJ720212CH2 - Habilitado para facturar (2)",
   "rfcReceptor": "AUAR6704193R1",
   "tipoOperacion": "6",
   "descripcionTipoOperacion": null,
   "numeroAprobacion": "192",
   "fechaConsulta": "2025-09-17 16:14:03",
   "firmaDigiyal": "||OperaciÃ³n aprobada|VAVJ720212CH2|2|AUAR6704193R1|6|192|2025-09-17 16:14:03|",
   "estatus": "OperaciÃ³n aprobada",
   "numCertificado": null,
   "acuseBase64": null,
   "selloDigital": "Op1f1TGHvMbzYLYhwPcaEfxkxzdsCqSBljeDxr99c4Vrft3dqf8l6k0X/x0xjYBHwBCgnR/6IEcGYlc/b5LY53uyiEA1S3188T+rexEOJV8hEGG1AV+20CKE/h/2JAELK8y8dMXl4x74U40Vahpw5ki6LMmDmZtNeKIib3aRLHw="
}</t>
  </si>
  <si>
    <t>{
   "messageError": null,
   "resultadoValidacion": "OperaciÃ³n aprobada",
   "rfcEmisor": "SISD900719AQ8 - Habilitado para facturar (2)",
   "rfcReceptor": "AUAR6704193R1",
   "tipoOperacion": "6",
   "descripcionTipoOperacion": null,
   "numeroAprobacion": "193",
   "fechaConsulta": "2025-09-17 16:15:13",
   "firmaDigiyal": "||OperaciÃ³n aprobada|SISD900719AQ8|2|AUAR6704193R1|6|193|2025-09-17 16:15:13|",
   "estatus": "OperaciÃ³n aprobada",
   "numCertificado": null,
   "acuseBase64": null,
   "selloDigital": "H3GOnrXWo8BkbuPEJDWHIlSWCDuHMQMblNU4XIpONFWMsRR5gMUtgSDjPHoMRf+SbErbIHw/SUVpTE+4xz6i6eEEqywIkS8O3+xh9w4FHTZhuYuPaiIeDFFG2YVyxg7HrjOZOtu3XGcNMXblMiR6AED5w/WovGmJ+T5oqeyd5p0="
}</t>
  </si>
  <si>
    <t>{
   "messageError": null,
   "resultadoValidacion": "OperaciÃ³n aprobada",
   "rfcEmisor": "GOMV640914RU9 - Habilitado para facturar (3)",
   "rfcReceptor": "AUAR6704193R1",
   "tipoOperacion": "6",
   "descripcionTipoOperacion": null,
   "numeroAprobacion": "194",
   "fechaConsulta": "2025-09-17 16:16:02",
   "firmaDigiyal": "||OperaciÃ³n aprobada|GOMV640914RU9|3|AUAR6704193R1|6|194|2025-09-17 16:16:02|",
   "estatus": "OperaciÃ³n aprobada",
   "numCertificado": null,
   "acuseBase64": null,
   "selloDigital": "qq12mhaUlXG+sJ4xY3acgwEYbRPO08T11utsQHpODDGoMdfBuSQ66hmFkIJT4s6YljvKrvlr9llWZhDhmm9yQNQI7mLNK3ENwwjcL7I8d3RmHensApBsEdyQpBMhwqvsQDN4WFvfYm1hhOXqiFSY0/HRzQnU+sbRXQe+dB36CfU="
}</t>
  </si>
  <si>
    <t>{
   "messageError": null,
   "resultadoValidacion": "OperaciÃ³n aprobada",
   "rfcEmisor": "SISD900719AQ8 - Habilitado para facturar (2)",
   "rfcReceptor": "AUAR6704193R1",
   "tipoOperacion": "6",
   "descripcionTipoOperacion": null,
   "numeroAprobacion": "195",
   "fechaConsulta": "2025-09-17 16:16:44",
   "firmaDigiyal": "||OperaciÃ³n aprobada|SISD900719AQ8|2|AUAR6704193R1|6|195|2025-09-17 16:16:44|",
   "estatus": "OperaciÃ³n aprobada",
   "numCertificado": null,
   "acuseBase64": null,
   "selloDigital": "jnNEDIUshD/0Tn7UJG7H5VgtpUJrT8d2UmyuS7Xo91WoRXqlyA/1+el5QsePQUEMaFktbIii+SSqF5dEhZMwyanLMKw1OKWcegCxqNRFTotmZWZ3Tj0C6JEdmZnDW8m12DsYwHWV7/OCBwNPRBX/FeYUv5VGEIyL5EiG1w0n/5I="
}</t>
  </si>
  <si>
    <t>{
   "messageError": null,
   "resultadoValidacion": "OperaciÃ³n aprobada",
   "rfcEmisor": "CEGJ801110GE2 - Habilitado para facturar (4)",
   "rfcReceptor": "AUAR6704193R1",
   "tipoOperacion": "6",
   "descripcionTipoOperacion": null,
   "numeroAprobacion": "196",
   "fechaConsulta": "2025-09-17 16:17:17",
   "firmaDigiyal": "||OperaciÃ³n aprobada|CEGJ801110GE2|4|AUAR6704193R1|6|196|2025-09-17 16:17:17|",
   "estatus": "OperaciÃ³n aprobada",
   "numCertificado": null,
   "acuseBase64": null,
   "selloDigital": "AgrOAszWHYwh5bWXp10righk74JbZq0wAPzpiglM8LDEFiTj+b5cQ2uU+bpfmv86Gk5BYMMEbn4xHae0E1aV57PGQPfSFMyX7S1+83ZHPaTku8rY2jm7+dxkpSFBy3jGQCxSXPWY0FgFjompU4Qe2f/8UfTKcLWlI8rYvG3LpuU="
}</t>
  </si>
  <si>
    <t>{
   "messageError": null,
   "resultadoValidacion": "OperaciÃ³n rechazada",
   "rfcEmisor": "AUAR6704193R1 ",
   "rfcReceptor": "AAO0906029N5 - No habilitado para recibir facturas.",
   "tipoOperacion": "7",
   "descripcionTipoOperacion": null,
   "numeroAprobacion": "197",
   "fechaConsulta": "2025-09-17 16:18:27",
   "firmaDigiyal": "||OperaciÃ³n rechazada|AUAR6704193R1 |AAO0906029N5 - No habilitado para recibir facturas.|7|197|2025-09-17 16:18:27|",
   "estatus": "OperaciÃ³n rechazada",
   "numCertificado": null,
   "acuseBase64": null,
   "selloDigital": "ZwfFWkiWN1+3bBZ9ETYZ/AkdAunVFMy4+hwnAQEkW/xZYy5abeoPh8lbhdKGVy3cYREv++LF35IMl84/kz9pZujDvyaVp3dk3g1lyEwFz05mb+42WgjYxMGzHsIxcD5z2KenIN3Ekq81pIw6UwsC/37OQZ2VYWZ/r3zNha+8wno="
}</t>
  </si>
  <si>
    <t>{
   "messageError": null,
   "resultadoValidacion": "OperaciÃ³n rechazada",
   "rfcEmisor": "AUAR6704193R1 ",
   "rfcReceptor": "ECH130516B29 - No habilitado para recibir facturas.",
   "tipoOperacion": "7",
   "descripcionTipoOperacion": null,
   "numeroAprobacion": "198",
   "fechaConsulta": "2025-09-17 16:19:28",
   "firmaDigiyal": "||OperaciÃ³n rechazada|AUAR6704193R1 |ECH130516B29 - No habilitado para recibir facturas.|7|198|2025-09-17 16:19:28|",
   "estatus": "OperaciÃ³n rechazada",
   "numCertificado": null,
   "acuseBase64": null,
   "selloDigital": "mQGKvTMbbWVhSDWx14FY9vPWIFJ384huH+4/B2+KmsHlMcx0dtgPndhNhyRbX56O4/5/b9ba4EDdZ8Kj6yRVGbcpVJRLVCcm+ZJdTSQ9Tl3XjVJddnbPY0971gUBlxmq168tXsjGiNSeWYY/f6RkjgvvxBBLmLxlKz6lDSEdWqU="
}</t>
  </si>
  <si>
    <t>{
   "messageError": null,
   "resultadoValidacion": "OperaciÃ³n rechazada",
   "rfcEmisor": "AUAR6704193R1 ",
   "rfcReceptor": "LORG8109066P7 - No habilitado para recibir facturas.",
   "tipoOperacion": "7",
   "descripcionTipoOperacion": null,
   "numeroAprobacion": "199",
   "fechaConsulta": "2025-09-17 16:20:09",
   "firmaDigiyal": "||OperaciÃ³n rechazada|AUAR6704193R1 |LORG8109066P7 - No habilitado para recibir facturas.|7|199|2025-09-17 16:20:09|",
   "estatus": "OperaciÃ³n rechazada",
   "numCertificado": null,
   "acuseBase64": null,
   "selloDigital": "QVgqqOCZlt8VY+oK0Jd5TGF1H4b7tQ3lscuDrDaLz5D/zXoe6+4MDKjrJUGDIwfYioz4pAP4IVPKNYrfnrxX5krnMR31VgxzVCkH+eVAwNizn7ag5E57yNIi330sL35qouZUoBbrBGUtlLxlgV9/n6Zyizi1/4eu65W2TW5D5Nc="
}</t>
  </si>
  <si>
    <t>{
   "messageError": null,
   "resultadoValidacion": "OperaciÃ³n rechazada",
   "rfcEmisor": "AUAR6704193R1 ",
   "rfcReceptor": "GOUA500223BP9 - No habilitado para recibir facturas.",
   "tipoOperacion": "7",
   "descripcionTipoOperacion": null,
   "numeroAprobacion": "200",
   "fechaConsulta": "2025-09-17 16:20:53",
   "firmaDigiyal": "||OperaciÃ³n rechazada|AUAR6704193R1 |GOUA500223BP9 - No habilitado para recibir facturas.|7|200|2025-09-17 16:20:53|",
   "estatus": "OperaciÃ³n rechazada",
   "numCertificado": null,
   "acuseBase64": null,
   "selloDigital": "XgmnXeaKtKFSiiNFbGGDcw6rP/ZBi7im+PWbGq6nagiR6HwoWa1rCf28SGQJeLbuOVBiXHYp2VMzXFl+ZuL+h6WZ/yZ6V/i9NInSzCzJOFr82VIQdB8gBRDbvMvBYlV7nVicjEC1Cs9RLlS0mowvngJ5H8JB7aCnO0ke7okS9DM="
}</t>
  </si>
  <si>
    <t>{
   "messageError": null,
   "resultadoValidacion": "OperaciÃ³n aprobada",
   "rfcEmisor": "AEGB580504DDA - Habilitado para facturar (3)",
   "rfcReceptor": "AUAR6704193R1",
   "tipoOperacion": "7",
   "descripcionTipoOperacion": null,
   "numeroAprobacion": "201",
   "fechaConsulta": "2025-09-17 16:21:45",
   "firmaDigiyal": "||OperaciÃ³n aprobada|AEGB580504DDA|3|AUAR6704193R1|7|201|2025-09-17 16:21:45|",
   "estatus": "OperaciÃ³n aprobada",
   "numCertificado": null,
   "acuseBase64": null,
   "selloDigital": "GXaWWhTRTzih3gj/mD3vbb3H0GJsbSBugb75O6IDvRc9vCOe2uznsFt1mmD9sjx08qmo8r9k9ebAd9bRlbjj1XxeavDgF3j8RXpBzBfa0v54usnuQaAn448n35TUFMnhK5S5DCub36aIVd9uVFAz9LpUrz8M2F0PW3wQd6DPZPk="
}</t>
  </si>
  <si>
    <t>{
   "messageError": null,
   "resultadoValidacion": "OperaciÃ³n aprobada",
   "rfcEmisor": "EIGG550131151 - Habilitado para facturar (4)",
   "rfcReceptor": "AUAR6704193R1",
   "tipoOperacion": "7",
   "descripcionTipoOperacion": null,
   "numeroAprobacion": "202",
   "fechaConsulta": "2025-09-17 16:22:28",
   "firmaDigiyal": "||OperaciÃ³n aprobada|EIGG550131151|4|AUAR6704193R1|7|202|2025-09-17 16:22:28|",
   "estatus": "OperaciÃ³n aprobada",
   "numCertificado": null,
   "acuseBase64": null,
   "selloDigital": "LNoCRcT9COxup/w1E52F7NT3TOWc1gvDbM3rifSyaL+c+gnCOcIwDQjVgKG56CZi1m2IHZbgUxK9ClfLEA5JJgAjgUyOgjY2Xh1eKnzk91c6k3jkog+nBB3Ynl/tIHcqQgacHt9MDVj/MgjXLKuVEbSVG40Ncme95zGH+wYbbzk="
}</t>
  </si>
  <si>
    <t>{
   "messageError": null,
   "resultadoValidacion": "OperaciÃ³n aprobada",
   "rfcEmisor": "SAGJ790902T13 - Habilitado para facturar (1)",
   "rfcReceptor": "AUAR6704193R1",
   "tipoOperacion": "7",
   "descripcionTipoOperacion": null,
   "numeroAprobacion": "206",
   "fechaConsulta": "2025-09-17 17:54:16",
   "firmaDigiyal": "||OperaciÃ³n aprobada|SAGJ790902T13|1|AUAR6704193R1|7|206|2025-09-17 17:54:16|",
   "estatus": "OperaciÃ³n aprobada",
   "numCertificado": null,
   "acuseBase64": null,
   "selloDigital": "D5JI01fUFeZiLbVl+cvdST0567lyFasg/kx0vEYsnHYmiQu/+XiHDKGk1phbM6CCPOBmpbNJcJ0eGXWO0iHcWKua0lvSg3daUr7Oz97D9e1uKOskmLVdOgfo52zTO6UkOxJuu2LeFVPCFJteRJMu4gKQ/rynfBR36xkmVfgHbyU="
}</t>
  </si>
  <si>
    <t>{
   "messageError": null,
   "resultadoValidacion": "OperaciÃ³n rechazada",
   "rfcEmisor": "AUAR6704193R1 ",
   "rfcReceptor": "AAAE761227VE0 - No habilitado para recibir facturas.",
   "tipoOperacion": "7",
   "descripcionTipoOperacion": null,
   "numeroAprobacion": "207",
   "fechaConsulta": "2025-09-17 17:54:53",
   "firmaDigiyal": "||OperaciÃ³n rechazada|AUAR6704193R1 |AAAE761227VE0 - No habilitado para recibir facturas.|7|207|2025-09-17 17:54:53|",
   "estatus": "OperaciÃ³n rechazada",
   "numCertificado": null,
   "acuseBase64": null,
   "selloDigital": "Own7enHE1daAOTJzc9celHjkeYQVRj5q9D7ys5u+kSSdKNWdYaHJcjQ7wifs1QCpIAOEiMujwhwGY/WXnHuGxKruo6I/sgqjO/DT/7XDFFRUuQPKUoF/+OzC9wbyuZMlx8ASy1evwWAXL9HfALAK9BA4hYdAjq8I3ft3AzHF+84="
}</t>
  </si>
  <si>
    <t>{
   "messageError": "El RFC Emisor no se encuentra registrado",
   "resultadoValidacion": null,
   "rfcEmisor": null,
   "rfcReceptor": null,
   "tipoOperacion": null,
   "descripcionTipoOperacion": null,
   "numeroAprobacion": null,
   "fechaConsulta": null,
   "firmaDigiyal": null,
   "estatus": null,
   "numCertificado": null,
   "acuseBase64": null,
   "selloDigital": null
}</t>
  </si>
  <si>
    <t>{
   "messageError": "El RFC Receptor no se encuentra registrado",
   "resultadoValidacion": null,
   "rfcEmisor": null,
   "rfcReceptor": null,
   "tipoOperacion": null,
   "descripcionTipoOperacion": null,
   "numeroAprobacion": null,
   "fechaConsulta": null,
   "firmaDigiyal": null,
   "estatus": null,
   "numCertificado": null,
   "acuseBase64": null,
   "selloDigital": null
}</t>
  </si>
  <si>
    <t>{
   "messageError": null,
   "resultadoValidacion": "OperaciÃ³n rechazada",
   "rfcEmisor": "PUVE3501265A9 - No puede aplicar la facilidad de facturaciÃ³n a travÃ©s del adquirente. / Obligaciones no vÃ¡lidas para facturar.",
   "rfcReceptor": "AUAR6704193R1 ",
   "tipoOperacion": "7",
   "descripcionTipoOperacion": null,
   "numeroAprobacion": "208",
   "fechaConsulta": "2025-09-17 17:57:10",
   "firmaDigiyal": "||OperaciÃ³n rechazada|PUVE3501265A9 - No puede aplicar la facilidad de facturaciÃ³n a travÃ©s del adquirente. / Obligaciones no vÃ¡lidas para facturar.|AUAR6704193R1 |7|208|2025-09-17 17:57:10|",
   "estatus": "OperaciÃ³n rechazada",
   "numCertificado": null,
   "acuseBase64": null,
   "selloDigital": "LXK6EaJtxnYd3vQ5nkoJSG9BdWgvV6bhijbtNNFLtGx0dlEmEJ7X4JVuK6xIBbKCXfAp7Lo/bgycUhS1/aEAPctBLflJCFjw6OP0aEFlIP/0PNq5gvsohFncFmsfn/E7mEnzJIf3geqROYHVZ21O5EDGSx2Z/GaR/ftbmkNIfsA="
}</t>
  </si>
  <si>
    <t>ID</t>
  </si>
  <si>
    <t>Tipo de Operecion</t>
  </si>
  <si>
    <t>RN02</t>
  </si>
  <si>
    <t>01</t>
  </si>
  <si>
    <t>PILY750909JI9</t>
  </si>
  <si>
    <t>Regimen</t>
  </si>
  <si>
    <t>N/A</t>
  </si>
  <si>
    <t>Actividades</t>
  </si>
  <si>
    <t>YAAA501130MQ1</t>
  </si>
  <si>
    <t>300031, 300155,300317</t>
  </si>
  <si>
    <t>BOGG71110821A</t>
  </si>
  <si>
    <t>605, 612</t>
  </si>
  <si>
    <t>3, 9, 30, 31,
203,579</t>
  </si>
  <si>
    <t>300031, 300155,300480</t>
  </si>
  <si>
    <t>IATF410605E89</t>
  </si>
  <si>
    <t>78, 1112</t>
  </si>
  <si>
    <t>MEMA800818BU8</t>
  </si>
  <si>
    <t>77, 773</t>
  </si>
  <si>
    <t>1098, 1086</t>
  </si>
  <si>
    <t>300155, 300514</t>
  </si>
  <si>
    <t>UIRE530823DW9</t>
  </si>
  <si>
    <t>MESA301116B47</t>
  </si>
  <si>
    <t>612, 622</t>
  </si>
  <si>
    <t>300155,  300476, 
300440, 300524</t>
  </si>
  <si>
    <t>BAJA730719QY9</t>
  </si>
  <si>
    <t>1, 274</t>
  </si>
  <si>
    <t>APROBADO</t>
  </si>
  <si>
    <t xml:space="preserve">REGIMEN </t>
  </si>
  <si>
    <t>RECHAZADO</t>
  </si>
  <si>
    <t>Comentarios</t>
  </si>
  <si>
    <t>Por actividad no exclusiva</t>
  </si>
  <si>
    <t>MEFA410811URA</t>
  </si>
  <si>
    <t>605, 611, 612</t>
  </si>
  <si>
    <t>300155, 300302, 
300476, 300505</t>
  </si>
  <si>
    <t>VISL760602BK8</t>
  </si>
  <si>
    <t>616, 621</t>
  </si>
  <si>
    <t>300475, 300155</t>
  </si>
  <si>
    <t>AAGM871005UH7</t>
  </si>
  <si>
    <t>605, 626</t>
  </si>
  <si>
    <t>02</t>
  </si>
  <si>
    <t>611, 626</t>
  </si>
  <si>
    <t>621, 626</t>
  </si>
  <si>
    <t>300505, 300155,
300033, 300452</t>
  </si>
  <si>
    <t>300155, 300514,
300033</t>
  </si>
  <si>
    <t>le falta el rol 300452</t>
  </si>
  <si>
    <t>LAMC6004276Q3</t>
  </si>
  <si>
    <t>90, 182</t>
  </si>
  <si>
    <t>03</t>
  </si>
  <si>
    <t>BOMA680420TU0</t>
  </si>
  <si>
    <t>605, 621</t>
  </si>
  <si>
    <t>300514, 300476,
300031, 300155, 300317</t>
  </si>
  <si>
    <t>625, 1135, 94</t>
  </si>
  <si>
    <t>CAMD301211QE2</t>
  </si>
  <si>
    <t>300155, 300476,
300514</t>
  </si>
  <si>
    <t>216, 94</t>
  </si>
  <si>
    <t>GAHI871105NQ0</t>
  </si>
  <si>
    <t>GAAI750323G56</t>
  </si>
  <si>
    <t>GAPI781227NS6</t>
  </si>
  <si>
    <t>605, 6012, 626</t>
  </si>
  <si>
    <t>3, 9, 30, 203,
 579, 33</t>
  </si>
  <si>
    <t>300031, 300155,
300484</t>
  </si>
  <si>
    <t>907, 116</t>
  </si>
  <si>
    <t>Tengo duda del porque</t>
  </si>
  <si>
    <t>04</t>
  </si>
  <si>
    <t>MOGE491001HQ7</t>
  </si>
  <si>
    <t>CAMP850507SZ4</t>
  </si>
  <si>
    <t>CACX730623IMA</t>
  </si>
  <si>
    <t>611, 616</t>
  </si>
  <si>
    <t>605, 608, 621</t>
  </si>
  <si>
    <t>300155, 300476
300514</t>
  </si>
  <si>
    <t>CAPN790518LL1</t>
  </si>
  <si>
    <t>605, 614</t>
  </si>
  <si>
    <t>HICI811004EH7</t>
  </si>
  <si>
    <t>300490, 300155, 300476</t>
  </si>
  <si>
    <t>PEMA690424LY9</t>
  </si>
  <si>
    <t>607, 616</t>
  </si>
  <si>
    <t>300056, 300441, 300440</t>
  </si>
  <si>
    <t>OICE850512LB3</t>
  </si>
  <si>
    <t>616, 626</t>
  </si>
  <si>
    <t>300033, 300452</t>
  </si>
  <si>
    <t>TEGS860519DM0</t>
  </si>
  <si>
    <t>05</t>
  </si>
  <si>
    <t>BAMA9109179Z0</t>
  </si>
  <si>
    <t>621, 622</t>
  </si>
  <si>
    <t>83, 1132</t>
  </si>
  <si>
    <t>909, 345</t>
  </si>
  <si>
    <t>SAMC640104A8A</t>
  </si>
  <si>
    <t>605, 611, 626</t>
  </si>
  <si>
    <t>300155, 300317, 300476</t>
  </si>
  <si>
    <t>848, 884</t>
  </si>
  <si>
    <t>MEAG4509116E4</t>
  </si>
  <si>
    <t>300155, 300475</t>
  </si>
  <si>
    <t>ROTC910125C1A</t>
  </si>
  <si>
    <t>06</t>
  </si>
  <si>
    <t>POVA521205734</t>
  </si>
  <si>
    <t>2, 3</t>
  </si>
  <si>
    <t>300033, 300155, 300480</t>
  </si>
  <si>
    <t>RAMR320727HE2</t>
  </si>
  <si>
    <t>300441, 300155, 300440</t>
  </si>
  <si>
    <t>GOIC821104MZ8</t>
  </si>
  <si>
    <t>BAAL540713KP5</t>
  </si>
  <si>
    <t>300155, 300476, 300031
300514</t>
  </si>
  <si>
    <t>300475, 300155, 300514</t>
  </si>
  <si>
    <t>GASE820904133</t>
  </si>
  <si>
    <t>612, 605</t>
  </si>
  <si>
    <t>3, 9, 30, 33, 
203, 579</t>
  </si>
  <si>
    <t>300033, 300155, 300476</t>
  </si>
  <si>
    <t>LESJ6004207K1</t>
  </si>
  <si>
    <t>EOMJ840701VA8</t>
  </si>
  <si>
    <t>608, 6021</t>
  </si>
  <si>
    <t>300155, 300476, 300514</t>
  </si>
  <si>
    <t>GATJ8808047D5</t>
  </si>
  <si>
    <t>COTB930709IT6</t>
  </si>
  <si>
    <t>614, 605</t>
  </si>
  <si>
    <t>611, 605</t>
  </si>
  <si>
    <t>08</t>
  </si>
  <si>
    <t>09</t>
  </si>
  <si>
    <t>FUMM840229HK5</t>
  </si>
  <si>
    <t>605, 615</t>
  </si>
  <si>
    <t>LASC610522KBA</t>
  </si>
  <si>
    <t>MOSI8003278I3</t>
  </si>
  <si>
    <t>605, 606</t>
  </si>
  <si>
    <t>AOME8805126L5</t>
  </si>
  <si>
    <t>605, 608</t>
  </si>
  <si>
    <t>SACC831027B52</t>
  </si>
  <si>
    <t>300464, 300155</t>
  </si>
  <si>
    <t>GUTS660710RB8</t>
  </si>
  <si>
    <t>3, 9, 30, 203,
579, 33</t>
  </si>
  <si>
    <t>300031, 300155, 300476,
300505</t>
  </si>
  <si>
    <t>JUPI9412121BA</t>
  </si>
  <si>
    <t>MEGR8604038Z4</t>
  </si>
  <si>
    <t>PEGK900604C3A</t>
  </si>
  <si>
    <t>622, 606</t>
  </si>
  <si>
    <t>GAZE931230J82</t>
  </si>
  <si>
    <t>VITE380316BC1</t>
  </si>
  <si>
    <t>738, 735, 3</t>
  </si>
  <si>
    <t>300031, 300155, 300476,
300514</t>
  </si>
  <si>
    <t>Checar</t>
  </si>
  <si>
    <t>PEZN680104SS2</t>
  </si>
  <si>
    <t>MEJE8211143U5</t>
  </si>
  <si>
    <t>MEJN660116FJ9</t>
  </si>
  <si>
    <t>PECN650201TK3</t>
  </si>
  <si>
    <t>PEIN730415NJ0</t>
  </si>
  <si>
    <t>BACF891210PH0</t>
  </si>
  <si>
    <t>300155,300295, 300505</t>
  </si>
  <si>
    <t>Reactivado</t>
  </si>
  <si>
    <t>COMB811017PUA</t>
  </si>
  <si>
    <t>COBB941002HL5</t>
  </si>
  <si>
    <t>LADB9205132N5</t>
  </si>
  <si>
    <t>BECE870824R19</t>
  </si>
  <si>
    <t>GOHK9511044X8</t>
  </si>
  <si>
    <t>PENDIENTE POR BUG</t>
  </si>
  <si>
    <t>VAGE410918GBA</t>
  </si>
  <si>
    <t>Por tener obligacion anexo 2 y cumple con todo lo demas</t>
  </si>
  <si>
    <t xml:space="preserve">A pesar de cumplir con las RN pero la actividad no es esclusiva </t>
  </si>
  <si>
    <t>IAPI810923LP9</t>
  </si>
  <si>
    <t>No tiene los roles 300033, 300452</t>
  </si>
  <si>
    <t>CAGM630514EA6</t>
  </si>
  <si>
    <t>100, 1122</t>
  </si>
  <si>
    <t>OITR910202CY9</t>
  </si>
  <si>
    <t>No cuenta con el regimen 621</t>
  </si>
  <si>
    <t>OIRL790904BW1</t>
  </si>
  <si>
    <t>VAHA920703749</t>
  </si>
  <si>
    <t>612, 616</t>
  </si>
  <si>
    <t>GATJ840104P55</t>
  </si>
  <si>
    <t xml:space="preserve">QUJJ830623JL0	</t>
  </si>
  <si>
    <t>RITJ780624FS5</t>
  </si>
  <si>
    <t>REVJ7602249B4</t>
  </si>
  <si>
    <t>300031, 300155, 300033, 300452</t>
  </si>
  <si>
    <t>TEGJ440427T86</t>
  </si>
  <si>
    <t>3, 27, 203, 26, 30, 9, 579, 597, 33</t>
  </si>
  <si>
    <t>300155, 300250, 300476</t>
  </si>
  <si>
    <t>No cuenta con la actividad</t>
  </si>
  <si>
    <t>BAGJ8803124R5</t>
  </si>
  <si>
    <t>3, 9 ,579, 30, 203, 33</t>
  </si>
  <si>
    <t>300155, 300429</t>
  </si>
  <si>
    <t>862, 884</t>
  </si>
  <si>
    <t>FAGJ760203QH4</t>
  </si>
  <si>
    <t>RIGJ870824L34</t>
  </si>
  <si>
    <t xml:space="preserve">REFJ860507MT8	</t>
  </si>
  <si>
    <t>3, 9, 579, 30, 203, 33</t>
  </si>
  <si>
    <t>300429, 300155, 300317</t>
  </si>
  <si>
    <t>BAAJ6405113Z1</t>
  </si>
  <si>
    <t xml:space="preserve">605, 606 </t>
  </si>
  <si>
    <t>AECJ630309C12</t>
  </si>
  <si>
    <t>BAOJ850621TZ4</t>
  </si>
  <si>
    <t>SECJ840812SA5</t>
  </si>
  <si>
    <t>3, 9, 30, 579, 203, 292, 33</t>
  </si>
  <si>
    <t>300155, 300484, 300295, 300429, 300317</t>
  </si>
  <si>
    <t>664, 569</t>
  </si>
  <si>
    <t>DIAJ590707A6A</t>
  </si>
  <si>
    <t>RESJ730128HX3</t>
  </si>
  <si>
    <t>AUFJ790405DA5</t>
  </si>
  <si>
    <t>615, 605</t>
  </si>
  <si>
    <t>TEBJ700901UQ7</t>
  </si>
  <si>
    <t>605, 607</t>
  </si>
  <si>
    <t>FARJ8901276F7</t>
  </si>
  <si>
    <t>SEAJ840217SU1</t>
  </si>
  <si>
    <t>26, 597, 736, 735, 738</t>
  </si>
  <si>
    <t>300155, 300476, 300250, 300514</t>
  </si>
  <si>
    <t>646, 1133</t>
  </si>
  <si>
    <t>PEAJ791129GK1</t>
  </si>
  <si>
    <t>2223, 1131</t>
  </si>
  <si>
    <t>BAOJ780206PQ0</t>
  </si>
  <si>
    <t>RIRJ9106098L4</t>
  </si>
  <si>
    <t>300480, 300155, 300514</t>
  </si>
  <si>
    <t>GARJ860610L57</t>
  </si>
  <si>
    <t>DIXJ7410127G5</t>
  </si>
  <si>
    <t>BAOJ880708DJ8</t>
  </si>
  <si>
    <t>REDJ840924TI2</t>
  </si>
  <si>
    <t>ZEDJ6802123F4</t>
  </si>
  <si>
    <t>PAGJ7608292Y6</t>
  </si>
  <si>
    <t>605, 616</t>
  </si>
  <si>
    <t>TEVJ881202PP4</t>
  </si>
  <si>
    <t>300441, 300440, 300155</t>
  </si>
  <si>
    <t>CHECAR ESTE Y EL DE ARRIBA, PORQUE ESTE SALE RECHAZADO Y EL DE ARRIBA SALE APROBADO Y LAS DOS CUMPLEN CON LAS RDN</t>
  </si>
  <si>
    <t>Creo que debe tener afuerzas una obligacion para que salga aprobada a pesar de cumplir con las RDN</t>
  </si>
  <si>
    <t>QUJJ830623JL0</t>
  </si>
  <si>
    <t>BAJJ580724KU7</t>
  </si>
  <si>
    <t xml:space="preserve">EAMJ840131DW0	</t>
  </si>
  <si>
    <t>SERJ870405LA0</t>
  </si>
  <si>
    <t>BALJ610518ES0</t>
  </si>
  <si>
    <t xml:space="preserve">300317	</t>
  </si>
  <si>
    <t xml:space="preserve">RERJ830912GT8	</t>
  </si>
  <si>
    <t>TELJ8709298U5</t>
  </si>
  <si>
    <t>BARJ570127MD3</t>
  </si>
  <si>
    <t>SELJ881003DP9</t>
  </si>
  <si>
    <t>EIRJ780723QE3</t>
  </si>
  <si>
    <t>SERJ511227GC7</t>
  </si>
  <si>
    <t>DOSJ730102D8A</t>
  </si>
  <si>
    <t>DOSJ710102D84</t>
  </si>
  <si>
    <t>VIGJ520317931</t>
  </si>
  <si>
    <t xml:space="preserve">MOGR771202HE9	</t>
  </si>
  <si>
    <t>611, 614</t>
  </si>
  <si>
    <t>300317, 300295, 300155, 300476</t>
  </si>
  <si>
    <t>Cancelado por duplicado</t>
  </si>
  <si>
    <t>WAPE671013IF6</t>
  </si>
  <si>
    <t>Suspendido</t>
  </si>
  <si>
    <t>OATR490525QEA</t>
  </si>
  <si>
    <t>VEMA851004RV1</t>
  </si>
  <si>
    <t>615, 616</t>
  </si>
  <si>
    <t xml:space="preserve">NEGA880410498	</t>
  </si>
  <si>
    <t>605,  612</t>
  </si>
  <si>
    <t xml:space="preserve">VECA921119HD1	</t>
  </si>
  <si>
    <t>VEBA9501271P9</t>
  </si>
  <si>
    <t>665, 632</t>
  </si>
  <si>
    <t>1056, 632</t>
  </si>
  <si>
    <t>OECB620119A17</t>
  </si>
  <si>
    <t>300155, 300317, 300050</t>
  </si>
  <si>
    <t>812, 632</t>
  </si>
  <si>
    <t>VEEA9302069E0</t>
  </si>
  <si>
    <t>405, 632</t>
  </si>
  <si>
    <t>NOTD8302237B0</t>
  </si>
  <si>
    <t>605. 626</t>
  </si>
  <si>
    <t>982, 632</t>
  </si>
  <si>
    <t>NEGA880410498</t>
  </si>
  <si>
    <t>CAUI830917RA5</t>
  </si>
  <si>
    <t>VECA921119HD1</t>
  </si>
  <si>
    <t>MEVE861019DK6</t>
  </si>
  <si>
    <t>300155, 300476, 300524, 300440</t>
  </si>
  <si>
    <t>300033, 300155</t>
  </si>
  <si>
    <t>654, 75</t>
  </si>
  <si>
    <t>300155, 300514, 300033</t>
  </si>
  <si>
    <t>300155, 300512</t>
  </si>
  <si>
    <t>300033, 300452,300031, 300155</t>
  </si>
  <si>
    <t>300475, 300452, 300033, 300155</t>
  </si>
  <si>
    <t>EAMJ840131DW0</t>
  </si>
  <si>
    <t>RAGR760807952</t>
  </si>
  <si>
    <t>605. 606</t>
  </si>
  <si>
    <t>RARR830920UJ1</t>
  </si>
  <si>
    <t>CARS9311212S8</t>
  </si>
  <si>
    <t>ROCH511116LI6</t>
  </si>
  <si>
    <t>REFJ860507MT8</t>
  </si>
  <si>
    <t>RAFM720405F67</t>
  </si>
  <si>
    <t>RAAJ5106192M4</t>
  </si>
  <si>
    <t>3, 9, 30, 203, 579, 33</t>
  </si>
  <si>
    <t>300155, 300480</t>
  </si>
  <si>
    <t>AELC900321MB8</t>
  </si>
  <si>
    <t>TUAR6401301G4</t>
  </si>
  <si>
    <t>MORK930617MG9</t>
  </si>
  <si>
    <t>RAHA820325ER7</t>
  </si>
  <si>
    <t>AERA660921L4A</t>
  </si>
  <si>
    <t>AERA660921JA4</t>
  </si>
  <si>
    <t>RACA9509245K7</t>
  </si>
  <si>
    <t>RAAL720826PX0</t>
  </si>
  <si>
    <t>GORJ520704KS0</t>
  </si>
  <si>
    <t>ROME871130C99</t>
  </si>
  <si>
    <t>GOJC930424PG9</t>
  </si>
  <si>
    <t>AEPC930615PM9</t>
  </si>
  <si>
    <t>RAGN671208IE0</t>
  </si>
  <si>
    <t>ROMC9207269Q7</t>
  </si>
  <si>
    <t>RAMC8207227P0</t>
  </si>
  <si>
    <t>RAHC851028PY0</t>
  </si>
  <si>
    <t>RARC920424NN3</t>
  </si>
  <si>
    <t>RARN720630QF2</t>
  </si>
  <si>
    <t>RAMP611019Q94</t>
  </si>
  <si>
    <t>ROCK890119273</t>
  </si>
  <si>
    <t>AESL870623D98</t>
  </si>
  <si>
    <t>RASL900301UZ6</t>
  </si>
  <si>
    <t>GODA850130SC6</t>
  </si>
  <si>
    <t>MOCK940425PP6</t>
  </si>
  <si>
    <t>1103, 2, 388, 488, 1065, 632, 785, 6, 32, 432</t>
  </si>
  <si>
    <t>632. 632, 600, 2, 2189, 2430, 2429, 1363, 1803, 18</t>
  </si>
  <si>
    <t>RASA760107GP7</t>
  </si>
  <si>
    <t>MOMK921104BF4</t>
  </si>
  <si>
    <t>MOBK9201138K9</t>
  </si>
  <si>
    <t>RACE841013CR3</t>
  </si>
  <si>
    <t>450, 632, 632, 632, 632</t>
  </si>
  <si>
    <t>MOLK920210RY2</t>
  </si>
  <si>
    <t>RARE830330KU5</t>
  </si>
  <si>
    <t>3, 9, 579, 33, 203, 30</t>
  </si>
  <si>
    <t>300155, 300429, 300317</t>
  </si>
  <si>
    <t>300155, 300317, 300429, 300524, 300440</t>
  </si>
  <si>
    <t>ROAE840831LU0</t>
  </si>
  <si>
    <t>EUDD720430MF4</t>
  </si>
  <si>
    <t>EUPD531207DQ9</t>
  </si>
  <si>
    <t>PEPH660719GP7</t>
  </si>
  <si>
    <t>MABJ861003PW1</t>
  </si>
  <si>
    <t>300031, 300155, 300317</t>
  </si>
  <si>
    <t xml:space="preserve">AAMT450528NI0	</t>
  </si>
  <si>
    <t xml:space="preserve">BAZA6106176K9	</t>
  </si>
  <si>
    <t xml:space="preserve">AAUR760114I12	</t>
  </si>
  <si>
    <t>AAML920925E50</t>
  </si>
  <si>
    <t>AACL9007138A5</t>
  </si>
  <si>
    <t>PELL910719K92</t>
  </si>
  <si>
    <t>616, 612</t>
  </si>
  <si>
    <t>AAOL860322NW8</t>
  </si>
  <si>
    <t>300517, 3000155</t>
  </si>
  <si>
    <t>605, 605, 621</t>
  </si>
  <si>
    <t>EUOL830630TA2</t>
  </si>
  <si>
    <t>BITL761115RV3</t>
  </si>
  <si>
    <t>AAVL680812662</t>
  </si>
  <si>
    <t>BIOL760329L66</t>
  </si>
  <si>
    <t>CUCL8105213C7</t>
  </si>
  <si>
    <t>AAGL820622FJ8</t>
  </si>
  <si>
    <t>300031, 300155, 300505</t>
  </si>
  <si>
    <t>MOVL940515KX8</t>
  </si>
  <si>
    <t>CUML541025FF8</t>
  </si>
  <si>
    <t>BIBJ850817F3A</t>
  </si>
  <si>
    <t>300031, 300155, 300476</t>
  </si>
  <si>
    <t>BARA611207RS2</t>
  </si>
  <si>
    <t>622, 626</t>
  </si>
  <si>
    <t>BIPY810208GV1</t>
  </si>
  <si>
    <t>MOZF490211JW2</t>
  </si>
  <si>
    <t xml:space="preserve">AAAH7705058H2	</t>
  </si>
  <si>
    <t>RELC9408103M9</t>
  </si>
  <si>
    <t>300512, 300155</t>
  </si>
  <si>
    <t>AARE580920FM8</t>
  </si>
  <si>
    <t>PEVA900802FZ9</t>
  </si>
  <si>
    <t>AAMH8003067G7</t>
  </si>
  <si>
    <t>EUVY920803871</t>
  </si>
  <si>
    <t>BARA851007B90</t>
  </si>
  <si>
    <t>AOMD911126KT9</t>
  </si>
  <si>
    <t>AOBR921126CT7</t>
  </si>
  <si>
    <t>CAGL870810M47</t>
  </si>
  <si>
    <t>AOAA910527SE1</t>
  </si>
  <si>
    <t>CAGW891112CC0</t>
  </si>
  <si>
    <t>AOEH820627HQ2</t>
  </si>
  <si>
    <t>AOBB881224G1A</t>
  </si>
  <si>
    <t>AOMW790330HS8</t>
  </si>
  <si>
    <t>AOFW800207AY7</t>
  </si>
  <si>
    <t>AOPW7710126PA</t>
  </si>
  <si>
    <t>105, 1124</t>
  </si>
  <si>
    <t>AOTE680812K3A</t>
  </si>
  <si>
    <t>CARG330210FS9</t>
  </si>
  <si>
    <t>820, 3</t>
  </si>
  <si>
    <t>AOTE700812K3A</t>
  </si>
  <si>
    <t>108, 914</t>
  </si>
  <si>
    <t>AOOM901231I96</t>
  </si>
  <si>
    <t>AODH5503161V4</t>
  </si>
  <si>
    <t>300155, 300441</t>
  </si>
  <si>
    <t>110, 83</t>
  </si>
  <si>
    <t>AOPO540805UI3</t>
  </si>
  <si>
    <t>300155, 300441, 300440</t>
  </si>
  <si>
    <t>111, 29</t>
  </si>
  <si>
    <t>CARD871124CR6</t>
  </si>
  <si>
    <t>112, 945</t>
  </si>
  <si>
    <t>AOJL590816R57</t>
  </si>
  <si>
    <t>CACX69111983A</t>
  </si>
  <si>
    <t>203, 9, 30, 579, 3, 33, 31</t>
  </si>
  <si>
    <t>300155, 300429, 300484, 300505</t>
  </si>
  <si>
    <t>114, 664, 799, 797</t>
  </si>
  <si>
    <t>AOCF550917M74</t>
  </si>
  <si>
    <t>115, 1123</t>
  </si>
  <si>
    <t>AOCF711004SK2</t>
  </si>
  <si>
    <t>116, 981</t>
  </si>
  <si>
    <t>AOMJ581003B35</t>
  </si>
  <si>
    <t>117, 2223</t>
  </si>
  <si>
    <t>CONY930128TI4</t>
  </si>
  <si>
    <t>GUGO830829771</t>
  </si>
  <si>
    <t>RIAA930329U12</t>
  </si>
  <si>
    <t>BAEM630119JD2</t>
  </si>
  <si>
    <t>BAFO7711095H7</t>
  </si>
  <si>
    <t>RIGA9805198N2</t>
  </si>
  <si>
    <t>BACA910217FH7</t>
  </si>
  <si>
    <t>PAJJ871105C29</t>
  </si>
  <si>
    <t>GUCC930316GIA</t>
  </si>
  <si>
    <t>RIRA840915RA1</t>
  </si>
  <si>
    <t>OAGY9106174T9</t>
  </si>
  <si>
    <t>DIJA830428AJ0</t>
  </si>
  <si>
    <t>3, 9, 579, 31, 203, 30</t>
  </si>
  <si>
    <t>OATJ7710302P2</t>
  </si>
  <si>
    <t>GUTA800126KJ1</t>
  </si>
  <si>
    <t>300317, 300480, 300429, 300155, 300237, 300505</t>
  </si>
  <si>
    <t>BALM8708151UA</t>
  </si>
  <si>
    <t>RERJ830912GT8</t>
  </si>
  <si>
    <t>REJR571014978</t>
  </si>
  <si>
    <t>RATM5407207Q5</t>
  </si>
  <si>
    <t>300155, 300476, 300505, 300524, 300440</t>
  </si>
  <si>
    <t>GOSD7705295D6</t>
  </si>
  <si>
    <t>COTM691023TDA</t>
  </si>
  <si>
    <t>RAEM690625DW0</t>
  </si>
  <si>
    <t>RACM7211181D7</t>
  </si>
  <si>
    <t>NUTC880716DD4</t>
  </si>
  <si>
    <t>622, 621</t>
  </si>
  <si>
    <t>611, 605, 626</t>
  </si>
  <si>
    <t>MOGR771202HE9</t>
  </si>
  <si>
    <t>AAMT450528NI0</t>
  </si>
  <si>
    <t>BAZA6106176K9</t>
  </si>
  <si>
    <t>AAUR760114I12</t>
  </si>
  <si>
    <t>30001000000500010884</t>
  </si>
  <si>
    <t>30001000000500010885</t>
  </si>
  <si>
    <t>30001000000500010886</t>
  </si>
  <si>
    <t>30001000000500010887</t>
  </si>
  <si>
    <t>30001000000500010888</t>
  </si>
  <si>
    <t>30001000000500010889</t>
  </si>
  <si>
    <t>30001000000500010890</t>
  </si>
  <si>
    <t>30001000000500010891</t>
  </si>
  <si>
    <t>30001000000500010892</t>
  </si>
  <si>
    <t>30001000000500010956</t>
  </si>
  <si>
    <t>30001000000500010951</t>
  </si>
  <si>
    <t>Num serie Receptor</t>
  </si>
  <si>
    <t xml:space="preserve">Resultado </t>
  </si>
  <si>
    <t>Petición Consulta - Primera firma EMISOR-RECEPTOR</t>
  </si>
  <si>
    <t>Petición Consulta - Segunda firma PAC</t>
  </si>
  <si>
    <t>30001000000500003456</t>
  </si>
  <si>
    <t>10-03-2026 18:00:00</t>
  </si>
  <si>
    <t>Peticion Token</t>
  </si>
  <si>
    <t>||SPR190613I52|30001000000500003456|10-03-2026 18:00:00|Petición firmada||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</si>
</sst>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Aptos Narrow"/>
      <family val="2"/>
      <scheme val="minor"/>
    </font>
    <font>
      <u/>
      <sz val="11"/>
      <color theme="10"/>
      <name val="Aptos Narrow"/>
      <family val="2"/>
      <scheme val="minor"/>
    </font>
    <font>
      <u/>
      <sz val="8"/>
      <color theme="10"/>
      <name val="Aptos Narrow"/>
      <family val="2"/>
      <scheme val="minor"/>
    </font>
    <font>
      <sz val="8"/>
      <color theme="1"/>
      <name val="Aptos Narrow"/>
      <family val="2"/>
      <scheme val="minor"/>
    </font>
    <font>
      <b/>
      <sz val="8"/>
      <color theme="1"/>
      <name val="Aptos Narrow"/>
      <family val="2"/>
      <scheme val="minor"/>
    </font>
    <font>
      <b/>
      <sz val="8"/>
      <color theme="0"/>
      <name val="Aptos Narrow"/>
      <family val="2"/>
      <scheme val="minor"/>
    </font>
    <font>
      <sz val="8"/>
      <name val="Aptos Narrow"/>
      <family val="2"/>
      <scheme val="minor"/>
    </font>
    <font>
      <b/>
      <sz val="9"/>
      <color theme="1"/>
      <name val="Aptos Narrow"/>
      <family val="2"/>
      <scheme val="minor"/>
    </font>
    <font>
      <i/>
      <sz val="8"/>
      <color theme="1"/>
      <name val="Montserrat"/>
    </font>
    <font>
      <sz val="10"/>
      <color indexed="8"/>
      <name val="Arial"/>
      <family val="2"/>
    </font>
    <font>
      <sz val="8"/>
      <color indexed="8"/>
      <name val="Aptos Narrow"/>
      <family val="2"/>
      <scheme val="minor"/>
    </font>
    <font>
      <sz val="8"/>
      <color rgb="FF000000"/>
      <name val="Aptos Narrow"/>
      <family val="2"/>
      <scheme val="minor"/>
    </font>
    <font>
      <sz val="11"/>
      <color theme="1"/>
      <name val="Aptos"/>
      <family val="2"/>
    </font>
    <font>
      <b/>
      <sz val="11"/>
      <color theme="1"/>
      <name val="Aptos"/>
      <family val="2"/>
    </font>
    <font>
      <b/>
      <sz val="11"/>
      <color rgb="FF000000"/>
      <name val="Noto Sans"/>
      <family val="2"/>
    </font>
    <font>
      <sz val="11"/>
      <color theme="1"/>
      <name val="Noto Sans"/>
      <family val="2"/>
    </font>
    <font>
      <b/>
      <sz val="11"/>
      <color theme="1"/>
      <name val="Noto Sans"/>
      <family val="2"/>
    </font>
    <font>
      <b/>
      <sz val="10"/>
      <name val="Aptos Narrow"/>
      <family val="2"/>
      <scheme val="minor"/>
    </font>
    <font>
      <b/>
      <sz val="10"/>
      <color theme="3" tint="0.249977111117893"/>
      <name val="Aptos Narrow"/>
      <family val="2"/>
      <scheme val="minor"/>
    </font>
    <font>
      <b/>
      <sz val="8"/>
      <color rgb="FF2F5496"/>
      <name val="Calibri"/>
      <family val="2"/>
    </font>
    <font>
      <b/>
      <sz val="8"/>
      <color rgb="FF2F5496"/>
      <name val="Aptos Narrow"/>
      <family val="2"/>
      <scheme val="minor"/>
    </font>
    <font>
      <b/>
      <sz val="8"/>
      <color theme="1"/>
      <name val="Calibri"/>
      <family val="2"/>
    </font>
    <font>
      <sz val="8"/>
      <color theme="1"/>
      <name val="Calibri"/>
      <family val="2"/>
    </font>
    <font>
      <b/>
      <sz val="8"/>
      <name val="Aptos Narrow"/>
      <family val="2"/>
      <scheme val="minor"/>
    </font>
    <font>
      <sz val="8"/>
      <color rgb="FFFF0000"/>
      <name val="Aptos Narrow"/>
      <family val="2"/>
      <scheme val="minor"/>
    </font>
    <font>
      <b/>
      <sz val="9"/>
      <color rgb="FF8A6D3B"/>
      <name val="Noto Sans"/>
      <family val="2"/>
    </font>
    <font>
      <sz val="9"/>
      <color rgb="FF8A6D3B"/>
      <name val="Noto Sans"/>
      <family val="2"/>
    </font>
    <font>
      <sz val="6"/>
      <color theme="1"/>
      <name val="Aptos Narrow"/>
      <family val="2"/>
      <scheme val="minor"/>
    </font>
    <font>
      <b/>
      <sz val="6"/>
      <name val="Aptos Narrow"/>
      <family val="2"/>
      <scheme val="minor"/>
    </font>
    <font>
      <sz val="6"/>
      <color theme="9"/>
      <name val="Aptos Narrow"/>
      <family val="2"/>
      <scheme val="minor"/>
    </font>
    <font>
      <b/>
      <sz val="14"/>
      <color theme="1"/>
      <name val="Aptos Black"/>
      <family val="2"/>
    </font>
    <font>
      <b/>
      <sz val="16"/>
      <name val="Aptos Black"/>
      <family val="2"/>
    </font>
    <font>
      <b/>
      <sz val="10"/>
      <color theme="1"/>
      <name val="Aptos Black"/>
      <family val="2"/>
    </font>
    <font>
      <b/>
      <sz val="16"/>
      <name val="Aptos Black"/>
      <family val="2"/>
      <charset val="1"/>
    </font>
  </fonts>
  <fills count="26">
    <fill>
      <patternFill patternType="none"/>
    </fill>
    <fill>
      <patternFill patternType="gray125"/>
    </fill>
    <fill>
      <patternFill patternType="solid">
        <fgColor theme="7" tint="-0.249977111117893"/>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621132"/>
        <bgColor indexed="0"/>
      </patternFill>
    </fill>
    <fill>
      <patternFill patternType="solid">
        <fgColor rgb="FFFFFFFF"/>
        <bgColor indexed="64"/>
      </patternFill>
    </fill>
    <fill>
      <patternFill patternType="solid">
        <fgColor rgb="FFAEAAAA"/>
        <bgColor indexed="64"/>
      </patternFill>
    </fill>
    <fill>
      <patternFill patternType="solid">
        <fgColor theme="3" tint="0.749992370372631"/>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rgb="FFFF0000"/>
        <bgColor indexed="64"/>
      </patternFill>
    </fill>
    <fill>
      <patternFill patternType="solid">
        <fgColor rgb="FF00B050"/>
        <bgColor indexed="64"/>
      </patternFill>
    </fill>
    <fill>
      <patternFill patternType="solid">
        <fgColor rgb="FFFFFF00"/>
        <bgColor indexed="64"/>
      </patternFill>
    </fill>
    <fill>
      <patternFill patternType="solid">
        <fgColor theme="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249977111117893"/>
        <bgColor indexed="64"/>
      </patternFill>
    </fill>
    <fill>
      <patternFill patternType="solid">
        <fgColor theme="8"/>
        <bgColor indexed="64"/>
      </patternFill>
    </fill>
    <fill>
      <patternFill patternType="solid">
        <fgColor theme="9" tint="0.59999389629810485"/>
        <bgColor indexed="64"/>
      </patternFill>
    </fill>
    <fill>
      <patternFill patternType="solid">
        <fgColor rgb="FF92D050"/>
        <bgColor indexed="64"/>
      </patternFill>
    </fill>
    <fill>
      <patternFill patternType="solid">
        <fgColor theme="4" tint="0.39997558519241921"/>
        <bgColor rgb="FFBFBFBF"/>
      </patternFill>
    </fill>
    <fill>
      <patternFill patternType="solid">
        <fgColor rgb="FF92D050"/>
        <bgColor rgb="FFAEAAAA"/>
      </patternFill>
    </fill>
  </fills>
  <borders count="1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theme="0" tint="-0.14996795556505021"/>
      </left>
      <right style="thin">
        <color theme="0" tint="-0.14996795556505021"/>
      </right>
      <top style="thin">
        <color theme="0" tint="-0.14996795556505021"/>
      </top>
      <bottom/>
      <diagonal/>
    </border>
    <border>
      <left style="thin">
        <color theme="0" tint="-0.24994659260841701"/>
      </left>
      <right style="thin">
        <color theme="0" tint="-0.24994659260841701"/>
      </right>
      <top/>
      <bottom/>
      <diagonal/>
    </border>
    <border>
      <left/>
      <right/>
      <top style="thin">
        <color indexed="64"/>
      </top>
      <bottom style="thin">
        <color indexed="64"/>
      </bottom>
      <diagonal/>
    </border>
    <border>
      <left/>
      <right/>
      <top style="thin">
        <color auto="1"/>
      </top>
      <bottom/>
      <diagonal/>
    </border>
    <border>
      <left/>
      <right/>
      <top/>
      <bottom style="thin">
        <color auto="1"/>
      </bottom>
      <diagonal/>
    </border>
    <border>
      <left style="thin">
        <color indexed="8"/>
      </left>
      <right style="thin">
        <color indexed="8"/>
      </right>
      <top style="thin">
        <color indexed="8"/>
      </top>
      <bottom style="thin">
        <color indexed="8"/>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applyNumberFormat="0" applyFill="0" applyBorder="0" applyAlignment="0" applyProtection="0"/>
    <xf numFmtId="0" fontId="9" fillId="0" borderId="0"/>
  </cellStyleXfs>
  <cellXfs count="134">
    <xf numFmtId="0" fontId="0" fillId="0" borderId="0" xfId="0"/>
    <xf numFmtId="0" fontId="3" fillId="0" borderId="0" xfId="0" applyFont="1"/>
    <xf numFmtId="0" fontId="4" fillId="0" borderId="0" xfId="0" applyFont="1"/>
    <xf numFmtId="0" fontId="3" fillId="0" borderId="0" xfId="0" applyFont="1" applyAlignment="1">
      <alignment vertical="top"/>
    </xf>
    <xf numFmtId="0" fontId="3" fillId="0" borderId="7" xfId="0" applyFont="1" applyBorder="1"/>
    <xf numFmtId="0" fontId="5" fillId="2" borderId="8"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3" fillId="0" borderId="0" xfId="0" applyFont="1" applyAlignment="1">
      <alignment vertical="top" wrapText="1"/>
    </xf>
    <xf numFmtId="0" fontId="7" fillId="4" borderId="0" xfId="0" applyFont="1" applyFill="1" applyAlignment="1">
      <alignment horizontal="center" vertical="top"/>
    </xf>
    <xf numFmtId="0" fontId="7" fillId="4" borderId="0" xfId="0" applyFont="1" applyFill="1" applyAlignment="1">
      <alignment horizontal="center"/>
    </xf>
    <xf numFmtId="0" fontId="7" fillId="4" borderId="0" xfId="0" applyFont="1" applyFill="1" applyAlignment="1">
      <alignment horizontal="center" vertical="top" wrapText="1"/>
    </xf>
    <xf numFmtId="0" fontId="7" fillId="4" borderId="0" xfId="0" applyFont="1" applyFill="1" applyAlignment="1">
      <alignment horizontal="center" wrapText="1"/>
    </xf>
    <xf numFmtId="0" fontId="3" fillId="0" borderId="11" xfId="0" applyFont="1" applyBorder="1" applyAlignment="1">
      <alignment vertical="top" wrapText="1"/>
    </xf>
    <xf numFmtId="0" fontId="3" fillId="0" borderId="10" xfId="0" applyFont="1" applyBorder="1" applyAlignment="1">
      <alignment vertical="top"/>
    </xf>
    <xf numFmtId="0" fontId="3" fillId="0" borderId="10" xfId="0" applyFont="1" applyBorder="1" applyAlignment="1">
      <alignment vertical="top" wrapText="1"/>
    </xf>
    <xf numFmtId="0" fontId="3" fillId="0" borderId="11" xfId="0" applyFont="1" applyBorder="1" applyAlignment="1">
      <alignment wrapText="1"/>
    </xf>
    <xf numFmtId="0" fontId="3" fillId="0" borderId="0" xfId="0" applyFont="1" applyAlignment="1">
      <alignment wrapText="1"/>
    </xf>
    <xf numFmtId="0" fontId="3" fillId="0" borderId="12" xfId="0" applyFont="1" applyBorder="1"/>
    <xf numFmtId="0" fontId="3" fillId="0" borderId="12" xfId="0" applyFont="1" applyBorder="1" applyAlignment="1">
      <alignment vertical="top" wrapText="1"/>
    </xf>
    <xf numFmtId="0" fontId="3" fillId="5" borderId="0" xfId="0" applyFont="1" applyFill="1" applyAlignment="1">
      <alignment vertical="top"/>
    </xf>
    <xf numFmtId="0" fontId="3" fillId="5" borderId="0" xfId="0" applyFont="1" applyFill="1"/>
    <xf numFmtId="0" fontId="3" fillId="5" borderId="0" xfId="0" applyFont="1" applyFill="1" applyAlignment="1">
      <alignment vertical="top" wrapText="1"/>
    </xf>
    <xf numFmtId="0" fontId="3" fillId="5" borderId="0" xfId="0" applyFont="1" applyFill="1" applyAlignment="1">
      <alignment wrapText="1"/>
    </xf>
    <xf numFmtId="0" fontId="8" fillId="5" borderId="0" xfId="0" applyFont="1" applyFill="1"/>
    <xf numFmtId="0" fontId="3" fillId="5" borderId="0" xfId="0" applyFont="1" applyFill="1" applyAlignment="1">
      <alignment horizontal="center" wrapText="1"/>
    </xf>
    <xf numFmtId="0" fontId="3" fillId="0" borderId="11" xfId="0" applyFont="1" applyBorder="1"/>
    <xf numFmtId="0" fontId="5" fillId="6" borderId="13" xfId="2" applyFont="1" applyFill="1" applyBorder="1" applyAlignment="1">
      <alignment horizontal="center" vertical="center" wrapText="1"/>
    </xf>
    <xf numFmtId="0" fontId="10" fillId="0" borderId="13" xfId="2" applyFont="1" applyBorder="1" applyAlignment="1">
      <alignment vertical="center" wrapText="1"/>
    </xf>
    <xf numFmtId="0" fontId="6" fillId="4" borderId="7" xfId="0" applyFont="1" applyFill="1" applyBorder="1" applyAlignment="1">
      <alignment vertical="center" wrapText="1"/>
    </xf>
    <xf numFmtId="0" fontId="6" fillId="5" borderId="7" xfId="0" applyFont="1" applyFill="1" applyBorder="1" applyAlignment="1">
      <alignment vertical="center"/>
    </xf>
    <xf numFmtId="0" fontId="6" fillId="5" borderId="7" xfId="0" applyFont="1" applyFill="1" applyBorder="1" applyAlignment="1">
      <alignment vertical="center" wrapText="1"/>
    </xf>
    <xf numFmtId="0" fontId="11" fillId="7" borderId="7" xfId="0" applyFont="1" applyFill="1" applyBorder="1" applyAlignment="1">
      <alignment vertical="center" wrapText="1"/>
    </xf>
    <xf numFmtId="0" fontId="3" fillId="0" borderId="0" xfId="0" applyFont="1" applyAlignment="1">
      <alignment horizontal="left"/>
    </xf>
    <xf numFmtId="0" fontId="4" fillId="3" borderId="9" xfId="0" applyFont="1" applyFill="1" applyBorder="1" applyAlignment="1">
      <alignment horizontal="left" vertical="center" wrapText="1"/>
    </xf>
    <xf numFmtId="0" fontId="6" fillId="5" borderId="7" xfId="0" applyFont="1" applyFill="1" applyBorder="1" applyAlignment="1">
      <alignment horizontal="left" vertical="center" wrapText="1"/>
    </xf>
    <xf numFmtId="3" fontId="6" fillId="5" borderId="7" xfId="0" applyNumberFormat="1" applyFont="1" applyFill="1" applyBorder="1" applyAlignment="1">
      <alignment horizontal="left" vertical="center" wrapText="1"/>
    </xf>
    <xf numFmtId="0" fontId="4" fillId="0" borderId="7" xfId="0" applyFont="1" applyBorder="1"/>
    <xf numFmtId="0" fontId="11" fillId="7" borderId="0" xfId="0" applyFont="1" applyFill="1" applyAlignment="1">
      <alignment horizontal="left" vertical="center" wrapText="1"/>
    </xf>
    <xf numFmtId="0" fontId="14" fillId="8" borderId="1" xfId="0" applyFont="1" applyFill="1" applyBorder="1" applyAlignment="1">
      <alignment horizontal="center" vertical="center" wrapText="1"/>
    </xf>
    <xf numFmtId="0" fontId="14" fillId="8" borderId="2" xfId="0" applyFont="1" applyFill="1" applyBorder="1" applyAlignment="1">
      <alignment horizontal="center" vertical="center" wrapText="1"/>
    </xf>
    <xf numFmtId="0" fontId="15" fillId="0" borderId="5" xfId="0" applyFont="1" applyBorder="1" applyAlignment="1">
      <alignment horizontal="center" vertical="center" wrapText="1"/>
    </xf>
    <xf numFmtId="0" fontId="0" fillId="0" borderId="3" xfId="0" applyBorder="1" applyAlignment="1">
      <alignment vertical="top" wrapText="1"/>
    </xf>
    <xf numFmtId="0" fontId="16" fillId="0" borderId="6" xfId="0" applyFont="1" applyBorder="1" applyAlignment="1">
      <alignment vertical="center" wrapText="1"/>
    </xf>
    <xf numFmtId="0" fontId="15" fillId="0" borderId="6" xfId="0" applyFont="1" applyBorder="1" applyAlignment="1">
      <alignment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2" fillId="0" borderId="0" xfId="0" applyFont="1" applyAlignment="1">
      <alignment vertical="center"/>
    </xf>
    <xf numFmtId="0" fontId="15" fillId="0" borderId="0" xfId="0" applyFont="1" applyAlignment="1">
      <alignment vertical="center"/>
    </xf>
    <xf numFmtId="0" fontId="17" fillId="9" borderId="7" xfId="0" applyFont="1" applyFill="1" applyBorder="1" applyAlignment="1">
      <alignment vertical="top"/>
    </xf>
    <xf numFmtId="0" fontId="18" fillId="9" borderId="7" xfId="0" applyFont="1" applyFill="1" applyBorder="1" applyAlignment="1">
      <alignment vertical="top"/>
    </xf>
    <xf numFmtId="0" fontId="0" fillId="0" borderId="12" xfId="0" applyBorder="1"/>
    <xf numFmtId="0" fontId="3" fillId="0" borderId="0" xfId="0" applyFont="1" applyAlignment="1">
      <alignment vertical="center"/>
    </xf>
    <xf numFmtId="0" fontId="4" fillId="9" borderId="7" xfId="0" applyFont="1" applyFill="1" applyBorder="1" applyAlignment="1">
      <alignment vertical="center"/>
    </xf>
    <xf numFmtId="0" fontId="20" fillId="0" borderId="7" xfId="0" applyFont="1" applyBorder="1" applyAlignment="1">
      <alignment vertical="center"/>
    </xf>
    <xf numFmtId="0" fontId="17" fillId="9" borderId="7" xfId="0" applyFont="1" applyFill="1" applyBorder="1" applyAlignment="1">
      <alignment vertical="top" wrapText="1"/>
    </xf>
    <xf numFmtId="0" fontId="20" fillId="0" borderId="7" xfId="0" applyFont="1" applyBorder="1" applyAlignment="1">
      <alignment vertical="center" wrapText="1"/>
    </xf>
    <xf numFmtId="0" fontId="0" fillId="0" borderId="0" xfId="0" applyAlignment="1">
      <alignment wrapText="1"/>
    </xf>
    <xf numFmtId="0" fontId="3" fillId="10" borderId="0" xfId="0" applyFont="1" applyFill="1" applyAlignment="1">
      <alignment vertical="center"/>
    </xf>
    <xf numFmtId="0" fontId="22" fillId="0" borderId="0" xfId="0" applyFont="1" applyAlignment="1">
      <alignment vertical="center" wrapText="1"/>
    </xf>
    <xf numFmtId="0" fontId="23" fillId="9" borderId="7" xfId="0" applyFont="1" applyFill="1" applyBorder="1" applyAlignment="1">
      <alignment vertical="top" wrapText="1"/>
    </xf>
    <xf numFmtId="0" fontId="19" fillId="0" borderId="7" xfId="0" applyFont="1" applyBorder="1" applyAlignment="1">
      <alignment vertical="center" wrapText="1"/>
    </xf>
    <xf numFmtId="0" fontId="24" fillId="5" borderId="7" xfId="0" applyFont="1" applyFill="1" applyBorder="1" applyAlignment="1">
      <alignment horizontal="left" vertical="center" wrapText="1"/>
    </xf>
    <xf numFmtId="0" fontId="28" fillId="9" borderId="7" xfId="0" applyFont="1" applyFill="1" applyBorder="1" applyAlignment="1">
      <alignment vertical="top"/>
    </xf>
    <xf numFmtId="0" fontId="0" fillId="0" borderId="0" xfId="0" applyAlignment="1">
      <alignment vertical="top"/>
    </xf>
    <xf numFmtId="0" fontId="27" fillId="0" borderId="0" xfId="0" applyFont="1" applyAlignment="1">
      <alignment vertical="top"/>
    </xf>
    <xf numFmtId="0" fontId="3" fillId="0" borderId="7" xfId="0" applyFont="1" applyBorder="1" applyAlignment="1">
      <alignment vertical="top"/>
    </xf>
    <xf numFmtId="0" fontId="27" fillId="0" borderId="7" xfId="0" applyFont="1" applyBorder="1" applyAlignment="1">
      <alignment vertical="top" wrapText="1"/>
    </xf>
    <xf numFmtId="0" fontId="29" fillId="0" borderId="7" xfId="0" applyFont="1" applyBorder="1" applyAlignment="1">
      <alignment vertical="top" wrapText="1"/>
    </xf>
    <xf numFmtId="0" fontId="27" fillId="0" borderId="7" xfId="0" applyFont="1" applyBorder="1" applyAlignment="1">
      <alignment vertical="top"/>
    </xf>
    <xf numFmtId="0" fontId="24" fillId="0" borderId="7" xfId="0" applyFont="1" applyBorder="1" applyAlignment="1">
      <alignment vertical="top"/>
    </xf>
    <xf numFmtId="0" fontId="21" fillId="10" borderId="0" xfId="0" applyFont="1" applyFill="1" applyAlignment="1">
      <alignment vertical="top"/>
    </xf>
    <xf numFmtId="0" fontId="25" fillId="0" borderId="0" xfId="0" applyFont="1" applyAlignment="1">
      <alignment vertical="top"/>
    </xf>
    <xf numFmtId="0" fontId="0" fillId="0" borderId="7" xfId="0" applyBorder="1" applyAlignment="1">
      <alignment horizontal="center" vertical="center"/>
    </xf>
    <xf numFmtId="0" fontId="0" fillId="11" borderId="7" xfId="0" applyFill="1" applyBorder="1" applyAlignment="1">
      <alignment horizontal="center" vertical="center"/>
    </xf>
    <xf numFmtId="3" fontId="0" fillId="11" borderId="7" xfId="0" applyNumberFormat="1" applyFill="1" applyBorder="1" applyAlignment="1">
      <alignment horizontal="center" vertical="center"/>
    </xf>
    <xf numFmtId="0" fontId="0" fillId="11" borderId="7" xfId="0" applyFill="1" applyBorder="1" applyAlignment="1">
      <alignment horizontal="center" vertical="center" wrapText="1"/>
    </xf>
    <xf numFmtId="0" fontId="0" fillId="0" borderId="0" xfId="0" applyAlignment="1">
      <alignment vertical="center"/>
    </xf>
    <xf numFmtId="3" fontId="0" fillId="13" borderId="7" xfId="0" applyNumberFormat="1" applyFill="1" applyBorder="1" applyAlignment="1">
      <alignment horizontal="center" vertical="center"/>
    </xf>
    <xf numFmtId="0" fontId="0" fillId="0" borderId="0" xfId="0" applyAlignment="1">
      <alignment horizontal="center" vertical="center"/>
    </xf>
    <xf numFmtId="0" fontId="0" fillId="14" borderId="7" xfId="0" applyFill="1" applyBorder="1" applyAlignment="1">
      <alignment horizontal="center" vertical="center"/>
    </xf>
    <xf numFmtId="3" fontId="0" fillId="14" borderId="7" xfId="0" applyNumberFormat="1" applyFill="1" applyBorder="1" applyAlignment="1">
      <alignment horizontal="center" vertical="center"/>
    </xf>
    <xf numFmtId="0" fontId="0" fillId="14" borderId="7" xfId="0" applyFill="1" applyBorder="1" applyAlignment="1">
      <alignment horizontal="center" vertical="center" wrapText="1"/>
    </xf>
    <xf numFmtId="0" fontId="0" fillId="14" borderId="14" xfId="0" applyFill="1" applyBorder="1"/>
    <xf numFmtId="0" fontId="0" fillId="12" borderId="7" xfId="0" applyFill="1" applyBorder="1" applyAlignment="1">
      <alignment horizontal="center" vertical="center" wrapText="1"/>
    </xf>
    <xf numFmtId="0" fontId="0" fillId="15" borderId="7" xfId="0" applyFill="1" applyBorder="1" applyAlignment="1">
      <alignment horizontal="center" vertical="center"/>
    </xf>
    <xf numFmtId="0" fontId="0" fillId="16" borderId="7" xfId="0" applyFill="1" applyBorder="1" applyAlignment="1">
      <alignment horizontal="center" vertical="center"/>
    </xf>
    <xf numFmtId="0" fontId="0" fillId="17" borderId="7" xfId="0" applyFill="1" applyBorder="1" applyAlignment="1">
      <alignment horizontal="center" vertical="center"/>
    </xf>
    <xf numFmtId="0" fontId="0" fillId="18" borderId="7" xfId="0" applyFill="1" applyBorder="1" applyAlignment="1">
      <alignment horizontal="center" vertical="center"/>
    </xf>
    <xf numFmtId="0" fontId="0" fillId="18" borderId="0" xfId="0" applyFill="1" applyAlignment="1">
      <alignment horizontal="center" vertical="center"/>
    </xf>
    <xf numFmtId="0" fontId="0" fillId="14" borderId="0" xfId="0" applyFill="1" applyAlignment="1">
      <alignment horizontal="center" vertical="center"/>
    </xf>
    <xf numFmtId="0" fontId="0" fillId="19" borderId="7" xfId="0" applyFill="1" applyBorder="1" applyAlignment="1">
      <alignment horizontal="center" vertical="center"/>
    </xf>
    <xf numFmtId="0" fontId="0" fillId="19" borderId="0" xfId="0" applyFill="1" applyAlignment="1">
      <alignment horizontal="center" vertical="center"/>
    </xf>
    <xf numFmtId="0" fontId="0" fillId="11" borderId="0" xfId="0" applyFill="1" applyAlignment="1">
      <alignment horizontal="center" vertical="center"/>
    </xf>
    <xf numFmtId="0" fontId="0" fillId="20" borderId="7" xfId="0" applyFill="1" applyBorder="1" applyAlignment="1">
      <alignment horizontal="center" vertical="center"/>
    </xf>
    <xf numFmtId="0" fontId="0" fillId="20" borderId="0" xfId="0" applyFill="1" applyAlignment="1">
      <alignment horizontal="center" vertical="center"/>
    </xf>
    <xf numFmtId="0" fontId="0" fillId="14" borderId="0" xfId="0" applyFill="1"/>
    <xf numFmtId="0" fontId="0" fillId="11" borderId="15" xfId="0" applyFill="1" applyBorder="1" applyAlignment="1">
      <alignment horizontal="center" vertical="center"/>
    </xf>
    <xf numFmtId="0" fontId="0" fillId="0" borderId="0" xfId="0" applyAlignment="1">
      <alignment horizontal="center" wrapText="1"/>
    </xf>
    <xf numFmtId="0" fontId="0" fillId="21" borderId="7" xfId="0" applyFill="1" applyBorder="1" applyAlignment="1">
      <alignment horizontal="center" vertical="center"/>
    </xf>
    <xf numFmtId="0" fontId="0" fillId="21" borderId="0" xfId="0" applyFill="1" applyAlignment="1">
      <alignment horizontal="center" vertical="center"/>
    </xf>
    <xf numFmtId="0" fontId="0" fillId="22" borderId="7" xfId="0" applyFill="1" applyBorder="1" applyAlignment="1">
      <alignment horizontal="center" vertical="center"/>
    </xf>
    <xf numFmtId="0" fontId="31" fillId="9" borderId="7" xfId="0" applyFont="1" applyFill="1" applyBorder="1" applyAlignment="1">
      <alignment vertical="center"/>
    </xf>
    <xf numFmtId="0" fontId="30" fillId="9" borderId="7" xfId="0" applyFont="1" applyFill="1" applyBorder="1" applyAlignment="1">
      <alignment vertical="center"/>
    </xf>
    <xf numFmtId="0" fontId="0" fillId="0" borderId="15" xfId="0" applyBorder="1" applyAlignment="1">
      <alignment horizontal="center" vertical="center"/>
    </xf>
    <xf numFmtId="0" fontId="30" fillId="0" borderId="0" xfId="0" applyFont="1" applyAlignment="1">
      <alignment vertical="center"/>
    </xf>
    <xf numFmtId="0" fontId="0" fillId="0" borderId="0" xfId="0" applyAlignment="1">
      <alignment horizontal="center" vertical="center" wrapText="1"/>
    </xf>
    <xf numFmtId="0" fontId="0" fillId="0" borderId="7" xfId="0" applyBorder="1" applyAlignment="1">
      <alignment horizontal="center" vertical="center" wrapText="1"/>
    </xf>
    <xf numFmtId="3" fontId="0" fillId="0" borderId="7" xfId="0" applyNumberFormat="1" applyBorder="1" applyAlignment="1">
      <alignment horizontal="center" vertical="center" wrapText="1"/>
    </xf>
    <xf numFmtId="0" fontId="0" fillId="0" borderId="15" xfId="0" applyBorder="1" applyAlignment="1">
      <alignment horizontal="center" vertical="center" wrapText="1"/>
    </xf>
    <xf numFmtId="0" fontId="0" fillId="0" borderId="7" xfId="0" applyBorder="1"/>
    <xf numFmtId="0" fontId="0" fillId="11" borderId="0" xfId="0" applyFill="1" applyAlignment="1">
      <alignment horizontal="center" vertical="center" wrapText="1"/>
    </xf>
    <xf numFmtId="0" fontId="3" fillId="16" borderId="0" xfId="0" applyFont="1" applyFill="1"/>
    <xf numFmtId="0" fontId="32" fillId="9" borderId="7" xfId="0" applyFont="1" applyFill="1" applyBorder="1" applyAlignment="1">
      <alignment horizontal="center" vertical="center" wrapText="1"/>
    </xf>
    <xf numFmtId="0" fontId="1" fillId="0" borderId="0" xfId="1" applyAlignment="1">
      <alignment horizontal="center"/>
    </xf>
    <xf numFmtId="0" fontId="2" fillId="0" borderId="0" xfId="1" applyFont="1" applyAlignment="1">
      <alignment horizontal="center"/>
    </xf>
    <xf numFmtId="0" fontId="2" fillId="0" borderId="0" xfId="1" applyFont="1" applyAlignment="1">
      <alignment horizontal="left" vertical="center" wrapText="1"/>
    </xf>
    <xf numFmtId="0" fontId="3" fillId="0" borderId="11" xfId="0" applyFont="1" applyBorder="1" applyAlignment="1">
      <alignment horizontal="center" vertical="top" wrapText="1"/>
    </xf>
    <xf numFmtId="0" fontId="3" fillId="0" borderId="0" xfId="0" applyFont="1" applyAlignment="1">
      <alignment horizontal="center" vertical="top" wrapText="1"/>
    </xf>
    <xf numFmtId="0" fontId="3" fillId="0" borderId="12" xfId="0" applyFont="1" applyBorder="1" applyAlignment="1">
      <alignment horizontal="center" vertical="top" wrapText="1"/>
    </xf>
    <xf numFmtId="0" fontId="3" fillId="0" borderId="11" xfId="0" applyFont="1" applyBorder="1" applyAlignment="1">
      <alignment wrapText="1"/>
    </xf>
    <xf numFmtId="0" fontId="3" fillId="0" borderId="0" xfId="0" applyFont="1" applyAlignment="1">
      <alignment wrapText="1"/>
    </xf>
    <xf numFmtId="0" fontId="3" fillId="0" borderId="12" xfId="0" applyFont="1" applyBorder="1" applyAlignment="1">
      <alignment wrapText="1"/>
    </xf>
    <xf numFmtId="0" fontId="3" fillId="0" borderId="11" xfId="0" applyFont="1" applyBorder="1" applyAlignment="1">
      <alignment horizontal="center" wrapText="1"/>
    </xf>
    <xf numFmtId="0" fontId="3" fillId="0" borderId="12" xfId="0" applyFont="1" applyBorder="1" applyAlignment="1">
      <alignment horizontal="center" wrapText="1"/>
    </xf>
    <xf numFmtId="0" fontId="0" fillId="23" borderId="7" xfId="0" applyFill="1" applyBorder="1" applyAlignment="1">
      <alignment horizontal="center" vertical="center"/>
    </xf>
    <xf numFmtId="0" fontId="0" fillId="0" borderId="7" xfId="0" quotePrefix="1" applyBorder="1"/>
    <xf numFmtId="0" fontId="0" fillId="0" borderId="0" xfId="0" applyFill="1" applyBorder="1" applyAlignment="1">
      <alignment horizontal="center" vertical="center" wrapText="1"/>
    </xf>
    <xf numFmtId="0" fontId="30" fillId="0" borderId="0" xfId="0" applyFont="1" applyFill="1" applyBorder="1" applyAlignment="1">
      <alignment vertical="center"/>
    </xf>
    <xf numFmtId="0" fontId="33" fillId="24" borderId="7" xfId="0" applyFont="1" applyFill="1" applyBorder="1" applyAlignment="1">
      <alignment vertical="center"/>
    </xf>
    <xf numFmtId="49" fontId="0" fillId="0" borderId="0" xfId="0" applyNumberFormat="1"/>
    <xf numFmtId="49" fontId="0" fillId="0" borderId="0" xfId="0" applyNumberFormat="1" applyAlignment="1">
      <alignment horizontal="center" vertical="center" wrapText="1"/>
    </xf>
    <xf numFmtId="0" fontId="0" fillId="25" borderId="7" xfId="0" applyFill="1" applyBorder="1" applyAlignment="1">
      <alignment horizontal="center" vertical="center"/>
    </xf>
    <xf numFmtId="0" fontId="0" fillId="0" borderId="0" xfId="0" applyFill="1" applyAlignment="1">
      <alignment horizontal="left" vertical="top" wrapText="1"/>
    </xf>
    <xf numFmtId="0" fontId="0" fillId="25" borderId="0" xfId="0" applyFill="1" applyAlignment="1">
      <alignment vertical="center"/>
    </xf>
  </cellXfs>
  <cellStyles count="3">
    <cellStyle name="Hipervínculo" xfId="1" builtinId="8"/>
    <cellStyle name="Normal" xfId="0" builtinId="0"/>
    <cellStyle name="Normal_Hoja2" xfId="2" xr:uid="{9BAC51B9-46CB-448C-B194-207E985BD31F}"/>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Licencia Office" id="{1DAFA04E-8A08-4FD5-B4AE-5E98A6FCFCA2}" userId="S::licencia_sat_19@syesoftware.com::6bce23be-3bbd-45af-87a4-cb64ba9b7836"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5" dT="2025-07-29T19:21:01.86" personId="{1DAFA04E-8A08-4FD5-B4AE-5E98A6FCFCA2}" id="{793327C0-2C86-457E-B9C6-AC78A14842F8}">
    <text>Se agrega 884</text>
  </threadedComment>
  <threadedComment ref="G112" dT="2025-07-29T19:23:26.15" personId="{1DAFA04E-8A08-4FD5-B4AE-5E98A6FCFCA2}" id="{24D3C258-9E52-4BAE-9B8A-A2FAD2BA80B6}">
    <text>Se agrega 1132</text>
  </threadedComment>
  <threadedComment ref="G116" dT="2025-07-29T23:13:32.83" personId="{1DAFA04E-8A08-4FD5-B4AE-5E98A6FCFCA2}" id="{64154E85-ECC9-45DE-8CD4-98E56445B9BE}">
    <text>Se agrega 632</text>
  </threadedComment>
</ThreadedComments>
</file>

<file path=xl/threadedComments/threadedComment2.xml><?xml version="1.0" encoding="utf-8"?>
<ThreadedComments xmlns="http://schemas.microsoft.com/office/spreadsheetml/2018/threadedcomments" xmlns:x="http://schemas.openxmlformats.org/spreadsheetml/2006/main">
  <threadedComment ref="I37" dT="2025-07-29T19:23:26.15" personId="{1DAFA04E-8A08-4FD5-B4AE-5E98A6FCFCA2}" id="{C8BD3382-85A8-4CD4-9813-1C27C9D320A5}">
    <text>Se agrega 1132</text>
  </threadedComment>
  <threadedComment ref="I38" dT="2025-07-29T19:21:01.86" personId="{1DAFA04E-8A08-4FD5-B4AE-5E98A6FCFCA2}" id="{D1C45EA3-B433-4B95-8F1F-57045CF8E615}">
    <text>Se agrega 884</text>
  </threadedComment>
  <threadedComment ref="I74" dT="2025-07-29T23:13:32.83" personId="{1DAFA04E-8A08-4FD5-B4AE-5E98A6FCFCA2}" id="{549E687A-DF82-4188-9F53-29DBC400AA84}">
    <text>Se agrega 632</text>
  </threadedComment>
  <threadedComment ref="I89" dT="2025-07-29T19:21:01.86" personId="{1DAFA04E-8A08-4FD5-B4AE-5E98A6FCFCA2}" id="{0E091157-1458-439A-9233-C0737773FD94}">
    <text>Se agrega 884</text>
  </threadedComment>
  <threadedComment ref="I91" dT="2025-07-29T19:21:01.86" personId="{1DAFA04E-8A08-4FD5-B4AE-5E98A6FCFCA2}" id="{A2243B14-6D22-4036-B40B-AC43C72791C8}">
    <text>Se agrega 884</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peuat.siat.sat.gob.mx/app/PE/faces/index.jsp"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peuat.siat.sat.gob.mx/app/PE/faces/index.jsp" TargetMode="External"/><Relationship Id="rId1" Type="http://schemas.openxmlformats.org/officeDocument/2006/relationships/hyperlink" Target="https://www.uat.cloudb.sat.gob.mx/pcsectorprimario/" TargetMode="External"/><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F56C4-0C54-406E-8EE7-130936900B2C}">
  <sheetPr codeName="Hoja2"/>
  <dimension ref="A1:J125"/>
  <sheetViews>
    <sheetView zoomScale="110" zoomScaleNormal="110" workbookViewId="0">
      <pane xSplit="2" ySplit="2" topLeftCell="C5" activePane="bottomRight" state="frozen"/>
      <selection pane="topRight" activeCell="B1" sqref="B1"/>
      <selection pane="bottomLeft" activeCell="A3" sqref="A3"/>
      <selection pane="bottomRight" activeCell="B82" sqref="B82"/>
    </sheetView>
  </sheetViews>
  <sheetFormatPr baseColWidth="10" defaultColWidth="43.54296875" defaultRowHeight="10.5" x14ac:dyDescent="0.25"/>
  <cols>
    <col min="1" max="1" width="1.08984375" style="1" customWidth="1"/>
    <col min="2" max="2" width="12.36328125" style="1" customWidth="1"/>
    <col min="3" max="3" width="10.81640625" style="1" customWidth="1"/>
    <col min="4" max="4" width="6.1796875" style="32" customWidth="1"/>
    <col min="5" max="5" width="21.1796875" style="32" customWidth="1"/>
    <col min="6" max="6" width="12.453125" style="32" customWidth="1"/>
    <col min="7" max="7" width="12.36328125" style="32" bestFit="1" customWidth="1"/>
    <col min="8" max="8" width="3.1796875" style="1" customWidth="1"/>
    <col min="9" max="9" width="16.1796875" style="1" customWidth="1"/>
    <col min="10" max="16384" width="43.54296875" style="1"/>
  </cols>
  <sheetData>
    <row r="1" spans="1:10" ht="14.5" customHeight="1" x14ac:dyDescent="0.35">
      <c r="A1" s="113" t="s">
        <v>88</v>
      </c>
      <c r="B1" s="114"/>
      <c r="C1" s="114"/>
      <c r="D1" s="114"/>
      <c r="E1" s="114"/>
      <c r="F1" s="114"/>
      <c r="G1" s="114"/>
      <c r="H1" s="114"/>
    </row>
    <row r="2" spans="1:10" ht="24.5" customHeight="1" x14ac:dyDescent="0.25">
      <c r="B2" s="5" t="s">
        <v>0</v>
      </c>
      <c r="C2" s="6" t="s">
        <v>89</v>
      </c>
      <c r="D2" s="33" t="s">
        <v>1</v>
      </c>
      <c r="E2" s="33" t="s">
        <v>90</v>
      </c>
      <c r="F2" s="33" t="s">
        <v>91</v>
      </c>
      <c r="G2" s="33" t="s">
        <v>92</v>
      </c>
      <c r="H2" s="6"/>
      <c r="I2" s="33" t="s">
        <v>528</v>
      </c>
    </row>
    <row r="3" spans="1:10" x14ac:dyDescent="0.25">
      <c r="B3" s="28" t="s">
        <v>84</v>
      </c>
      <c r="C3" s="29" t="s">
        <v>36</v>
      </c>
      <c r="D3" s="34">
        <v>621</v>
      </c>
      <c r="E3" s="34">
        <v>300665</v>
      </c>
      <c r="F3" s="34">
        <v>2</v>
      </c>
      <c r="G3" s="34">
        <v>30</v>
      </c>
      <c r="H3" s="30"/>
      <c r="I3" s="4"/>
    </row>
    <row r="4" spans="1:10" x14ac:dyDescent="0.25">
      <c r="B4" s="28" t="s">
        <v>93</v>
      </c>
      <c r="C4" s="29" t="s">
        <v>36</v>
      </c>
      <c r="D4" s="34">
        <v>612</v>
      </c>
      <c r="E4" s="34" t="s">
        <v>396</v>
      </c>
      <c r="F4" s="34">
        <v>3</v>
      </c>
      <c r="G4" s="34">
        <v>1</v>
      </c>
      <c r="H4" s="30"/>
      <c r="I4" s="4"/>
    </row>
    <row r="5" spans="1:10" ht="21" x14ac:dyDescent="0.25">
      <c r="B5" s="28" t="s">
        <v>74</v>
      </c>
      <c r="C5" s="29" t="s">
        <v>36</v>
      </c>
      <c r="D5" s="34">
        <v>626</v>
      </c>
      <c r="E5" s="34" t="s">
        <v>397</v>
      </c>
      <c r="F5" s="34"/>
      <c r="G5" s="34">
        <v>884</v>
      </c>
      <c r="H5" s="30"/>
      <c r="I5" s="4"/>
    </row>
    <row r="6" spans="1:10" x14ac:dyDescent="0.25">
      <c r="B6" s="28" t="s">
        <v>85</v>
      </c>
      <c r="C6" s="29" t="s">
        <v>36</v>
      </c>
      <c r="D6" s="34">
        <v>621</v>
      </c>
      <c r="E6" s="34" t="s">
        <v>399</v>
      </c>
      <c r="F6" s="34" t="s">
        <v>398</v>
      </c>
      <c r="G6" s="34">
        <v>90</v>
      </c>
      <c r="H6" s="30"/>
      <c r="I6" s="4"/>
    </row>
    <row r="7" spans="1:10" ht="21" x14ac:dyDescent="0.25">
      <c r="B7" s="28" t="s">
        <v>25</v>
      </c>
      <c r="C7" s="29" t="s">
        <v>36</v>
      </c>
      <c r="D7" s="34">
        <v>603</v>
      </c>
      <c r="E7" s="34" t="s">
        <v>401</v>
      </c>
      <c r="F7" s="34" t="s">
        <v>400</v>
      </c>
      <c r="G7" s="34">
        <v>1113</v>
      </c>
      <c r="H7" s="30" t="s">
        <v>44</v>
      </c>
      <c r="I7" s="4" t="s">
        <v>43</v>
      </c>
    </row>
    <row r="8" spans="1:10" s="2" customFormat="1" x14ac:dyDescent="0.25">
      <c r="B8" s="28" t="s">
        <v>94</v>
      </c>
      <c r="C8" s="29" t="s">
        <v>36</v>
      </c>
      <c r="D8" s="34">
        <v>621</v>
      </c>
      <c r="E8" s="34" t="s">
        <v>402</v>
      </c>
      <c r="F8" s="34"/>
      <c r="G8" s="34">
        <v>909</v>
      </c>
      <c r="H8" s="30"/>
      <c r="I8" s="36"/>
      <c r="J8" s="1"/>
    </row>
    <row r="9" spans="1:10" s="2" customFormat="1" x14ac:dyDescent="0.25">
      <c r="B9" s="28" t="s">
        <v>77</v>
      </c>
      <c r="C9" s="29" t="s">
        <v>36</v>
      </c>
      <c r="D9" s="34">
        <v>605</v>
      </c>
      <c r="E9" s="34" t="s">
        <v>403</v>
      </c>
      <c r="F9" s="34"/>
      <c r="G9" s="34">
        <v>1091</v>
      </c>
      <c r="H9" s="30"/>
      <c r="I9" s="36"/>
      <c r="J9" s="1"/>
    </row>
    <row r="10" spans="1:10" s="2" customFormat="1" x14ac:dyDescent="0.25">
      <c r="B10" s="28" t="s">
        <v>96</v>
      </c>
      <c r="C10" s="29" t="s">
        <v>36</v>
      </c>
      <c r="D10" s="34">
        <v>605</v>
      </c>
      <c r="E10" s="34" t="s">
        <v>403</v>
      </c>
      <c r="F10" s="34"/>
      <c r="G10" s="34">
        <v>898</v>
      </c>
      <c r="H10" s="30"/>
      <c r="I10" s="36"/>
      <c r="J10" s="1"/>
    </row>
    <row r="11" spans="1:10" s="2" customFormat="1" x14ac:dyDescent="0.25">
      <c r="B11" s="28" t="s">
        <v>97</v>
      </c>
      <c r="C11" s="29" t="s">
        <v>36</v>
      </c>
      <c r="D11" s="34">
        <v>605</v>
      </c>
      <c r="E11" s="34" t="s">
        <v>403</v>
      </c>
      <c r="F11" s="34"/>
      <c r="G11" s="34" t="s">
        <v>98</v>
      </c>
      <c r="H11" s="30"/>
      <c r="I11" s="36"/>
      <c r="J11" s="1"/>
    </row>
    <row r="12" spans="1:10" s="2" customFormat="1" x14ac:dyDescent="0.25">
      <c r="B12" s="28" t="s">
        <v>99</v>
      </c>
      <c r="C12" s="29" t="s">
        <v>36</v>
      </c>
      <c r="D12" s="34">
        <v>612</v>
      </c>
      <c r="E12" s="34" t="s">
        <v>95</v>
      </c>
      <c r="F12" s="34"/>
      <c r="G12" s="34">
        <v>632</v>
      </c>
      <c r="H12" s="30"/>
      <c r="I12" s="36"/>
      <c r="J12" s="1"/>
    </row>
    <row r="13" spans="1:10" s="2" customFormat="1" x14ac:dyDescent="0.25">
      <c r="B13" s="28" t="s">
        <v>100</v>
      </c>
      <c r="C13" s="29" t="s">
        <v>36</v>
      </c>
      <c r="D13" s="34">
        <v>612</v>
      </c>
      <c r="E13" s="34" t="s">
        <v>404</v>
      </c>
      <c r="F13" s="34"/>
      <c r="G13" s="34">
        <v>632</v>
      </c>
      <c r="H13" s="30"/>
      <c r="I13" s="36"/>
      <c r="J13" s="1"/>
    </row>
    <row r="14" spans="1:10" ht="31.5" x14ac:dyDescent="0.25">
      <c r="B14" s="28" t="s">
        <v>101</v>
      </c>
      <c r="C14" s="29" t="s">
        <v>48</v>
      </c>
      <c r="D14" s="35" t="s">
        <v>102</v>
      </c>
      <c r="E14" s="34" t="s">
        <v>406</v>
      </c>
      <c r="F14" s="34" t="s">
        <v>405</v>
      </c>
      <c r="G14" s="34" t="s">
        <v>556</v>
      </c>
      <c r="H14" s="30"/>
      <c r="I14" s="4"/>
    </row>
    <row r="15" spans="1:10" x14ac:dyDescent="0.25">
      <c r="B15" s="28" t="s">
        <v>103</v>
      </c>
      <c r="C15" s="29" t="s">
        <v>36</v>
      </c>
      <c r="D15" s="34" t="s">
        <v>104</v>
      </c>
      <c r="E15" s="34" t="s">
        <v>407</v>
      </c>
      <c r="F15" s="34"/>
      <c r="G15" s="34">
        <v>1</v>
      </c>
      <c r="H15" s="30"/>
      <c r="I15" s="4"/>
    </row>
    <row r="16" spans="1:10" s="2" customFormat="1" x14ac:dyDescent="0.25">
      <c r="B16" s="28" t="s">
        <v>75</v>
      </c>
      <c r="C16" s="29" t="s">
        <v>36</v>
      </c>
      <c r="D16" s="34" t="s">
        <v>105</v>
      </c>
      <c r="E16" s="34" t="s">
        <v>408</v>
      </c>
      <c r="F16" s="34">
        <v>3</v>
      </c>
      <c r="G16" s="34">
        <v>797</v>
      </c>
      <c r="H16" s="30"/>
      <c r="I16" s="36"/>
      <c r="J16" s="1"/>
    </row>
    <row r="17" spans="2:10" s="2" customFormat="1" x14ac:dyDescent="0.25">
      <c r="B17" s="28" t="s">
        <v>12</v>
      </c>
      <c r="C17" s="29" t="s">
        <v>36</v>
      </c>
      <c r="D17" s="34">
        <v>616</v>
      </c>
      <c r="E17" s="34" t="s">
        <v>500</v>
      </c>
      <c r="F17" s="34"/>
      <c r="G17" s="34">
        <v>83</v>
      </c>
      <c r="H17" s="30"/>
      <c r="I17" s="36"/>
      <c r="J17" s="1"/>
    </row>
    <row r="18" spans="2:10" s="2" customFormat="1" x14ac:dyDescent="0.25">
      <c r="B18" s="28" t="s">
        <v>55</v>
      </c>
      <c r="C18" s="29" t="s">
        <v>36</v>
      </c>
      <c r="D18" s="34">
        <v>605</v>
      </c>
      <c r="E18" s="34" t="s">
        <v>409</v>
      </c>
      <c r="F18" s="34"/>
      <c r="G18" s="34">
        <v>258</v>
      </c>
      <c r="H18" s="30"/>
      <c r="I18" s="36"/>
      <c r="J18" s="1"/>
    </row>
    <row r="19" spans="2:10" s="2" customFormat="1" ht="21" x14ac:dyDescent="0.25">
      <c r="B19" s="28" t="s">
        <v>47</v>
      </c>
      <c r="C19" s="30" t="s">
        <v>106</v>
      </c>
      <c r="D19" s="34">
        <v>621</v>
      </c>
      <c r="E19" s="34" t="s">
        <v>411</v>
      </c>
      <c r="F19" s="34" t="s">
        <v>410</v>
      </c>
      <c r="G19" s="34" t="s">
        <v>107</v>
      </c>
      <c r="H19" s="30"/>
      <c r="I19" s="36"/>
      <c r="J19" s="1"/>
    </row>
    <row r="20" spans="2:10" s="2" customFormat="1" x14ac:dyDescent="0.25">
      <c r="B20" s="28" t="s">
        <v>56</v>
      </c>
      <c r="C20" s="29" t="s">
        <v>36</v>
      </c>
      <c r="D20" s="34">
        <v>608</v>
      </c>
      <c r="E20" s="34" t="s">
        <v>412</v>
      </c>
      <c r="F20" s="34"/>
      <c r="G20" s="34"/>
      <c r="H20" s="30"/>
      <c r="I20" s="36"/>
      <c r="J20" s="1"/>
    </row>
    <row r="21" spans="2:10" s="2" customFormat="1" x14ac:dyDescent="0.25">
      <c r="B21" s="28" t="s">
        <v>57</v>
      </c>
      <c r="C21" s="29" t="s">
        <v>36</v>
      </c>
      <c r="D21" s="34">
        <v>616</v>
      </c>
      <c r="E21" s="34" t="s">
        <v>413</v>
      </c>
      <c r="F21" s="34"/>
      <c r="G21" s="34"/>
      <c r="H21" s="30"/>
      <c r="I21" s="36"/>
      <c r="J21" s="1"/>
    </row>
    <row r="22" spans="2:10" s="2" customFormat="1" x14ac:dyDescent="0.25">
      <c r="B22" s="28" t="s">
        <v>58</v>
      </c>
      <c r="C22" s="29" t="s">
        <v>36</v>
      </c>
      <c r="D22" s="34" t="s">
        <v>108</v>
      </c>
      <c r="E22" s="34" t="s">
        <v>414</v>
      </c>
      <c r="F22" s="34"/>
      <c r="G22" s="34"/>
      <c r="H22" s="30"/>
      <c r="I22" s="36"/>
      <c r="J22" s="1"/>
    </row>
    <row r="23" spans="2:10" s="2" customFormat="1" ht="21" x14ac:dyDescent="0.25">
      <c r="B23" s="28" t="s">
        <v>59</v>
      </c>
      <c r="C23" s="29" t="s">
        <v>36</v>
      </c>
      <c r="D23" s="34">
        <v>612</v>
      </c>
      <c r="E23" s="34" t="s">
        <v>416</v>
      </c>
      <c r="F23" s="34" t="s">
        <v>415</v>
      </c>
      <c r="G23" s="34">
        <v>632</v>
      </c>
      <c r="H23" s="30"/>
      <c r="I23" s="36"/>
      <c r="J23" s="1"/>
    </row>
    <row r="24" spans="2:10" s="2" customFormat="1" x14ac:dyDescent="0.25">
      <c r="B24" s="28" t="s">
        <v>60</v>
      </c>
      <c r="C24" s="29" t="s">
        <v>36</v>
      </c>
      <c r="D24" s="34">
        <v>612</v>
      </c>
      <c r="E24" s="34" t="s">
        <v>418</v>
      </c>
      <c r="F24" s="34" t="s">
        <v>417</v>
      </c>
      <c r="G24" s="34">
        <v>632</v>
      </c>
      <c r="H24" s="30"/>
      <c r="I24" s="36"/>
      <c r="J24" s="1"/>
    </row>
    <row r="25" spans="2:10" s="2" customFormat="1" x14ac:dyDescent="0.25">
      <c r="B25" s="28" t="s">
        <v>61</v>
      </c>
      <c r="C25" s="29" t="s">
        <v>36</v>
      </c>
      <c r="D25" s="34">
        <v>612</v>
      </c>
      <c r="E25" s="34" t="s">
        <v>109</v>
      </c>
      <c r="F25" s="34">
        <v>9</v>
      </c>
      <c r="G25" s="34">
        <v>664</v>
      </c>
      <c r="H25" s="30"/>
      <c r="I25" s="36"/>
      <c r="J25" s="1"/>
    </row>
    <row r="26" spans="2:10" s="2" customFormat="1" x14ac:dyDescent="0.25">
      <c r="B26" s="28" t="s">
        <v>76</v>
      </c>
      <c r="C26" s="29" t="s">
        <v>36</v>
      </c>
      <c r="D26" s="34">
        <v>606</v>
      </c>
      <c r="E26" s="34" t="s">
        <v>419</v>
      </c>
      <c r="F26" s="34"/>
      <c r="G26" s="34">
        <v>122</v>
      </c>
      <c r="H26" s="30"/>
      <c r="I26" s="36"/>
      <c r="J26" s="1"/>
    </row>
    <row r="27" spans="2:10" s="2" customFormat="1" x14ac:dyDescent="0.25">
      <c r="B27" s="28" t="s">
        <v>62</v>
      </c>
      <c r="C27" s="29" t="s">
        <v>36</v>
      </c>
      <c r="D27" s="34" t="s">
        <v>110</v>
      </c>
      <c r="E27" s="34" t="s">
        <v>419</v>
      </c>
      <c r="F27" s="34"/>
      <c r="G27" s="34">
        <v>131</v>
      </c>
      <c r="H27" s="30"/>
      <c r="I27" s="36"/>
      <c r="J27" s="1"/>
    </row>
    <row r="28" spans="2:10" s="2" customFormat="1" x14ac:dyDescent="0.25">
      <c r="B28" s="28" t="s">
        <v>515</v>
      </c>
      <c r="C28" s="29" t="s">
        <v>36</v>
      </c>
      <c r="D28" s="34">
        <v>612</v>
      </c>
      <c r="E28" s="34" t="s">
        <v>419</v>
      </c>
      <c r="F28" s="34"/>
      <c r="G28" s="34">
        <v>909</v>
      </c>
      <c r="H28" s="30"/>
      <c r="I28" s="36"/>
      <c r="J28" s="1"/>
    </row>
    <row r="29" spans="2:10" s="2" customFormat="1" x14ac:dyDescent="0.25">
      <c r="B29" s="28" t="s">
        <v>63</v>
      </c>
      <c r="C29" s="29" t="s">
        <v>36</v>
      </c>
      <c r="D29" s="34">
        <v>605</v>
      </c>
      <c r="E29" s="34" t="s">
        <v>420</v>
      </c>
      <c r="F29" s="34"/>
      <c r="G29" s="34">
        <v>923</v>
      </c>
      <c r="H29" s="30"/>
      <c r="I29" s="36"/>
      <c r="J29" s="1"/>
    </row>
    <row r="30" spans="2:10" s="2" customFormat="1" x14ac:dyDescent="0.25">
      <c r="B30" s="28" t="s">
        <v>64</v>
      </c>
      <c r="C30" s="29" t="s">
        <v>36</v>
      </c>
      <c r="D30" s="34">
        <v>605</v>
      </c>
      <c r="E30" s="34" t="s">
        <v>420</v>
      </c>
      <c r="F30" s="34"/>
      <c r="G30" s="34">
        <v>923</v>
      </c>
      <c r="H30" s="30"/>
      <c r="I30" s="36"/>
      <c r="J30" s="1"/>
    </row>
    <row r="31" spans="2:10" s="2" customFormat="1" ht="21" x14ac:dyDescent="0.25">
      <c r="B31" s="28" t="s">
        <v>518</v>
      </c>
      <c r="C31" s="29" t="s">
        <v>36</v>
      </c>
      <c r="D31" s="34" t="s">
        <v>111</v>
      </c>
      <c r="E31" s="34" t="s">
        <v>421</v>
      </c>
      <c r="F31" s="34"/>
      <c r="G31" s="34" t="s">
        <v>112</v>
      </c>
      <c r="H31" s="30"/>
      <c r="I31" s="36"/>
      <c r="J31" s="1"/>
    </row>
    <row r="32" spans="2:10" ht="21" x14ac:dyDescent="0.25">
      <c r="B32" s="28" t="s">
        <v>519</v>
      </c>
      <c r="C32" s="29" t="s">
        <v>36</v>
      </c>
      <c r="D32" s="34">
        <v>621</v>
      </c>
      <c r="E32" s="34" t="s">
        <v>422</v>
      </c>
      <c r="F32" s="35">
        <v>738735</v>
      </c>
      <c r="G32" s="34">
        <v>632</v>
      </c>
      <c r="H32" s="30"/>
      <c r="I32" s="4"/>
    </row>
    <row r="33" spans="2:10" s="2" customFormat="1" ht="21" x14ac:dyDescent="0.25">
      <c r="B33" s="28" t="s">
        <v>49</v>
      </c>
      <c r="C33" s="29" t="s">
        <v>48</v>
      </c>
      <c r="D33" s="34">
        <v>612</v>
      </c>
      <c r="E33" s="35" t="s">
        <v>423</v>
      </c>
      <c r="F33" s="34"/>
      <c r="G33" s="34">
        <v>632</v>
      </c>
      <c r="H33" s="30"/>
      <c r="I33" s="36"/>
      <c r="J33" s="1"/>
    </row>
    <row r="34" spans="2:10" s="2" customFormat="1" ht="21" x14ac:dyDescent="0.25">
      <c r="B34" s="28" t="s">
        <v>65</v>
      </c>
      <c r="C34" s="29" t="s">
        <v>36</v>
      </c>
      <c r="D34" s="34">
        <v>626</v>
      </c>
      <c r="E34" s="34" t="s">
        <v>424</v>
      </c>
      <c r="F34" s="34"/>
      <c r="G34" s="34">
        <v>1</v>
      </c>
      <c r="H34" s="30"/>
      <c r="I34" s="36"/>
      <c r="J34" s="1"/>
    </row>
    <row r="35" spans="2:10" s="2" customFormat="1" x14ac:dyDescent="0.25">
      <c r="B35" s="28" t="s">
        <v>66</v>
      </c>
      <c r="C35" s="29" t="s">
        <v>36</v>
      </c>
      <c r="D35" s="34">
        <v>606</v>
      </c>
      <c r="E35" s="34" t="s">
        <v>425</v>
      </c>
      <c r="F35" s="34"/>
      <c r="G35" s="34">
        <v>652</v>
      </c>
      <c r="H35" s="30"/>
      <c r="I35" s="36"/>
      <c r="J35" s="1"/>
    </row>
    <row r="36" spans="2:10" s="2" customFormat="1" x14ac:dyDescent="0.25">
      <c r="B36" s="28" t="s">
        <v>67</v>
      </c>
      <c r="C36" s="29" t="s">
        <v>36</v>
      </c>
      <c r="D36" s="34">
        <v>612</v>
      </c>
      <c r="E36" s="34" t="s">
        <v>427</v>
      </c>
      <c r="F36" s="34" t="s">
        <v>426</v>
      </c>
      <c r="G36" s="34">
        <v>94</v>
      </c>
      <c r="H36" s="30"/>
      <c r="I36" s="36"/>
      <c r="J36" s="1"/>
    </row>
    <row r="37" spans="2:10" s="2" customFormat="1" x14ac:dyDescent="0.25">
      <c r="B37" s="28" t="s">
        <v>68</v>
      </c>
      <c r="C37" s="29" t="s">
        <v>36</v>
      </c>
      <c r="D37" s="34">
        <v>606</v>
      </c>
      <c r="E37" s="34" t="s">
        <v>428</v>
      </c>
      <c r="F37" s="34">
        <v>3</v>
      </c>
      <c r="G37" s="34">
        <v>907</v>
      </c>
      <c r="H37" s="30"/>
      <c r="I37" s="36"/>
      <c r="J37" s="1"/>
    </row>
    <row r="38" spans="2:10" s="2" customFormat="1" ht="21" x14ac:dyDescent="0.25">
      <c r="B38" s="28" t="s">
        <v>69</v>
      </c>
      <c r="C38" s="29" t="s">
        <v>36</v>
      </c>
      <c r="D38" s="34">
        <v>612</v>
      </c>
      <c r="E38" s="34" t="s">
        <v>430</v>
      </c>
      <c r="F38" s="34" t="s">
        <v>429</v>
      </c>
      <c r="G38" s="34">
        <v>909</v>
      </c>
      <c r="H38" s="30"/>
      <c r="I38" s="36"/>
      <c r="J38" s="1"/>
    </row>
    <row r="39" spans="2:10" s="2" customFormat="1" x14ac:dyDescent="0.25">
      <c r="B39" s="28" t="s">
        <v>50</v>
      </c>
      <c r="C39" s="29" t="s">
        <v>48</v>
      </c>
      <c r="D39" s="34">
        <v>606</v>
      </c>
      <c r="E39" s="34" t="s">
        <v>431</v>
      </c>
      <c r="F39" s="34"/>
      <c r="G39" s="34">
        <v>664</v>
      </c>
      <c r="H39" s="30"/>
      <c r="I39" s="36"/>
      <c r="J39" s="1"/>
    </row>
    <row r="40" spans="2:10" s="2" customFormat="1" x14ac:dyDescent="0.25">
      <c r="B40" s="28" t="s">
        <v>70</v>
      </c>
      <c r="C40" s="29" t="s">
        <v>36</v>
      </c>
      <c r="D40" s="34">
        <v>606</v>
      </c>
      <c r="E40" s="34" t="s">
        <v>431</v>
      </c>
      <c r="F40" s="34"/>
      <c r="G40" s="34">
        <v>405</v>
      </c>
      <c r="H40" s="30"/>
      <c r="I40" s="36"/>
      <c r="J40" s="1"/>
    </row>
    <row r="41" spans="2:10" s="2" customFormat="1" x14ac:dyDescent="0.25">
      <c r="B41" s="28" t="s">
        <v>71</v>
      </c>
      <c r="C41" s="29" t="s">
        <v>36</v>
      </c>
      <c r="D41" s="34">
        <v>606</v>
      </c>
      <c r="E41" s="34" t="s">
        <v>431</v>
      </c>
      <c r="F41" s="34"/>
      <c r="G41" s="34">
        <v>450</v>
      </c>
      <c r="H41" s="30"/>
      <c r="I41" s="36"/>
      <c r="J41" s="1"/>
    </row>
    <row r="42" spans="2:10" s="2" customFormat="1" x14ac:dyDescent="0.25">
      <c r="B42" s="28" t="s">
        <v>72</v>
      </c>
      <c r="C42" s="29" t="s">
        <v>36</v>
      </c>
      <c r="D42" s="34">
        <v>621</v>
      </c>
      <c r="E42" s="34" t="s">
        <v>432</v>
      </c>
      <c r="F42" s="35">
        <v>738735</v>
      </c>
      <c r="G42" s="34">
        <v>632</v>
      </c>
      <c r="H42" s="30"/>
      <c r="I42" s="36"/>
      <c r="J42" s="1"/>
    </row>
    <row r="43" spans="2:10" s="2" customFormat="1" ht="21" x14ac:dyDescent="0.25">
      <c r="B43" s="28" t="s">
        <v>73</v>
      </c>
      <c r="C43" s="29" t="s">
        <v>36</v>
      </c>
      <c r="D43" s="34">
        <v>621</v>
      </c>
      <c r="E43" s="34" t="s">
        <v>433</v>
      </c>
      <c r="F43" s="34"/>
      <c r="G43" s="34">
        <v>632</v>
      </c>
      <c r="H43" s="30"/>
      <c r="I43" s="36"/>
      <c r="J43" s="1"/>
    </row>
    <row r="44" spans="2:10" s="2" customFormat="1" ht="21" x14ac:dyDescent="0.25">
      <c r="B44" s="28" t="s">
        <v>26</v>
      </c>
      <c r="C44" s="29" t="s">
        <v>36</v>
      </c>
      <c r="D44" s="34">
        <v>601</v>
      </c>
      <c r="E44" s="34" t="s">
        <v>435</v>
      </c>
      <c r="F44" s="34" t="s">
        <v>434</v>
      </c>
      <c r="G44" s="34">
        <v>849</v>
      </c>
      <c r="H44" s="30" t="s">
        <v>44</v>
      </c>
      <c r="I44" s="36" t="s">
        <v>43</v>
      </c>
      <c r="J44" s="1"/>
    </row>
    <row r="45" spans="2:10" s="2" customFormat="1" ht="31.5" x14ac:dyDescent="0.25">
      <c r="B45" s="28" t="s">
        <v>27</v>
      </c>
      <c r="C45" s="29" t="s">
        <v>36</v>
      </c>
      <c r="D45" s="34">
        <v>601</v>
      </c>
      <c r="E45" s="34" t="s">
        <v>437</v>
      </c>
      <c r="F45" s="34" t="s">
        <v>436</v>
      </c>
      <c r="G45" s="34">
        <v>2223</v>
      </c>
      <c r="H45" s="30" t="s">
        <v>44</v>
      </c>
      <c r="I45" s="36"/>
      <c r="J45" s="1"/>
    </row>
    <row r="46" spans="2:10" s="2" customFormat="1" ht="21" x14ac:dyDescent="0.25">
      <c r="B46" s="28" t="s">
        <v>28</v>
      </c>
      <c r="C46" s="29" t="s">
        <v>36</v>
      </c>
      <c r="D46" s="34">
        <v>601</v>
      </c>
      <c r="E46" s="34" t="s">
        <v>439</v>
      </c>
      <c r="F46" s="34" t="s">
        <v>438</v>
      </c>
      <c r="G46" s="34">
        <v>131</v>
      </c>
      <c r="H46" s="30" t="s">
        <v>44</v>
      </c>
      <c r="I46" s="36"/>
      <c r="J46" s="1"/>
    </row>
    <row r="47" spans="2:10" s="2" customFormat="1" ht="21" x14ac:dyDescent="0.25">
      <c r="B47" s="28" t="s">
        <v>29</v>
      </c>
      <c r="C47" s="29" t="s">
        <v>36</v>
      </c>
      <c r="D47" s="34">
        <v>601</v>
      </c>
      <c r="E47" s="34" t="s">
        <v>441</v>
      </c>
      <c r="F47" s="34" t="s">
        <v>440</v>
      </c>
      <c r="G47" s="34">
        <v>909</v>
      </c>
      <c r="H47" s="30" t="s">
        <v>44</v>
      </c>
      <c r="I47" s="36"/>
      <c r="J47" s="1"/>
    </row>
    <row r="48" spans="2:10" s="2" customFormat="1" ht="31.5" x14ac:dyDescent="0.25">
      <c r="B48" s="28" t="s">
        <v>30</v>
      </c>
      <c r="C48" s="29" t="s">
        <v>36</v>
      </c>
      <c r="D48" s="34">
        <v>601</v>
      </c>
      <c r="E48" s="34" t="s">
        <v>443</v>
      </c>
      <c r="F48" s="34" t="s">
        <v>442</v>
      </c>
      <c r="G48" s="34" t="s">
        <v>113</v>
      </c>
      <c r="H48" s="30" t="s">
        <v>44</v>
      </c>
      <c r="I48" s="36"/>
      <c r="J48" s="1"/>
    </row>
    <row r="49" spans="2:10" s="2" customFormat="1" ht="31.5" x14ac:dyDescent="0.25">
      <c r="B49" s="28" t="s">
        <v>31</v>
      </c>
      <c r="C49" s="29" t="s">
        <v>36</v>
      </c>
      <c r="D49" s="34">
        <v>601</v>
      </c>
      <c r="E49" s="35">
        <v>3.0048330006630001E+29</v>
      </c>
      <c r="F49" s="34" t="s">
        <v>444</v>
      </c>
      <c r="G49" s="34">
        <v>753</v>
      </c>
      <c r="H49" s="30" t="s">
        <v>44</v>
      </c>
      <c r="I49" s="36"/>
      <c r="J49" s="1"/>
    </row>
    <row r="50" spans="2:10" s="2" customFormat="1" ht="31.5" x14ac:dyDescent="0.25">
      <c r="B50" s="28" t="s">
        <v>32</v>
      </c>
      <c r="C50" s="29" t="s">
        <v>36</v>
      </c>
      <c r="D50" s="34">
        <v>601</v>
      </c>
      <c r="E50" s="34" t="s">
        <v>446</v>
      </c>
      <c r="F50" s="34" t="s">
        <v>445</v>
      </c>
      <c r="G50" s="34">
        <v>595</v>
      </c>
      <c r="H50" s="30" t="s">
        <v>44</v>
      </c>
      <c r="I50" s="36"/>
      <c r="J50" s="1"/>
    </row>
    <row r="51" spans="2:10" s="2" customFormat="1" ht="21" x14ac:dyDescent="0.25">
      <c r="B51" s="28" t="s">
        <v>33</v>
      </c>
      <c r="C51" s="29" t="s">
        <v>36</v>
      </c>
      <c r="D51" s="34">
        <v>601</v>
      </c>
      <c r="E51" s="34" t="s">
        <v>448</v>
      </c>
      <c r="F51" s="34" t="s">
        <v>447</v>
      </c>
      <c r="G51" s="34">
        <v>632</v>
      </c>
      <c r="H51" s="30" t="s">
        <v>44</v>
      </c>
      <c r="I51" s="36"/>
      <c r="J51" s="1"/>
    </row>
    <row r="52" spans="2:10" s="2" customFormat="1" ht="31.5" x14ac:dyDescent="0.25">
      <c r="B52" s="28" t="s">
        <v>34</v>
      </c>
      <c r="C52" s="29" t="s">
        <v>36</v>
      </c>
      <c r="D52" s="34">
        <v>603</v>
      </c>
      <c r="E52" s="34" t="s">
        <v>450</v>
      </c>
      <c r="F52" s="35" t="s">
        <v>449</v>
      </c>
      <c r="G52" s="34">
        <v>632</v>
      </c>
      <c r="H52" s="30" t="s">
        <v>44</v>
      </c>
      <c r="I52" s="36"/>
      <c r="J52" s="1"/>
    </row>
    <row r="53" spans="2:10" s="2" customFormat="1" x14ac:dyDescent="0.25">
      <c r="B53" s="28" t="s">
        <v>78</v>
      </c>
      <c r="C53" s="29" t="s">
        <v>36</v>
      </c>
      <c r="D53" s="34" t="s">
        <v>114</v>
      </c>
      <c r="E53" s="34" t="s">
        <v>425</v>
      </c>
      <c r="F53" s="34"/>
      <c r="G53" s="34">
        <v>1122</v>
      </c>
      <c r="H53" s="30"/>
      <c r="I53" s="36"/>
      <c r="J53" s="1"/>
    </row>
    <row r="54" spans="2:10" s="2" customFormat="1" x14ac:dyDescent="0.25">
      <c r="B54" s="28" t="s">
        <v>115</v>
      </c>
      <c r="C54" s="29" t="s">
        <v>36</v>
      </c>
      <c r="D54" s="34" t="s">
        <v>114</v>
      </c>
      <c r="E54" s="34" t="s">
        <v>425</v>
      </c>
      <c r="F54" s="34"/>
      <c r="G54" s="34">
        <v>355</v>
      </c>
      <c r="H54" s="30"/>
      <c r="I54" s="36"/>
      <c r="J54" s="1"/>
    </row>
    <row r="55" spans="2:10" s="2" customFormat="1" x14ac:dyDescent="0.25">
      <c r="B55" s="28" t="s">
        <v>79</v>
      </c>
      <c r="C55" s="29" t="s">
        <v>36</v>
      </c>
      <c r="D55" s="34" t="s">
        <v>114</v>
      </c>
      <c r="E55" s="34" t="s">
        <v>451</v>
      </c>
      <c r="F55" s="34"/>
      <c r="G55" s="34"/>
      <c r="H55" s="30"/>
      <c r="I55" s="36"/>
      <c r="J55" s="1"/>
    </row>
    <row r="56" spans="2:10" s="2" customFormat="1" x14ac:dyDescent="0.25">
      <c r="B56" s="28" t="s">
        <v>116</v>
      </c>
      <c r="C56" s="29" t="s">
        <v>36</v>
      </c>
      <c r="D56" s="34">
        <v>611</v>
      </c>
      <c r="E56" s="34" t="s">
        <v>425</v>
      </c>
      <c r="F56" s="34"/>
      <c r="G56" s="34" t="s">
        <v>117</v>
      </c>
      <c r="H56" s="30"/>
      <c r="I56" s="36"/>
      <c r="J56" s="1"/>
    </row>
    <row r="57" spans="2:10" s="2" customFormat="1" x14ac:dyDescent="0.25">
      <c r="B57" s="28" t="s">
        <v>118</v>
      </c>
      <c r="C57" s="29" t="s">
        <v>36</v>
      </c>
      <c r="D57" s="34">
        <v>611</v>
      </c>
      <c r="E57" s="34" t="s">
        <v>452</v>
      </c>
      <c r="F57" s="34"/>
      <c r="G57" s="34"/>
      <c r="H57" s="30"/>
      <c r="I57" s="36"/>
      <c r="J57" s="1"/>
    </row>
    <row r="58" spans="2:10" s="2" customFormat="1" x14ac:dyDescent="0.25">
      <c r="B58" s="28" t="s">
        <v>119</v>
      </c>
      <c r="C58" s="29" t="s">
        <v>36</v>
      </c>
      <c r="D58" s="34">
        <v>611</v>
      </c>
      <c r="E58" s="34">
        <v>300155</v>
      </c>
      <c r="F58" s="34"/>
      <c r="G58" s="34"/>
      <c r="H58" s="30"/>
      <c r="I58" s="36"/>
      <c r="J58" s="1"/>
    </row>
    <row r="59" spans="2:10" s="2" customFormat="1" x14ac:dyDescent="0.25">
      <c r="B59" s="28" t="s">
        <v>120</v>
      </c>
      <c r="C59" s="29" t="s">
        <v>36</v>
      </c>
      <c r="D59" s="34">
        <v>611</v>
      </c>
      <c r="E59" s="34" t="s">
        <v>453</v>
      </c>
      <c r="F59" s="34"/>
      <c r="G59" s="34"/>
      <c r="H59" s="30"/>
      <c r="I59" s="36"/>
      <c r="J59" s="1"/>
    </row>
    <row r="60" spans="2:10" s="2" customFormat="1" x14ac:dyDescent="0.25">
      <c r="B60" s="28" t="s">
        <v>121</v>
      </c>
      <c r="C60" s="29" t="s">
        <v>36</v>
      </c>
      <c r="D60" s="34" t="s">
        <v>104</v>
      </c>
      <c r="E60" s="34" t="s">
        <v>454</v>
      </c>
      <c r="F60" s="34"/>
      <c r="G60" s="34">
        <v>907</v>
      </c>
      <c r="H60" s="30"/>
      <c r="I60" s="36"/>
      <c r="J60" s="1"/>
    </row>
    <row r="61" spans="2:10" s="2" customFormat="1" x14ac:dyDescent="0.25">
      <c r="B61" s="28" t="s">
        <v>122</v>
      </c>
      <c r="C61" s="29" t="s">
        <v>36</v>
      </c>
      <c r="D61" s="34" t="s">
        <v>104</v>
      </c>
      <c r="E61" s="34" t="s">
        <v>454</v>
      </c>
      <c r="F61" s="34"/>
      <c r="G61" s="34" t="s">
        <v>123</v>
      </c>
      <c r="H61" s="30"/>
      <c r="I61" s="36"/>
      <c r="J61" s="1"/>
    </row>
    <row r="62" spans="2:10" s="2" customFormat="1" x14ac:dyDescent="0.25">
      <c r="B62" s="28" t="s">
        <v>124</v>
      </c>
      <c r="C62" s="29" t="s">
        <v>36</v>
      </c>
      <c r="D62" s="34">
        <v>614</v>
      </c>
      <c r="E62" s="34" t="s">
        <v>455</v>
      </c>
      <c r="F62" s="34"/>
      <c r="G62" s="34" t="s">
        <v>125</v>
      </c>
      <c r="H62" s="30"/>
      <c r="I62" s="36"/>
      <c r="J62" s="1"/>
    </row>
    <row r="63" spans="2:10" s="2" customFormat="1" x14ac:dyDescent="0.25">
      <c r="B63" s="28" t="s">
        <v>126</v>
      </c>
      <c r="C63" s="29" t="s">
        <v>36</v>
      </c>
      <c r="D63" s="34">
        <v>614</v>
      </c>
      <c r="E63" s="34" t="s">
        <v>456</v>
      </c>
      <c r="F63" s="34"/>
      <c r="G63" s="34">
        <v>876</v>
      </c>
      <c r="H63" s="30"/>
      <c r="I63" s="36"/>
      <c r="J63" s="1"/>
    </row>
    <row r="64" spans="2:10" s="2" customFormat="1" x14ac:dyDescent="0.25">
      <c r="B64" s="28" t="s">
        <v>80</v>
      </c>
      <c r="C64" s="29" t="s">
        <v>36</v>
      </c>
      <c r="D64" s="34">
        <v>614</v>
      </c>
      <c r="E64" s="34" t="s">
        <v>457</v>
      </c>
      <c r="F64" s="34"/>
      <c r="G64" s="34">
        <v>450</v>
      </c>
      <c r="H64" s="30"/>
      <c r="I64" s="36"/>
      <c r="J64" s="1"/>
    </row>
    <row r="65" spans="2:10" s="2" customFormat="1" x14ac:dyDescent="0.25">
      <c r="B65" s="28" t="s">
        <v>81</v>
      </c>
      <c r="C65" s="29" t="s">
        <v>36</v>
      </c>
      <c r="D65" s="34">
        <v>614</v>
      </c>
      <c r="E65" s="34" t="s">
        <v>457</v>
      </c>
      <c r="F65" s="34"/>
      <c r="G65" s="34" t="s">
        <v>127</v>
      </c>
      <c r="H65" s="30"/>
      <c r="I65" s="36"/>
      <c r="J65" s="1"/>
    </row>
    <row r="66" spans="2:10" s="2" customFormat="1" x14ac:dyDescent="0.25">
      <c r="B66" s="28" t="s">
        <v>82</v>
      </c>
      <c r="C66" s="29" t="s">
        <v>36</v>
      </c>
      <c r="D66" s="34" t="s">
        <v>108</v>
      </c>
      <c r="E66" s="34" t="s">
        <v>458</v>
      </c>
      <c r="F66" s="34"/>
      <c r="G66" s="34"/>
      <c r="H66" s="30"/>
      <c r="I66" s="36"/>
      <c r="J66" s="1"/>
    </row>
    <row r="67" spans="2:10" s="2" customFormat="1" x14ac:dyDescent="0.25">
      <c r="B67" s="28" t="s">
        <v>128</v>
      </c>
      <c r="C67" s="29" t="s">
        <v>36</v>
      </c>
      <c r="D67" s="34" t="s">
        <v>108</v>
      </c>
      <c r="E67" s="34" t="s">
        <v>459</v>
      </c>
      <c r="F67" s="34"/>
      <c r="G67" s="34"/>
      <c r="H67" s="30"/>
      <c r="I67" s="36"/>
      <c r="J67" s="1"/>
    </row>
    <row r="68" spans="2:10" s="2" customFormat="1" x14ac:dyDescent="0.25">
      <c r="B68" s="28" t="s">
        <v>129</v>
      </c>
      <c r="C68" s="29" t="s">
        <v>36</v>
      </c>
      <c r="D68" s="34" t="s">
        <v>130</v>
      </c>
      <c r="E68" s="34" t="s">
        <v>460</v>
      </c>
      <c r="F68" s="34"/>
      <c r="G68" s="34" t="s">
        <v>131</v>
      </c>
      <c r="H68" s="30"/>
      <c r="I68" s="36"/>
      <c r="J68" s="1"/>
    </row>
    <row r="69" spans="2:10" s="2" customFormat="1" x14ac:dyDescent="0.25">
      <c r="B69" s="28" t="s">
        <v>132</v>
      </c>
      <c r="C69" s="29" t="s">
        <v>36</v>
      </c>
      <c r="D69" s="34">
        <v>615</v>
      </c>
      <c r="E69" s="34"/>
      <c r="F69" s="34"/>
      <c r="G69" s="34" t="s">
        <v>117</v>
      </c>
      <c r="H69" s="30"/>
      <c r="I69" s="36"/>
      <c r="J69" s="1"/>
    </row>
    <row r="70" spans="2:10" s="2" customFormat="1" x14ac:dyDescent="0.25">
      <c r="B70" s="28" t="s">
        <v>133</v>
      </c>
      <c r="C70" s="29" t="s">
        <v>36</v>
      </c>
      <c r="D70" s="34" t="s">
        <v>130</v>
      </c>
      <c r="E70" s="34" t="s">
        <v>453</v>
      </c>
      <c r="F70" s="34"/>
      <c r="G70" s="34" t="s">
        <v>134</v>
      </c>
      <c r="H70" s="30"/>
      <c r="I70" s="36"/>
      <c r="J70" s="1"/>
    </row>
    <row r="71" spans="2:10" s="2" customFormat="1" x14ac:dyDescent="0.25">
      <c r="B71" s="28" t="s">
        <v>135</v>
      </c>
      <c r="C71" s="29" t="s">
        <v>36</v>
      </c>
      <c r="D71" s="34">
        <v>615</v>
      </c>
      <c r="E71" s="34">
        <v>300155</v>
      </c>
      <c r="F71" s="34"/>
      <c r="G71" s="34" t="s">
        <v>134</v>
      </c>
      <c r="H71" s="30"/>
      <c r="I71" s="36"/>
      <c r="J71" s="1"/>
    </row>
    <row r="72" spans="2:10" s="2" customFormat="1" ht="21" x14ac:dyDescent="0.25">
      <c r="B72" s="28" t="s">
        <v>83</v>
      </c>
      <c r="C72" s="29" t="s">
        <v>36</v>
      </c>
      <c r="D72" s="34">
        <v>607</v>
      </c>
      <c r="E72" s="34" t="s">
        <v>461</v>
      </c>
      <c r="F72" s="34">
        <v>203</v>
      </c>
      <c r="G72" s="34" t="s">
        <v>136</v>
      </c>
      <c r="H72" s="30"/>
      <c r="I72" s="36"/>
      <c r="J72" s="1"/>
    </row>
    <row r="73" spans="2:10" s="2" customFormat="1" x14ac:dyDescent="0.25">
      <c r="B73" s="28" t="s">
        <v>137</v>
      </c>
      <c r="C73" s="29" t="s">
        <v>36</v>
      </c>
      <c r="D73" s="34">
        <v>621</v>
      </c>
      <c r="E73" s="34" t="s">
        <v>462</v>
      </c>
      <c r="F73" s="34" t="s">
        <v>398</v>
      </c>
      <c r="G73" s="34" t="s">
        <v>138</v>
      </c>
      <c r="H73" s="30"/>
      <c r="I73" s="36"/>
      <c r="J73" s="1"/>
    </row>
    <row r="74" spans="2:10" s="2" customFormat="1" ht="21" x14ac:dyDescent="0.25">
      <c r="B74" s="28" t="s">
        <v>86</v>
      </c>
      <c r="C74" s="29" t="s">
        <v>36</v>
      </c>
      <c r="D74" s="34" t="s">
        <v>139</v>
      </c>
      <c r="E74" s="34" t="s">
        <v>463</v>
      </c>
      <c r="F74" s="34">
        <v>735</v>
      </c>
      <c r="G74" s="34" t="s">
        <v>140</v>
      </c>
      <c r="H74" s="30"/>
      <c r="I74" s="36"/>
      <c r="J74" s="1"/>
    </row>
    <row r="75" spans="2:10" s="2" customFormat="1" ht="21" x14ac:dyDescent="0.25">
      <c r="B75" s="28" t="s">
        <v>141</v>
      </c>
      <c r="C75" s="29" t="s">
        <v>36</v>
      </c>
      <c r="D75" s="34">
        <v>626</v>
      </c>
      <c r="E75" s="34" t="s">
        <v>464</v>
      </c>
      <c r="F75" s="34"/>
      <c r="G75" s="34">
        <v>117</v>
      </c>
      <c r="H75" s="30"/>
      <c r="I75" s="36"/>
      <c r="J75" s="1"/>
    </row>
    <row r="76" spans="2:10" s="2" customFormat="1" ht="21" x14ac:dyDescent="0.25">
      <c r="B76" s="28" t="s">
        <v>142</v>
      </c>
      <c r="C76" s="29" t="s">
        <v>36</v>
      </c>
      <c r="D76" s="34">
        <v>626</v>
      </c>
      <c r="E76" s="34" t="s">
        <v>465</v>
      </c>
      <c r="F76" s="34"/>
      <c r="G76" s="34" t="s">
        <v>107</v>
      </c>
      <c r="H76" s="30"/>
      <c r="I76" s="36"/>
      <c r="J76" s="1"/>
    </row>
    <row r="77" spans="2:10" s="2" customFormat="1" ht="21" x14ac:dyDescent="0.25">
      <c r="B77" s="28" t="s">
        <v>87</v>
      </c>
      <c r="C77" s="29" t="s">
        <v>36</v>
      </c>
      <c r="D77" s="34">
        <v>626</v>
      </c>
      <c r="E77" s="34" t="s">
        <v>467</v>
      </c>
      <c r="F77" s="34" t="s">
        <v>466</v>
      </c>
      <c r="G77" s="34" t="s">
        <v>143</v>
      </c>
      <c r="H77" s="30"/>
      <c r="I77" s="36"/>
      <c r="J77" s="1"/>
    </row>
    <row r="78" spans="2:10" s="2" customFormat="1" ht="21" x14ac:dyDescent="0.25">
      <c r="B78" s="28" t="s">
        <v>144</v>
      </c>
      <c r="C78" s="29" t="s">
        <v>36</v>
      </c>
      <c r="D78" s="34">
        <v>626</v>
      </c>
      <c r="E78" s="34" t="s">
        <v>468</v>
      </c>
      <c r="F78" s="34"/>
      <c r="G78" s="34">
        <v>434</v>
      </c>
      <c r="H78" s="30"/>
      <c r="I78" s="36"/>
      <c r="J78" s="1"/>
    </row>
    <row r="79" spans="2:10" s="2" customFormat="1" ht="21" x14ac:dyDescent="0.25">
      <c r="B79" s="28" t="s">
        <v>145</v>
      </c>
      <c r="C79" s="29" t="s">
        <v>36</v>
      </c>
      <c r="D79" s="34">
        <v>626</v>
      </c>
      <c r="E79" s="34" t="s">
        <v>468</v>
      </c>
      <c r="F79" s="34"/>
      <c r="G79" s="34">
        <v>632</v>
      </c>
      <c r="H79" s="30"/>
      <c r="I79" s="36"/>
      <c r="J79" s="1"/>
    </row>
    <row r="80" spans="2:10" s="2" customFormat="1" ht="21" x14ac:dyDescent="0.25">
      <c r="B80" s="28" t="s">
        <v>146</v>
      </c>
      <c r="C80" s="29" t="s">
        <v>36</v>
      </c>
      <c r="D80" s="34">
        <v>626</v>
      </c>
      <c r="E80" s="34" t="s">
        <v>469</v>
      </c>
      <c r="F80" s="34">
        <v>3</v>
      </c>
      <c r="G80" s="34">
        <v>632</v>
      </c>
      <c r="H80" s="30"/>
      <c r="I80" s="36"/>
      <c r="J80" s="1"/>
    </row>
    <row r="81" spans="2:10" s="2" customFormat="1" ht="21" x14ac:dyDescent="0.25">
      <c r="B81" s="28" t="s">
        <v>6</v>
      </c>
      <c r="C81" s="29" t="s">
        <v>36</v>
      </c>
      <c r="D81" s="34" t="s">
        <v>147</v>
      </c>
      <c r="E81" s="34" t="s">
        <v>471</v>
      </c>
      <c r="F81" s="34" t="s">
        <v>470</v>
      </c>
      <c r="G81" s="34" t="s">
        <v>555</v>
      </c>
      <c r="H81" s="30"/>
      <c r="I81" s="36"/>
      <c r="J81" s="1"/>
    </row>
    <row r="82" spans="2:10" s="2" customFormat="1" ht="21" x14ac:dyDescent="0.25">
      <c r="B82" s="28" t="s">
        <v>148</v>
      </c>
      <c r="C82" s="29" t="s">
        <v>36</v>
      </c>
      <c r="D82" s="34">
        <v>621</v>
      </c>
      <c r="E82" s="34" t="s">
        <v>473</v>
      </c>
      <c r="F82" s="34" t="s">
        <v>472</v>
      </c>
      <c r="G82" s="34" t="s">
        <v>149</v>
      </c>
      <c r="H82" s="30"/>
      <c r="I82" s="36"/>
      <c r="J82" s="1"/>
    </row>
    <row r="83" spans="2:10" s="2" customFormat="1" x14ac:dyDescent="0.25">
      <c r="B83" s="28" t="s">
        <v>150</v>
      </c>
      <c r="C83" s="29" t="s">
        <v>36</v>
      </c>
      <c r="D83" s="34">
        <v>605</v>
      </c>
      <c r="E83" s="34" t="s">
        <v>474</v>
      </c>
      <c r="F83" s="34">
        <v>3</v>
      </c>
      <c r="G83" s="34" t="s">
        <v>151</v>
      </c>
      <c r="H83" s="30"/>
      <c r="I83" s="36"/>
      <c r="J83" s="1"/>
    </row>
    <row r="84" spans="2:10" s="2" customFormat="1" ht="31.5" x14ac:dyDescent="0.25">
      <c r="B84" s="28" t="s">
        <v>152</v>
      </c>
      <c r="C84" s="29" t="s">
        <v>36</v>
      </c>
      <c r="D84" s="34" t="s">
        <v>98</v>
      </c>
      <c r="E84" s="34" t="s">
        <v>476</v>
      </c>
      <c r="F84" s="34" t="s">
        <v>475</v>
      </c>
      <c r="G84" s="34">
        <v>675</v>
      </c>
      <c r="H84" s="30" t="s">
        <v>44</v>
      </c>
      <c r="I84" s="36"/>
      <c r="J84" s="1"/>
    </row>
    <row r="85" spans="2:10" s="2" customFormat="1" x14ac:dyDescent="0.25">
      <c r="B85" s="28" t="s">
        <v>2</v>
      </c>
      <c r="C85" s="29" t="s">
        <v>36</v>
      </c>
      <c r="D85" s="34">
        <v>622</v>
      </c>
      <c r="E85" s="34">
        <v>300155</v>
      </c>
      <c r="F85" s="34"/>
      <c r="G85" s="34">
        <v>83</v>
      </c>
      <c r="H85" s="30"/>
      <c r="I85" s="36" t="s">
        <v>529</v>
      </c>
      <c r="J85" s="1"/>
    </row>
    <row r="86" spans="2:10" s="2" customFormat="1" x14ac:dyDescent="0.25">
      <c r="B86" s="28" t="s">
        <v>7</v>
      </c>
      <c r="C86" s="29" t="s">
        <v>36</v>
      </c>
      <c r="D86" s="34" t="s">
        <v>477</v>
      </c>
      <c r="E86" s="34" t="s">
        <v>478</v>
      </c>
      <c r="F86" s="34"/>
      <c r="G86" s="34">
        <v>2307</v>
      </c>
      <c r="H86" s="30"/>
      <c r="I86" s="36" t="s">
        <v>37</v>
      </c>
      <c r="J86" s="1"/>
    </row>
    <row r="87" spans="2:10" s="2" customFormat="1" x14ac:dyDescent="0.25">
      <c r="B87" s="28" t="s">
        <v>13</v>
      </c>
      <c r="C87" s="29" t="s">
        <v>36</v>
      </c>
      <c r="D87" s="34" t="s">
        <v>110</v>
      </c>
      <c r="E87" s="34" t="s">
        <v>479</v>
      </c>
      <c r="F87" s="34"/>
      <c r="G87" s="34">
        <v>491</v>
      </c>
      <c r="H87" s="30"/>
      <c r="I87" s="36" t="s">
        <v>37</v>
      </c>
      <c r="J87" s="1"/>
    </row>
    <row r="88" spans="2:10" s="2" customFormat="1" x14ac:dyDescent="0.25">
      <c r="B88" s="28" t="s">
        <v>14</v>
      </c>
      <c r="C88" s="29" t="s">
        <v>36</v>
      </c>
      <c r="D88" s="34">
        <v>605</v>
      </c>
      <c r="E88" s="34" t="s">
        <v>479</v>
      </c>
      <c r="F88" s="34"/>
      <c r="G88" s="34">
        <v>907</v>
      </c>
      <c r="H88" s="30"/>
      <c r="I88" s="36" t="s">
        <v>37</v>
      </c>
      <c r="J88" s="1"/>
    </row>
    <row r="89" spans="2:10" s="2" customFormat="1" x14ac:dyDescent="0.25">
      <c r="B89" s="28" t="s">
        <v>38</v>
      </c>
      <c r="C89" s="29" t="s">
        <v>36</v>
      </c>
      <c r="D89" s="34" t="s">
        <v>110</v>
      </c>
      <c r="E89" s="34" t="s">
        <v>479</v>
      </c>
      <c r="F89" s="34"/>
      <c r="G89" s="34">
        <v>405</v>
      </c>
      <c r="H89" s="30"/>
      <c r="I89" s="36" t="s">
        <v>37</v>
      </c>
      <c r="J89" s="1"/>
    </row>
    <row r="90" spans="2:10" s="2" customFormat="1" x14ac:dyDescent="0.25">
      <c r="B90" s="28" t="s">
        <v>39</v>
      </c>
      <c r="C90" s="29" t="s">
        <v>36</v>
      </c>
      <c r="D90" s="34" t="s">
        <v>114</v>
      </c>
      <c r="E90" s="34" t="s">
        <v>480</v>
      </c>
      <c r="F90" s="34"/>
      <c r="G90" s="34" t="s">
        <v>481</v>
      </c>
      <c r="H90" s="30"/>
      <c r="I90" s="36" t="s">
        <v>37</v>
      </c>
      <c r="J90" s="1"/>
    </row>
    <row r="91" spans="2:10" s="2" customFormat="1" ht="21" x14ac:dyDescent="0.25">
      <c r="B91" s="28" t="s">
        <v>40</v>
      </c>
      <c r="C91" s="29" t="s">
        <v>36</v>
      </c>
      <c r="D91" s="34" t="s">
        <v>110</v>
      </c>
      <c r="E91" s="34" t="s">
        <v>482</v>
      </c>
      <c r="F91" s="34"/>
      <c r="G91" s="34">
        <v>907</v>
      </c>
      <c r="H91" s="30"/>
      <c r="I91" s="36" t="s">
        <v>41</v>
      </c>
      <c r="J91" s="1"/>
    </row>
    <row r="92" spans="2:10" s="2" customFormat="1" ht="21" x14ac:dyDescent="0.25">
      <c r="B92" s="28" t="s">
        <v>42</v>
      </c>
      <c r="C92" s="29" t="s">
        <v>483</v>
      </c>
      <c r="D92" s="34" t="s">
        <v>484</v>
      </c>
      <c r="E92" s="34" t="s">
        <v>486</v>
      </c>
      <c r="F92" s="34" t="s">
        <v>485</v>
      </c>
      <c r="G92" s="34" t="s">
        <v>487</v>
      </c>
      <c r="H92" s="30"/>
      <c r="I92" s="36" t="s">
        <v>41</v>
      </c>
      <c r="J92" s="1"/>
    </row>
    <row r="93" spans="2:10" s="2" customFormat="1" x14ac:dyDescent="0.25">
      <c r="B93" s="28" t="s">
        <v>9</v>
      </c>
      <c r="C93" s="29" t="s">
        <v>36</v>
      </c>
      <c r="D93" s="34">
        <v>605</v>
      </c>
      <c r="E93" s="34" t="s">
        <v>488</v>
      </c>
      <c r="F93" s="34"/>
      <c r="G93" s="34">
        <v>525</v>
      </c>
      <c r="H93" s="30"/>
      <c r="I93" s="36" t="s">
        <v>41</v>
      </c>
      <c r="J93" s="1"/>
    </row>
    <row r="94" spans="2:10" s="2" customFormat="1" x14ac:dyDescent="0.25">
      <c r="B94" s="28" t="s">
        <v>10</v>
      </c>
      <c r="C94" s="29" t="s">
        <v>36</v>
      </c>
      <c r="D94" s="34" t="s">
        <v>110</v>
      </c>
      <c r="E94" s="34" t="s">
        <v>425</v>
      </c>
      <c r="F94" s="34"/>
      <c r="G94" s="34">
        <v>131</v>
      </c>
      <c r="H94" s="30"/>
      <c r="I94" s="31" t="s">
        <v>41</v>
      </c>
      <c r="J94" s="1"/>
    </row>
    <row r="95" spans="2:10" s="2" customFormat="1" x14ac:dyDescent="0.25">
      <c r="B95" s="28" t="s">
        <v>45</v>
      </c>
      <c r="C95" s="29" t="s">
        <v>36</v>
      </c>
      <c r="D95" s="34">
        <v>605</v>
      </c>
      <c r="E95" s="34" t="s">
        <v>489</v>
      </c>
      <c r="F95" s="34"/>
      <c r="G95" s="34" t="s">
        <v>490</v>
      </c>
      <c r="H95" s="30"/>
      <c r="I95" s="36" t="s">
        <v>43</v>
      </c>
      <c r="J95" s="1"/>
    </row>
    <row r="96" spans="2:10" s="2" customFormat="1" x14ac:dyDescent="0.25">
      <c r="B96" s="28" t="s">
        <v>46</v>
      </c>
      <c r="C96" s="29" t="s">
        <v>36</v>
      </c>
      <c r="D96" s="34" t="s">
        <v>110</v>
      </c>
      <c r="E96" s="34" t="s">
        <v>460</v>
      </c>
      <c r="F96" s="34">
        <v>3</v>
      </c>
      <c r="G96" s="34" t="s">
        <v>491</v>
      </c>
      <c r="H96" s="30"/>
      <c r="I96" s="36" t="s">
        <v>43</v>
      </c>
      <c r="J96" s="1"/>
    </row>
    <row r="97" spans="2:10" s="2" customFormat="1" x14ac:dyDescent="0.25">
      <c r="B97" s="28" t="s">
        <v>35</v>
      </c>
      <c r="C97" s="29" t="s">
        <v>492</v>
      </c>
      <c r="D97" s="34"/>
      <c r="E97" s="34"/>
      <c r="F97" s="34"/>
      <c r="G97" s="34"/>
      <c r="H97" s="30"/>
      <c r="I97" s="36"/>
      <c r="J97" s="1"/>
    </row>
    <row r="98" spans="2:10" s="2" customFormat="1" x14ac:dyDescent="0.25">
      <c r="B98" s="28" t="s">
        <v>51</v>
      </c>
      <c r="C98" s="29" t="s">
        <v>52</v>
      </c>
      <c r="D98" s="34"/>
      <c r="E98" s="34"/>
      <c r="F98" s="34"/>
      <c r="G98" s="34"/>
      <c r="H98" s="30"/>
      <c r="I98" s="36"/>
      <c r="J98" s="1"/>
    </row>
    <row r="99" spans="2:10" s="2" customFormat="1" x14ac:dyDescent="0.25">
      <c r="B99" s="28" t="s">
        <v>3</v>
      </c>
      <c r="C99" s="29" t="s">
        <v>36</v>
      </c>
      <c r="D99" s="34">
        <v>605</v>
      </c>
      <c r="E99" s="34" t="s">
        <v>493</v>
      </c>
      <c r="F99" s="34">
        <v>3</v>
      </c>
      <c r="G99" s="34">
        <v>1112</v>
      </c>
      <c r="H99" s="30"/>
      <c r="I99" s="36"/>
      <c r="J99" s="1"/>
    </row>
    <row r="100" spans="2:10" s="2" customFormat="1" x14ac:dyDescent="0.25">
      <c r="B100" s="28" t="s">
        <v>4</v>
      </c>
      <c r="C100" s="29" t="s">
        <v>36</v>
      </c>
      <c r="D100" s="34" t="s">
        <v>139</v>
      </c>
      <c r="E100" s="34" t="s">
        <v>495</v>
      </c>
      <c r="F100" s="34" t="s">
        <v>494</v>
      </c>
      <c r="G100" s="34">
        <v>695</v>
      </c>
      <c r="H100" s="30"/>
      <c r="I100" s="36"/>
      <c r="J100" s="1"/>
    </row>
    <row r="101" spans="2:10" s="2" customFormat="1" ht="21" x14ac:dyDescent="0.25">
      <c r="B101" s="28" t="s">
        <v>5</v>
      </c>
      <c r="C101" s="29" t="s">
        <v>36</v>
      </c>
      <c r="D101" s="34" t="s">
        <v>496</v>
      </c>
      <c r="E101" s="34" t="s">
        <v>497</v>
      </c>
      <c r="F101" s="34"/>
      <c r="G101" s="34">
        <v>42</v>
      </c>
      <c r="H101" s="30"/>
      <c r="I101" s="36"/>
      <c r="J101" s="1"/>
    </row>
    <row r="102" spans="2:10" s="2" customFormat="1" x14ac:dyDescent="0.25">
      <c r="B102" s="28" t="s">
        <v>8</v>
      </c>
      <c r="C102" s="29" t="s">
        <v>36</v>
      </c>
      <c r="D102" s="34">
        <v>616</v>
      </c>
      <c r="E102" s="34" t="s">
        <v>498</v>
      </c>
      <c r="F102" s="34"/>
      <c r="G102" s="34"/>
      <c r="H102" s="30"/>
      <c r="I102" s="36"/>
      <c r="J102" s="1"/>
    </row>
    <row r="103" spans="2:10" s="2" customFormat="1" ht="21" x14ac:dyDescent="0.25">
      <c r="B103" s="28" t="s">
        <v>11</v>
      </c>
      <c r="C103" s="29" t="s">
        <v>36</v>
      </c>
      <c r="D103" s="34" t="s">
        <v>110</v>
      </c>
      <c r="E103" s="34" t="s">
        <v>454</v>
      </c>
      <c r="F103" s="34"/>
      <c r="G103" s="34" t="s">
        <v>499</v>
      </c>
      <c r="H103" s="30"/>
      <c r="I103" s="36"/>
      <c r="J103" s="1"/>
    </row>
    <row r="104" spans="2:10" x14ac:dyDescent="0.25">
      <c r="B104" s="28" t="s">
        <v>12</v>
      </c>
      <c r="C104" s="29" t="s">
        <v>36</v>
      </c>
      <c r="D104" s="34">
        <v>616</v>
      </c>
      <c r="E104" s="34" t="s">
        <v>500</v>
      </c>
      <c r="F104" s="34"/>
      <c r="G104" s="34">
        <v>83</v>
      </c>
      <c r="H104" s="30"/>
      <c r="I104" s="4"/>
    </row>
    <row r="105" spans="2:10" s="2" customFormat="1" ht="31.5" x14ac:dyDescent="0.25">
      <c r="B105" s="28" t="s">
        <v>53</v>
      </c>
      <c r="C105" s="29" t="s">
        <v>36</v>
      </c>
      <c r="D105" s="34" t="s">
        <v>496</v>
      </c>
      <c r="E105" s="34" t="s">
        <v>501</v>
      </c>
      <c r="F105" s="34">
        <v>203</v>
      </c>
      <c r="G105" s="34" t="s">
        <v>502</v>
      </c>
      <c r="H105" s="30"/>
      <c r="I105" s="36"/>
      <c r="J105" s="1"/>
    </row>
    <row r="106" spans="2:10" s="2" customFormat="1" x14ac:dyDescent="0.25">
      <c r="B106" s="28" t="s">
        <v>15</v>
      </c>
      <c r="C106" s="29" t="s">
        <v>36</v>
      </c>
      <c r="D106" s="34" t="s">
        <v>108</v>
      </c>
      <c r="E106" s="34" t="s">
        <v>452</v>
      </c>
      <c r="F106" s="34"/>
      <c r="G106" s="34"/>
      <c r="H106" s="30"/>
      <c r="I106" s="36"/>
      <c r="J106" s="1"/>
    </row>
    <row r="107" spans="2:10" s="2" customFormat="1" x14ac:dyDescent="0.25">
      <c r="B107" s="28" t="s">
        <v>16</v>
      </c>
      <c r="C107" s="29" t="s">
        <v>36</v>
      </c>
      <c r="D107" s="34">
        <v>605</v>
      </c>
      <c r="E107" s="34" t="s">
        <v>453</v>
      </c>
      <c r="F107" s="34"/>
      <c r="G107" s="34" t="s">
        <v>503</v>
      </c>
      <c r="H107" s="30"/>
      <c r="I107" s="36"/>
      <c r="J107" s="1"/>
    </row>
    <row r="108" spans="2:10" s="2" customFormat="1" ht="21" x14ac:dyDescent="0.25">
      <c r="B108" s="28" t="s">
        <v>17</v>
      </c>
      <c r="C108" s="29" t="s">
        <v>36</v>
      </c>
      <c r="D108" s="34" t="s">
        <v>110</v>
      </c>
      <c r="E108" s="34" t="s">
        <v>504</v>
      </c>
      <c r="F108" s="34"/>
      <c r="G108" s="34" t="s">
        <v>505</v>
      </c>
      <c r="H108" s="30"/>
      <c r="I108" s="36"/>
      <c r="J108" s="1"/>
    </row>
    <row r="109" spans="2:10" x14ac:dyDescent="0.25">
      <c r="B109" s="28" t="s">
        <v>18</v>
      </c>
      <c r="C109" s="29" t="s">
        <v>36</v>
      </c>
      <c r="D109" s="34">
        <v>605</v>
      </c>
      <c r="E109" s="34" t="s">
        <v>428</v>
      </c>
      <c r="F109" s="34"/>
      <c r="G109" s="34" t="s">
        <v>506</v>
      </c>
      <c r="H109" s="30"/>
      <c r="I109" s="4"/>
    </row>
    <row r="110" spans="2:10" s="2" customFormat="1" x14ac:dyDescent="0.25">
      <c r="B110" s="28" t="s">
        <v>19</v>
      </c>
      <c r="C110" s="29" t="s">
        <v>36</v>
      </c>
      <c r="D110" s="34">
        <v>616</v>
      </c>
      <c r="E110" s="34" t="s">
        <v>507</v>
      </c>
      <c r="F110" s="34"/>
      <c r="G110" s="34">
        <v>50</v>
      </c>
      <c r="H110" s="30"/>
      <c r="I110" s="36"/>
      <c r="J110" s="1"/>
    </row>
    <row r="111" spans="2:10" s="2" customFormat="1" x14ac:dyDescent="0.25">
      <c r="B111" s="28" t="s">
        <v>20</v>
      </c>
      <c r="C111" s="29" t="s">
        <v>36</v>
      </c>
      <c r="D111" s="34" t="s">
        <v>108</v>
      </c>
      <c r="E111" s="34" t="s">
        <v>508</v>
      </c>
      <c r="F111" s="34"/>
      <c r="G111" s="34">
        <v>83</v>
      </c>
      <c r="H111" s="30"/>
      <c r="I111" s="36"/>
      <c r="J111" s="1"/>
    </row>
    <row r="112" spans="2:10" s="2" customFormat="1" x14ac:dyDescent="0.25">
      <c r="B112" s="28" t="s">
        <v>21</v>
      </c>
      <c r="C112" s="29" t="s">
        <v>36</v>
      </c>
      <c r="D112" s="34" t="s">
        <v>110</v>
      </c>
      <c r="E112" s="34" t="s">
        <v>510</v>
      </c>
      <c r="F112" s="34" t="s">
        <v>509</v>
      </c>
      <c r="G112" s="34" t="s">
        <v>557</v>
      </c>
      <c r="H112" s="30"/>
      <c r="I112" s="36"/>
      <c r="J112" s="1"/>
    </row>
    <row r="113" spans="2:10" x14ac:dyDescent="0.25">
      <c r="B113" s="28" t="s">
        <v>22</v>
      </c>
      <c r="C113" s="29" t="s">
        <v>36</v>
      </c>
      <c r="D113" s="34" t="s">
        <v>110</v>
      </c>
      <c r="E113" s="34" t="s">
        <v>511</v>
      </c>
      <c r="F113" s="34"/>
      <c r="G113" s="34">
        <v>471</v>
      </c>
      <c r="H113" s="30"/>
      <c r="I113" s="4"/>
    </row>
    <row r="114" spans="2:10" s="2" customFormat="1" x14ac:dyDescent="0.25">
      <c r="B114" s="28" t="s">
        <v>23</v>
      </c>
      <c r="C114" s="29" t="s">
        <v>36</v>
      </c>
      <c r="D114" s="34" t="s">
        <v>108</v>
      </c>
      <c r="E114" s="34" t="s">
        <v>458</v>
      </c>
      <c r="F114" s="34"/>
      <c r="G114" s="34"/>
      <c r="H114" s="30"/>
      <c r="I114" s="36"/>
      <c r="J114" s="1"/>
    </row>
    <row r="115" spans="2:10" s="2" customFormat="1" x14ac:dyDescent="0.25">
      <c r="B115" s="28" t="s">
        <v>54</v>
      </c>
      <c r="C115" s="29" t="s">
        <v>36</v>
      </c>
      <c r="D115" s="34">
        <v>605</v>
      </c>
      <c r="E115" s="34" t="s">
        <v>512</v>
      </c>
      <c r="F115" s="34"/>
      <c r="G115" s="34" t="s">
        <v>513</v>
      </c>
      <c r="H115" s="30"/>
      <c r="I115" s="36"/>
      <c r="J115" s="1"/>
    </row>
    <row r="116" spans="2:10" s="2" customFormat="1" ht="21" x14ac:dyDescent="0.25">
      <c r="B116" s="28" t="s">
        <v>24</v>
      </c>
      <c r="C116" s="29" t="s">
        <v>36</v>
      </c>
      <c r="D116" s="34" t="s">
        <v>110</v>
      </c>
      <c r="E116" s="34" t="s">
        <v>512</v>
      </c>
      <c r="F116" s="34"/>
      <c r="G116" s="34" t="s">
        <v>558</v>
      </c>
      <c r="H116" s="30"/>
      <c r="I116" s="36"/>
      <c r="J116" s="1"/>
    </row>
    <row r="117" spans="2:10" ht="21" x14ac:dyDescent="0.25">
      <c r="B117" s="28" t="s">
        <v>76</v>
      </c>
      <c r="C117" s="29" t="s">
        <v>36</v>
      </c>
      <c r="D117" s="34">
        <v>606</v>
      </c>
      <c r="E117" s="34" t="s">
        <v>520</v>
      </c>
      <c r="F117" s="34"/>
      <c r="G117" s="34">
        <v>122</v>
      </c>
      <c r="H117" s="30"/>
      <c r="I117" s="4"/>
    </row>
    <row r="118" spans="2:10" ht="21" x14ac:dyDescent="0.25">
      <c r="B118" s="28" t="s">
        <v>514</v>
      </c>
      <c r="C118" s="29" t="s">
        <v>36</v>
      </c>
      <c r="D118" s="34">
        <v>605</v>
      </c>
      <c r="E118" s="34" t="s">
        <v>520</v>
      </c>
      <c r="F118" s="34"/>
      <c r="G118" s="34" t="s">
        <v>521</v>
      </c>
      <c r="H118" s="30"/>
      <c r="I118" s="4"/>
    </row>
    <row r="119" spans="2:10" ht="21" x14ac:dyDescent="0.25">
      <c r="B119" s="28" t="s">
        <v>515</v>
      </c>
      <c r="C119" s="29" t="s">
        <v>36</v>
      </c>
      <c r="D119" s="34">
        <v>612</v>
      </c>
      <c r="E119" s="34" t="s">
        <v>520</v>
      </c>
      <c r="F119" s="34"/>
      <c r="G119" s="34" t="s">
        <v>107</v>
      </c>
      <c r="H119" s="30"/>
      <c r="I119" s="4"/>
    </row>
    <row r="120" spans="2:10" ht="21" x14ac:dyDescent="0.25">
      <c r="B120" s="28" t="s">
        <v>516</v>
      </c>
      <c r="C120" s="29" t="s">
        <v>36</v>
      </c>
      <c r="D120" s="34" t="s">
        <v>110</v>
      </c>
      <c r="E120" s="34" t="s">
        <v>520</v>
      </c>
      <c r="F120" s="34"/>
      <c r="G120" s="34" t="s">
        <v>522</v>
      </c>
      <c r="H120" s="30"/>
      <c r="I120" s="4"/>
    </row>
    <row r="121" spans="2:10" ht="21" x14ac:dyDescent="0.25">
      <c r="B121" s="28" t="s">
        <v>517</v>
      </c>
      <c r="C121" s="29" t="s">
        <v>36</v>
      </c>
      <c r="D121" s="34">
        <v>605</v>
      </c>
      <c r="E121" s="34" t="s">
        <v>520</v>
      </c>
      <c r="F121" s="34"/>
      <c r="G121" s="34" t="s">
        <v>523</v>
      </c>
      <c r="H121" s="30"/>
      <c r="I121" s="4"/>
    </row>
    <row r="122" spans="2:10" ht="21" x14ac:dyDescent="0.25">
      <c r="B122" s="28" t="s">
        <v>519</v>
      </c>
      <c r="C122" s="29" t="s">
        <v>524</v>
      </c>
      <c r="D122" s="34" t="s">
        <v>139</v>
      </c>
      <c r="E122" s="34" t="s">
        <v>526</v>
      </c>
      <c r="F122" s="34" t="s">
        <v>525</v>
      </c>
      <c r="G122" s="34" t="s">
        <v>143</v>
      </c>
      <c r="H122" s="30"/>
      <c r="I122" s="4"/>
    </row>
    <row r="123" spans="2:10" ht="21" x14ac:dyDescent="0.25">
      <c r="B123" s="28" t="s">
        <v>76</v>
      </c>
      <c r="C123" s="29" t="s">
        <v>36</v>
      </c>
      <c r="D123" s="34" t="s">
        <v>105</v>
      </c>
      <c r="E123" s="34" t="s">
        <v>520</v>
      </c>
      <c r="F123" s="34"/>
      <c r="G123" s="34" t="s">
        <v>527</v>
      </c>
      <c r="H123" s="30"/>
      <c r="I123" s="4"/>
    </row>
    <row r="124" spans="2:10" x14ac:dyDescent="0.25">
      <c r="B124" s="28"/>
      <c r="C124" s="29"/>
      <c r="D124" s="34"/>
      <c r="E124" s="34"/>
      <c r="F124" s="34"/>
      <c r="G124" s="34"/>
      <c r="H124" s="30"/>
      <c r="I124" s="4"/>
    </row>
    <row r="125" spans="2:10" x14ac:dyDescent="0.25">
      <c r="G125" s="37"/>
    </row>
  </sheetData>
  <autoFilter ref="B2:H123" xr:uid="{4D0F56C4-0C54-406E-8EE7-130936900B2C}"/>
  <mergeCells count="1">
    <mergeCell ref="A1:H1"/>
  </mergeCells>
  <phoneticPr fontId="6" type="noConversion"/>
  <hyperlinks>
    <hyperlink ref="A1" r:id="rId1" xr:uid="{3E7950AB-2CBF-442C-ACEC-9BA4352EA945}"/>
  </hyperlinks>
  <pageMargins left="0.7" right="0.7" top="0.75" bottom="0.75" header="0.3" footer="0.3"/>
  <pageSetup orientation="portrait"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79D9B-7A16-4BE0-BD86-64EC1E4466D6}">
  <dimension ref="D1:X170"/>
  <sheetViews>
    <sheetView topLeftCell="A55" zoomScale="61" zoomScaleNormal="80" workbookViewId="0">
      <selection activeCell="L2" sqref="L2"/>
    </sheetView>
  </sheetViews>
  <sheetFormatPr baseColWidth="10" defaultRowHeight="14.5" x14ac:dyDescent="0.35"/>
  <cols>
    <col min="6" max="6" width="23.81640625" bestFit="1" customWidth="1"/>
    <col min="7" max="7" width="17.7265625" customWidth="1"/>
    <col min="8" max="8" width="12.6328125" bestFit="1" customWidth="1"/>
    <col min="9" max="9" width="17.36328125" customWidth="1"/>
    <col min="10" max="10" width="25.90625" bestFit="1" customWidth="1"/>
    <col min="11" max="11" width="21.6328125" bestFit="1" customWidth="1"/>
    <col min="12" max="12" width="21.6328125" customWidth="1"/>
    <col min="14" max="14" width="15.26953125" bestFit="1" customWidth="1"/>
    <col min="15" max="15" width="22.08984375" bestFit="1" customWidth="1"/>
    <col min="16" max="16" width="28.36328125" bestFit="1" customWidth="1"/>
    <col min="17" max="17" width="20.7265625" bestFit="1" customWidth="1"/>
    <col min="18" max="18" width="13.08984375" bestFit="1" customWidth="1"/>
    <col min="20" max="20" width="14.08984375" bestFit="1" customWidth="1"/>
    <col min="21" max="21" width="7.7265625" bestFit="1" customWidth="1"/>
    <col min="22" max="22" width="17.453125" bestFit="1" customWidth="1"/>
    <col min="23" max="23" width="13.7265625" bestFit="1" customWidth="1"/>
    <col min="24" max="24" width="9.7265625" bestFit="1" customWidth="1"/>
  </cols>
  <sheetData>
    <row r="1" spans="4:24" ht="14.5" customHeight="1" x14ac:dyDescent="0.35">
      <c r="D1" s="102" t="s">
        <v>700</v>
      </c>
      <c r="E1" s="102" t="s">
        <v>559</v>
      </c>
      <c r="F1" s="102" t="s">
        <v>701</v>
      </c>
      <c r="G1" s="102" t="s">
        <v>561</v>
      </c>
      <c r="H1" s="102" t="s">
        <v>727</v>
      </c>
      <c r="I1" s="102" t="s">
        <v>562</v>
      </c>
      <c r="J1" s="102" t="s">
        <v>563</v>
      </c>
      <c r="K1" s="102" t="s">
        <v>729</v>
      </c>
      <c r="L1" s="104"/>
      <c r="M1" s="76"/>
      <c r="N1" s="101" t="s">
        <v>0</v>
      </c>
      <c r="O1" s="101" t="s">
        <v>705</v>
      </c>
      <c r="P1" s="101" t="s">
        <v>578</v>
      </c>
      <c r="Q1" s="101" t="s">
        <v>587</v>
      </c>
      <c r="R1" s="101" t="s">
        <v>707</v>
      </c>
    </row>
    <row r="2" spans="4:24" x14ac:dyDescent="0.35">
      <c r="D2" s="84">
        <v>1</v>
      </c>
      <c r="E2" s="84" t="s">
        <v>702</v>
      </c>
      <c r="F2" s="84" t="s">
        <v>703</v>
      </c>
      <c r="G2" s="84" t="s">
        <v>721</v>
      </c>
      <c r="H2" s="84">
        <v>612</v>
      </c>
      <c r="I2" s="84" t="s">
        <v>720</v>
      </c>
      <c r="J2" s="84" t="s">
        <v>726</v>
      </c>
      <c r="K2" s="83"/>
      <c r="L2" s="105"/>
      <c r="N2" s="73" t="s">
        <v>704</v>
      </c>
      <c r="O2" s="74">
        <v>605606</v>
      </c>
      <c r="P2" s="73" t="s">
        <v>706</v>
      </c>
      <c r="Q2" s="73" t="s">
        <v>460</v>
      </c>
      <c r="R2" s="73">
        <v>453</v>
      </c>
      <c r="T2" s="75" t="s">
        <v>862</v>
      </c>
      <c r="U2" s="75" t="s">
        <v>863</v>
      </c>
      <c r="V2" s="75" t="s">
        <v>706</v>
      </c>
      <c r="W2" s="75">
        <v>300155</v>
      </c>
      <c r="X2" s="75">
        <v>70</v>
      </c>
    </row>
    <row r="3" spans="4:24" ht="87" x14ac:dyDescent="0.35">
      <c r="D3" s="84">
        <v>2</v>
      </c>
      <c r="E3" s="84" t="s">
        <v>702</v>
      </c>
      <c r="F3" s="84" t="s">
        <v>703</v>
      </c>
      <c r="G3" s="84" t="s">
        <v>862</v>
      </c>
      <c r="H3" s="84">
        <v>612</v>
      </c>
      <c r="I3" s="84" t="s">
        <v>720</v>
      </c>
      <c r="J3" s="81" t="s">
        <v>916</v>
      </c>
      <c r="K3" s="81" t="s">
        <v>915</v>
      </c>
      <c r="L3" s="105"/>
      <c r="N3" s="73"/>
      <c r="O3" s="74"/>
      <c r="P3" s="73"/>
      <c r="Q3" s="73"/>
      <c r="R3" s="73"/>
      <c r="T3" s="75" t="s">
        <v>864</v>
      </c>
      <c r="U3" s="75" t="s">
        <v>749</v>
      </c>
      <c r="V3" s="75" t="s">
        <v>706</v>
      </c>
      <c r="W3" s="75" t="s">
        <v>460</v>
      </c>
      <c r="X3" s="75">
        <v>69</v>
      </c>
    </row>
    <row r="4" spans="4:24" x14ac:dyDescent="0.35">
      <c r="D4" s="84">
        <v>3</v>
      </c>
      <c r="E4" s="84" t="s">
        <v>702</v>
      </c>
      <c r="F4" s="84" t="s">
        <v>703</v>
      </c>
      <c r="G4" s="84" t="s">
        <v>716</v>
      </c>
      <c r="H4" s="84">
        <v>612</v>
      </c>
      <c r="I4" s="84" t="s">
        <v>720</v>
      </c>
      <c r="J4" s="84" t="s">
        <v>728</v>
      </c>
      <c r="K4" s="83" t="s">
        <v>730</v>
      </c>
      <c r="L4" s="105"/>
      <c r="N4" s="73" t="s">
        <v>708</v>
      </c>
      <c r="O4" s="73">
        <v>605</v>
      </c>
      <c r="P4" s="73">
        <v>3</v>
      </c>
      <c r="Q4" s="73" t="s">
        <v>709</v>
      </c>
      <c r="R4" s="73">
        <v>775</v>
      </c>
      <c r="T4" s="75" t="s">
        <v>865</v>
      </c>
      <c r="U4" s="75" t="s">
        <v>738</v>
      </c>
      <c r="V4" s="75">
        <v>3</v>
      </c>
      <c r="W4" s="75" t="s">
        <v>460</v>
      </c>
      <c r="X4" s="75">
        <v>68</v>
      </c>
    </row>
    <row r="5" spans="4:24" ht="29" x14ac:dyDescent="0.35">
      <c r="D5" s="84">
        <v>4</v>
      </c>
      <c r="E5" s="84" t="s">
        <v>702</v>
      </c>
      <c r="F5" s="84" t="s">
        <v>703</v>
      </c>
      <c r="G5" s="84" t="s">
        <v>734</v>
      </c>
      <c r="H5" s="84">
        <v>621</v>
      </c>
      <c r="I5" s="84" t="s">
        <v>720</v>
      </c>
      <c r="J5" s="84" t="s">
        <v>726</v>
      </c>
      <c r="K5" s="83"/>
      <c r="L5" s="105"/>
      <c r="N5" s="73" t="s">
        <v>710</v>
      </c>
      <c r="O5" s="73" t="s">
        <v>711</v>
      </c>
      <c r="P5" s="75" t="s">
        <v>712</v>
      </c>
      <c r="Q5" s="73" t="s">
        <v>713</v>
      </c>
      <c r="R5" s="73" t="s">
        <v>715</v>
      </c>
      <c r="T5" s="75" t="s">
        <v>866</v>
      </c>
      <c r="U5" s="75" t="s">
        <v>821</v>
      </c>
      <c r="V5" s="75" t="s">
        <v>706</v>
      </c>
      <c r="W5" s="75" t="s">
        <v>460</v>
      </c>
      <c r="X5" s="75">
        <v>907</v>
      </c>
    </row>
    <row r="6" spans="4:24" ht="29" x14ac:dyDescent="0.35">
      <c r="D6" s="84">
        <v>5</v>
      </c>
      <c r="E6" s="84" t="s">
        <v>702</v>
      </c>
      <c r="F6" s="84" t="s">
        <v>703</v>
      </c>
      <c r="G6" s="84" t="s">
        <v>864</v>
      </c>
      <c r="H6" s="84">
        <v>621</v>
      </c>
      <c r="I6" s="84" t="s">
        <v>720</v>
      </c>
      <c r="J6" s="84" t="s">
        <v>726</v>
      </c>
      <c r="K6" s="83"/>
      <c r="L6" s="105"/>
      <c r="N6" s="73"/>
      <c r="O6" s="73"/>
      <c r="P6" s="75"/>
      <c r="Q6" s="73"/>
      <c r="R6" s="73"/>
      <c r="T6" s="75" t="s">
        <v>867</v>
      </c>
      <c r="U6" s="75" t="s">
        <v>738</v>
      </c>
      <c r="V6" s="75">
        <v>3</v>
      </c>
      <c r="W6" s="75" t="s">
        <v>868</v>
      </c>
      <c r="X6" s="75">
        <v>907</v>
      </c>
    </row>
    <row r="7" spans="4:24" ht="43.5" x14ac:dyDescent="0.35">
      <c r="D7" s="84">
        <v>6</v>
      </c>
      <c r="E7" s="84" t="s">
        <v>702</v>
      </c>
      <c r="F7" s="84" t="s">
        <v>703</v>
      </c>
      <c r="G7" s="84" t="s">
        <v>852</v>
      </c>
      <c r="H7" s="84">
        <v>621</v>
      </c>
      <c r="I7" s="84" t="s">
        <v>720</v>
      </c>
      <c r="J7" s="84" t="s">
        <v>728</v>
      </c>
      <c r="K7" s="83" t="s">
        <v>853</v>
      </c>
      <c r="L7" s="105"/>
      <c r="N7" s="73"/>
      <c r="O7" s="73"/>
      <c r="P7" s="75"/>
      <c r="Q7" s="73"/>
      <c r="R7" s="73"/>
      <c r="T7" s="75" t="s">
        <v>869</v>
      </c>
      <c r="U7" s="75">
        <v>612</v>
      </c>
      <c r="V7" s="75" t="s">
        <v>870</v>
      </c>
      <c r="W7" s="75" t="s">
        <v>871</v>
      </c>
      <c r="X7" s="75">
        <v>664</v>
      </c>
    </row>
    <row r="8" spans="4:24" ht="16.5" customHeight="1" x14ac:dyDescent="0.35">
      <c r="D8" s="84">
        <v>7</v>
      </c>
      <c r="E8" s="84" t="s">
        <v>702</v>
      </c>
      <c r="F8" s="84" t="s">
        <v>703</v>
      </c>
      <c r="G8" s="84" t="s">
        <v>917</v>
      </c>
      <c r="H8" s="84">
        <v>626</v>
      </c>
      <c r="I8" s="84" t="s">
        <v>720</v>
      </c>
      <c r="J8" s="84" t="s">
        <v>726</v>
      </c>
      <c r="K8" s="83"/>
      <c r="L8" s="105"/>
      <c r="N8" s="73"/>
      <c r="O8" s="73"/>
      <c r="P8" s="75"/>
      <c r="Q8" s="73"/>
      <c r="R8" s="73"/>
      <c r="T8" s="75" t="s">
        <v>873</v>
      </c>
      <c r="U8" s="75">
        <v>612</v>
      </c>
      <c r="V8" s="75" t="s">
        <v>874</v>
      </c>
      <c r="W8" s="75" t="s">
        <v>875</v>
      </c>
      <c r="X8" s="75" t="s">
        <v>876</v>
      </c>
    </row>
    <row r="9" spans="4:24" ht="29" x14ac:dyDescent="0.35">
      <c r="D9" s="84">
        <v>8</v>
      </c>
      <c r="E9" s="84" t="s">
        <v>702</v>
      </c>
      <c r="F9" s="84" t="s">
        <v>703</v>
      </c>
      <c r="G9" s="84" t="s">
        <v>737</v>
      </c>
      <c r="H9" s="84">
        <v>626</v>
      </c>
      <c r="I9" s="84" t="s">
        <v>720</v>
      </c>
      <c r="J9" s="84" t="s">
        <v>726</v>
      </c>
      <c r="K9" s="83"/>
      <c r="L9" s="105"/>
      <c r="N9" s="73" t="s">
        <v>714</v>
      </c>
      <c r="O9" s="73" t="s">
        <v>740</v>
      </c>
      <c r="P9" s="73" t="s">
        <v>706</v>
      </c>
      <c r="Q9" s="75" t="s">
        <v>742</v>
      </c>
      <c r="R9" s="73">
        <v>679</v>
      </c>
      <c r="T9" s="75" t="s">
        <v>877</v>
      </c>
      <c r="U9" s="75">
        <v>616</v>
      </c>
      <c r="V9" s="75" t="s">
        <v>706</v>
      </c>
      <c r="W9" s="75" t="s">
        <v>791</v>
      </c>
      <c r="X9" s="75" t="s">
        <v>706</v>
      </c>
    </row>
    <row r="10" spans="4:24" ht="43.5" x14ac:dyDescent="0.35">
      <c r="D10" s="84">
        <v>9</v>
      </c>
      <c r="E10" s="84" t="s">
        <v>702</v>
      </c>
      <c r="F10" s="84" t="s">
        <v>703</v>
      </c>
      <c r="G10" s="84" t="s">
        <v>855</v>
      </c>
      <c r="H10" s="84">
        <v>626</v>
      </c>
      <c r="I10" s="84" t="s">
        <v>720</v>
      </c>
      <c r="J10" s="84" t="s">
        <v>728</v>
      </c>
      <c r="K10" s="83" t="s">
        <v>854</v>
      </c>
      <c r="L10" s="105"/>
      <c r="N10" s="73"/>
      <c r="O10" s="73"/>
      <c r="P10" s="73"/>
      <c r="Q10" s="75"/>
      <c r="R10" s="73"/>
      <c r="T10" s="75" t="s">
        <v>878</v>
      </c>
      <c r="U10" s="75">
        <v>605</v>
      </c>
      <c r="V10" s="75">
        <v>3</v>
      </c>
      <c r="W10" s="75" t="s">
        <v>460</v>
      </c>
      <c r="X10" s="75">
        <v>907</v>
      </c>
    </row>
    <row r="11" spans="4:24" ht="29" x14ac:dyDescent="0.35">
      <c r="D11" s="85">
        <v>10</v>
      </c>
      <c r="E11" s="85" t="s">
        <v>702</v>
      </c>
      <c r="F11" s="85" t="s">
        <v>739</v>
      </c>
      <c r="G11" s="85" t="s">
        <v>704</v>
      </c>
      <c r="H11" s="85">
        <v>606</v>
      </c>
      <c r="I11" s="85" t="s">
        <v>708</v>
      </c>
      <c r="J11" s="85" t="s">
        <v>726</v>
      </c>
      <c r="K11" s="83"/>
      <c r="L11" s="105"/>
      <c r="N11" s="73" t="s">
        <v>716</v>
      </c>
      <c r="O11" s="73" t="s">
        <v>711</v>
      </c>
      <c r="P11" s="73" t="s">
        <v>706</v>
      </c>
      <c r="Q11" s="73" t="s">
        <v>460</v>
      </c>
      <c r="R11" s="73" t="s">
        <v>717</v>
      </c>
      <c r="T11" s="75" t="s">
        <v>879</v>
      </c>
      <c r="U11" s="75">
        <v>612</v>
      </c>
      <c r="V11" s="75" t="s">
        <v>880</v>
      </c>
      <c r="W11" s="75" t="s">
        <v>881</v>
      </c>
      <c r="X11" s="75">
        <v>568</v>
      </c>
    </row>
    <row r="12" spans="4:24" x14ac:dyDescent="0.35">
      <c r="D12" s="85"/>
      <c r="E12" s="85"/>
      <c r="F12" s="85"/>
      <c r="G12" s="85"/>
      <c r="H12" s="85"/>
      <c r="I12" s="85"/>
      <c r="J12" s="85"/>
      <c r="K12" s="83"/>
      <c r="L12" s="105"/>
      <c r="N12" s="73" t="s">
        <v>967</v>
      </c>
      <c r="O12" s="73" t="s">
        <v>968</v>
      </c>
      <c r="P12" s="73" t="s">
        <v>706</v>
      </c>
      <c r="Q12" s="73" t="s">
        <v>460</v>
      </c>
      <c r="R12" s="73">
        <v>1076</v>
      </c>
      <c r="T12" s="75"/>
      <c r="U12" s="75"/>
      <c r="V12" s="75"/>
      <c r="W12" s="75"/>
      <c r="X12" s="75"/>
    </row>
    <row r="13" spans="4:24" x14ac:dyDescent="0.35">
      <c r="D13" s="85">
        <v>11</v>
      </c>
      <c r="E13" s="85" t="s">
        <v>702</v>
      </c>
      <c r="F13" s="85" t="s">
        <v>739</v>
      </c>
      <c r="G13" s="85" t="s">
        <v>866</v>
      </c>
      <c r="H13" s="85">
        <v>606</v>
      </c>
      <c r="I13" s="85" t="s">
        <v>708</v>
      </c>
      <c r="J13" s="85" t="s">
        <v>726</v>
      </c>
      <c r="K13" s="83"/>
      <c r="L13" s="105"/>
      <c r="N13" s="73"/>
      <c r="O13" s="73"/>
      <c r="P13" s="73"/>
      <c r="Q13" s="73"/>
      <c r="R13" s="73"/>
      <c r="T13" s="75" t="s">
        <v>882</v>
      </c>
      <c r="U13" s="75" t="s">
        <v>883</v>
      </c>
      <c r="V13" s="75" t="s">
        <v>706</v>
      </c>
      <c r="W13" s="75" t="s">
        <v>460</v>
      </c>
      <c r="X13" s="75">
        <v>1851</v>
      </c>
    </row>
    <row r="14" spans="4:24" ht="29" x14ac:dyDescent="0.35">
      <c r="D14" s="85">
        <v>12</v>
      </c>
      <c r="E14" s="85" t="s">
        <v>702</v>
      </c>
      <c r="F14" s="85" t="s">
        <v>739</v>
      </c>
      <c r="G14" s="85" t="s">
        <v>855</v>
      </c>
      <c r="H14" s="85">
        <v>626</v>
      </c>
      <c r="I14" s="85" t="s">
        <v>708</v>
      </c>
      <c r="J14" s="85" t="s">
        <v>728</v>
      </c>
      <c r="K14" s="83" t="s">
        <v>856</v>
      </c>
      <c r="L14" s="105"/>
      <c r="N14" s="73"/>
      <c r="O14" s="73"/>
      <c r="P14" s="73"/>
      <c r="Q14" s="73"/>
      <c r="R14" s="73"/>
      <c r="T14" s="75" t="s">
        <v>884</v>
      </c>
      <c r="U14" s="75" t="s">
        <v>823</v>
      </c>
      <c r="V14" s="75" t="s">
        <v>706</v>
      </c>
      <c r="W14" s="75" t="s">
        <v>460</v>
      </c>
      <c r="X14" s="75">
        <v>871</v>
      </c>
    </row>
    <row r="15" spans="4:24" x14ac:dyDescent="0.35">
      <c r="D15" s="85">
        <v>13</v>
      </c>
      <c r="E15" s="85" t="s">
        <v>702</v>
      </c>
      <c r="F15" s="85" t="s">
        <v>739</v>
      </c>
      <c r="G15" s="85" t="s">
        <v>867</v>
      </c>
      <c r="H15" s="85">
        <v>626</v>
      </c>
      <c r="I15" s="85" t="s">
        <v>708</v>
      </c>
      <c r="J15" s="85" t="s">
        <v>726</v>
      </c>
      <c r="K15" s="83"/>
      <c r="L15" s="105"/>
      <c r="N15" s="73"/>
      <c r="O15" s="73"/>
      <c r="P15" s="73"/>
      <c r="Q15" s="73"/>
      <c r="R15" s="73"/>
      <c r="T15" s="75" t="s">
        <v>885</v>
      </c>
      <c r="U15" s="75" t="s">
        <v>111</v>
      </c>
      <c r="V15" s="75" t="s">
        <v>706</v>
      </c>
      <c r="W15" s="75" t="s">
        <v>460</v>
      </c>
      <c r="X15" s="75">
        <v>758</v>
      </c>
    </row>
    <row r="16" spans="4:24" ht="43.5" x14ac:dyDescent="0.35">
      <c r="D16" s="85">
        <v>14</v>
      </c>
      <c r="E16" s="85" t="s">
        <v>702</v>
      </c>
      <c r="F16" s="85" t="s">
        <v>739</v>
      </c>
      <c r="G16" s="85" t="s">
        <v>714</v>
      </c>
      <c r="H16" s="85">
        <v>626</v>
      </c>
      <c r="I16" s="85" t="s">
        <v>708</v>
      </c>
      <c r="J16" s="85" t="s">
        <v>726</v>
      </c>
      <c r="K16" s="83"/>
      <c r="L16" s="105"/>
      <c r="N16" s="73" t="s">
        <v>720</v>
      </c>
      <c r="O16" s="73">
        <v>621</v>
      </c>
      <c r="P16" s="74">
        <v>735738</v>
      </c>
      <c r="Q16" s="73" t="s">
        <v>719</v>
      </c>
      <c r="R16" s="73" t="s">
        <v>718</v>
      </c>
      <c r="T16" s="75" t="s">
        <v>886</v>
      </c>
      <c r="U16" s="75" t="s">
        <v>711</v>
      </c>
      <c r="V16" s="75" t="s">
        <v>887</v>
      </c>
      <c r="W16" s="75" t="s">
        <v>888</v>
      </c>
      <c r="X16" s="75" t="s">
        <v>889</v>
      </c>
    </row>
    <row r="17" spans="4:24" ht="29" x14ac:dyDescent="0.35">
      <c r="D17" s="85">
        <v>15</v>
      </c>
      <c r="E17" s="85" t="s">
        <v>702</v>
      </c>
      <c r="F17" s="85" t="s">
        <v>739</v>
      </c>
      <c r="G17" s="85" t="s">
        <v>724</v>
      </c>
      <c r="H17" s="85">
        <v>626</v>
      </c>
      <c r="I17" s="85" t="s">
        <v>708</v>
      </c>
      <c r="J17" s="85" t="s">
        <v>728</v>
      </c>
      <c r="K17" s="83" t="s">
        <v>744</v>
      </c>
      <c r="L17" s="105"/>
      <c r="N17" s="73" t="s">
        <v>721</v>
      </c>
      <c r="O17" s="73" t="s">
        <v>722</v>
      </c>
      <c r="P17" s="73">
        <v>203</v>
      </c>
      <c r="Q17" s="75" t="s">
        <v>723</v>
      </c>
      <c r="R17" s="73">
        <v>50</v>
      </c>
      <c r="T17" s="75" t="s">
        <v>890</v>
      </c>
      <c r="U17" s="75">
        <v>616</v>
      </c>
      <c r="V17" s="75" t="s">
        <v>706</v>
      </c>
      <c r="W17" s="75" t="s">
        <v>791</v>
      </c>
      <c r="X17" s="75" t="s">
        <v>706</v>
      </c>
    </row>
    <row r="18" spans="4:24" x14ac:dyDescent="0.35">
      <c r="D18" s="86">
        <v>16</v>
      </c>
      <c r="E18" s="86" t="s">
        <v>702</v>
      </c>
      <c r="F18" s="86" t="s">
        <v>747</v>
      </c>
      <c r="G18" s="86" t="s">
        <v>857</v>
      </c>
      <c r="H18" s="86">
        <v>612</v>
      </c>
      <c r="I18" s="86" t="s">
        <v>731</v>
      </c>
      <c r="J18" s="86" t="s">
        <v>726</v>
      </c>
      <c r="K18" s="83"/>
      <c r="L18" s="105"/>
      <c r="N18" s="73" t="s">
        <v>857</v>
      </c>
      <c r="O18" s="73" t="s">
        <v>711</v>
      </c>
      <c r="P18" s="73" t="s">
        <v>706</v>
      </c>
      <c r="Q18" s="73" t="s">
        <v>460</v>
      </c>
      <c r="R18" s="73" t="s">
        <v>858</v>
      </c>
      <c r="T18" s="75" t="s">
        <v>891</v>
      </c>
      <c r="U18" s="75" t="s">
        <v>771</v>
      </c>
      <c r="V18" s="75" t="s">
        <v>706</v>
      </c>
      <c r="W18" s="75" t="s">
        <v>460</v>
      </c>
      <c r="X18" s="75">
        <v>470</v>
      </c>
    </row>
    <row r="19" spans="4:24" ht="29" x14ac:dyDescent="0.35">
      <c r="D19" s="86">
        <v>17</v>
      </c>
      <c r="E19" s="86" t="s">
        <v>702</v>
      </c>
      <c r="F19" s="86" t="s">
        <v>747</v>
      </c>
      <c r="G19" s="86" t="s">
        <v>869</v>
      </c>
      <c r="H19" s="86">
        <v>612</v>
      </c>
      <c r="I19" s="86" t="s">
        <v>731</v>
      </c>
      <c r="J19" s="86" t="s">
        <v>728</v>
      </c>
      <c r="K19" s="83" t="s">
        <v>872</v>
      </c>
      <c r="L19" s="105"/>
      <c r="N19" s="73"/>
      <c r="O19" s="73"/>
      <c r="P19" s="73"/>
      <c r="Q19" s="73"/>
      <c r="R19" s="73"/>
      <c r="T19" s="75" t="s">
        <v>892</v>
      </c>
      <c r="U19" s="75" t="s">
        <v>893</v>
      </c>
      <c r="V19" s="75" t="s">
        <v>706</v>
      </c>
      <c r="W19" s="75" t="s">
        <v>460</v>
      </c>
      <c r="X19" s="75">
        <v>773</v>
      </c>
    </row>
    <row r="20" spans="4:24" ht="29" x14ac:dyDescent="0.35">
      <c r="D20" s="86">
        <v>18</v>
      </c>
      <c r="E20" s="86" t="s">
        <v>702</v>
      </c>
      <c r="F20" s="86" t="s">
        <v>747</v>
      </c>
      <c r="G20" s="86" t="s">
        <v>745</v>
      </c>
      <c r="H20" s="86">
        <v>612</v>
      </c>
      <c r="I20" s="86" t="s">
        <v>731</v>
      </c>
      <c r="J20" s="86" t="s">
        <v>726</v>
      </c>
      <c r="K20" s="83"/>
      <c r="L20" s="105"/>
      <c r="N20" s="73" t="s">
        <v>724</v>
      </c>
      <c r="O20" s="73" t="s">
        <v>741</v>
      </c>
      <c r="P20" s="73" t="s">
        <v>398</v>
      </c>
      <c r="Q20" s="75" t="s">
        <v>743</v>
      </c>
      <c r="R20" s="73" t="s">
        <v>725</v>
      </c>
      <c r="T20" s="75" t="s">
        <v>894</v>
      </c>
      <c r="U20" s="75" t="s">
        <v>895</v>
      </c>
      <c r="V20" s="75" t="s">
        <v>706</v>
      </c>
      <c r="W20" s="75" t="s">
        <v>460</v>
      </c>
      <c r="X20" s="75">
        <v>160</v>
      </c>
    </row>
    <row r="21" spans="4:24" ht="43.5" x14ac:dyDescent="0.35">
      <c r="D21" s="86">
        <v>19</v>
      </c>
      <c r="E21" s="86" t="s">
        <v>702</v>
      </c>
      <c r="F21" s="86" t="s">
        <v>747</v>
      </c>
      <c r="G21" s="86" t="s">
        <v>859</v>
      </c>
      <c r="H21" s="86">
        <v>616</v>
      </c>
      <c r="I21" s="86" t="s">
        <v>731</v>
      </c>
      <c r="J21" s="86" t="s">
        <v>728</v>
      </c>
      <c r="K21" s="83" t="s">
        <v>860</v>
      </c>
      <c r="L21" s="105"/>
      <c r="N21" s="73"/>
      <c r="O21" s="73"/>
      <c r="P21" s="73"/>
      <c r="Q21" s="75"/>
      <c r="R21" s="73"/>
      <c r="T21" s="75" t="s">
        <v>897</v>
      </c>
      <c r="U21" s="75">
        <v>621</v>
      </c>
      <c r="V21" s="75" t="s">
        <v>898</v>
      </c>
      <c r="W21" s="75" t="s">
        <v>899</v>
      </c>
      <c r="X21" s="75" t="s">
        <v>900</v>
      </c>
    </row>
    <row r="22" spans="4:24" x14ac:dyDescent="0.35">
      <c r="D22" s="86">
        <v>20</v>
      </c>
      <c r="E22" s="86" t="s">
        <v>702</v>
      </c>
      <c r="F22" s="86" t="s">
        <v>747</v>
      </c>
      <c r="G22" s="86" t="s">
        <v>861</v>
      </c>
      <c r="H22" s="86">
        <v>621</v>
      </c>
      <c r="I22" s="86" t="s">
        <v>731</v>
      </c>
      <c r="J22" s="86" t="s">
        <v>728</v>
      </c>
      <c r="K22" s="83"/>
      <c r="L22" s="105"/>
      <c r="N22" s="72" t="s">
        <v>861</v>
      </c>
      <c r="O22" s="72" t="s">
        <v>749</v>
      </c>
      <c r="P22" s="73" t="s">
        <v>706</v>
      </c>
      <c r="Q22" s="73" t="s">
        <v>460</v>
      </c>
      <c r="R22" s="73">
        <v>496</v>
      </c>
      <c r="T22" s="75" t="s">
        <v>901</v>
      </c>
      <c r="U22" s="75" t="s">
        <v>738</v>
      </c>
      <c r="V22" s="75" t="s">
        <v>706</v>
      </c>
      <c r="W22" s="75" t="s">
        <v>460</v>
      </c>
      <c r="X22" s="75" t="s">
        <v>902</v>
      </c>
    </row>
    <row r="23" spans="4:24" x14ac:dyDescent="0.35">
      <c r="D23" s="86"/>
      <c r="E23" s="86"/>
      <c r="F23" s="86"/>
      <c r="G23" s="86"/>
      <c r="H23" s="86"/>
      <c r="I23" s="86"/>
      <c r="J23" s="86"/>
      <c r="K23" s="83"/>
      <c r="L23" s="105"/>
      <c r="N23" s="72"/>
      <c r="O23" s="72"/>
      <c r="P23" s="73"/>
      <c r="Q23" s="73"/>
      <c r="R23" s="73"/>
      <c r="T23" s="75"/>
      <c r="U23" s="75"/>
      <c r="V23" s="75"/>
      <c r="W23" s="75"/>
      <c r="X23" s="75"/>
    </row>
    <row r="24" spans="4:24" ht="29" x14ac:dyDescent="0.35">
      <c r="D24" s="86">
        <v>21</v>
      </c>
      <c r="E24" s="86" t="s">
        <v>702</v>
      </c>
      <c r="F24" s="86" t="s">
        <v>747</v>
      </c>
      <c r="G24" s="86" t="s">
        <v>755</v>
      </c>
      <c r="H24" s="86">
        <v>621</v>
      </c>
      <c r="I24" s="86" t="s">
        <v>731</v>
      </c>
      <c r="J24" s="86" t="s">
        <v>726</v>
      </c>
      <c r="K24" s="83"/>
      <c r="L24" s="105"/>
      <c r="N24" s="73" t="s">
        <v>731</v>
      </c>
      <c r="O24" s="73" t="s">
        <v>732</v>
      </c>
      <c r="P24" s="73">
        <v>203</v>
      </c>
      <c r="Q24" s="75" t="s">
        <v>733</v>
      </c>
      <c r="R24" s="73"/>
      <c r="T24" s="75" t="s">
        <v>903</v>
      </c>
      <c r="U24" s="75">
        <v>605</v>
      </c>
      <c r="V24" s="75" t="s">
        <v>706</v>
      </c>
      <c r="W24" s="75" t="s">
        <v>460</v>
      </c>
      <c r="X24" s="75">
        <v>946</v>
      </c>
    </row>
    <row r="25" spans="4:24" ht="29" x14ac:dyDescent="0.35">
      <c r="D25" s="86">
        <v>22</v>
      </c>
      <c r="E25" s="86" t="s">
        <v>702</v>
      </c>
      <c r="F25" s="86" t="s">
        <v>747</v>
      </c>
      <c r="G25" s="86" t="s">
        <v>877</v>
      </c>
      <c r="H25" s="86">
        <v>626</v>
      </c>
      <c r="I25" s="86" t="s">
        <v>731</v>
      </c>
      <c r="J25" s="86"/>
      <c r="K25" s="83"/>
      <c r="L25" s="105"/>
      <c r="N25" s="73"/>
      <c r="O25" s="73"/>
      <c r="P25" s="73"/>
      <c r="Q25" s="75"/>
      <c r="R25" s="73"/>
      <c r="T25" s="75" t="s">
        <v>904</v>
      </c>
      <c r="U25" s="75">
        <v>621</v>
      </c>
      <c r="V25" s="75" t="s">
        <v>410</v>
      </c>
      <c r="W25" s="75" t="s">
        <v>905</v>
      </c>
      <c r="X25" s="75">
        <v>609</v>
      </c>
    </row>
    <row r="26" spans="4:24" x14ac:dyDescent="0.35">
      <c r="D26" s="86"/>
      <c r="E26" s="86"/>
      <c r="F26" s="86"/>
      <c r="G26" s="86"/>
      <c r="H26" s="86"/>
      <c r="I26" s="86"/>
      <c r="J26" s="86"/>
      <c r="K26" s="83"/>
      <c r="L26" s="105"/>
      <c r="N26" s="73"/>
      <c r="O26" s="73"/>
      <c r="P26" s="73"/>
      <c r="Q26" s="75"/>
      <c r="R26" s="73"/>
      <c r="T26" s="75"/>
      <c r="U26" s="75"/>
      <c r="V26" s="75"/>
      <c r="W26" s="75"/>
      <c r="X26" s="75"/>
    </row>
    <row r="27" spans="4:24" x14ac:dyDescent="0.35">
      <c r="D27" s="86">
        <v>23</v>
      </c>
      <c r="E27" s="86" t="s">
        <v>702</v>
      </c>
      <c r="F27" s="86" t="s">
        <v>747</v>
      </c>
      <c r="G27" s="86" t="s">
        <v>757</v>
      </c>
      <c r="H27" s="86">
        <v>626</v>
      </c>
      <c r="I27" s="86" t="s">
        <v>803</v>
      </c>
      <c r="J27" s="86" t="s">
        <v>726</v>
      </c>
      <c r="K27" s="83"/>
      <c r="L27" s="105"/>
      <c r="N27" s="73" t="s">
        <v>734</v>
      </c>
      <c r="O27" s="73" t="s">
        <v>735</v>
      </c>
      <c r="P27" s="73" t="s">
        <v>706</v>
      </c>
      <c r="Q27" s="73" t="s">
        <v>736</v>
      </c>
      <c r="R27" s="73">
        <v>2</v>
      </c>
      <c r="T27" s="75" t="s">
        <v>906</v>
      </c>
      <c r="U27" s="75" t="s">
        <v>821</v>
      </c>
      <c r="V27" s="75" t="s">
        <v>706</v>
      </c>
      <c r="W27" s="75" t="s">
        <v>460</v>
      </c>
      <c r="X27" s="75">
        <v>520</v>
      </c>
    </row>
    <row r="28" spans="4:24" x14ac:dyDescent="0.35">
      <c r="D28" s="86">
        <v>24</v>
      </c>
      <c r="E28" s="86" t="s">
        <v>702</v>
      </c>
      <c r="F28" s="86" t="s">
        <v>747</v>
      </c>
      <c r="G28" s="86" t="s">
        <v>752</v>
      </c>
      <c r="H28" s="86">
        <v>621</v>
      </c>
      <c r="I28" s="86" t="s">
        <v>731</v>
      </c>
      <c r="J28" s="86" t="s">
        <v>728</v>
      </c>
      <c r="K28" s="83" t="s">
        <v>762</v>
      </c>
      <c r="L28" s="105"/>
      <c r="N28" s="73" t="s">
        <v>737</v>
      </c>
      <c r="O28" s="73" t="s">
        <v>738</v>
      </c>
      <c r="P28" s="73">
        <v>3</v>
      </c>
      <c r="Q28" s="73" t="s">
        <v>460</v>
      </c>
      <c r="R28" s="73">
        <v>78</v>
      </c>
      <c r="T28" s="75" t="s">
        <v>907</v>
      </c>
      <c r="U28" s="75" t="s">
        <v>823</v>
      </c>
      <c r="V28" s="75" t="s">
        <v>706</v>
      </c>
      <c r="W28" s="75" t="s">
        <v>460</v>
      </c>
      <c r="X28" s="75">
        <v>157</v>
      </c>
    </row>
    <row r="29" spans="4:24" x14ac:dyDescent="0.35">
      <c r="D29" s="87">
        <v>25</v>
      </c>
      <c r="E29" s="87" t="s">
        <v>702</v>
      </c>
      <c r="F29" s="87" t="s">
        <v>763</v>
      </c>
      <c r="G29" s="87" t="s">
        <v>752</v>
      </c>
      <c r="H29" s="87">
        <v>605</v>
      </c>
      <c r="I29" s="87" t="s">
        <v>710</v>
      </c>
      <c r="J29" s="87" t="s">
        <v>726</v>
      </c>
      <c r="K29" s="83"/>
      <c r="L29" s="105"/>
      <c r="N29" s="73" t="s">
        <v>745</v>
      </c>
      <c r="O29" s="73" t="s">
        <v>711</v>
      </c>
      <c r="P29" s="73" t="s">
        <v>706</v>
      </c>
      <c r="Q29" s="73" t="s">
        <v>460</v>
      </c>
      <c r="R29" s="73" t="s">
        <v>746</v>
      </c>
      <c r="T29" s="75" t="s">
        <v>908</v>
      </c>
      <c r="U29" s="75" t="s">
        <v>111</v>
      </c>
      <c r="V29" s="75" t="s">
        <v>706</v>
      </c>
      <c r="W29" s="75" t="s">
        <v>460</v>
      </c>
      <c r="X29" s="75">
        <v>229</v>
      </c>
    </row>
    <row r="30" spans="4:24" x14ac:dyDescent="0.35">
      <c r="D30" s="87"/>
      <c r="E30" s="87"/>
      <c r="F30" s="87"/>
      <c r="G30" s="87"/>
      <c r="H30" s="87"/>
      <c r="I30" s="87"/>
      <c r="J30" s="87"/>
      <c r="K30" s="83"/>
      <c r="L30" s="105"/>
      <c r="N30" s="73"/>
      <c r="O30" s="73"/>
      <c r="P30" s="73"/>
      <c r="Q30" s="73"/>
      <c r="R30" s="73"/>
      <c r="T30" s="75"/>
      <c r="U30" s="75"/>
      <c r="V30" s="75"/>
      <c r="W30" s="75"/>
      <c r="X30" s="75"/>
    </row>
    <row r="31" spans="4:24" x14ac:dyDescent="0.35">
      <c r="D31" s="87">
        <v>26</v>
      </c>
      <c r="E31" s="87" t="s">
        <v>702</v>
      </c>
      <c r="F31" s="87" t="s">
        <v>763</v>
      </c>
      <c r="G31" s="87" t="s">
        <v>878</v>
      </c>
      <c r="H31" s="87">
        <v>605</v>
      </c>
      <c r="I31" s="87" t="s">
        <v>710</v>
      </c>
      <c r="J31" s="87"/>
      <c r="K31" s="83"/>
      <c r="L31" s="105"/>
      <c r="N31" s="73"/>
      <c r="O31" s="73"/>
      <c r="P31" s="73"/>
      <c r="Q31" s="73"/>
      <c r="R31" s="73"/>
      <c r="T31" s="75" t="s">
        <v>909</v>
      </c>
      <c r="U31" s="75" t="s">
        <v>771</v>
      </c>
      <c r="V31" s="75" t="s">
        <v>706</v>
      </c>
      <c r="W31" s="75" t="s">
        <v>460</v>
      </c>
      <c r="X31" s="75">
        <v>834</v>
      </c>
    </row>
    <row r="32" spans="4:24" x14ac:dyDescent="0.35">
      <c r="D32" s="87">
        <v>27</v>
      </c>
      <c r="E32" s="87" t="s">
        <v>702</v>
      </c>
      <c r="F32" s="87" t="s">
        <v>763</v>
      </c>
      <c r="G32" s="87" t="s">
        <v>882</v>
      </c>
      <c r="H32" s="87">
        <v>606</v>
      </c>
      <c r="I32" s="87" t="s">
        <v>710</v>
      </c>
      <c r="J32" s="87"/>
      <c r="K32" s="83"/>
      <c r="L32" s="105"/>
      <c r="N32" s="73"/>
      <c r="O32" s="73"/>
      <c r="P32" s="73"/>
      <c r="Q32" s="73"/>
      <c r="R32" s="73"/>
      <c r="T32" s="75" t="s">
        <v>910</v>
      </c>
      <c r="U32" s="75" t="s">
        <v>818</v>
      </c>
      <c r="V32" s="75" t="s">
        <v>706</v>
      </c>
      <c r="W32" s="75" t="s">
        <v>460</v>
      </c>
      <c r="X32" s="75">
        <v>2223</v>
      </c>
    </row>
    <row r="33" spans="4:24" x14ac:dyDescent="0.35">
      <c r="D33" s="87"/>
      <c r="E33" s="87"/>
      <c r="F33" s="87"/>
      <c r="G33" s="87"/>
      <c r="H33" s="87"/>
      <c r="I33" s="87"/>
      <c r="J33" s="87"/>
      <c r="K33" s="83"/>
      <c r="L33" s="105"/>
      <c r="N33" s="73"/>
      <c r="O33" s="73"/>
      <c r="P33" s="73"/>
      <c r="Q33" s="73"/>
      <c r="R33" s="73"/>
      <c r="T33" s="75"/>
      <c r="U33" s="75"/>
      <c r="V33" s="75"/>
      <c r="W33" s="75"/>
      <c r="X33" s="75"/>
    </row>
    <row r="34" spans="4:24" ht="29" x14ac:dyDescent="0.35">
      <c r="D34" s="87">
        <v>28</v>
      </c>
      <c r="E34" s="87" t="s">
        <v>702</v>
      </c>
      <c r="F34" s="87" t="s">
        <v>763</v>
      </c>
      <c r="G34" s="87" t="s">
        <v>704</v>
      </c>
      <c r="H34" s="87">
        <v>606</v>
      </c>
      <c r="I34" s="87" t="s">
        <v>710</v>
      </c>
      <c r="J34" s="87" t="s">
        <v>726</v>
      </c>
      <c r="K34" s="83"/>
      <c r="L34" s="105"/>
      <c r="N34" s="73" t="s">
        <v>748</v>
      </c>
      <c r="O34" s="74" t="s">
        <v>749</v>
      </c>
      <c r="P34" s="73">
        <v>735</v>
      </c>
      <c r="Q34" s="75" t="s">
        <v>750</v>
      </c>
      <c r="R34" s="73" t="s">
        <v>751</v>
      </c>
      <c r="S34" t="s">
        <v>845</v>
      </c>
      <c r="T34" s="75" t="s">
        <v>911</v>
      </c>
      <c r="U34" s="75" t="s">
        <v>912</v>
      </c>
      <c r="V34" s="75" t="s">
        <v>706</v>
      </c>
      <c r="W34" s="75" t="s">
        <v>460</v>
      </c>
      <c r="X34" s="75">
        <v>907</v>
      </c>
    </row>
    <row r="35" spans="4:24" ht="29" x14ac:dyDescent="0.35">
      <c r="D35" s="87">
        <v>29</v>
      </c>
      <c r="E35" s="87" t="s">
        <v>702</v>
      </c>
      <c r="F35" s="87" t="s">
        <v>763</v>
      </c>
      <c r="G35" s="88" t="s">
        <v>884</v>
      </c>
      <c r="H35" s="87">
        <v>608</v>
      </c>
      <c r="I35" s="87" t="s">
        <v>710</v>
      </c>
      <c r="J35" s="87"/>
      <c r="K35" s="83"/>
      <c r="L35" s="105"/>
      <c r="N35" s="73"/>
      <c r="O35" s="74"/>
      <c r="P35" s="73"/>
      <c r="Q35" s="75"/>
      <c r="R35" s="73"/>
      <c r="T35" s="75" t="s">
        <v>913</v>
      </c>
      <c r="U35" s="75" t="s">
        <v>778</v>
      </c>
      <c r="V35" s="75" t="s">
        <v>706</v>
      </c>
      <c r="W35" s="75" t="s">
        <v>914</v>
      </c>
      <c r="X35" s="75">
        <v>50</v>
      </c>
    </row>
    <row r="36" spans="4:24" x14ac:dyDescent="0.35">
      <c r="D36" s="87"/>
      <c r="E36" s="87"/>
      <c r="F36" s="87"/>
      <c r="G36" s="88"/>
      <c r="H36" s="87"/>
      <c r="I36" s="87"/>
      <c r="J36" s="87"/>
      <c r="K36" s="83"/>
      <c r="L36" s="105"/>
      <c r="N36" s="73"/>
      <c r="O36" s="74"/>
      <c r="P36" s="73"/>
      <c r="Q36" s="75"/>
      <c r="R36" s="73"/>
      <c r="T36" s="110"/>
      <c r="U36" s="110"/>
      <c r="V36" s="110"/>
      <c r="W36" s="75"/>
      <c r="X36" s="110"/>
    </row>
    <row r="37" spans="4:24" ht="29" x14ac:dyDescent="0.35">
      <c r="D37" s="87">
        <v>30</v>
      </c>
      <c r="E37" s="87" t="s">
        <v>702</v>
      </c>
      <c r="F37" s="87" t="s">
        <v>763</v>
      </c>
      <c r="G37" s="88" t="s">
        <v>764</v>
      </c>
      <c r="H37" s="87">
        <v>608</v>
      </c>
      <c r="I37" s="87" t="s">
        <v>710</v>
      </c>
      <c r="J37" s="87" t="s">
        <v>726</v>
      </c>
      <c r="K37" s="83"/>
      <c r="L37" s="105"/>
      <c r="N37" s="73" t="s">
        <v>752</v>
      </c>
      <c r="O37" s="74" t="s">
        <v>749</v>
      </c>
      <c r="P37" s="73">
        <v>735</v>
      </c>
      <c r="Q37" s="75" t="s">
        <v>753</v>
      </c>
      <c r="R37" s="73" t="s">
        <v>754</v>
      </c>
      <c r="T37" s="92" t="s">
        <v>918</v>
      </c>
      <c r="U37">
        <v>605</v>
      </c>
      <c r="V37" s="92" t="s">
        <v>706</v>
      </c>
      <c r="W37" s="73" t="s">
        <v>460</v>
      </c>
      <c r="X37" s="92">
        <v>120</v>
      </c>
    </row>
    <row r="38" spans="4:24" x14ac:dyDescent="0.35">
      <c r="D38" s="87">
        <v>31</v>
      </c>
      <c r="E38" s="87" t="s">
        <v>702</v>
      </c>
      <c r="F38" s="87" t="s">
        <v>763</v>
      </c>
      <c r="G38" s="88" t="s">
        <v>885</v>
      </c>
      <c r="H38" s="87">
        <v>611</v>
      </c>
      <c r="I38" s="87" t="s">
        <v>710</v>
      </c>
      <c r="J38" s="87"/>
      <c r="K38" s="83"/>
      <c r="L38" s="105"/>
      <c r="N38" s="73"/>
      <c r="O38" s="74"/>
      <c r="P38" s="73"/>
      <c r="Q38" s="75"/>
      <c r="R38" s="73"/>
      <c r="T38" s="92" t="s">
        <v>919</v>
      </c>
      <c r="U38" s="92" t="s">
        <v>821</v>
      </c>
      <c r="V38" s="92" t="s">
        <v>706</v>
      </c>
      <c r="W38" s="73" t="s">
        <v>460</v>
      </c>
      <c r="X38" s="92">
        <v>1112</v>
      </c>
    </row>
    <row r="39" spans="4:24" x14ac:dyDescent="0.35">
      <c r="D39" s="87"/>
      <c r="E39" s="87"/>
      <c r="F39" s="87"/>
      <c r="G39" s="88"/>
      <c r="H39" s="87"/>
      <c r="I39" s="87"/>
      <c r="J39" s="87"/>
      <c r="K39" s="83"/>
      <c r="L39" s="105"/>
      <c r="N39" s="73"/>
      <c r="O39" s="74"/>
      <c r="P39" s="73"/>
      <c r="Q39" s="75"/>
      <c r="R39" s="73"/>
      <c r="T39" s="92"/>
      <c r="U39" s="92"/>
      <c r="V39" s="92"/>
      <c r="W39" s="73"/>
      <c r="X39" s="92"/>
    </row>
    <row r="40" spans="4:24" x14ac:dyDescent="0.35">
      <c r="D40" s="87">
        <v>32</v>
      </c>
      <c r="E40" s="87" t="s">
        <v>702</v>
      </c>
      <c r="F40" s="87" t="s">
        <v>763</v>
      </c>
      <c r="G40" s="88" t="s">
        <v>766</v>
      </c>
      <c r="H40" s="87">
        <v>611</v>
      </c>
      <c r="I40" s="87" t="s">
        <v>710</v>
      </c>
      <c r="J40" s="87" t="s">
        <v>726</v>
      </c>
      <c r="K40" s="83"/>
      <c r="L40" s="105"/>
      <c r="N40" s="73" t="s">
        <v>755</v>
      </c>
      <c r="O40" s="74">
        <v>621616</v>
      </c>
      <c r="P40" s="73" t="s">
        <v>706</v>
      </c>
      <c r="Q40" s="73" t="s">
        <v>736</v>
      </c>
      <c r="R40" s="73">
        <v>117</v>
      </c>
      <c r="T40" s="92" t="s">
        <v>920</v>
      </c>
      <c r="U40" s="92" t="s">
        <v>823</v>
      </c>
      <c r="V40" s="92" t="s">
        <v>706</v>
      </c>
      <c r="W40" s="73" t="s">
        <v>460</v>
      </c>
      <c r="X40" s="92">
        <v>667</v>
      </c>
    </row>
    <row r="41" spans="4:24" x14ac:dyDescent="0.35">
      <c r="D41" s="87">
        <v>33</v>
      </c>
      <c r="E41" s="87" t="s">
        <v>702</v>
      </c>
      <c r="F41" s="87" t="s">
        <v>763</v>
      </c>
      <c r="G41" s="88" t="s">
        <v>891</v>
      </c>
      <c r="H41" s="87">
        <v>614</v>
      </c>
      <c r="I41" s="87" t="s">
        <v>710</v>
      </c>
      <c r="J41" s="87"/>
      <c r="K41" s="83"/>
      <c r="L41" s="105"/>
      <c r="N41" s="73"/>
      <c r="O41" s="74"/>
      <c r="P41" s="73"/>
      <c r="Q41" s="73"/>
      <c r="R41" s="73"/>
      <c r="T41" s="92" t="s">
        <v>921</v>
      </c>
      <c r="U41" s="92">
        <v>611</v>
      </c>
      <c r="V41" s="92" t="s">
        <v>706</v>
      </c>
      <c r="W41" s="92" t="s">
        <v>922</v>
      </c>
      <c r="X41" s="92" t="s">
        <v>706</v>
      </c>
    </row>
    <row r="42" spans="4:24" x14ac:dyDescent="0.35">
      <c r="D42" s="87"/>
      <c r="E42" s="87"/>
      <c r="F42" s="87"/>
      <c r="G42" s="88"/>
      <c r="H42" s="87"/>
      <c r="I42" s="87"/>
      <c r="J42" s="87"/>
      <c r="K42" s="83"/>
      <c r="L42" s="105"/>
      <c r="N42" s="73"/>
      <c r="O42" s="74"/>
      <c r="P42" s="73"/>
      <c r="Q42" s="73"/>
      <c r="R42" s="73"/>
      <c r="T42" s="92"/>
      <c r="U42" s="92"/>
      <c r="V42" s="92"/>
      <c r="W42" s="92"/>
      <c r="X42" s="92"/>
    </row>
    <row r="43" spans="4:24" x14ac:dyDescent="0.35">
      <c r="D43" s="87">
        <v>34</v>
      </c>
      <c r="E43" s="87" t="s">
        <v>702</v>
      </c>
      <c r="F43" s="87" t="s">
        <v>763</v>
      </c>
      <c r="G43" s="87" t="s">
        <v>770</v>
      </c>
      <c r="H43" s="87">
        <v>614</v>
      </c>
      <c r="I43" s="87" t="s">
        <v>710</v>
      </c>
      <c r="J43" s="87" t="s">
        <v>726</v>
      </c>
      <c r="K43" s="83"/>
      <c r="L43" s="105"/>
      <c r="N43" s="72" t="s">
        <v>756</v>
      </c>
      <c r="O43" s="77" t="s">
        <v>52</v>
      </c>
      <c r="P43" s="73"/>
      <c r="Q43" s="73"/>
      <c r="R43" s="73"/>
      <c r="T43" s="92" t="s">
        <v>923</v>
      </c>
      <c r="U43" t="s">
        <v>771</v>
      </c>
      <c r="V43">
        <v>3</v>
      </c>
      <c r="W43" s="73" t="s">
        <v>460</v>
      </c>
      <c r="X43" s="92">
        <v>907</v>
      </c>
    </row>
    <row r="44" spans="4:24" x14ac:dyDescent="0.35">
      <c r="D44" s="87">
        <v>35</v>
      </c>
      <c r="E44" s="87" t="s">
        <v>702</v>
      </c>
      <c r="F44" s="87" t="s">
        <v>763</v>
      </c>
      <c r="G44" s="87" t="s">
        <v>877</v>
      </c>
      <c r="H44" s="87">
        <v>616</v>
      </c>
      <c r="I44" s="87" t="s">
        <v>710</v>
      </c>
      <c r="J44" s="87"/>
      <c r="K44" s="83"/>
      <c r="L44" s="105"/>
      <c r="N44" s="72"/>
      <c r="O44" s="77"/>
      <c r="P44" s="73"/>
      <c r="Q44" s="73"/>
      <c r="R44" s="73"/>
      <c r="T44" s="92" t="s">
        <v>924</v>
      </c>
      <c r="U44" s="92" t="s">
        <v>749</v>
      </c>
      <c r="V44" s="92" t="s">
        <v>706</v>
      </c>
      <c r="W44" s="73" t="s">
        <v>460</v>
      </c>
      <c r="X44" s="92">
        <v>131</v>
      </c>
    </row>
    <row r="45" spans="4:24" x14ac:dyDescent="0.35">
      <c r="D45" s="87"/>
      <c r="E45" s="87"/>
      <c r="F45" s="87"/>
      <c r="G45" s="87"/>
      <c r="H45" s="87"/>
      <c r="I45" s="87"/>
      <c r="J45" s="87"/>
      <c r="K45" s="83"/>
      <c r="L45" s="105"/>
      <c r="N45" s="72"/>
      <c r="O45" s="77"/>
      <c r="P45" s="73"/>
      <c r="Q45" s="73"/>
      <c r="R45" s="73"/>
      <c r="T45" s="92"/>
      <c r="U45" s="92"/>
      <c r="V45" s="92"/>
      <c r="W45" s="73"/>
      <c r="X45" s="92"/>
    </row>
    <row r="46" spans="4:24" ht="29" x14ac:dyDescent="0.35">
      <c r="D46" s="87">
        <v>36</v>
      </c>
      <c r="E46" s="87" t="s">
        <v>702</v>
      </c>
      <c r="F46" s="87" t="s">
        <v>763</v>
      </c>
      <c r="G46" s="87" t="s">
        <v>765</v>
      </c>
      <c r="H46" s="87">
        <v>616</v>
      </c>
      <c r="I46" s="87" t="s">
        <v>710</v>
      </c>
      <c r="J46" s="87" t="s">
        <v>726</v>
      </c>
      <c r="K46" s="83"/>
      <c r="L46" s="105"/>
      <c r="N46" s="73" t="s">
        <v>757</v>
      </c>
      <c r="O46" s="74" t="s">
        <v>758</v>
      </c>
      <c r="P46" s="75" t="s">
        <v>759</v>
      </c>
      <c r="Q46" s="75" t="s">
        <v>760</v>
      </c>
      <c r="R46" s="73" t="s">
        <v>761</v>
      </c>
      <c r="T46" s="92" t="s">
        <v>925</v>
      </c>
      <c r="U46" s="92" t="s">
        <v>818</v>
      </c>
      <c r="V46" s="92" t="s">
        <v>706</v>
      </c>
      <c r="W46" s="73" t="s">
        <v>460</v>
      </c>
      <c r="X46" s="92">
        <v>1123</v>
      </c>
    </row>
    <row r="47" spans="4:24" x14ac:dyDescent="0.35">
      <c r="D47" s="87">
        <v>37</v>
      </c>
      <c r="E47" s="87" t="s">
        <v>702</v>
      </c>
      <c r="F47" s="87" t="s">
        <v>763</v>
      </c>
      <c r="G47" s="87" t="s">
        <v>892</v>
      </c>
      <c r="H47" s="87">
        <v>615</v>
      </c>
      <c r="I47" s="87" t="s">
        <v>710</v>
      </c>
      <c r="J47" s="87"/>
      <c r="K47" s="83"/>
      <c r="L47" s="105"/>
      <c r="N47" s="73"/>
      <c r="O47" s="74"/>
      <c r="P47" s="75"/>
      <c r="Q47" s="75"/>
      <c r="R47" s="73"/>
      <c r="T47" s="92" t="s">
        <v>926</v>
      </c>
      <c r="U47" s="92" t="s">
        <v>738</v>
      </c>
      <c r="V47" s="92" t="s">
        <v>706</v>
      </c>
      <c r="W47" s="73" t="s">
        <v>460</v>
      </c>
      <c r="X47" s="92">
        <v>907</v>
      </c>
    </row>
    <row r="48" spans="4:24" x14ac:dyDescent="0.35">
      <c r="D48" s="87"/>
      <c r="E48" s="87"/>
      <c r="F48" s="87"/>
      <c r="G48" s="87"/>
      <c r="H48" s="87"/>
      <c r="I48" s="87"/>
      <c r="J48" s="87"/>
      <c r="K48" s="83"/>
      <c r="L48" s="105"/>
      <c r="N48" s="73"/>
      <c r="O48" s="74"/>
      <c r="P48" s="75"/>
      <c r="Q48" s="75"/>
      <c r="R48" s="73"/>
      <c r="T48" s="92"/>
      <c r="U48" s="92"/>
      <c r="V48" s="92"/>
      <c r="W48" s="73"/>
      <c r="X48" s="92"/>
    </row>
    <row r="49" spans="4:24" ht="29" x14ac:dyDescent="0.35">
      <c r="D49" s="87">
        <v>38</v>
      </c>
      <c r="E49" s="87" t="s">
        <v>702</v>
      </c>
      <c r="F49" s="87" t="s">
        <v>763</v>
      </c>
      <c r="G49" s="87" t="s">
        <v>772</v>
      </c>
      <c r="H49" s="87">
        <v>615</v>
      </c>
      <c r="I49" s="87" t="s">
        <v>710</v>
      </c>
      <c r="J49" s="87" t="s">
        <v>726</v>
      </c>
      <c r="K49" s="83"/>
      <c r="L49" s="105"/>
      <c r="N49" s="73" t="s">
        <v>764</v>
      </c>
      <c r="O49" s="73" t="s">
        <v>768</v>
      </c>
      <c r="P49" s="73">
        <v>735</v>
      </c>
      <c r="Q49" s="75" t="s">
        <v>769</v>
      </c>
      <c r="R49" s="73">
        <v>597</v>
      </c>
      <c r="T49" s="92" t="s">
        <v>927</v>
      </c>
      <c r="U49">
        <v>605</v>
      </c>
      <c r="V49" s="92" t="s">
        <v>706</v>
      </c>
      <c r="W49" s="73" t="s">
        <v>460</v>
      </c>
      <c r="X49" s="92">
        <v>907</v>
      </c>
    </row>
    <row r="50" spans="4:24" x14ac:dyDescent="0.35">
      <c r="D50" s="87">
        <v>39</v>
      </c>
      <c r="E50" s="87" t="s">
        <v>702</v>
      </c>
      <c r="F50" s="87" t="s">
        <v>763</v>
      </c>
      <c r="G50" s="87" t="s">
        <v>894</v>
      </c>
      <c r="H50" s="87">
        <v>607</v>
      </c>
      <c r="I50" s="87" t="s">
        <v>710</v>
      </c>
      <c r="J50" s="87"/>
      <c r="K50" s="83"/>
      <c r="L50" s="105"/>
      <c r="N50" s="73"/>
      <c r="O50" s="73"/>
      <c r="P50" s="73"/>
      <c r="Q50" s="75"/>
      <c r="R50" s="73"/>
      <c r="T50" s="92" t="s">
        <v>928</v>
      </c>
      <c r="U50">
        <v>605</v>
      </c>
      <c r="V50">
        <v>3</v>
      </c>
      <c r="W50" s="73" t="s">
        <v>460</v>
      </c>
      <c r="X50" s="92">
        <v>2223</v>
      </c>
    </row>
    <row r="51" spans="4:24" x14ac:dyDescent="0.35">
      <c r="D51" s="87"/>
      <c r="E51" s="87"/>
      <c r="F51" s="87"/>
      <c r="G51" s="87"/>
      <c r="H51" s="87"/>
      <c r="I51" s="87"/>
      <c r="J51" s="87"/>
      <c r="K51" s="83"/>
      <c r="L51" s="105"/>
      <c r="N51" s="73"/>
      <c r="O51" s="73"/>
      <c r="P51" s="73"/>
      <c r="Q51" s="75"/>
      <c r="R51" s="73"/>
      <c r="T51" s="92"/>
      <c r="W51" s="96"/>
      <c r="X51" s="92"/>
    </row>
    <row r="52" spans="4:24" x14ac:dyDescent="0.35">
      <c r="D52" s="87">
        <v>40</v>
      </c>
      <c r="E52" s="87" t="s">
        <v>702</v>
      </c>
      <c r="F52" s="87" t="s">
        <v>763</v>
      </c>
      <c r="G52" s="87" t="s">
        <v>774</v>
      </c>
      <c r="H52" s="87">
        <v>607</v>
      </c>
      <c r="I52" s="87" t="s">
        <v>710</v>
      </c>
      <c r="J52" s="87" t="s">
        <v>726</v>
      </c>
      <c r="K52" s="83"/>
      <c r="L52" s="105"/>
      <c r="N52" s="73" t="s">
        <v>766</v>
      </c>
      <c r="O52" s="73" t="s">
        <v>767</v>
      </c>
      <c r="P52" s="73" t="s">
        <v>706</v>
      </c>
      <c r="Q52" s="73" t="s">
        <v>736</v>
      </c>
      <c r="R52" s="73" t="s">
        <v>706</v>
      </c>
      <c r="T52" s="92" t="s">
        <v>929</v>
      </c>
      <c r="U52">
        <v>616</v>
      </c>
      <c r="V52" s="92" t="s">
        <v>706</v>
      </c>
      <c r="W52" s="96" t="s">
        <v>736</v>
      </c>
      <c r="X52" s="92" t="s">
        <v>706</v>
      </c>
    </row>
    <row r="53" spans="4:24" x14ac:dyDescent="0.35">
      <c r="D53" s="87">
        <v>41</v>
      </c>
      <c r="E53" s="87" t="s">
        <v>702</v>
      </c>
      <c r="F53" s="87" t="s">
        <v>763</v>
      </c>
      <c r="G53" s="87" t="s">
        <v>896</v>
      </c>
      <c r="H53" s="87">
        <v>626</v>
      </c>
      <c r="I53" s="87" t="s">
        <v>710</v>
      </c>
      <c r="J53" s="87"/>
      <c r="K53" s="83"/>
      <c r="L53" s="105"/>
      <c r="N53" s="73"/>
      <c r="O53" s="73"/>
      <c r="P53" s="73"/>
      <c r="Q53" s="73"/>
      <c r="R53" s="73"/>
      <c r="T53" s="92" t="s">
        <v>930</v>
      </c>
      <c r="U53" t="s">
        <v>823</v>
      </c>
      <c r="V53" s="92" t="s">
        <v>706</v>
      </c>
      <c r="W53" s="73" t="s">
        <v>460</v>
      </c>
      <c r="X53" s="92">
        <v>131</v>
      </c>
    </row>
    <row r="54" spans="4:24" x14ac:dyDescent="0.35">
      <c r="D54" s="87"/>
      <c r="E54" s="87"/>
      <c r="F54" s="87"/>
      <c r="G54" s="87"/>
      <c r="H54" s="87"/>
      <c r="I54" s="87"/>
      <c r="J54" s="87"/>
      <c r="K54" s="83"/>
      <c r="L54" s="105"/>
      <c r="N54" s="73"/>
      <c r="O54" s="73"/>
      <c r="P54" s="73"/>
      <c r="Q54" s="73"/>
      <c r="R54" s="73"/>
      <c r="T54" s="92"/>
      <c r="V54" s="92"/>
      <c r="W54" s="73"/>
      <c r="X54" s="92"/>
    </row>
    <row r="55" spans="4:24" x14ac:dyDescent="0.35">
      <c r="D55" s="87">
        <v>42</v>
      </c>
      <c r="E55" s="87" t="s">
        <v>702</v>
      </c>
      <c r="F55" s="87" t="s">
        <v>763</v>
      </c>
      <c r="G55" s="87" t="s">
        <v>777</v>
      </c>
      <c r="H55" s="87">
        <v>626</v>
      </c>
      <c r="I55" s="87" t="s">
        <v>710</v>
      </c>
      <c r="J55" s="87" t="s">
        <v>726</v>
      </c>
      <c r="K55" s="83"/>
      <c r="L55" s="105"/>
      <c r="N55" s="73" t="s">
        <v>770</v>
      </c>
      <c r="O55" s="73" t="s">
        <v>771</v>
      </c>
      <c r="P55" s="73" t="s">
        <v>706</v>
      </c>
      <c r="Q55" s="75" t="s">
        <v>460</v>
      </c>
      <c r="R55" s="73">
        <v>775</v>
      </c>
      <c r="T55" s="92" t="s">
        <v>931</v>
      </c>
      <c r="U55" t="s">
        <v>111</v>
      </c>
      <c r="V55" s="92" t="s">
        <v>706</v>
      </c>
      <c r="W55" s="73" t="s">
        <v>460</v>
      </c>
      <c r="X55" s="92">
        <v>131</v>
      </c>
    </row>
    <row r="56" spans="4:24" ht="43.5" x14ac:dyDescent="0.35">
      <c r="D56" s="79">
        <v>43</v>
      </c>
      <c r="E56" s="79" t="s">
        <v>702</v>
      </c>
      <c r="F56" s="79" t="s">
        <v>781</v>
      </c>
      <c r="G56" s="79" t="s">
        <v>873</v>
      </c>
      <c r="H56" s="79">
        <v>612</v>
      </c>
      <c r="I56" s="79" t="s">
        <v>748</v>
      </c>
      <c r="J56" s="79"/>
      <c r="K56" s="83"/>
      <c r="L56" s="105"/>
      <c r="N56" s="73"/>
      <c r="O56" s="73"/>
      <c r="P56" s="73"/>
      <c r="Q56" s="75"/>
      <c r="R56" s="73"/>
      <c r="T56" s="92" t="s">
        <v>932</v>
      </c>
      <c r="U56" t="s">
        <v>933</v>
      </c>
      <c r="V56" s="92" t="s">
        <v>706</v>
      </c>
      <c r="W56" s="56" t="s">
        <v>934</v>
      </c>
      <c r="X56" s="92">
        <v>907</v>
      </c>
    </row>
    <row r="57" spans="4:24" x14ac:dyDescent="0.35">
      <c r="D57" s="79"/>
      <c r="E57" s="79"/>
      <c r="F57" s="79"/>
      <c r="G57" s="79"/>
      <c r="H57" s="79"/>
      <c r="I57" s="79"/>
      <c r="J57" s="79"/>
      <c r="K57" s="83"/>
      <c r="L57" s="105"/>
      <c r="N57" s="73"/>
      <c r="O57" s="73"/>
      <c r="P57" s="73"/>
      <c r="Q57" s="75"/>
      <c r="R57" s="73"/>
      <c r="T57" s="92"/>
      <c r="V57" s="92"/>
      <c r="W57" s="56"/>
      <c r="X57" s="92"/>
    </row>
    <row r="58" spans="4:24" x14ac:dyDescent="0.35">
      <c r="D58" s="79">
        <v>44</v>
      </c>
      <c r="E58" s="79" t="s">
        <v>702</v>
      </c>
      <c r="F58" s="79" t="s">
        <v>781</v>
      </c>
      <c r="G58" s="79" t="s">
        <v>780</v>
      </c>
      <c r="H58" s="79">
        <v>612</v>
      </c>
      <c r="I58" s="79" t="s">
        <v>748</v>
      </c>
      <c r="J58" s="79" t="s">
        <v>726</v>
      </c>
      <c r="K58" s="83"/>
      <c r="L58" s="105"/>
      <c r="N58" s="73" t="s">
        <v>772</v>
      </c>
      <c r="O58" s="74">
        <v>614615</v>
      </c>
      <c r="P58" s="73" t="s">
        <v>706</v>
      </c>
      <c r="Q58" s="73" t="s">
        <v>773</v>
      </c>
      <c r="R58" s="73">
        <v>876</v>
      </c>
      <c r="T58" s="92" t="s">
        <v>939</v>
      </c>
      <c r="U58" t="s">
        <v>940</v>
      </c>
      <c r="V58" s="92" t="s">
        <v>706</v>
      </c>
      <c r="W58" s="92" t="s">
        <v>736</v>
      </c>
      <c r="X58" s="92" t="s">
        <v>706</v>
      </c>
    </row>
    <row r="59" spans="4:24" x14ac:dyDescent="0.35">
      <c r="D59" s="79">
        <v>45</v>
      </c>
      <c r="E59" s="79" t="s">
        <v>702</v>
      </c>
      <c r="F59" s="79" t="s">
        <v>781</v>
      </c>
      <c r="G59" s="79" t="s">
        <v>897</v>
      </c>
      <c r="H59" s="79">
        <v>621</v>
      </c>
      <c r="I59" s="79" t="s">
        <v>748</v>
      </c>
      <c r="J59" s="79"/>
      <c r="K59" s="83"/>
      <c r="L59" s="105"/>
      <c r="N59" s="73"/>
      <c r="O59" s="74"/>
      <c r="P59" s="73"/>
      <c r="Q59" s="73"/>
      <c r="R59" s="73"/>
      <c r="T59" s="78" t="s">
        <v>941</v>
      </c>
      <c r="U59" t="s">
        <v>942</v>
      </c>
      <c r="V59" s="92" t="s">
        <v>706</v>
      </c>
      <c r="W59" s="73" t="s">
        <v>460</v>
      </c>
      <c r="X59" s="92">
        <v>632</v>
      </c>
    </row>
    <row r="60" spans="4:24" x14ac:dyDescent="0.35">
      <c r="D60" s="79"/>
      <c r="E60" s="79"/>
      <c r="F60" s="79"/>
      <c r="G60" s="79"/>
      <c r="H60" s="79"/>
      <c r="I60" s="79"/>
      <c r="J60" s="79"/>
      <c r="K60" s="83"/>
      <c r="L60" s="105"/>
      <c r="N60" s="73"/>
      <c r="O60" s="74"/>
      <c r="P60" s="73"/>
      <c r="Q60" s="73"/>
      <c r="R60" s="73"/>
      <c r="T60" s="78"/>
      <c r="V60" s="92"/>
      <c r="W60" s="73"/>
      <c r="X60" s="92"/>
    </row>
    <row r="61" spans="4:24" x14ac:dyDescent="0.35">
      <c r="D61" s="79">
        <v>46</v>
      </c>
      <c r="E61" s="79" t="s">
        <v>702</v>
      </c>
      <c r="F61" s="79" t="s">
        <v>781</v>
      </c>
      <c r="G61" s="79" t="s">
        <v>782</v>
      </c>
      <c r="H61" s="79">
        <v>621</v>
      </c>
      <c r="I61" s="79" t="s">
        <v>748</v>
      </c>
      <c r="J61" s="79" t="s">
        <v>726</v>
      </c>
      <c r="K61" s="83"/>
      <c r="L61" s="105"/>
      <c r="N61" s="73" t="s">
        <v>774</v>
      </c>
      <c r="O61" s="73" t="s">
        <v>775</v>
      </c>
      <c r="P61" s="73" t="s">
        <v>706</v>
      </c>
      <c r="Q61" s="73" t="s">
        <v>776</v>
      </c>
      <c r="R61" s="73" t="s">
        <v>706</v>
      </c>
      <c r="T61" s="78" t="s">
        <v>943</v>
      </c>
      <c r="U61" t="s">
        <v>749</v>
      </c>
      <c r="V61" s="92" t="s">
        <v>706</v>
      </c>
      <c r="W61" s="73" t="s">
        <v>460</v>
      </c>
      <c r="X61" t="s">
        <v>946</v>
      </c>
    </row>
    <row r="62" spans="4:24" x14ac:dyDescent="0.35">
      <c r="D62" s="79">
        <v>47</v>
      </c>
      <c r="E62" s="79" t="s">
        <v>702</v>
      </c>
      <c r="F62" s="79" t="s">
        <v>781</v>
      </c>
      <c r="G62" s="89" t="s">
        <v>901</v>
      </c>
      <c r="H62" s="79">
        <v>626</v>
      </c>
      <c r="I62" s="79" t="s">
        <v>748</v>
      </c>
      <c r="J62" s="79"/>
      <c r="K62" s="83"/>
      <c r="L62" s="105"/>
      <c r="N62" s="73"/>
      <c r="O62" s="73"/>
      <c r="P62" s="73"/>
      <c r="Q62" s="73"/>
      <c r="R62" s="73"/>
      <c r="T62" s="92" t="s">
        <v>944</v>
      </c>
      <c r="U62" t="s">
        <v>738</v>
      </c>
      <c r="V62" s="92" t="s">
        <v>706</v>
      </c>
      <c r="W62" s="73" t="s">
        <v>460</v>
      </c>
      <c r="X62" s="92" t="s">
        <v>945</v>
      </c>
    </row>
    <row r="63" spans="4:24" x14ac:dyDescent="0.35">
      <c r="D63" s="79"/>
      <c r="E63" s="79"/>
      <c r="F63" s="79"/>
      <c r="G63" s="89"/>
      <c r="H63" s="79"/>
      <c r="I63" s="79"/>
      <c r="J63" s="79"/>
      <c r="K63" s="83"/>
      <c r="L63" s="105"/>
      <c r="N63" s="73"/>
      <c r="O63" s="73"/>
      <c r="P63" s="73"/>
      <c r="Q63" s="73"/>
      <c r="R63" s="73"/>
      <c r="T63" s="92"/>
      <c r="V63" s="92"/>
      <c r="W63" s="92"/>
      <c r="X63" s="92"/>
    </row>
    <row r="64" spans="4:24" x14ac:dyDescent="0.35">
      <c r="D64" s="79">
        <v>48</v>
      </c>
      <c r="E64" s="79" t="s">
        <v>702</v>
      </c>
      <c r="F64" s="79" t="s">
        <v>781</v>
      </c>
      <c r="G64" s="79" t="s">
        <v>786</v>
      </c>
      <c r="H64" s="79">
        <v>626</v>
      </c>
      <c r="I64" s="79" t="s">
        <v>748</v>
      </c>
      <c r="J64" s="79" t="s">
        <v>726</v>
      </c>
      <c r="K64" s="83"/>
      <c r="L64" s="105"/>
      <c r="N64" s="73" t="s">
        <v>777</v>
      </c>
      <c r="O64" s="73" t="s">
        <v>778</v>
      </c>
      <c r="P64" s="73" t="s">
        <v>706</v>
      </c>
      <c r="Q64" s="73" t="s">
        <v>779</v>
      </c>
      <c r="R64" s="73" t="s">
        <v>706</v>
      </c>
      <c r="T64" s="92" t="s">
        <v>947</v>
      </c>
      <c r="U64" t="s">
        <v>749</v>
      </c>
      <c r="V64" s="92" t="s">
        <v>706</v>
      </c>
      <c r="W64" s="92" t="s">
        <v>948</v>
      </c>
      <c r="X64" s="92" t="s">
        <v>949</v>
      </c>
    </row>
    <row r="65" spans="4:24" x14ac:dyDescent="0.35">
      <c r="D65" s="90">
        <v>49</v>
      </c>
      <c r="E65" s="90" t="s">
        <v>702</v>
      </c>
      <c r="F65" s="90" t="s">
        <v>793</v>
      </c>
      <c r="G65" s="90" t="s">
        <v>792</v>
      </c>
      <c r="H65" s="90">
        <v>605</v>
      </c>
      <c r="I65" s="90" t="s">
        <v>748</v>
      </c>
      <c r="J65" s="90" t="s">
        <v>726</v>
      </c>
      <c r="K65" s="83"/>
      <c r="L65" s="105"/>
      <c r="N65" s="73" t="s">
        <v>780</v>
      </c>
      <c r="O65" s="73" t="s">
        <v>711</v>
      </c>
      <c r="P65" s="73">
        <v>3</v>
      </c>
      <c r="Q65" s="73" t="s">
        <v>460</v>
      </c>
      <c r="R65" s="73" t="s">
        <v>785</v>
      </c>
      <c r="T65" s="92" t="s">
        <v>950</v>
      </c>
      <c r="U65" t="s">
        <v>711</v>
      </c>
      <c r="V65" s="92" t="s">
        <v>706</v>
      </c>
      <c r="W65">
        <v>300155</v>
      </c>
      <c r="X65" s="92" t="s">
        <v>951</v>
      </c>
    </row>
    <row r="66" spans="4:24" x14ac:dyDescent="0.35">
      <c r="D66" s="90"/>
      <c r="E66" s="90"/>
      <c r="F66" s="90"/>
      <c r="G66" s="90"/>
      <c r="H66" s="90"/>
      <c r="I66" s="90"/>
      <c r="J66" s="90"/>
      <c r="K66" s="83"/>
      <c r="L66" s="105"/>
      <c r="N66" s="73"/>
      <c r="O66" s="73"/>
      <c r="P66" s="73"/>
      <c r="Q66" s="73"/>
      <c r="R66" s="73"/>
      <c r="T66" s="92"/>
      <c r="V66" s="92"/>
      <c r="X66" s="92"/>
    </row>
    <row r="67" spans="4:24" x14ac:dyDescent="0.35">
      <c r="D67" s="90">
        <v>50</v>
      </c>
      <c r="E67" s="90" t="s">
        <v>702</v>
      </c>
      <c r="F67" s="90" t="s">
        <v>793</v>
      </c>
      <c r="G67" s="90" t="s">
        <v>903</v>
      </c>
      <c r="H67" s="90">
        <v>605</v>
      </c>
      <c r="I67" s="90" t="s">
        <v>748</v>
      </c>
      <c r="J67" s="90"/>
      <c r="K67" s="83"/>
      <c r="L67" s="105"/>
      <c r="N67" s="73"/>
      <c r="O67" s="73"/>
      <c r="P67" s="73"/>
      <c r="Q67" s="73"/>
      <c r="R67" s="73"/>
      <c r="T67" s="92" t="s">
        <v>952</v>
      </c>
      <c r="U67" t="s">
        <v>953</v>
      </c>
      <c r="V67" s="92" t="s">
        <v>706</v>
      </c>
      <c r="W67" s="73" t="s">
        <v>460</v>
      </c>
      <c r="X67" s="92" t="s">
        <v>954</v>
      </c>
    </row>
    <row r="68" spans="4:24" x14ac:dyDescent="0.35">
      <c r="D68" s="90">
        <v>51</v>
      </c>
      <c r="E68" s="90" t="s">
        <v>702</v>
      </c>
      <c r="F68" s="90" t="s">
        <v>793</v>
      </c>
      <c r="G68" s="90" t="s">
        <v>906</v>
      </c>
      <c r="H68" s="90">
        <v>606</v>
      </c>
      <c r="I68" s="90" t="s">
        <v>748</v>
      </c>
      <c r="J68" s="90"/>
      <c r="K68" s="83"/>
      <c r="L68" s="105"/>
      <c r="N68" s="73"/>
      <c r="O68" s="73"/>
      <c r="P68" s="73"/>
      <c r="Q68" s="73"/>
      <c r="R68" s="73"/>
    </row>
    <row r="69" spans="4:24" x14ac:dyDescent="0.35">
      <c r="D69" s="90"/>
      <c r="E69" s="90"/>
      <c r="F69" s="90"/>
      <c r="G69" s="90"/>
      <c r="H69" s="90"/>
      <c r="I69" s="90"/>
      <c r="J69" s="90"/>
      <c r="K69" s="83"/>
      <c r="L69" s="105"/>
      <c r="N69" s="73"/>
      <c r="O69" s="73"/>
      <c r="P69" s="73"/>
      <c r="Q69" s="73"/>
      <c r="R69" s="73"/>
    </row>
    <row r="70" spans="4:24" x14ac:dyDescent="0.35">
      <c r="D70" s="90">
        <v>52</v>
      </c>
      <c r="E70" s="90" t="s">
        <v>702</v>
      </c>
      <c r="F70" s="90" t="s">
        <v>793</v>
      </c>
      <c r="G70" s="90" t="s">
        <v>797</v>
      </c>
      <c r="H70" s="90">
        <v>606</v>
      </c>
      <c r="I70" s="90" t="s">
        <v>748</v>
      </c>
      <c r="J70" s="90" t="s">
        <v>726</v>
      </c>
      <c r="K70" s="83"/>
      <c r="L70" s="105"/>
      <c r="N70" s="73" t="s">
        <v>782</v>
      </c>
      <c r="O70" s="73" t="s">
        <v>783</v>
      </c>
      <c r="P70" s="73" t="s">
        <v>706</v>
      </c>
      <c r="Q70" s="73">
        <v>300155</v>
      </c>
      <c r="R70" s="73" t="s">
        <v>784</v>
      </c>
    </row>
    <row r="71" spans="4:24" x14ac:dyDescent="0.35">
      <c r="D71" s="90">
        <v>53</v>
      </c>
      <c r="E71" s="90" t="s">
        <v>702</v>
      </c>
      <c r="F71" s="90" t="s">
        <v>793</v>
      </c>
      <c r="G71" s="90" t="s">
        <v>907</v>
      </c>
      <c r="H71" s="90">
        <v>608</v>
      </c>
      <c r="I71" s="90" t="s">
        <v>748</v>
      </c>
      <c r="J71" s="90"/>
      <c r="K71" s="83"/>
      <c r="L71" s="105"/>
      <c r="N71" s="73"/>
      <c r="O71" s="73"/>
      <c r="P71" s="73"/>
      <c r="Q71" s="73"/>
      <c r="R71" s="73"/>
    </row>
    <row r="72" spans="4:24" x14ac:dyDescent="0.35">
      <c r="D72" s="90"/>
      <c r="E72" s="90"/>
      <c r="F72" s="90"/>
      <c r="G72" s="90"/>
      <c r="H72" s="90"/>
      <c r="I72" s="90"/>
      <c r="J72" s="90"/>
      <c r="K72" s="83"/>
      <c r="L72" s="105"/>
      <c r="N72" s="73"/>
      <c r="O72" s="73"/>
      <c r="P72" s="73"/>
      <c r="Q72" s="73"/>
      <c r="R72" s="73"/>
    </row>
    <row r="73" spans="4:24" x14ac:dyDescent="0.35">
      <c r="D73" s="90">
        <v>54</v>
      </c>
      <c r="E73" s="90" t="s">
        <v>702</v>
      </c>
      <c r="F73" s="90" t="s">
        <v>793</v>
      </c>
      <c r="G73" s="90" t="s">
        <v>808</v>
      </c>
      <c r="H73" s="90">
        <v>608</v>
      </c>
      <c r="I73" s="90" t="s">
        <v>748</v>
      </c>
      <c r="J73" s="90" t="s">
        <v>726</v>
      </c>
      <c r="K73" s="83"/>
      <c r="L73" s="105"/>
      <c r="N73" s="73" t="s">
        <v>786</v>
      </c>
      <c r="O73" s="73" t="s">
        <v>787</v>
      </c>
      <c r="P73" s="73">
        <v>3</v>
      </c>
      <c r="Q73" s="73" t="s">
        <v>788</v>
      </c>
      <c r="R73" s="73" t="s">
        <v>789</v>
      </c>
    </row>
    <row r="74" spans="4:24" x14ac:dyDescent="0.35">
      <c r="D74" s="90">
        <v>55</v>
      </c>
      <c r="E74" s="90" t="s">
        <v>702</v>
      </c>
      <c r="F74" s="90" t="s">
        <v>793</v>
      </c>
      <c r="G74" s="90" t="s">
        <v>908</v>
      </c>
      <c r="H74" s="90">
        <v>611</v>
      </c>
      <c r="I74" s="90" t="s">
        <v>748</v>
      </c>
      <c r="J74" s="90"/>
      <c r="K74" s="83"/>
      <c r="L74" s="105"/>
      <c r="N74" s="73"/>
      <c r="O74" s="73"/>
      <c r="P74" s="73"/>
      <c r="Q74" s="73"/>
      <c r="R74" s="73"/>
    </row>
    <row r="75" spans="4:24" x14ac:dyDescent="0.35">
      <c r="D75" s="90"/>
      <c r="E75" s="90"/>
      <c r="F75" s="90"/>
      <c r="G75" s="90"/>
      <c r="H75" s="90"/>
      <c r="I75" s="90"/>
      <c r="J75" s="90"/>
      <c r="K75" s="83"/>
      <c r="L75" s="105"/>
      <c r="N75" s="73"/>
      <c r="O75" s="73"/>
      <c r="P75" s="73"/>
      <c r="Q75" s="73"/>
      <c r="R75" s="73"/>
    </row>
    <row r="76" spans="4:24" x14ac:dyDescent="0.35">
      <c r="D76" s="90">
        <v>56</v>
      </c>
      <c r="E76" s="90" t="s">
        <v>702</v>
      </c>
      <c r="F76" s="90" t="s">
        <v>793</v>
      </c>
      <c r="G76" s="90" t="s">
        <v>811</v>
      </c>
      <c r="H76" s="90">
        <v>611</v>
      </c>
      <c r="I76" s="90" t="s">
        <v>748</v>
      </c>
      <c r="J76" s="90" t="s">
        <v>726</v>
      </c>
      <c r="K76" s="83">
        <v>88</v>
      </c>
      <c r="L76" s="105"/>
      <c r="N76" s="73" t="s">
        <v>790</v>
      </c>
      <c r="O76" s="73">
        <v>616</v>
      </c>
      <c r="P76" s="73" t="s">
        <v>706</v>
      </c>
      <c r="Q76" s="73" t="s">
        <v>791</v>
      </c>
      <c r="R76" s="73" t="s">
        <v>706</v>
      </c>
    </row>
    <row r="77" spans="4:24" x14ac:dyDescent="0.35">
      <c r="D77" s="90">
        <v>57</v>
      </c>
      <c r="E77" s="90" t="s">
        <v>702</v>
      </c>
      <c r="F77" s="90" t="s">
        <v>793</v>
      </c>
      <c r="G77" s="90" t="s">
        <v>879</v>
      </c>
      <c r="H77" s="90">
        <v>612</v>
      </c>
      <c r="I77" s="90" t="s">
        <v>748</v>
      </c>
      <c r="J77" s="90"/>
      <c r="K77" s="83"/>
      <c r="L77" s="105"/>
      <c r="N77" s="73"/>
      <c r="O77" s="73"/>
      <c r="P77" s="73"/>
      <c r="Q77" s="73"/>
      <c r="R77" s="73"/>
    </row>
    <row r="78" spans="4:24" x14ac:dyDescent="0.35">
      <c r="D78" s="90"/>
      <c r="E78" s="90"/>
      <c r="F78" s="90"/>
      <c r="G78" s="90"/>
      <c r="H78" s="90"/>
      <c r="I78" s="90"/>
      <c r="J78" s="90"/>
      <c r="K78" s="83"/>
      <c r="L78" s="105"/>
      <c r="N78" s="73"/>
      <c r="O78" s="73"/>
      <c r="P78" s="73"/>
      <c r="Q78" s="73"/>
      <c r="R78" s="73"/>
    </row>
    <row r="79" spans="4:24" x14ac:dyDescent="0.35">
      <c r="D79" s="90">
        <v>58</v>
      </c>
      <c r="E79" s="90" t="s">
        <v>702</v>
      </c>
      <c r="F79" s="90" t="s">
        <v>793</v>
      </c>
      <c r="G79" s="90" t="s">
        <v>807</v>
      </c>
      <c r="H79" s="90">
        <v>612</v>
      </c>
      <c r="I79" s="90" t="s">
        <v>748</v>
      </c>
      <c r="J79" s="90" t="s">
        <v>726</v>
      </c>
      <c r="K79" s="83"/>
      <c r="L79" s="105"/>
      <c r="N79" s="73" t="s">
        <v>792</v>
      </c>
      <c r="O79" s="73">
        <v>605</v>
      </c>
      <c r="P79" s="73" t="s">
        <v>706</v>
      </c>
      <c r="Q79" s="73" t="s">
        <v>460</v>
      </c>
      <c r="R79" s="73">
        <v>434</v>
      </c>
    </row>
    <row r="80" spans="4:24" x14ac:dyDescent="0.35">
      <c r="D80" s="90">
        <v>59</v>
      </c>
      <c r="E80" s="90" t="s">
        <v>702</v>
      </c>
      <c r="F80" s="90" t="s">
        <v>793</v>
      </c>
      <c r="G80" s="90" t="s">
        <v>909</v>
      </c>
      <c r="H80" s="90">
        <v>614</v>
      </c>
      <c r="I80" s="90" t="s">
        <v>748</v>
      </c>
      <c r="J80" s="90"/>
      <c r="K80" s="83"/>
      <c r="L80" s="105"/>
      <c r="N80" s="73"/>
      <c r="O80" s="73"/>
      <c r="P80" s="73"/>
      <c r="Q80" s="73"/>
      <c r="R80" s="73"/>
    </row>
    <row r="81" spans="4:18" x14ac:dyDescent="0.35">
      <c r="D81" s="90"/>
      <c r="E81" s="90"/>
      <c r="F81" s="90"/>
      <c r="G81" s="90"/>
      <c r="H81" s="90"/>
      <c r="I81" s="90"/>
      <c r="J81" s="90"/>
      <c r="K81" s="83"/>
      <c r="L81" s="105"/>
      <c r="N81" s="73"/>
      <c r="O81" s="73"/>
      <c r="P81" s="73"/>
      <c r="Q81" s="73"/>
      <c r="R81" s="73"/>
    </row>
    <row r="82" spans="4:18" x14ac:dyDescent="0.35">
      <c r="D82" s="90">
        <v>60</v>
      </c>
      <c r="E82" s="90" t="s">
        <v>702</v>
      </c>
      <c r="F82" s="90" t="s">
        <v>793</v>
      </c>
      <c r="G82" s="90" t="s">
        <v>812</v>
      </c>
      <c r="H82" s="90">
        <v>614</v>
      </c>
      <c r="I82" s="90" t="s">
        <v>748</v>
      </c>
      <c r="J82" s="90" t="s">
        <v>726</v>
      </c>
      <c r="K82" s="83"/>
      <c r="L82" s="105"/>
      <c r="N82" s="73" t="s">
        <v>794</v>
      </c>
      <c r="O82" s="73">
        <v>605</v>
      </c>
      <c r="P82" s="73" t="s">
        <v>706</v>
      </c>
      <c r="Q82" s="73" t="s">
        <v>460</v>
      </c>
      <c r="R82" s="73">
        <v>1123</v>
      </c>
    </row>
    <row r="83" spans="4:18" x14ac:dyDescent="0.35">
      <c r="D83" s="90">
        <v>61</v>
      </c>
      <c r="E83" s="90" t="s">
        <v>702</v>
      </c>
      <c r="F83" s="90" t="s">
        <v>793</v>
      </c>
      <c r="G83" s="90" t="s">
        <v>910</v>
      </c>
      <c r="H83" s="90">
        <v>615</v>
      </c>
      <c r="I83" s="90" t="s">
        <v>748</v>
      </c>
      <c r="J83" s="90"/>
      <c r="K83" s="83"/>
      <c r="L83" s="105"/>
      <c r="N83" s="73"/>
      <c r="O83" s="73"/>
      <c r="P83" s="73"/>
      <c r="Q83" s="73"/>
      <c r="R83" s="73"/>
    </row>
    <row r="84" spans="4:18" x14ac:dyDescent="0.35">
      <c r="D84" s="90"/>
      <c r="E84" s="90"/>
      <c r="F84" s="90"/>
      <c r="G84" s="90"/>
      <c r="H84" s="90"/>
      <c r="I84" s="90"/>
      <c r="J84" s="90"/>
      <c r="K84" s="83"/>
      <c r="L84" s="105"/>
      <c r="N84" s="73"/>
      <c r="O84" s="73"/>
      <c r="P84" s="73"/>
      <c r="Q84" s="73"/>
      <c r="R84" s="73"/>
    </row>
    <row r="85" spans="4:18" x14ac:dyDescent="0.35">
      <c r="D85" s="90">
        <v>62</v>
      </c>
      <c r="E85" s="90" t="s">
        <v>702</v>
      </c>
      <c r="F85" s="90" t="s">
        <v>793</v>
      </c>
      <c r="G85" s="90" t="s">
        <v>817</v>
      </c>
      <c r="H85" s="90">
        <v>615</v>
      </c>
      <c r="I85" s="90" t="s">
        <v>748</v>
      </c>
      <c r="J85" s="90" t="s">
        <v>726</v>
      </c>
      <c r="K85" s="83"/>
      <c r="L85" s="105"/>
      <c r="N85" s="73" t="s">
        <v>797</v>
      </c>
      <c r="O85" s="73">
        <v>606</v>
      </c>
      <c r="P85" s="73" t="s">
        <v>795</v>
      </c>
      <c r="Q85" s="73" t="s">
        <v>796</v>
      </c>
      <c r="R85" s="73">
        <v>803</v>
      </c>
    </row>
    <row r="86" spans="4:18" x14ac:dyDescent="0.35">
      <c r="D86" s="90">
        <v>63</v>
      </c>
      <c r="E86" s="90" t="s">
        <v>702</v>
      </c>
      <c r="F86" s="90" t="s">
        <v>793</v>
      </c>
      <c r="G86" s="91" t="s">
        <v>911</v>
      </c>
      <c r="H86" s="90">
        <v>616</v>
      </c>
      <c r="I86" s="90" t="s">
        <v>748</v>
      </c>
      <c r="J86" s="90"/>
      <c r="K86" s="83"/>
      <c r="L86" s="105"/>
      <c r="N86" s="73"/>
      <c r="O86" s="73"/>
      <c r="P86" s="73"/>
      <c r="Q86" s="73"/>
      <c r="R86" s="73"/>
    </row>
    <row r="87" spans="4:18" x14ac:dyDescent="0.35">
      <c r="D87" s="90"/>
      <c r="E87" s="90"/>
      <c r="F87" s="90"/>
      <c r="G87" s="91"/>
      <c r="H87" s="90"/>
      <c r="I87" s="90"/>
      <c r="J87" s="90"/>
      <c r="K87" s="83"/>
      <c r="L87" s="105"/>
      <c r="N87" s="73"/>
      <c r="O87" s="73"/>
      <c r="P87" s="73"/>
      <c r="Q87" s="73"/>
      <c r="R87" s="73"/>
    </row>
    <row r="88" spans="4:18" x14ac:dyDescent="0.35">
      <c r="D88" s="90">
        <v>64</v>
      </c>
      <c r="E88" s="90" t="s">
        <v>702</v>
      </c>
      <c r="F88" s="90" t="s">
        <v>793</v>
      </c>
      <c r="G88" s="91" t="s">
        <v>790</v>
      </c>
      <c r="H88" s="90">
        <v>616</v>
      </c>
      <c r="I88" s="90" t="s">
        <v>748</v>
      </c>
      <c r="J88" s="90" t="s">
        <v>726</v>
      </c>
      <c r="K88" s="83"/>
      <c r="L88" s="105"/>
      <c r="N88" s="73" t="s">
        <v>799</v>
      </c>
      <c r="O88" s="73">
        <v>616</v>
      </c>
      <c r="P88" s="73" t="s">
        <v>706</v>
      </c>
      <c r="Q88" s="73" t="s">
        <v>798</v>
      </c>
      <c r="R88" s="73">
        <v>50</v>
      </c>
    </row>
    <row r="89" spans="4:18" x14ac:dyDescent="0.35">
      <c r="D89" s="90">
        <v>65</v>
      </c>
      <c r="E89" s="90" t="s">
        <v>702</v>
      </c>
      <c r="F89" s="90" t="s">
        <v>793</v>
      </c>
      <c r="G89" s="91" t="s">
        <v>904</v>
      </c>
      <c r="H89" s="90">
        <v>621</v>
      </c>
      <c r="I89" s="90" t="s">
        <v>748</v>
      </c>
      <c r="J89" s="90"/>
      <c r="K89" s="83"/>
      <c r="L89" s="105"/>
      <c r="N89" s="73"/>
      <c r="O89" s="73"/>
      <c r="P89" s="73"/>
      <c r="Q89" s="73"/>
      <c r="R89" s="73"/>
    </row>
    <row r="90" spans="4:18" x14ac:dyDescent="0.35">
      <c r="D90" s="90"/>
      <c r="E90" s="90"/>
      <c r="F90" s="90"/>
      <c r="G90" s="91"/>
      <c r="H90" s="90"/>
      <c r="I90" s="90"/>
      <c r="J90" s="90"/>
      <c r="K90" s="83"/>
      <c r="L90" s="105"/>
      <c r="N90" s="73"/>
      <c r="O90" s="73"/>
      <c r="P90" s="73"/>
      <c r="Q90" s="73"/>
      <c r="R90" s="73"/>
    </row>
    <row r="91" spans="4:18" ht="29" x14ac:dyDescent="0.35">
      <c r="D91" s="90">
        <v>66</v>
      </c>
      <c r="E91" s="90" t="s">
        <v>702</v>
      </c>
      <c r="F91" s="90" t="s">
        <v>793</v>
      </c>
      <c r="G91" s="90" t="s">
        <v>800</v>
      </c>
      <c r="H91" s="90">
        <v>621</v>
      </c>
      <c r="I91" s="90" t="s">
        <v>748</v>
      </c>
      <c r="J91" s="90" t="s">
        <v>726</v>
      </c>
      <c r="K91" s="83"/>
      <c r="L91" s="105"/>
      <c r="N91" s="73" t="s">
        <v>800</v>
      </c>
      <c r="O91" s="73" t="s">
        <v>749</v>
      </c>
      <c r="P91" s="73">
        <v>735</v>
      </c>
      <c r="Q91" s="75" t="s">
        <v>801</v>
      </c>
      <c r="R91" s="73">
        <v>664</v>
      </c>
    </row>
    <row r="92" spans="4:18" x14ac:dyDescent="0.35">
      <c r="D92" s="90">
        <v>67</v>
      </c>
      <c r="E92" s="90" t="s">
        <v>702</v>
      </c>
      <c r="F92" s="90" t="s">
        <v>793</v>
      </c>
      <c r="G92" s="90" t="s">
        <v>913</v>
      </c>
      <c r="H92" s="90">
        <v>626</v>
      </c>
      <c r="I92" s="90" t="s">
        <v>748</v>
      </c>
      <c r="J92" s="90"/>
      <c r="K92" s="83"/>
      <c r="L92" s="105"/>
      <c r="N92" s="73"/>
      <c r="O92" s="73"/>
      <c r="P92" s="73"/>
      <c r="Q92" s="75"/>
      <c r="R92" s="73"/>
    </row>
    <row r="93" spans="4:18" x14ac:dyDescent="0.35">
      <c r="D93" s="90"/>
      <c r="E93" s="90"/>
      <c r="F93" s="90"/>
      <c r="G93" s="90"/>
      <c r="H93" s="90"/>
      <c r="I93" s="90"/>
      <c r="J93" s="90"/>
      <c r="K93" s="83"/>
      <c r="L93" s="105"/>
      <c r="N93" s="73"/>
      <c r="O93" s="73"/>
      <c r="P93" s="73"/>
      <c r="Q93" s="75"/>
      <c r="R93" s="73"/>
    </row>
    <row r="94" spans="4:18" x14ac:dyDescent="0.35">
      <c r="D94" s="90">
        <v>68</v>
      </c>
      <c r="E94" s="90" t="s">
        <v>702</v>
      </c>
      <c r="F94" s="90" t="s">
        <v>793</v>
      </c>
      <c r="G94" s="90" t="s">
        <v>819</v>
      </c>
      <c r="H94" s="90">
        <v>626</v>
      </c>
      <c r="I94" s="90" t="s">
        <v>748</v>
      </c>
      <c r="J94" s="90" t="s">
        <v>726</v>
      </c>
      <c r="K94" s="83"/>
      <c r="L94" s="105"/>
      <c r="N94" s="73" t="s">
        <v>803</v>
      </c>
      <c r="O94" s="73" t="s">
        <v>735</v>
      </c>
      <c r="P94" s="73" t="s">
        <v>398</v>
      </c>
      <c r="Q94" s="73" t="s">
        <v>802</v>
      </c>
      <c r="R94" s="73">
        <v>571</v>
      </c>
    </row>
    <row r="95" spans="4:18" ht="29" x14ac:dyDescent="0.35">
      <c r="D95" s="93">
        <v>69</v>
      </c>
      <c r="E95" s="93" t="s">
        <v>702</v>
      </c>
      <c r="F95" s="93" t="s">
        <v>702</v>
      </c>
      <c r="G95" s="93" t="s">
        <v>794</v>
      </c>
      <c r="H95" s="93">
        <v>605</v>
      </c>
      <c r="I95" s="93" t="s">
        <v>834</v>
      </c>
      <c r="J95" s="93" t="s">
        <v>726</v>
      </c>
      <c r="K95" s="83"/>
      <c r="L95" s="105"/>
      <c r="N95" s="73" t="s">
        <v>807</v>
      </c>
      <c r="O95" s="73" t="s">
        <v>804</v>
      </c>
      <c r="P95" s="75" t="s">
        <v>805</v>
      </c>
      <c r="Q95" s="73" t="s">
        <v>806</v>
      </c>
      <c r="R95" s="73">
        <v>705</v>
      </c>
    </row>
    <row r="96" spans="4:18" x14ac:dyDescent="0.35">
      <c r="D96" s="93"/>
      <c r="E96" s="93"/>
      <c r="F96" s="93"/>
      <c r="G96" s="93"/>
      <c r="H96" s="93"/>
      <c r="I96" s="93"/>
      <c r="J96" s="93"/>
      <c r="K96" s="83"/>
      <c r="L96" s="105"/>
      <c r="N96" s="73"/>
      <c r="O96" s="73"/>
      <c r="P96" s="75"/>
      <c r="Q96" s="73"/>
      <c r="R96" s="73"/>
    </row>
    <row r="97" spans="4:18" x14ac:dyDescent="0.35">
      <c r="D97" s="93">
        <v>70</v>
      </c>
      <c r="E97" s="93" t="s">
        <v>702</v>
      </c>
      <c r="F97" s="93" t="s">
        <v>702</v>
      </c>
      <c r="G97" s="93" t="s">
        <v>918</v>
      </c>
      <c r="H97" s="93">
        <v>605</v>
      </c>
      <c r="I97" s="93" t="s">
        <v>834</v>
      </c>
      <c r="J97" s="93"/>
      <c r="K97" s="83"/>
      <c r="L97" s="105"/>
      <c r="N97" s="73"/>
      <c r="O97" s="73"/>
      <c r="P97" s="75"/>
      <c r="Q97" s="73"/>
      <c r="R97" s="73"/>
    </row>
    <row r="98" spans="4:18" x14ac:dyDescent="0.35">
      <c r="D98" s="93">
        <v>71</v>
      </c>
      <c r="E98" s="93" t="s">
        <v>702</v>
      </c>
      <c r="F98" s="93" t="s">
        <v>702</v>
      </c>
      <c r="G98" s="94" t="s">
        <v>919</v>
      </c>
      <c r="H98" s="93">
        <v>606</v>
      </c>
      <c r="I98" s="93" t="s">
        <v>834</v>
      </c>
      <c r="J98" s="93"/>
      <c r="K98" s="83"/>
      <c r="L98" s="105"/>
      <c r="N98" s="73"/>
      <c r="O98" s="73"/>
      <c r="P98" s="75"/>
      <c r="Q98" s="73"/>
      <c r="R98" s="73"/>
    </row>
    <row r="99" spans="4:18" x14ac:dyDescent="0.35">
      <c r="D99" s="93"/>
      <c r="E99" s="93"/>
      <c r="F99" s="93"/>
      <c r="G99" s="94"/>
      <c r="H99" s="93"/>
      <c r="I99" s="93"/>
      <c r="J99" s="93"/>
      <c r="K99" s="83"/>
      <c r="L99" s="105"/>
      <c r="N99" s="73"/>
      <c r="O99" s="73"/>
      <c r="P99" s="75"/>
      <c r="Q99" s="73"/>
      <c r="R99" s="73"/>
    </row>
    <row r="100" spans="4:18" x14ac:dyDescent="0.35">
      <c r="D100" s="93">
        <v>72</v>
      </c>
      <c r="E100" s="93" t="s">
        <v>702</v>
      </c>
      <c r="F100" s="93" t="s">
        <v>702</v>
      </c>
      <c r="G100" s="93" t="s">
        <v>820</v>
      </c>
      <c r="H100" s="93">
        <v>606</v>
      </c>
      <c r="I100" s="93" t="s">
        <v>834</v>
      </c>
      <c r="J100" s="93" t="s">
        <v>726</v>
      </c>
      <c r="K100" s="83"/>
      <c r="L100" s="105"/>
      <c r="N100" s="73" t="s">
        <v>808</v>
      </c>
      <c r="O100" s="73" t="s">
        <v>809</v>
      </c>
      <c r="P100" s="74">
        <v>735738</v>
      </c>
      <c r="Q100" s="73" t="s">
        <v>810</v>
      </c>
      <c r="R100" s="73">
        <v>595</v>
      </c>
    </row>
    <row r="101" spans="4:18" x14ac:dyDescent="0.35">
      <c r="D101" s="93">
        <v>73</v>
      </c>
      <c r="E101" s="93" t="s">
        <v>702</v>
      </c>
      <c r="F101" s="93" t="s">
        <v>702</v>
      </c>
      <c r="G101" s="93" t="s">
        <v>920</v>
      </c>
      <c r="H101" s="93">
        <v>608</v>
      </c>
      <c r="I101" s="93" t="s">
        <v>834</v>
      </c>
      <c r="J101" s="93"/>
      <c r="K101" s="83"/>
      <c r="L101" s="105"/>
      <c r="N101" s="73"/>
      <c r="O101" s="73"/>
      <c r="P101" s="74"/>
      <c r="Q101" s="73"/>
      <c r="R101" s="73"/>
    </row>
    <row r="102" spans="4:18" x14ac:dyDescent="0.35">
      <c r="D102" s="93"/>
      <c r="E102" s="93"/>
      <c r="F102" s="93"/>
      <c r="G102" s="93"/>
      <c r="H102" s="93"/>
      <c r="I102" s="93"/>
      <c r="J102" s="93"/>
      <c r="K102" s="83"/>
      <c r="L102" s="105"/>
      <c r="N102" s="73"/>
      <c r="O102" s="73"/>
      <c r="P102" s="74"/>
      <c r="Q102" s="73"/>
      <c r="R102" s="73"/>
    </row>
    <row r="103" spans="4:18" x14ac:dyDescent="0.35">
      <c r="D103" s="93">
        <v>74</v>
      </c>
      <c r="E103" s="93" t="s">
        <v>702</v>
      </c>
      <c r="F103" s="93" t="s">
        <v>702</v>
      </c>
      <c r="G103" s="93" t="s">
        <v>822</v>
      </c>
      <c r="H103" s="93">
        <v>608</v>
      </c>
      <c r="I103" s="93" t="s">
        <v>834</v>
      </c>
      <c r="J103" s="93" t="s">
        <v>726</v>
      </c>
      <c r="K103" s="83"/>
      <c r="L103" s="105"/>
      <c r="N103" s="73" t="s">
        <v>811</v>
      </c>
      <c r="O103" s="73" t="s">
        <v>814</v>
      </c>
      <c r="P103" s="73" t="s">
        <v>706</v>
      </c>
      <c r="Q103" s="73">
        <v>300155</v>
      </c>
      <c r="R103" s="73">
        <v>506</v>
      </c>
    </row>
    <row r="104" spans="4:18" x14ac:dyDescent="0.35">
      <c r="D104" s="93">
        <v>75</v>
      </c>
      <c r="E104" s="93" t="s">
        <v>702</v>
      </c>
      <c r="F104" s="93" t="s">
        <v>702</v>
      </c>
      <c r="G104" s="93" t="s">
        <v>921</v>
      </c>
      <c r="H104" s="93">
        <v>611</v>
      </c>
      <c r="I104" s="93" t="s">
        <v>834</v>
      </c>
      <c r="J104" s="93"/>
      <c r="K104" s="83"/>
      <c r="L104" s="105"/>
      <c r="N104" s="73"/>
      <c r="O104" s="73"/>
      <c r="P104" s="73"/>
      <c r="Q104" s="73"/>
      <c r="R104" s="73"/>
    </row>
    <row r="105" spans="4:18" x14ac:dyDescent="0.35">
      <c r="D105" s="93"/>
      <c r="E105" s="93"/>
      <c r="F105" s="93"/>
      <c r="G105" s="93"/>
      <c r="H105" s="93"/>
      <c r="I105" s="93"/>
      <c r="J105" s="93"/>
      <c r="K105" s="83"/>
      <c r="L105" s="105"/>
      <c r="N105" s="73"/>
      <c r="O105" s="73"/>
      <c r="P105" s="73"/>
      <c r="Q105" s="73"/>
      <c r="R105" s="73"/>
    </row>
    <row r="106" spans="4:18" x14ac:dyDescent="0.35">
      <c r="D106" s="93">
        <v>76</v>
      </c>
      <c r="E106" s="93" t="s">
        <v>702</v>
      </c>
      <c r="F106" s="93" t="s">
        <v>702</v>
      </c>
      <c r="G106" s="93" t="s">
        <v>829</v>
      </c>
      <c r="H106" s="93">
        <v>611</v>
      </c>
      <c r="I106" s="93" t="s">
        <v>834</v>
      </c>
      <c r="J106" s="93" t="s">
        <v>726</v>
      </c>
      <c r="K106" s="83"/>
      <c r="L106" s="105"/>
      <c r="N106" s="73" t="s">
        <v>812</v>
      </c>
      <c r="O106" s="73" t="s">
        <v>813</v>
      </c>
      <c r="P106" s="73" t="s">
        <v>706</v>
      </c>
      <c r="Q106" s="73" t="s">
        <v>460</v>
      </c>
      <c r="R106" s="73">
        <v>907</v>
      </c>
    </row>
    <row r="107" spans="4:18" x14ac:dyDescent="0.35">
      <c r="D107" s="93">
        <v>77</v>
      </c>
      <c r="E107" s="93" t="s">
        <v>702</v>
      </c>
      <c r="F107" s="93" t="s">
        <v>702</v>
      </c>
      <c r="G107" s="93" t="s">
        <v>886</v>
      </c>
      <c r="H107" s="93">
        <v>612</v>
      </c>
      <c r="I107" s="93" t="s">
        <v>834</v>
      </c>
      <c r="J107" s="93"/>
      <c r="K107" s="83"/>
      <c r="L107" s="105"/>
      <c r="N107" s="73"/>
      <c r="O107" s="73"/>
      <c r="P107" s="73"/>
      <c r="Q107" s="73"/>
      <c r="R107" s="73"/>
    </row>
    <row r="108" spans="4:18" x14ac:dyDescent="0.35">
      <c r="D108" s="93"/>
      <c r="E108" s="93"/>
      <c r="F108" s="93"/>
      <c r="G108" s="93"/>
      <c r="H108" s="93"/>
      <c r="I108" s="93"/>
      <c r="J108" s="93"/>
      <c r="K108" s="83"/>
      <c r="L108" s="105"/>
      <c r="N108" s="73"/>
      <c r="O108" s="73"/>
      <c r="P108" s="73"/>
      <c r="Q108" s="73"/>
      <c r="R108" s="73"/>
    </row>
    <row r="109" spans="4:18" x14ac:dyDescent="0.35">
      <c r="D109" s="93">
        <v>78</v>
      </c>
      <c r="E109" s="93" t="s">
        <v>702</v>
      </c>
      <c r="F109" s="93" t="s">
        <v>702</v>
      </c>
      <c r="G109" s="93" t="s">
        <v>826</v>
      </c>
      <c r="H109" s="93">
        <v>612</v>
      </c>
      <c r="I109" s="93" t="s">
        <v>834</v>
      </c>
      <c r="J109" s="93" t="s">
        <v>726</v>
      </c>
      <c r="K109" s="83"/>
      <c r="L109" s="105"/>
      <c r="N109" s="73" t="s">
        <v>817</v>
      </c>
      <c r="O109" s="73" t="s">
        <v>818</v>
      </c>
      <c r="P109" s="73" t="s">
        <v>706</v>
      </c>
      <c r="Q109" s="73" t="s">
        <v>460</v>
      </c>
      <c r="R109" s="73">
        <v>898</v>
      </c>
    </row>
    <row r="110" spans="4:18" x14ac:dyDescent="0.35">
      <c r="D110" s="93">
        <v>79</v>
      </c>
      <c r="E110" s="93" t="s">
        <v>702</v>
      </c>
      <c r="F110" s="93" t="s">
        <v>702</v>
      </c>
      <c r="G110" s="93" t="s">
        <v>923</v>
      </c>
      <c r="H110" s="93">
        <v>614</v>
      </c>
      <c r="I110" s="93" t="s">
        <v>834</v>
      </c>
      <c r="J110" s="93"/>
      <c r="K110" s="83"/>
      <c r="L110" s="105"/>
      <c r="N110" s="73"/>
      <c r="O110" s="73"/>
      <c r="P110" s="73"/>
      <c r="Q110" s="73"/>
      <c r="R110" s="73"/>
    </row>
    <row r="111" spans="4:18" x14ac:dyDescent="0.35">
      <c r="D111" s="93"/>
      <c r="E111" s="93"/>
      <c r="F111" s="93"/>
      <c r="G111" s="93"/>
      <c r="H111" s="93"/>
      <c r="I111" s="93"/>
      <c r="J111" s="93"/>
      <c r="K111" s="83"/>
      <c r="L111" s="105"/>
      <c r="N111" s="73"/>
      <c r="O111" s="73"/>
      <c r="P111" s="73"/>
      <c r="Q111" s="73"/>
      <c r="R111" s="73"/>
    </row>
    <row r="112" spans="4:18" x14ac:dyDescent="0.35">
      <c r="D112" s="93">
        <v>80</v>
      </c>
      <c r="E112" s="93" t="s">
        <v>702</v>
      </c>
      <c r="F112" s="93" t="s">
        <v>702</v>
      </c>
      <c r="G112" s="93" t="s">
        <v>812</v>
      </c>
      <c r="H112" s="93">
        <v>614</v>
      </c>
      <c r="I112" s="93" t="s">
        <v>834</v>
      </c>
      <c r="J112" s="93" t="s">
        <v>726</v>
      </c>
      <c r="K112" s="83"/>
      <c r="L112" s="105"/>
      <c r="N112" s="73" t="s">
        <v>819</v>
      </c>
      <c r="O112" s="73" t="s">
        <v>738</v>
      </c>
      <c r="P112" s="73">
        <v>3</v>
      </c>
      <c r="Q112" s="73" t="s">
        <v>460</v>
      </c>
      <c r="R112" s="73">
        <v>2223</v>
      </c>
    </row>
    <row r="113" spans="4:18" x14ac:dyDescent="0.35">
      <c r="D113" s="93">
        <v>81</v>
      </c>
      <c r="E113" s="93" t="s">
        <v>702</v>
      </c>
      <c r="F113" s="93" t="s">
        <v>702</v>
      </c>
      <c r="G113" s="93" t="s">
        <v>890</v>
      </c>
      <c r="H113" s="93">
        <v>616</v>
      </c>
      <c r="I113" s="93" t="s">
        <v>834</v>
      </c>
      <c r="J113" s="93"/>
      <c r="K113" s="83"/>
      <c r="L113" s="105"/>
      <c r="N113" s="73"/>
      <c r="O113" s="73"/>
      <c r="P113" s="73"/>
      <c r="Q113" s="73"/>
      <c r="R113" s="73"/>
    </row>
    <row r="114" spans="4:18" x14ac:dyDescent="0.35">
      <c r="D114" s="93"/>
      <c r="E114" s="93"/>
      <c r="F114" s="93"/>
      <c r="G114" s="93"/>
      <c r="H114" s="93"/>
      <c r="I114" s="93"/>
      <c r="J114" s="93"/>
      <c r="K114" s="83"/>
      <c r="L114" s="105"/>
      <c r="N114" s="73"/>
      <c r="O114" s="73"/>
      <c r="P114" s="73"/>
      <c r="Q114" s="73"/>
      <c r="R114" s="73"/>
    </row>
    <row r="115" spans="4:18" x14ac:dyDescent="0.35">
      <c r="D115" s="93">
        <v>82</v>
      </c>
      <c r="E115" s="93" t="s">
        <v>702</v>
      </c>
      <c r="F115" s="93" t="s">
        <v>702</v>
      </c>
      <c r="G115" s="93" t="s">
        <v>799</v>
      </c>
      <c r="H115" s="93">
        <v>616</v>
      </c>
      <c r="I115" s="93" t="s">
        <v>834</v>
      </c>
      <c r="J115" s="93" t="s">
        <v>726</v>
      </c>
      <c r="K115" s="83"/>
      <c r="L115" s="105"/>
      <c r="N115" s="73" t="s">
        <v>820</v>
      </c>
      <c r="O115" s="73" t="s">
        <v>821</v>
      </c>
      <c r="P115" s="73">
        <v>3</v>
      </c>
      <c r="Q115" s="73" t="s">
        <v>460</v>
      </c>
      <c r="R115" s="73">
        <v>885</v>
      </c>
    </row>
    <row r="116" spans="4:18" x14ac:dyDescent="0.35">
      <c r="D116" s="93">
        <v>83</v>
      </c>
      <c r="E116" s="93" t="s">
        <v>702</v>
      </c>
      <c r="F116" s="93" t="s">
        <v>702</v>
      </c>
      <c r="G116" s="93" t="s">
        <v>924</v>
      </c>
      <c r="H116" s="93">
        <v>621</v>
      </c>
      <c r="I116" s="93" t="s">
        <v>834</v>
      </c>
      <c r="J116" s="93"/>
      <c r="K116" s="83"/>
      <c r="L116" s="105"/>
      <c r="N116" s="73"/>
      <c r="O116" s="73"/>
      <c r="P116" s="73"/>
      <c r="Q116" s="73"/>
      <c r="R116" s="73"/>
    </row>
    <row r="117" spans="4:18" x14ac:dyDescent="0.35">
      <c r="D117" s="93"/>
      <c r="E117" s="93"/>
      <c r="F117" s="93"/>
      <c r="G117" s="93"/>
      <c r="H117" s="93"/>
      <c r="I117" s="93"/>
      <c r="J117" s="93"/>
      <c r="K117" s="83"/>
      <c r="L117" s="105"/>
      <c r="N117" s="73"/>
      <c r="O117" s="73"/>
      <c r="P117" s="73"/>
      <c r="Q117" s="73"/>
      <c r="R117" s="73"/>
    </row>
    <row r="118" spans="4:18" x14ac:dyDescent="0.35">
      <c r="D118" s="93">
        <v>84</v>
      </c>
      <c r="E118" s="93" t="s">
        <v>702</v>
      </c>
      <c r="F118" s="93" t="s">
        <v>702</v>
      </c>
      <c r="G118" s="93" t="s">
        <v>803</v>
      </c>
      <c r="H118" s="93">
        <v>621</v>
      </c>
      <c r="I118" s="93" t="s">
        <v>834</v>
      </c>
      <c r="J118" s="93" t="s">
        <v>726</v>
      </c>
      <c r="K118" s="83"/>
      <c r="L118" s="105"/>
      <c r="N118" s="73" t="s">
        <v>822</v>
      </c>
      <c r="O118" s="73" t="s">
        <v>823</v>
      </c>
      <c r="P118" s="73">
        <v>3</v>
      </c>
      <c r="Q118" s="73" t="s">
        <v>460</v>
      </c>
      <c r="R118" s="73">
        <v>470</v>
      </c>
    </row>
    <row r="119" spans="4:18" x14ac:dyDescent="0.35">
      <c r="D119" s="93">
        <v>85</v>
      </c>
      <c r="E119" s="93" t="s">
        <v>702</v>
      </c>
      <c r="F119" s="93" t="s">
        <v>702</v>
      </c>
      <c r="G119" s="93" t="s">
        <v>925</v>
      </c>
      <c r="H119" s="93">
        <v>615</v>
      </c>
      <c r="I119" s="93" t="s">
        <v>834</v>
      </c>
      <c r="J119" s="93"/>
      <c r="K119" s="83"/>
      <c r="L119" s="105"/>
      <c r="N119" s="73"/>
      <c r="O119" s="73"/>
      <c r="P119" s="73"/>
      <c r="Q119" s="73"/>
      <c r="R119" s="73"/>
    </row>
    <row r="120" spans="4:18" x14ac:dyDescent="0.35">
      <c r="D120" s="93"/>
      <c r="E120" s="93"/>
      <c r="F120" s="93"/>
      <c r="G120" s="93"/>
      <c r="H120" s="93"/>
      <c r="I120" s="93"/>
      <c r="J120" s="93"/>
      <c r="K120" s="83"/>
      <c r="L120" s="105"/>
      <c r="N120" s="73"/>
      <c r="O120" s="73"/>
      <c r="P120" s="73"/>
      <c r="Q120" s="73"/>
      <c r="R120" s="73"/>
    </row>
    <row r="121" spans="4:18" x14ac:dyDescent="0.35">
      <c r="D121" s="93">
        <v>86</v>
      </c>
      <c r="E121" s="93" t="s">
        <v>702</v>
      </c>
      <c r="F121" s="93" t="s">
        <v>702</v>
      </c>
      <c r="G121" s="93" t="s">
        <v>830</v>
      </c>
      <c r="H121" s="93">
        <v>615</v>
      </c>
      <c r="I121" s="93" t="s">
        <v>834</v>
      </c>
      <c r="J121" s="93" t="s">
        <v>726</v>
      </c>
      <c r="K121" s="83"/>
      <c r="L121" s="105"/>
      <c r="N121" s="73" t="s">
        <v>824</v>
      </c>
      <c r="O121" s="73">
        <v>616</v>
      </c>
      <c r="P121" s="73" t="s">
        <v>706</v>
      </c>
      <c r="Q121" s="73" t="s">
        <v>825</v>
      </c>
      <c r="R121" s="73" t="s">
        <v>706</v>
      </c>
    </row>
    <row r="122" spans="4:18" x14ac:dyDescent="0.35">
      <c r="D122" s="93">
        <v>87</v>
      </c>
      <c r="E122" s="93" t="s">
        <v>702</v>
      </c>
      <c r="F122" s="93" t="s">
        <v>702</v>
      </c>
      <c r="G122" s="93" t="s">
        <v>926</v>
      </c>
      <c r="H122" s="93">
        <v>626</v>
      </c>
      <c r="I122" s="93" t="s">
        <v>834</v>
      </c>
      <c r="J122" s="93"/>
      <c r="K122" s="83"/>
      <c r="L122" s="105"/>
      <c r="N122" s="73"/>
      <c r="O122" s="73"/>
      <c r="P122" s="73"/>
      <c r="Q122" s="73"/>
      <c r="R122" s="73"/>
    </row>
    <row r="123" spans="4:18" x14ac:dyDescent="0.35">
      <c r="D123" s="93"/>
      <c r="E123" s="93"/>
      <c r="F123" s="93"/>
      <c r="G123" s="93"/>
      <c r="H123" s="93"/>
      <c r="I123" s="93"/>
      <c r="J123" s="93"/>
      <c r="K123" s="83"/>
      <c r="L123" s="105"/>
      <c r="N123" s="73"/>
      <c r="O123" s="73"/>
      <c r="P123" s="73"/>
      <c r="Q123" s="73"/>
      <c r="R123" s="73"/>
    </row>
    <row r="124" spans="4:18" ht="43.5" x14ac:dyDescent="0.35">
      <c r="D124" s="93">
        <v>88</v>
      </c>
      <c r="E124" s="93" t="s">
        <v>702</v>
      </c>
      <c r="F124" s="93" t="s">
        <v>702</v>
      </c>
      <c r="G124" s="93" t="s">
        <v>831</v>
      </c>
      <c r="H124" s="93">
        <v>626</v>
      </c>
      <c r="I124" s="93" t="s">
        <v>834</v>
      </c>
      <c r="J124" s="93" t="s">
        <v>726</v>
      </c>
      <c r="K124" s="83"/>
      <c r="L124" s="105"/>
      <c r="N124" s="73" t="s">
        <v>826</v>
      </c>
      <c r="O124" s="73" t="s">
        <v>711</v>
      </c>
      <c r="P124" s="75" t="s">
        <v>827</v>
      </c>
      <c r="Q124" s="75" t="s">
        <v>828</v>
      </c>
      <c r="R124" s="73">
        <v>689</v>
      </c>
    </row>
    <row r="125" spans="4:18" x14ac:dyDescent="0.35">
      <c r="D125" s="98">
        <v>89</v>
      </c>
      <c r="E125" s="98" t="s">
        <v>702</v>
      </c>
      <c r="F125" s="98" t="s">
        <v>815</v>
      </c>
      <c r="G125" s="98" t="s">
        <v>838</v>
      </c>
      <c r="H125" s="98">
        <v>605</v>
      </c>
      <c r="I125" s="98" t="s">
        <v>797</v>
      </c>
      <c r="J125" s="98" t="s">
        <v>726</v>
      </c>
      <c r="K125" s="83"/>
      <c r="L125" s="105"/>
      <c r="N125" s="73" t="s">
        <v>829</v>
      </c>
      <c r="O125" s="73" t="s">
        <v>111</v>
      </c>
      <c r="P125" s="73" t="s">
        <v>706</v>
      </c>
      <c r="Q125" s="73" t="s">
        <v>460</v>
      </c>
      <c r="R125" s="73">
        <v>603</v>
      </c>
    </row>
    <row r="126" spans="4:18" x14ac:dyDescent="0.35">
      <c r="D126" s="98"/>
      <c r="E126" s="98"/>
      <c r="F126" s="98"/>
      <c r="G126" s="98"/>
      <c r="H126" s="98"/>
      <c r="I126" s="98"/>
      <c r="J126" s="98"/>
      <c r="K126" s="83"/>
      <c r="L126" s="105"/>
      <c r="N126" s="73"/>
      <c r="O126" s="73"/>
      <c r="P126" s="73"/>
      <c r="Q126" s="73"/>
      <c r="R126" s="73"/>
    </row>
    <row r="127" spans="4:18" x14ac:dyDescent="0.35">
      <c r="D127" s="98">
        <v>90</v>
      </c>
      <c r="E127" s="98" t="s">
        <v>702</v>
      </c>
      <c r="F127" s="98" t="s">
        <v>815</v>
      </c>
      <c r="G127" s="98" t="s">
        <v>927</v>
      </c>
      <c r="H127" s="98">
        <v>605</v>
      </c>
      <c r="I127" s="98" t="s">
        <v>797</v>
      </c>
      <c r="J127" s="98"/>
      <c r="K127" s="83"/>
      <c r="L127" s="105"/>
      <c r="N127" s="73"/>
      <c r="O127" s="73"/>
      <c r="P127" s="73"/>
      <c r="Q127" s="73"/>
      <c r="R127" s="73"/>
    </row>
    <row r="128" spans="4:18" x14ac:dyDescent="0.35">
      <c r="D128" s="98">
        <v>91</v>
      </c>
      <c r="E128" s="98" t="s">
        <v>702</v>
      </c>
      <c r="F128" s="98" t="s">
        <v>815</v>
      </c>
      <c r="G128" s="98" t="s">
        <v>928</v>
      </c>
      <c r="H128" s="98">
        <v>606</v>
      </c>
      <c r="I128" s="98" t="s">
        <v>797</v>
      </c>
      <c r="J128" s="98"/>
      <c r="K128" s="83"/>
      <c r="L128" s="105"/>
      <c r="N128" s="73"/>
      <c r="O128" s="73"/>
      <c r="P128" s="73"/>
      <c r="Q128" s="73"/>
      <c r="R128" s="73"/>
    </row>
    <row r="129" spans="4:19" x14ac:dyDescent="0.35">
      <c r="D129" s="98"/>
      <c r="E129" s="98"/>
      <c r="F129" s="98"/>
      <c r="G129" s="98"/>
      <c r="H129" s="98"/>
      <c r="I129" s="98"/>
      <c r="J129" s="98"/>
      <c r="K129" s="83"/>
      <c r="L129" s="105"/>
      <c r="N129" s="73"/>
      <c r="O129" s="73"/>
      <c r="P129" s="73"/>
      <c r="Q129" s="73"/>
      <c r="R129" s="73"/>
    </row>
    <row r="130" spans="4:19" x14ac:dyDescent="0.35">
      <c r="D130" s="98">
        <v>92</v>
      </c>
      <c r="E130" s="98" t="s">
        <v>702</v>
      </c>
      <c r="F130" s="98" t="s">
        <v>815</v>
      </c>
      <c r="G130" s="98" t="s">
        <v>833</v>
      </c>
      <c r="H130" s="98">
        <v>606</v>
      </c>
      <c r="I130" s="98" t="s">
        <v>797</v>
      </c>
      <c r="J130" s="98" t="s">
        <v>726</v>
      </c>
      <c r="K130" s="83"/>
      <c r="L130" s="105"/>
      <c r="N130" s="73" t="s">
        <v>830</v>
      </c>
      <c r="O130" s="73" t="s">
        <v>818</v>
      </c>
      <c r="P130" s="73" t="s">
        <v>706</v>
      </c>
      <c r="Q130" s="73" t="s">
        <v>460</v>
      </c>
      <c r="R130" s="73">
        <v>601</v>
      </c>
    </row>
    <row r="131" spans="4:19" x14ac:dyDescent="0.35">
      <c r="D131" s="98">
        <v>93</v>
      </c>
      <c r="E131" s="98" t="s">
        <v>702</v>
      </c>
      <c r="F131" s="98" t="s">
        <v>815</v>
      </c>
      <c r="G131" s="98" t="s">
        <v>930</v>
      </c>
      <c r="H131" s="98">
        <v>608</v>
      </c>
      <c r="I131" s="98" t="s">
        <v>797</v>
      </c>
      <c r="J131" s="98"/>
      <c r="K131" s="83"/>
      <c r="L131" s="105"/>
      <c r="N131" s="73"/>
      <c r="O131" s="73"/>
      <c r="P131" s="73"/>
      <c r="Q131" s="73"/>
      <c r="R131" s="73"/>
    </row>
    <row r="132" spans="4:19" x14ac:dyDescent="0.35">
      <c r="D132" s="98"/>
      <c r="E132" s="98"/>
      <c r="F132" s="98"/>
      <c r="G132" s="98"/>
      <c r="H132" s="98"/>
      <c r="I132" s="98"/>
      <c r="J132" s="98"/>
      <c r="K132" s="83"/>
      <c r="L132" s="105"/>
      <c r="N132" s="73"/>
      <c r="O132" s="73"/>
      <c r="P132" s="73"/>
      <c r="Q132" s="73"/>
      <c r="R132" s="73"/>
    </row>
    <row r="133" spans="4:19" x14ac:dyDescent="0.35">
      <c r="D133" s="98">
        <v>94</v>
      </c>
      <c r="E133" s="98" t="s">
        <v>702</v>
      </c>
      <c r="F133" s="98" t="s">
        <v>815</v>
      </c>
      <c r="G133" s="98" t="s">
        <v>839</v>
      </c>
      <c r="H133" s="98">
        <v>608</v>
      </c>
      <c r="I133" s="98" t="s">
        <v>797</v>
      </c>
      <c r="J133" s="98" t="s">
        <v>726</v>
      </c>
      <c r="K133" s="83"/>
      <c r="L133" s="105"/>
      <c r="N133" s="73" t="s">
        <v>831</v>
      </c>
      <c r="O133" s="73" t="s">
        <v>738</v>
      </c>
      <c r="P133" s="73" t="s">
        <v>706</v>
      </c>
      <c r="Q133" s="73" t="s">
        <v>460</v>
      </c>
      <c r="R133" s="73">
        <v>907</v>
      </c>
    </row>
    <row r="134" spans="4:19" x14ac:dyDescent="0.35">
      <c r="D134" s="98">
        <v>95</v>
      </c>
      <c r="E134" s="98" t="s">
        <v>702</v>
      </c>
      <c r="F134" s="98" t="s">
        <v>815</v>
      </c>
      <c r="G134" s="99" t="s">
        <v>931</v>
      </c>
      <c r="H134" s="98">
        <v>611</v>
      </c>
      <c r="I134" s="98" t="s">
        <v>797</v>
      </c>
      <c r="J134" s="98"/>
      <c r="K134" s="83"/>
      <c r="L134" s="105"/>
      <c r="N134" s="73"/>
      <c r="O134" s="73"/>
      <c r="P134" s="73"/>
      <c r="Q134" s="73"/>
      <c r="R134" s="73"/>
    </row>
    <row r="135" spans="4:19" x14ac:dyDescent="0.35">
      <c r="D135" s="98"/>
      <c r="E135" s="98"/>
      <c r="F135" s="98"/>
      <c r="G135" s="99"/>
      <c r="H135" s="98"/>
      <c r="I135" s="98"/>
      <c r="J135" s="98"/>
      <c r="K135" s="83"/>
      <c r="L135" s="105"/>
      <c r="N135" s="73"/>
      <c r="O135" s="73"/>
      <c r="P135" s="73"/>
      <c r="Q135" s="73"/>
      <c r="R135" s="73"/>
    </row>
    <row r="136" spans="4:19" x14ac:dyDescent="0.35">
      <c r="D136" s="98">
        <v>96</v>
      </c>
      <c r="E136" s="98" t="s">
        <v>702</v>
      </c>
      <c r="F136" s="98" t="s">
        <v>815</v>
      </c>
      <c r="G136" s="99" t="s">
        <v>841</v>
      </c>
      <c r="H136" s="98">
        <v>611</v>
      </c>
      <c r="I136" s="98" t="s">
        <v>797</v>
      </c>
      <c r="J136" s="98" t="s">
        <v>726</v>
      </c>
      <c r="K136" s="83"/>
      <c r="L136" s="105"/>
      <c r="N136" s="73" t="s">
        <v>833</v>
      </c>
      <c r="O136" s="73" t="s">
        <v>832</v>
      </c>
      <c r="P136" s="73" t="s">
        <v>706</v>
      </c>
      <c r="Q136" s="73">
        <v>300155</v>
      </c>
      <c r="R136" s="73">
        <v>83</v>
      </c>
    </row>
    <row r="137" spans="4:19" x14ac:dyDescent="0.35">
      <c r="D137" s="98">
        <v>97</v>
      </c>
      <c r="E137" s="98" t="s">
        <v>702</v>
      </c>
      <c r="F137" s="98" t="s">
        <v>815</v>
      </c>
      <c r="G137" s="99" t="s">
        <v>932</v>
      </c>
      <c r="H137" s="98">
        <v>614</v>
      </c>
      <c r="I137" s="98" t="s">
        <v>797</v>
      </c>
      <c r="J137" s="98"/>
      <c r="K137" s="83"/>
      <c r="L137" s="105"/>
      <c r="N137" s="73"/>
      <c r="O137" s="73"/>
      <c r="P137" s="73"/>
      <c r="Q137" s="73"/>
      <c r="R137" s="73"/>
    </row>
    <row r="138" spans="4:19" x14ac:dyDescent="0.35">
      <c r="D138" s="98"/>
      <c r="E138" s="98"/>
      <c r="F138" s="98"/>
      <c r="G138" s="99"/>
      <c r="H138" s="98"/>
      <c r="I138" s="98"/>
      <c r="J138" s="98"/>
      <c r="K138" s="83"/>
      <c r="L138" s="105"/>
      <c r="N138" s="73"/>
      <c r="O138" s="73"/>
      <c r="P138" s="73"/>
      <c r="Q138" s="73"/>
      <c r="R138" s="73"/>
    </row>
    <row r="139" spans="4:19" ht="43.5" x14ac:dyDescent="0.35">
      <c r="D139" s="98">
        <v>98</v>
      </c>
      <c r="E139" s="98" t="s">
        <v>702</v>
      </c>
      <c r="F139" s="98" t="s">
        <v>815</v>
      </c>
      <c r="G139" s="98" t="s">
        <v>840</v>
      </c>
      <c r="H139" s="98">
        <v>614</v>
      </c>
      <c r="I139" s="98" t="s">
        <v>797</v>
      </c>
      <c r="J139" s="98" t="s">
        <v>726</v>
      </c>
      <c r="K139" s="83"/>
      <c r="L139" s="105"/>
      <c r="N139" s="79" t="s">
        <v>834</v>
      </c>
      <c r="O139" s="80">
        <v>605621</v>
      </c>
      <c r="P139" s="79" t="s">
        <v>835</v>
      </c>
      <c r="Q139" s="81" t="s">
        <v>836</v>
      </c>
      <c r="R139" s="79">
        <v>632</v>
      </c>
      <c r="S139" s="82" t="s">
        <v>837</v>
      </c>
    </row>
    <row r="140" spans="4:19" x14ac:dyDescent="0.35">
      <c r="D140" s="98">
        <v>99</v>
      </c>
      <c r="E140" s="98" t="s">
        <v>702</v>
      </c>
      <c r="F140" s="98" t="s">
        <v>815</v>
      </c>
      <c r="G140" s="98" t="s">
        <v>929</v>
      </c>
      <c r="H140" s="98">
        <v>616</v>
      </c>
      <c r="I140" s="98" t="s">
        <v>797</v>
      </c>
      <c r="J140" s="98"/>
      <c r="K140" s="83"/>
      <c r="L140" s="105"/>
      <c r="N140" s="79"/>
      <c r="O140" s="80"/>
      <c r="P140" s="79"/>
      <c r="Q140" s="81"/>
      <c r="R140" s="79"/>
      <c r="S140" s="95"/>
    </row>
    <row r="141" spans="4:19" x14ac:dyDescent="0.35">
      <c r="D141" s="98"/>
      <c r="E141" s="98"/>
      <c r="F141" s="98"/>
      <c r="G141" s="98"/>
      <c r="H141" s="98"/>
      <c r="I141" s="98"/>
      <c r="J141" s="98"/>
      <c r="K141" s="83"/>
      <c r="L141" s="105"/>
      <c r="N141" s="79"/>
      <c r="O141" s="80"/>
      <c r="P141" s="79"/>
      <c r="Q141" s="81"/>
      <c r="R141" s="79"/>
      <c r="S141" s="95"/>
    </row>
    <row r="142" spans="4:19" x14ac:dyDescent="0.35">
      <c r="D142" s="98">
        <v>100</v>
      </c>
      <c r="E142" s="98" t="s">
        <v>702</v>
      </c>
      <c r="F142" s="98" t="s">
        <v>815</v>
      </c>
      <c r="G142" s="98" t="s">
        <v>824</v>
      </c>
      <c r="H142" s="98">
        <v>616</v>
      </c>
      <c r="I142" s="98" t="s">
        <v>797</v>
      </c>
      <c r="J142" s="98" t="s">
        <v>726</v>
      </c>
      <c r="K142" s="83"/>
      <c r="L142" s="105"/>
      <c r="N142" s="73" t="s">
        <v>838</v>
      </c>
      <c r="O142" s="73">
        <v>605</v>
      </c>
      <c r="P142" s="73" t="s">
        <v>706</v>
      </c>
      <c r="Q142" s="73" t="s">
        <v>460</v>
      </c>
      <c r="R142" s="73">
        <v>1112</v>
      </c>
    </row>
    <row r="143" spans="4:19" x14ac:dyDescent="0.35">
      <c r="D143" s="98">
        <v>101</v>
      </c>
      <c r="E143" s="98" t="s">
        <v>702</v>
      </c>
      <c r="F143" s="98" t="s">
        <v>815</v>
      </c>
      <c r="G143" s="99" t="s">
        <v>939</v>
      </c>
      <c r="H143" s="98">
        <v>615</v>
      </c>
      <c r="I143" s="98" t="s">
        <v>797</v>
      </c>
      <c r="J143" s="98"/>
      <c r="K143" s="83"/>
      <c r="L143" s="105"/>
      <c r="N143" s="73"/>
      <c r="O143" s="73"/>
      <c r="P143" s="73"/>
      <c r="Q143" s="73"/>
      <c r="R143" s="73"/>
    </row>
    <row r="144" spans="4:19" x14ac:dyDescent="0.35">
      <c r="D144" s="98"/>
      <c r="E144" s="98"/>
      <c r="F144" s="98"/>
      <c r="G144" s="99"/>
      <c r="H144" s="98"/>
      <c r="I144" s="98"/>
      <c r="J144" s="98"/>
      <c r="K144" s="83"/>
      <c r="L144" s="105"/>
      <c r="N144" s="73"/>
      <c r="O144" s="73"/>
      <c r="P144" s="73"/>
      <c r="Q144" s="73"/>
      <c r="R144" s="73"/>
    </row>
    <row r="145" spans="4:18" x14ac:dyDescent="0.35">
      <c r="D145" s="98">
        <v>102</v>
      </c>
      <c r="E145" s="98" t="s">
        <v>702</v>
      </c>
      <c r="F145" s="98" t="s">
        <v>815</v>
      </c>
      <c r="G145" s="99" t="s">
        <v>842</v>
      </c>
      <c r="H145" s="98">
        <v>615</v>
      </c>
      <c r="I145" s="98" t="s">
        <v>797</v>
      </c>
      <c r="J145" s="98" t="s">
        <v>726</v>
      </c>
      <c r="K145" s="83"/>
      <c r="L145" s="105"/>
      <c r="N145" s="73" t="s">
        <v>839</v>
      </c>
      <c r="O145" s="73" t="s">
        <v>823</v>
      </c>
      <c r="P145" s="73" t="s">
        <v>706</v>
      </c>
      <c r="Q145" s="73" t="s">
        <v>460</v>
      </c>
      <c r="R145" s="73">
        <v>833</v>
      </c>
    </row>
    <row r="146" spans="4:18" x14ac:dyDescent="0.35">
      <c r="D146" s="100">
        <v>103</v>
      </c>
      <c r="E146" s="100" t="s">
        <v>702</v>
      </c>
      <c r="F146" s="100" t="s">
        <v>816</v>
      </c>
      <c r="G146" s="100" t="s">
        <v>955</v>
      </c>
      <c r="H146" s="100">
        <v>612</v>
      </c>
      <c r="I146" s="100" t="s">
        <v>6</v>
      </c>
      <c r="J146" s="100"/>
      <c r="K146" s="83"/>
      <c r="L146" s="105"/>
      <c r="N146" s="73"/>
      <c r="O146" s="73"/>
      <c r="P146" s="73"/>
      <c r="Q146" s="73"/>
      <c r="R146" s="73"/>
    </row>
    <row r="147" spans="4:18" x14ac:dyDescent="0.35">
      <c r="D147" s="100"/>
      <c r="E147" s="100"/>
      <c r="F147" s="100"/>
      <c r="G147" s="100"/>
      <c r="H147" s="100"/>
      <c r="I147" s="100"/>
      <c r="J147" s="100"/>
      <c r="K147" s="83"/>
      <c r="L147" s="105"/>
      <c r="N147" s="73"/>
      <c r="O147" s="73"/>
      <c r="P147" s="73"/>
      <c r="Q147" s="73"/>
      <c r="R147" s="73"/>
    </row>
    <row r="148" spans="4:18" x14ac:dyDescent="0.35">
      <c r="D148" s="100">
        <v>104</v>
      </c>
      <c r="E148" s="100" t="s">
        <v>702</v>
      </c>
      <c r="F148" s="100" t="s">
        <v>816</v>
      </c>
      <c r="G148" s="100" t="s">
        <v>843</v>
      </c>
      <c r="H148" s="100">
        <v>612</v>
      </c>
      <c r="I148" s="100" t="s">
        <v>6</v>
      </c>
      <c r="J148" s="100"/>
      <c r="K148" s="83" t="s">
        <v>851</v>
      </c>
      <c r="L148" s="105"/>
      <c r="N148" s="73" t="s">
        <v>840</v>
      </c>
      <c r="O148" s="73" t="s">
        <v>771</v>
      </c>
      <c r="P148" s="73" t="s">
        <v>706</v>
      </c>
      <c r="Q148" s="73" t="s">
        <v>460</v>
      </c>
      <c r="R148" s="73">
        <v>907</v>
      </c>
    </row>
    <row r="149" spans="4:18" x14ac:dyDescent="0.35">
      <c r="D149" s="100">
        <v>105</v>
      </c>
      <c r="E149" s="100" t="s">
        <v>702</v>
      </c>
      <c r="F149" s="100" t="s">
        <v>816</v>
      </c>
      <c r="G149" s="100" t="s">
        <v>957</v>
      </c>
      <c r="H149" s="100">
        <v>621</v>
      </c>
      <c r="I149" s="100" t="s">
        <v>6</v>
      </c>
      <c r="J149" s="100"/>
      <c r="K149" s="83"/>
      <c r="L149" s="105"/>
      <c r="N149" s="73"/>
      <c r="O149" s="73"/>
      <c r="P149" s="73"/>
      <c r="Q149" s="73"/>
      <c r="R149" s="73"/>
    </row>
    <row r="150" spans="4:18" x14ac:dyDescent="0.35">
      <c r="D150" s="100"/>
      <c r="E150" s="100"/>
      <c r="F150" s="100"/>
      <c r="G150" s="100"/>
      <c r="H150" s="100"/>
      <c r="I150" s="100"/>
      <c r="J150" s="100"/>
      <c r="K150" s="83"/>
      <c r="L150" s="105"/>
      <c r="N150" s="73"/>
      <c r="O150" s="73"/>
      <c r="P150" s="73"/>
      <c r="Q150" s="73"/>
      <c r="R150" s="73"/>
    </row>
    <row r="151" spans="4:18" x14ac:dyDescent="0.35">
      <c r="D151" s="100">
        <v>106</v>
      </c>
      <c r="E151" s="100" t="s">
        <v>702</v>
      </c>
      <c r="F151" s="100" t="s">
        <v>816</v>
      </c>
      <c r="G151" s="100" t="s">
        <v>846</v>
      </c>
      <c r="H151" s="100">
        <v>621</v>
      </c>
      <c r="I151" s="100" t="s">
        <v>6</v>
      </c>
      <c r="J151" s="100"/>
      <c r="K151" s="83" t="s">
        <v>851</v>
      </c>
      <c r="L151" s="105"/>
      <c r="N151" s="73" t="s">
        <v>841</v>
      </c>
      <c r="O151" s="73" t="s">
        <v>111</v>
      </c>
      <c r="P151" s="73" t="s">
        <v>706</v>
      </c>
      <c r="Q151" s="73" t="s">
        <v>460</v>
      </c>
      <c r="R151" s="73">
        <v>647</v>
      </c>
    </row>
    <row r="152" spans="4:18" x14ac:dyDescent="0.35">
      <c r="D152" s="100">
        <v>107</v>
      </c>
      <c r="E152" s="100" t="s">
        <v>702</v>
      </c>
      <c r="F152" s="100" t="s">
        <v>816</v>
      </c>
      <c r="G152" s="100" t="s">
        <v>944</v>
      </c>
      <c r="H152" s="100">
        <v>626</v>
      </c>
      <c r="I152" s="100" t="s">
        <v>6</v>
      </c>
      <c r="J152" s="100"/>
      <c r="K152" s="83"/>
      <c r="L152" s="105"/>
      <c r="N152" s="73"/>
      <c r="O152" s="73"/>
      <c r="P152" s="73"/>
      <c r="Q152" s="73"/>
      <c r="R152" s="73"/>
    </row>
    <row r="153" spans="4:18" x14ac:dyDescent="0.35">
      <c r="D153" s="100"/>
      <c r="E153" s="100"/>
      <c r="F153" s="100"/>
      <c r="G153" s="100"/>
      <c r="H153" s="100"/>
      <c r="I153" s="100"/>
      <c r="J153" s="100"/>
      <c r="K153" s="83"/>
      <c r="L153" s="105"/>
      <c r="N153" s="73"/>
      <c r="O153" s="73"/>
      <c r="P153" s="73"/>
      <c r="Q153" s="73"/>
      <c r="R153" s="73"/>
    </row>
    <row r="154" spans="4:18" x14ac:dyDescent="0.35">
      <c r="D154" s="100">
        <v>108</v>
      </c>
      <c r="E154" s="100" t="s">
        <v>702</v>
      </c>
      <c r="F154" s="100" t="s">
        <v>816</v>
      </c>
      <c r="G154" s="100" t="s">
        <v>958</v>
      </c>
      <c r="H154" s="100">
        <v>626</v>
      </c>
      <c r="I154" s="100" t="s">
        <v>6</v>
      </c>
      <c r="J154" s="100"/>
      <c r="K154" s="83"/>
      <c r="L154" s="105"/>
      <c r="N154" s="73" t="s">
        <v>958</v>
      </c>
      <c r="O154" s="73" t="s">
        <v>738</v>
      </c>
      <c r="P154" s="73" t="s">
        <v>706</v>
      </c>
      <c r="Q154" s="73" t="s">
        <v>460</v>
      </c>
      <c r="R154" s="73"/>
    </row>
    <row r="155" spans="4:18" x14ac:dyDescent="0.35">
      <c r="D155" s="100">
        <v>109</v>
      </c>
      <c r="E155" s="100" t="s">
        <v>702</v>
      </c>
      <c r="F155" s="100" t="s">
        <v>816</v>
      </c>
      <c r="G155" s="100" t="s">
        <v>847</v>
      </c>
      <c r="H155" s="100">
        <v>626</v>
      </c>
      <c r="I155" s="100" t="s">
        <v>6</v>
      </c>
      <c r="J155" s="100"/>
      <c r="K155" s="83" t="s">
        <v>851</v>
      </c>
      <c r="L155" s="105"/>
      <c r="N155" s="73" t="s">
        <v>842</v>
      </c>
      <c r="O155" s="73" t="s">
        <v>818</v>
      </c>
      <c r="P155" s="73" t="s">
        <v>706</v>
      </c>
      <c r="Q155" s="73" t="s">
        <v>460</v>
      </c>
      <c r="R155" s="73">
        <v>911</v>
      </c>
    </row>
    <row r="156" spans="4:18" x14ac:dyDescent="0.35">
      <c r="D156" s="72">
        <v>110</v>
      </c>
      <c r="E156" s="72" t="s">
        <v>702</v>
      </c>
      <c r="F156" s="72">
        <v>10</v>
      </c>
      <c r="G156" s="72" t="s">
        <v>950</v>
      </c>
      <c r="H156" s="72">
        <v>612</v>
      </c>
      <c r="I156" s="72" t="s">
        <v>148</v>
      </c>
      <c r="J156" s="72"/>
      <c r="K156" s="83"/>
      <c r="L156" s="105"/>
      <c r="N156" s="73"/>
      <c r="O156" s="73"/>
      <c r="P156" s="73"/>
      <c r="Q156" s="73"/>
      <c r="R156" s="73"/>
    </row>
    <row r="157" spans="4:18" x14ac:dyDescent="0.35">
      <c r="D157" s="72"/>
      <c r="E157" s="72"/>
      <c r="F157" s="72"/>
      <c r="G157" s="72"/>
      <c r="H157" s="72"/>
      <c r="I157" s="72"/>
      <c r="J157" s="72"/>
      <c r="K157" s="83"/>
      <c r="L157" s="105"/>
      <c r="N157" s="73"/>
      <c r="O157" s="73"/>
      <c r="P157" s="73"/>
      <c r="Q157" s="73"/>
      <c r="R157" s="73"/>
    </row>
    <row r="158" spans="4:18" x14ac:dyDescent="0.35">
      <c r="D158" s="100">
        <v>111</v>
      </c>
      <c r="E158" s="72" t="s">
        <v>702</v>
      </c>
      <c r="F158" s="72">
        <v>10</v>
      </c>
      <c r="G158" s="72" t="s">
        <v>848</v>
      </c>
      <c r="H158" s="72">
        <v>612</v>
      </c>
      <c r="I158" s="72" t="s">
        <v>148</v>
      </c>
      <c r="J158" s="72" t="s">
        <v>726</v>
      </c>
      <c r="K158" s="83"/>
      <c r="L158" s="105"/>
      <c r="N158" s="73" t="s">
        <v>843</v>
      </c>
      <c r="O158" s="74">
        <v>611612</v>
      </c>
      <c r="P158" s="73" t="s">
        <v>706</v>
      </c>
      <c r="Q158" s="73" t="s">
        <v>844</v>
      </c>
      <c r="R158" s="73">
        <v>632</v>
      </c>
    </row>
    <row r="159" spans="4:18" x14ac:dyDescent="0.35">
      <c r="D159" s="100">
        <v>112</v>
      </c>
      <c r="E159" s="72" t="s">
        <v>702</v>
      </c>
      <c r="F159" s="72">
        <v>10</v>
      </c>
      <c r="G159" s="72" t="s">
        <v>947</v>
      </c>
      <c r="H159" s="72">
        <v>621</v>
      </c>
      <c r="I159" s="72" t="s">
        <v>148</v>
      </c>
      <c r="J159" s="72"/>
      <c r="K159" s="83"/>
      <c r="L159" s="105"/>
      <c r="N159" s="73"/>
      <c r="O159" s="74"/>
      <c r="P159" s="73"/>
      <c r="Q159" s="73"/>
      <c r="R159" s="73"/>
    </row>
    <row r="160" spans="4:18" x14ac:dyDescent="0.35">
      <c r="D160" s="100"/>
      <c r="E160" s="72"/>
      <c r="F160" s="72"/>
      <c r="G160" s="72"/>
      <c r="H160" s="72"/>
      <c r="I160" s="72"/>
      <c r="J160" s="72"/>
      <c r="K160" s="83"/>
      <c r="L160" s="105"/>
      <c r="N160" s="73"/>
      <c r="O160" s="74"/>
      <c r="P160" s="73"/>
      <c r="Q160" s="73"/>
      <c r="R160" s="73"/>
    </row>
    <row r="161" spans="4:18" x14ac:dyDescent="0.35">
      <c r="D161" s="100">
        <v>113</v>
      </c>
      <c r="E161" s="72" t="s">
        <v>702</v>
      </c>
      <c r="F161" s="72">
        <v>10</v>
      </c>
      <c r="G161" s="72" t="s">
        <v>849</v>
      </c>
      <c r="H161" s="72">
        <v>621</v>
      </c>
      <c r="I161" s="72" t="s">
        <v>148</v>
      </c>
      <c r="J161" s="72" t="s">
        <v>726</v>
      </c>
      <c r="K161" s="83"/>
      <c r="L161" s="105"/>
      <c r="N161" s="73" t="s">
        <v>846</v>
      </c>
      <c r="O161" s="73" t="s">
        <v>749</v>
      </c>
      <c r="P161" s="73">
        <v>3</v>
      </c>
      <c r="Q161" s="73" t="s">
        <v>460</v>
      </c>
      <c r="R161" s="73">
        <v>632</v>
      </c>
    </row>
    <row r="162" spans="4:18" x14ac:dyDescent="0.35">
      <c r="D162" s="72">
        <v>114</v>
      </c>
      <c r="E162" s="72" t="s">
        <v>702</v>
      </c>
      <c r="F162" s="72">
        <v>10</v>
      </c>
      <c r="G162" s="72" t="s">
        <v>952</v>
      </c>
      <c r="H162" s="72">
        <v>626</v>
      </c>
      <c r="I162" s="72" t="s">
        <v>148</v>
      </c>
      <c r="J162" s="72"/>
      <c r="K162" s="83"/>
      <c r="L162" s="105"/>
      <c r="N162" s="73"/>
      <c r="O162" s="73"/>
      <c r="P162" s="73"/>
      <c r="Q162" s="73"/>
      <c r="R162" s="73"/>
    </row>
    <row r="163" spans="4:18" x14ac:dyDescent="0.35">
      <c r="D163" s="72"/>
      <c r="E163" s="72"/>
      <c r="F163" s="72"/>
      <c r="G163" s="72"/>
      <c r="H163" s="72"/>
      <c r="I163" s="72"/>
      <c r="J163" s="72"/>
      <c r="K163" s="83"/>
      <c r="L163" s="105"/>
      <c r="N163" s="73"/>
      <c r="O163" s="73"/>
      <c r="P163" s="73"/>
      <c r="Q163" s="73"/>
      <c r="R163" s="73"/>
    </row>
    <row r="164" spans="4:18" x14ac:dyDescent="0.35">
      <c r="D164" s="100">
        <v>115</v>
      </c>
      <c r="E164" s="72" t="s">
        <v>702</v>
      </c>
      <c r="F164" s="72">
        <v>10</v>
      </c>
      <c r="G164" s="72" t="s">
        <v>850</v>
      </c>
      <c r="H164" s="72">
        <v>626</v>
      </c>
      <c r="I164" s="72" t="s">
        <v>148</v>
      </c>
      <c r="J164" s="72" t="s">
        <v>726</v>
      </c>
      <c r="K164" s="83"/>
      <c r="L164" s="105"/>
      <c r="N164" s="73" t="s">
        <v>847</v>
      </c>
      <c r="O164" s="73" t="s">
        <v>778</v>
      </c>
      <c r="P164" s="73" t="s">
        <v>706</v>
      </c>
      <c r="Q164" s="73" t="s">
        <v>736</v>
      </c>
      <c r="R164" s="73">
        <v>632</v>
      </c>
    </row>
    <row r="165" spans="4:18" x14ac:dyDescent="0.35">
      <c r="G165" s="103" t="s">
        <v>956</v>
      </c>
      <c r="H165" s="103">
        <v>626</v>
      </c>
      <c r="N165" s="73" t="s">
        <v>848</v>
      </c>
      <c r="O165" s="73" t="s">
        <v>711</v>
      </c>
      <c r="P165" s="73" t="s">
        <v>706</v>
      </c>
      <c r="Q165" s="73" t="s">
        <v>460</v>
      </c>
      <c r="R165" s="73">
        <v>632</v>
      </c>
    </row>
    <row r="166" spans="4:18" x14ac:dyDescent="0.35">
      <c r="N166" s="73" t="s">
        <v>849</v>
      </c>
      <c r="O166" s="73" t="s">
        <v>749</v>
      </c>
      <c r="P166" s="73" t="s">
        <v>706</v>
      </c>
      <c r="Q166" s="73" t="s">
        <v>460</v>
      </c>
      <c r="R166" s="73">
        <v>632</v>
      </c>
    </row>
    <row r="167" spans="4:18" x14ac:dyDescent="0.35">
      <c r="N167" s="73" t="s">
        <v>850</v>
      </c>
      <c r="O167" s="73" t="s">
        <v>738</v>
      </c>
      <c r="P167" s="73" t="s">
        <v>706</v>
      </c>
      <c r="Q167" s="73">
        <v>300155</v>
      </c>
      <c r="R167" s="73">
        <v>632</v>
      </c>
    </row>
    <row r="169" spans="4:18" ht="29" x14ac:dyDescent="0.35">
      <c r="H169" s="97" t="s">
        <v>935</v>
      </c>
      <c r="I169" t="s">
        <v>936</v>
      </c>
    </row>
    <row r="170" spans="4:18" x14ac:dyDescent="0.35">
      <c r="H170" t="s">
        <v>937</v>
      </c>
      <c r="I170" t="s">
        <v>938</v>
      </c>
    </row>
  </sheetData>
  <autoFilter ref="N1:R5" xr:uid="{EDB79D9B-7A16-4BE0-BD86-64EC1E4466D6}"/>
  <pageMargins left="0.7" right="0.7" top="0.75" bottom="0.75" header="0.3" footer="0.3"/>
  <ignoredErrors>
    <ignoredError sqref="F155 F148:F149 F2:F11 F152 F67:F68 F70:F71 F73:F74 F76:F77 F79:F80 F82:F83 F85:F86 F88:F89 F91:F92 F94:F95 F97:F98 F100:F101 F103:F104 F106:F107 F109:F110 F112:F113 F115:F116 F118:F119 F121:F122 F124:F125 F127:F128 F130:F131 F133:F134 F136:F137 F139:F140 F142:F143 F145:F146 F64:F65 F61:F62 F58:F59 F55:F56 F52:F53 F49:F50 F46:F47 F43:F44 F40:F41 F37:F38 F34:F35 F31:F32 F27:F29 F24:F25 F13:F22"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D33B0-3C28-4BF4-B450-A3A65315AF27}">
  <dimension ref="A1:P226"/>
  <sheetViews>
    <sheetView tabSelected="1" zoomScale="55" zoomScaleNormal="55" workbookViewId="0">
      <selection activeCell="E5" sqref="E5"/>
    </sheetView>
  </sheetViews>
  <sheetFormatPr baseColWidth="10" defaultRowHeight="14.5" x14ac:dyDescent="0.35"/>
  <cols>
    <col min="3" max="3" width="3.1796875" bestFit="1" customWidth="1"/>
    <col min="4" max="4" width="14.54296875" customWidth="1"/>
    <col min="5" max="5" width="15.54296875" customWidth="1"/>
    <col min="6" max="6" width="9.54296875" customWidth="1"/>
    <col min="7" max="7" width="21" bestFit="1" customWidth="1"/>
    <col min="9" max="9" width="17.1796875" customWidth="1"/>
    <col min="10" max="10" width="11.453125" customWidth="1"/>
    <col min="11" max="11" width="12.08984375" customWidth="1"/>
    <col min="13" max="13" width="88" customWidth="1"/>
    <col min="14" max="14" width="83.90625" bestFit="1" customWidth="1"/>
    <col min="15" max="15" width="85.81640625" customWidth="1"/>
    <col min="16" max="16" width="70.81640625" bestFit="1" customWidth="1"/>
  </cols>
  <sheetData>
    <row r="1" spans="1:16" ht="26" x14ac:dyDescent="0.35">
      <c r="C1" s="112" t="s">
        <v>560</v>
      </c>
      <c r="D1" s="112" t="s">
        <v>561</v>
      </c>
      <c r="E1" s="112" t="s">
        <v>562</v>
      </c>
      <c r="F1" s="112" t="s">
        <v>727</v>
      </c>
      <c r="G1" s="112" t="s">
        <v>1131</v>
      </c>
      <c r="H1" s="112" t="s">
        <v>578</v>
      </c>
      <c r="I1" s="112" t="s">
        <v>587</v>
      </c>
      <c r="J1" s="112" t="s">
        <v>707</v>
      </c>
      <c r="K1" s="112" t="s">
        <v>1132</v>
      </c>
      <c r="L1" s="127"/>
      <c r="M1" s="128" t="s">
        <v>1133</v>
      </c>
      <c r="N1" s="128" t="s">
        <v>1134</v>
      </c>
      <c r="P1" s="128" t="s">
        <v>1137</v>
      </c>
    </row>
    <row r="2" spans="1:16" ht="29" x14ac:dyDescent="0.35">
      <c r="A2" s="129" t="s">
        <v>1136</v>
      </c>
      <c r="B2" s="130" t="s">
        <v>1135</v>
      </c>
      <c r="C2" s="106">
        <v>1</v>
      </c>
      <c r="D2" s="106" t="s">
        <v>1088</v>
      </c>
      <c r="E2" s="72" t="s">
        <v>1014</v>
      </c>
      <c r="F2" s="106" t="s">
        <v>711</v>
      </c>
      <c r="G2" s="125" t="s">
        <v>1120</v>
      </c>
      <c r="H2" s="106">
        <v>3</v>
      </c>
      <c r="I2" s="106" t="s">
        <v>460</v>
      </c>
      <c r="J2" s="106">
        <v>31</v>
      </c>
      <c r="K2" s="106"/>
      <c r="L2" s="127"/>
      <c r="M2" s="124" t="str">
        <f>CONCATENATE("||",D2,"|",E2,"|",C2,"|",G2,"|","Petición firmada por el Receptor","||")</f>
        <v>||CONY930128TI4|EUDD720430MF4|1|30001000000500010884|Petición firmada por el Receptor||</v>
      </c>
      <c r="N2" s="131" t="str">
        <f>CONCATENATE("||","SPR190613I52","|",A2,"|",B2,"|","Petición firmada por el Receptor","||")</f>
        <v>||SPR190613I52|10-03-2026 18:00:00|30001000000500003456|Petición firmada por el Receptor||</v>
      </c>
      <c r="O2" s="132" t="str">
        <f t="shared" ref="O2:O65" si="0">CONCATENATE(M2, CHAR(10), N2)</f>
        <v>||CONY930128TI4|EUDD720430MF4|1|30001000000500010884|Petición firmada por el Receptor||
||SPR190613I52|10-03-2026 18:00:00|30001000000500003456|Petición firmada por el Receptor||</v>
      </c>
      <c r="P2" s="133" t="s">
        <v>1138</v>
      </c>
    </row>
    <row r="3" spans="1:16" ht="29" x14ac:dyDescent="0.35">
      <c r="A3" s="129" t="s">
        <v>1136</v>
      </c>
      <c r="B3" s="130" t="s">
        <v>1135</v>
      </c>
      <c r="C3" s="106">
        <v>1</v>
      </c>
      <c r="D3" s="106" t="s">
        <v>1089</v>
      </c>
      <c r="E3" s="72" t="s">
        <v>1014</v>
      </c>
      <c r="F3" s="106" t="s">
        <v>749</v>
      </c>
      <c r="G3" s="125" t="s">
        <v>1120</v>
      </c>
      <c r="H3" s="106">
        <v>3</v>
      </c>
      <c r="I3" s="106" t="s">
        <v>460</v>
      </c>
      <c r="J3" s="106">
        <v>32</v>
      </c>
      <c r="K3" s="106"/>
      <c r="L3" s="127"/>
      <c r="M3" s="124" t="str">
        <f>CONCATENATE("||",D3,"|",E3,"|",C3,"|",G3,"|","Petición firmada por el Receptor","||")</f>
        <v>||GUGO830829771|EUDD720430MF4|1|30001000000500010884|Petición firmada por el Receptor||</v>
      </c>
      <c r="N3" s="131" t="str">
        <f t="shared" ref="N3:N66" si="1">CONCATENATE("||","SPR190613I52","|",A3,"|",B3,"|","Petición firmada por el Receptor","||")</f>
        <v>||SPR190613I52|10-03-2026 18:00:00|30001000000500003456|Petición firmada por el Receptor||</v>
      </c>
      <c r="O3" s="132" t="str">
        <f t="shared" si="0"/>
        <v>||GUGO830829771|EUDD720430MF4|1|30001000000500010884|Petición firmada por el Receptor||
||SPR190613I52|10-03-2026 18:00:00|30001000000500003456|Petición firmada por el Receptor||</v>
      </c>
    </row>
    <row r="4" spans="1:16" ht="29" x14ac:dyDescent="0.35">
      <c r="A4" s="129" t="s">
        <v>1136</v>
      </c>
      <c r="B4" s="130" t="s">
        <v>1135</v>
      </c>
      <c r="C4" s="106">
        <v>1</v>
      </c>
      <c r="D4" s="106" t="s">
        <v>1090</v>
      </c>
      <c r="E4" s="72" t="s">
        <v>1014</v>
      </c>
      <c r="F4" s="106" t="s">
        <v>738</v>
      </c>
      <c r="G4" s="125" t="s">
        <v>1120</v>
      </c>
      <c r="H4" s="106">
        <v>19</v>
      </c>
      <c r="I4" s="106" t="s">
        <v>460</v>
      </c>
      <c r="J4" s="106">
        <v>33</v>
      </c>
      <c r="K4" s="106"/>
      <c r="L4" s="127"/>
      <c r="M4" s="124" t="str">
        <f t="shared" ref="M4:M14" si="2">CONCATENATE("||",D4,"|",E4,"|",C4,"|",G4,"|","Petición firmada por el Receptor","||")</f>
        <v>||RIAA930329U12|EUDD720430MF4|1|30001000000500010884|Petición firmada por el Receptor||</v>
      </c>
      <c r="N4" s="131" t="str">
        <f t="shared" si="1"/>
        <v>||SPR190613I52|10-03-2026 18:00:00|30001000000500003456|Petición firmada por el Receptor||</v>
      </c>
      <c r="O4" s="132" t="str">
        <f t="shared" si="0"/>
        <v>||RIAA930329U12|EUDD720430MF4|1|30001000000500010884|Petición firmada por el Receptor||
||SPR190613I52|10-03-2026 18:00:00|30001000000500003456|Petición firmada por el Receptor||</v>
      </c>
    </row>
    <row r="5" spans="1:16" ht="29" x14ac:dyDescent="0.35">
      <c r="A5" s="129" t="s">
        <v>1136</v>
      </c>
      <c r="B5" s="130" t="s">
        <v>1135</v>
      </c>
      <c r="C5" s="106">
        <v>1</v>
      </c>
      <c r="D5" s="106" t="s">
        <v>1091</v>
      </c>
      <c r="E5" s="72" t="s">
        <v>1014</v>
      </c>
      <c r="F5" s="106" t="s">
        <v>778</v>
      </c>
      <c r="G5" s="125" t="s">
        <v>1120</v>
      </c>
      <c r="H5" s="106">
        <v>20</v>
      </c>
      <c r="I5" s="106" t="s">
        <v>1046</v>
      </c>
      <c r="J5" s="106">
        <v>34</v>
      </c>
      <c r="K5" s="106"/>
      <c r="L5" s="127"/>
      <c r="M5" s="124" t="str">
        <f t="shared" si="2"/>
        <v>||BAEM630119JD2|EUDD720430MF4|1|30001000000500010884|Petición firmada por el Receptor||</v>
      </c>
      <c r="N5" s="131" t="str">
        <f t="shared" si="1"/>
        <v>||SPR190613I52|10-03-2026 18:00:00|30001000000500003456|Petición firmada por el Receptor||</v>
      </c>
      <c r="O5" s="132" t="str">
        <f t="shared" si="0"/>
        <v>||BAEM630119JD2|EUDD720430MF4|1|30001000000500010884|Petición firmada por el Receptor||
||SPR190613I52|10-03-2026 18:00:00|30001000000500003456|Petición firmada por el Receptor||</v>
      </c>
    </row>
    <row r="6" spans="1:16" ht="29" x14ac:dyDescent="0.35">
      <c r="A6" s="129" t="s">
        <v>1136</v>
      </c>
      <c r="B6" s="130" t="s">
        <v>1135</v>
      </c>
      <c r="C6" s="106">
        <v>1</v>
      </c>
      <c r="D6" s="106" t="s">
        <v>1092</v>
      </c>
      <c r="E6" s="72" t="s">
        <v>1014</v>
      </c>
      <c r="F6" s="106" t="s">
        <v>711</v>
      </c>
      <c r="G6" s="125" t="s">
        <v>1120</v>
      </c>
      <c r="H6" s="106">
        <v>21</v>
      </c>
      <c r="I6" s="106">
        <v>300155</v>
      </c>
      <c r="J6" s="106">
        <v>35</v>
      </c>
      <c r="K6" s="106"/>
      <c r="L6" s="127"/>
      <c r="M6" s="124" t="str">
        <f t="shared" si="2"/>
        <v>||BAFO7711095H7|EUDD720430MF4|1|30001000000500010884|Petición firmada por el Receptor||</v>
      </c>
      <c r="N6" s="131" t="str">
        <f t="shared" si="1"/>
        <v>||SPR190613I52|10-03-2026 18:00:00|30001000000500003456|Petición firmada por el Receptor||</v>
      </c>
      <c r="O6" s="132" t="str">
        <f t="shared" si="0"/>
        <v>||BAFO7711095H7|EUDD720430MF4|1|30001000000500010884|Petición firmada por el Receptor||
||SPR190613I52|10-03-2026 18:00:00|30001000000500003456|Petición firmada por el Receptor||</v>
      </c>
    </row>
    <row r="7" spans="1:16" ht="29" x14ac:dyDescent="0.35">
      <c r="A7" s="129" t="s">
        <v>1136</v>
      </c>
      <c r="B7" s="130" t="s">
        <v>1135</v>
      </c>
      <c r="C7" s="106">
        <v>1</v>
      </c>
      <c r="D7" s="106" t="s">
        <v>1093</v>
      </c>
      <c r="E7" s="72" t="s">
        <v>1014</v>
      </c>
      <c r="F7" s="106" t="s">
        <v>749</v>
      </c>
      <c r="G7" s="125" t="s">
        <v>1120</v>
      </c>
      <c r="H7" s="106">
        <v>26</v>
      </c>
      <c r="I7" s="106">
        <v>300155</v>
      </c>
      <c r="J7" s="106">
        <v>36</v>
      </c>
      <c r="K7" s="106"/>
      <c r="L7" s="127"/>
      <c r="M7" s="124" t="str">
        <f t="shared" si="2"/>
        <v>||RIGA9805198N2|EUDD720430MF4|1|30001000000500010884|Petición firmada por el Receptor||</v>
      </c>
      <c r="N7" s="131" t="str">
        <f t="shared" si="1"/>
        <v>||SPR190613I52|10-03-2026 18:00:00|30001000000500003456|Petición firmada por el Receptor||</v>
      </c>
      <c r="O7" s="132" t="str">
        <f t="shared" si="0"/>
        <v>||RIGA9805198N2|EUDD720430MF4|1|30001000000500010884|Petición firmada por el Receptor||
||SPR190613I52|10-03-2026 18:00:00|30001000000500003456|Petición firmada por el Receptor||</v>
      </c>
    </row>
    <row r="8" spans="1:16" ht="29" x14ac:dyDescent="0.35">
      <c r="A8" s="129" t="s">
        <v>1136</v>
      </c>
      <c r="B8" s="130" t="s">
        <v>1135</v>
      </c>
      <c r="C8" s="106">
        <v>1</v>
      </c>
      <c r="D8" s="106" t="s">
        <v>1094</v>
      </c>
      <c r="E8" s="72" t="s">
        <v>1014</v>
      </c>
      <c r="F8" s="106" t="s">
        <v>738</v>
      </c>
      <c r="G8" s="125" t="s">
        <v>1120</v>
      </c>
      <c r="H8" s="106">
        <v>27</v>
      </c>
      <c r="I8" s="106" t="s">
        <v>460</v>
      </c>
      <c r="J8" s="106">
        <v>37</v>
      </c>
      <c r="K8" s="106"/>
      <c r="L8" s="127"/>
      <c r="M8" s="124" t="str">
        <f t="shared" si="2"/>
        <v>||BACA910217FH7|EUDD720430MF4|1|30001000000500010884|Petición firmada por el Receptor||</v>
      </c>
      <c r="N8" s="131" t="str">
        <f t="shared" si="1"/>
        <v>||SPR190613I52|10-03-2026 18:00:00|30001000000500003456|Petición firmada por el Receptor||</v>
      </c>
      <c r="O8" s="132" t="str">
        <f t="shared" si="0"/>
        <v>||BACA910217FH7|EUDD720430MF4|1|30001000000500010884|Petición firmada por el Receptor||
||SPR190613I52|10-03-2026 18:00:00|30001000000500003456|Petición firmada por el Receptor||</v>
      </c>
    </row>
    <row r="9" spans="1:16" ht="29" x14ac:dyDescent="0.35">
      <c r="A9" s="129" t="s">
        <v>1136</v>
      </c>
      <c r="B9" s="130" t="s">
        <v>1135</v>
      </c>
      <c r="C9" s="106">
        <v>1</v>
      </c>
      <c r="D9" s="106" t="s">
        <v>1095</v>
      </c>
      <c r="E9" s="72" t="s">
        <v>1014</v>
      </c>
      <c r="F9" s="106" t="s">
        <v>1025</v>
      </c>
      <c r="G9" s="125" t="s">
        <v>1120</v>
      </c>
      <c r="H9" s="106">
        <v>28</v>
      </c>
      <c r="I9" s="106">
        <v>300056</v>
      </c>
      <c r="J9" s="106">
        <v>38</v>
      </c>
      <c r="K9" s="106"/>
      <c r="L9" s="127"/>
      <c r="M9" s="124" t="str">
        <f t="shared" si="2"/>
        <v>||PAJJ871105C29|EUDD720430MF4|1|30001000000500010884|Petición firmada por el Receptor||</v>
      </c>
      <c r="N9" s="131" t="str">
        <f t="shared" si="1"/>
        <v>||SPR190613I52|10-03-2026 18:00:00|30001000000500003456|Petición firmada por el Receptor||</v>
      </c>
      <c r="O9" s="132" t="str">
        <f t="shared" si="0"/>
        <v>||PAJJ871105C29|EUDD720430MF4|1|30001000000500010884|Petición firmada por el Receptor||
||SPR190613I52|10-03-2026 18:00:00|30001000000500003456|Petición firmada por el Receptor||</v>
      </c>
    </row>
    <row r="10" spans="1:16" ht="29" x14ac:dyDescent="0.35">
      <c r="A10" s="129" t="s">
        <v>1136</v>
      </c>
      <c r="B10" s="130" t="s">
        <v>1135</v>
      </c>
      <c r="C10" s="106">
        <v>1</v>
      </c>
      <c r="D10" s="106" t="s">
        <v>1096</v>
      </c>
      <c r="E10" s="72" t="s">
        <v>1014</v>
      </c>
      <c r="F10" s="106" t="s">
        <v>735</v>
      </c>
      <c r="G10" s="125" t="s">
        <v>1120</v>
      </c>
      <c r="H10" s="106">
        <v>40</v>
      </c>
      <c r="I10" s="106" t="s">
        <v>1046</v>
      </c>
      <c r="J10" s="106">
        <v>39</v>
      </c>
      <c r="K10" s="106"/>
      <c r="L10" s="127"/>
      <c r="M10" s="124" t="str">
        <f t="shared" si="2"/>
        <v>||GUCC930316GIA|EUDD720430MF4|1|30001000000500010884|Petición firmada por el Receptor||</v>
      </c>
      <c r="N10" s="131" t="str">
        <f t="shared" si="1"/>
        <v>||SPR190613I52|10-03-2026 18:00:00|30001000000500003456|Petición firmada por el Receptor||</v>
      </c>
      <c r="O10" s="132" t="str">
        <f t="shared" si="0"/>
        <v>||GUCC930316GIA|EUDD720430MF4|1|30001000000500010884|Petición firmada por el Receptor||
||SPR190613I52|10-03-2026 18:00:00|30001000000500003456|Petición firmada por el Receptor||</v>
      </c>
    </row>
    <row r="11" spans="1:16" ht="29" x14ac:dyDescent="0.35">
      <c r="A11" s="129" t="s">
        <v>1136</v>
      </c>
      <c r="B11" s="130" t="s">
        <v>1135</v>
      </c>
      <c r="C11" s="106">
        <v>1</v>
      </c>
      <c r="D11" s="106" t="s">
        <v>1014</v>
      </c>
      <c r="E11" s="72" t="s">
        <v>1014</v>
      </c>
      <c r="F11" s="106" t="s">
        <v>711</v>
      </c>
      <c r="G11" s="125" t="s">
        <v>1120</v>
      </c>
      <c r="H11" s="106" t="s">
        <v>706</v>
      </c>
      <c r="I11" s="106">
        <v>300155</v>
      </c>
      <c r="J11" s="106">
        <v>40</v>
      </c>
      <c r="K11" s="106"/>
      <c r="L11" s="127"/>
      <c r="M11" s="124" t="str">
        <f t="shared" si="2"/>
        <v>||EUDD720430MF4|EUDD720430MF4|1|30001000000500010884|Petición firmada por el Receptor||</v>
      </c>
      <c r="N11" s="131" t="str">
        <f t="shared" si="1"/>
        <v>||SPR190613I52|10-03-2026 18:00:00|30001000000500003456|Petición firmada por el Receptor||</v>
      </c>
      <c r="O11" s="132" t="str">
        <f t="shared" si="0"/>
        <v>||EUDD720430MF4|EUDD720430MF4|1|30001000000500010884|Petición firmada por el Receptor||
||SPR190613I52|10-03-2026 18:00:00|30001000000500003456|Petición firmada por el Receptor||</v>
      </c>
    </row>
    <row r="12" spans="1:16" ht="29" x14ac:dyDescent="0.35">
      <c r="A12" s="129" t="s">
        <v>1136</v>
      </c>
      <c r="B12" s="130" t="s">
        <v>1135</v>
      </c>
      <c r="C12" s="106">
        <v>1</v>
      </c>
      <c r="D12" s="106" t="s">
        <v>1015</v>
      </c>
      <c r="E12" s="72" t="s">
        <v>1014</v>
      </c>
      <c r="F12" s="106" t="s">
        <v>735</v>
      </c>
      <c r="G12" s="125" t="s">
        <v>1120</v>
      </c>
      <c r="H12" s="106" t="s">
        <v>706</v>
      </c>
      <c r="I12" s="106" t="s">
        <v>736</v>
      </c>
      <c r="J12" s="106">
        <v>41</v>
      </c>
      <c r="K12" s="106"/>
      <c r="L12" s="127"/>
      <c r="M12" s="124" t="str">
        <f t="shared" si="2"/>
        <v>||EUPD531207DQ9|EUDD720430MF4|1|30001000000500010884|Petición firmada por el Receptor||</v>
      </c>
      <c r="N12" s="131" t="str">
        <f t="shared" si="1"/>
        <v>||SPR190613I52|10-03-2026 18:00:00|30001000000500003456|Petición firmada por el Receptor||</v>
      </c>
      <c r="O12" s="132" t="str">
        <f t="shared" si="0"/>
        <v>||EUPD531207DQ9|EUDD720430MF4|1|30001000000500010884|Petición firmada por el Receptor||
||SPR190613I52|10-03-2026 18:00:00|30001000000500003456|Petición firmada por el Receptor||</v>
      </c>
    </row>
    <row r="13" spans="1:16" ht="29" x14ac:dyDescent="0.35">
      <c r="A13" s="129" t="s">
        <v>1136</v>
      </c>
      <c r="B13" s="130" t="s">
        <v>1135</v>
      </c>
      <c r="C13" s="106">
        <v>1</v>
      </c>
      <c r="D13" s="106" t="s">
        <v>1016</v>
      </c>
      <c r="E13" s="72" t="s">
        <v>1014</v>
      </c>
      <c r="F13" s="106" t="s">
        <v>738</v>
      </c>
      <c r="G13" s="125" t="s">
        <v>1120</v>
      </c>
      <c r="H13" s="106" t="s">
        <v>706</v>
      </c>
      <c r="I13" s="106" t="s">
        <v>460</v>
      </c>
      <c r="J13" s="106">
        <v>42</v>
      </c>
      <c r="K13" s="106"/>
      <c r="L13" s="127"/>
      <c r="M13" s="124" t="str">
        <f t="shared" si="2"/>
        <v>||PEPH660719GP7|EUDD720430MF4|1|30001000000500010884|Petición firmada por el Receptor||</v>
      </c>
      <c r="N13" s="131" t="str">
        <f t="shared" si="1"/>
        <v>||SPR190613I52|10-03-2026 18:00:00|30001000000500003456|Petición firmada por el Receptor||</v>
      </c>
      <c r="O13" s="132" t="str">
        <f t="shared" si="0"/>
        <v>||PEPH660719GP7|EUDD720430MF4|1|30001000000500010884|Petición firmada por el Receptor||
||SPR190613I52|10-03-2026 18:00:00|30001000000500003456|Petición firmada por el Receptor||</v>
      </c>
    </row>
    <row r="14" spans="1:16" ht="29" x14ac:dyDescent="0.35">
      <c r="A14" s="129" t="s">
        <v>1136</v>
      </c>
      <c r="B14" s="130" t="s">
        <v>1135</v>
      </c>
      <c r="C14" s="106">
        <v>1</v>
      </c>
      <c r="D14" s="106" t="s">
        <v>1017</v>
      </c>
      <c r="E14" s="72" t="s">
        <v>1014</v>
      </c>
      <c r="F14" s="106" t="s">
        <v>711</v>
      </c>
      <c r="G14" s="125" t="s">
        <v>1120</v>
      </c>
      <c r="H14" s="106">
        <v>3</v>
      </c>
      <c r="I14" s="106" t="s">
        <v>1018</v>
      </c>
      <c r="J14" s="106">
        <v>43</v>
      </c>
      <c r="K14" s="106"/>
      <c r="L14" s="127"/>
      <c r="M14" s="124" t="str">
        <f t="shared" si="2"/>
        <v>||MABJ861003PW1|EUDD720430MF4|1|30001000000500010884|Petición firmada por el Receptor||</v>
      </c>
      <c r="N14" s="131" t="str">
        <f t="shared" si="1"/>
        <v>||SPR190613I52|10-03-2026 18:00:00|30001000000500003456|Petición firmada por el Receptor||</v>
      </c>
      <c r="O14" s="132" t="str">
        <f t="shared" si="0"/>
        <v>||MABJ861003PW1|EUDD720430MF4|1|30001000000500010884|Petición firmada por el Receptor||
||SPR190613I52|10-03-2026 18:00:00|30001000000500003456|Petición firmada por el Receptor||</v>
      </c>
    </row>
    <row r="15" spans="1:16" ht="29" x14ac:dyDescent="0.35">
      <c r="A15" s="129" t="s">
        <v>1136</v>
      </c>
      <c r="B15" s="130" t="s">
        <v>1135</v>
      </c>
      <c r="C15" s="106">
        <v>1</v>
      </c>
      <c r="D15" s="106" t="s">
        <v>1019</v>
      </c>
      <c r="E15" s="72" t="s">
        <v>1014</v>
      </c>
      <c r="F15" s="106" t="s">
        <v>749</v>
      </c>
      <c r="G15" s="125" t="s">
        <v>1120</v>
      </c>
      <c r="H15" s="106">
        <v>19</v>
      </c>
      <c r="I15" s="106" t="s">
        <v>460</v>
      </c>
      <c r="J15" s="106">
        <v>44</v>
      </c>
      <c r="K15" s="106"/>
      <c r="L15" s="127"/>
      <c r="M15" s="124" t="str">
        <f>CONCATENATE("||",D15,"|",E15,"|",C15,"|",G15,"|","Petición firmada por el Receptor","||")</f>
        <v>||AAMT450528NI0	|EUDD720430MF4|1|30001000000500010884|Petición firmada por el Receptor||</v>
      </c>
      <c r="N15" s="131" t="str">
        <f t="shared" si="1"/>
        <v>||SPR190613I52|10-03-2026 18:00:00|30001000000500003456|Petición firmada por el Receptor||</v>
      </c>
      <c r="O15" s="132" t="str">
        <f t="shared" si="0"/>
        <v>||AAMT450528NI0	|EUDD720430MF4|1|30001000000500010884|Petición firmada por el Receptor||
||SPR190613I52|10-03-2026 18:00:00|30001000000500003456|Petición firmada por el Receptor||</v>
      </c>
    </row>
    <row r="16" spans="1:16" ht="29" x14ac:dyDescent="0.35">
      <c r="A16" s="129" t="s">
        <v>1136</v>
      </c>
      <c r="B16" s="130" t="s">
        <v>1135</v>
      </c>
      <c r="C16" s="106">
        <v>1</v>
      </c>
      <c r="D16" s="106" t="s">
        <v>1020</v>
      </c>
      <c r="E16" s="72" t="s">
        <v>1014</v>
      </c>
      <c r="F16" s="106" t="s">
        <v>738</v>
      </c>
      <c r="G16" s="125" t="s">
        <v>1120</v>
      </c>
      <c r="H16" s="106">
        <v>20</v>
      </c>
      <c r="I16" s="106">
        <v>300155</v>
      </c>
      <c r="J16" s="106">
        <v>45</v>
      </c>
      <c r="K16" s="106"/>
      <c r="L16" s="127"/>
      <c r="M16" s="124" t="str">
        <f>CONCATENATE("||",D16,"|",E16,"|",C16,"|",G16,"|","Petición firmada por el Receptor","||")</f>
        <v>||BAZA6106176K9	|EUDD720430MF4|1|30001000000500010884|Petición firmada por el Receptor||</v>
      </c>
      <c r="N16" s="131" t="str">
        <f t="shared" si="1"/>
        <v>||SPR190613I52|10-03-2026 18:00:00|30001000000500003456|Petición firmada por el Receptor||</v>
      </c>
      <c r="O16" s="132" t="str">
        <f t="shared" si="0"/>
        <v>||BAZA6106176K9	|EUDD720430MF4|1|30001000000500010884|Petición firmada por el Receptor||
||SPR190613I52|10-03-2026 18:00:00|30001000000500003456|Petición firmada por el Receptor||</v>
      </c>
    </row>
    <row r="17" spans="1:15" ht="29" x14ac:dyDescent="0.35">
      <c r="A17" s="129" t="s">
        <v>1136</v>
      </c>
      <c r="B17" s="130" t="s">
        <v>1135</v>
      </c>
      <c r="C17" s="106">
        <v>1</v>
      </c>
      <c r="D17" s="106" t="s">
        <v>1021</v>
      </c>
      <c r="E17" s="72" t="s">
        <v>1014</v>
      </c>
      <c r="F17" s="106" t="s">
        <v>711</v>
      </c>
      <c r="G17" s="125" t="s">
        <v>1120</v>
      </c>
      <c r="H17" s="106">
        <v>21</v>
      </c>
      <c r="I17" s="106" t="s">
        <v>460</v>
      </c>
      <c r="J17" s="106">
        <v>46</v>
      </c>
      <c r="K17" s="106"/>
      <c r="L17" s="127"/>
      <c r="M17" s="124" t="str">
        <f t="shared" ref="M17:M20" si="3">CONCATENATE("||",D17,"|",E17,"|",C17,"|",G17,"|","Petición firmada por el Receptor","||")</f>
        <v>||AAUR760114I12	|EUDD720430MF4|1|30001000000500010884|Petición firmada por el Receptor||</v>
      </c>
      <c r="N17" s="131" t="str">
        <f t="shared" si="1"/>
        <v>||SPR190613I52|10-03-2026 18:00:00|30001000000500003456|Petición firmada por el Receptor||</v>
      </c>
      <c r="O17" s="132" t="str">
        <f t="shared" si="0"/>
        <v>||AAUR760114I12	|EUDD720430MF4|1|30001000000500010884|Petición firmada por el Receptor||
||SPR190613I52|10-03-2026 18:00:00|30001000000500003456|Petición firmada por el Receptor||</v>
      </c>
    </row>
    <row r="18" spans="1:15" ht="29" x14ac:dyDescent="0.35">
      <c r="A18" s="129" t="s">
        <v>1136</v>
      </c>
      <c r="B18" s="130" t="s">
        <v>1135</v>
      </c>
      <c r="C18" s="106">
        <v>1</v>
      </c>
      <c r="D18" s="106" t="s">
        <v>1022</v>
      </c>
      <c r="E18" s="72" t="s">
        <v>1014</v>
      </c>
      <c r="F18" s="106" t="s">
        <v>749</v>
      </c>
      <c r="G18" s="125" t="s">
        <v>1120</v>
      </c>
      <c r="H18" s="106">
        <v>26</v>
      </c>
      <c r="I18" s="106" t="s">
        <v>460</v>
      </c>
      <c r="J18" s="106">
        <v>47</v>
      </c>
      <c r="K18" s="106"/>
      <c r="L18" s="127"/>
      <c r="M18" s="124" t="str">
        <f t="shared" si="3"/>
        <v>||AAML920925E50|EUDD720430MF4|1|30001000000500010884|Petición firmada por el Receptor||</v>
      </c>
      <c r="N18" s="131" t="str">
        <f t="shared" si="1"/>
        <v>||SPR190613I52|10-03-2026 18:00:00|30001000000500003456|Petición firmada por el Receptor||</v>
      </c>
      <c r="O18" s="132" t="str">
        <f t="shared" si="0"/>
        <v>||AAML920925E50|EUDD720430MF4|1|30001000000500010884|Petición firmada por el Receptor||
||SPR190613I52|10-03-2026 18:00:00|30001000000500003456|Petición firmada por el Receptor||</v>
      </c>
    </row>
    <row r="19" spans="1:15" ht="29" x14ac:dyDescent="0.35">
      <c r="A19" s="129" t="s">
        <v>1136</v>
      </c>
      <c r="B19" s="130" t="s">
        <v>1135</v>
      </c>
      <c r="C19" s="106">
        <v>1</v>
      </c>
      <c r="D19" s="106" t="s">
        <v>1023</v>
      </c>
      <c r="E19" s="72" t="s">
        <v>1014</v>
      </c>
      <c r="F19" s="106" t="s">
        <v>738</v>
      </c>
      <c r="G19" s="125" t="s">
        <v>1120</v>
      </c>
      <c r="H19" s="106">
        <v>27</v>
      </c>
      <c r="I19" s="106" t="s">
        <v>460</v>
      </c>
      <c r="J19" s="106">
        <v>48</v>
      </c>
      <c r="K19" s="106"/>
      <c r="L19" s="127"/>
      <c r="M19" s="124" t="str">
        <f t="shared" si="3"/>
        <v>||AACL9007138A5|EUDD720430MF4|1|30001000000500010884|Petición firmada por el Receptor||</v>
      </c>
      <c r="N19" s="131" t="str">
        <f t="shared" si="1"/>
        <v>||SPR190613I52|10-03-2026 18:00:00|30001000000500003456|Petición firmada por el Receptor||</v>
      </c>
      <c r="O19" s="132" t="str">
        <f t="shared" si="0"/>
        <v>||AACL9007138A5|EUDD720430MF4|1|30001000000500010884|Petición firmada por el Receptor||
||SPR190613I52|10-03-2026 18:00:00|30001000000500003456|Petición firmada por el Receptor||</v>
      </c>
    </row>
    <row r="20" spans="1:15" ht="29" x14ac:dyDescent="0.35">
      <c r="A20" s="129" t="s">
        <v>1136</v>
      </c>
      <c r="B20" s="130" t="s">
        <v>1135</v>
      </c>
      <c r="C20" s="106">
        <v>1</v>
      </c>
      <c r="D20" s="106" t="s">
        <v>1024</v>
      </c>
      <c r="E20" s="72" t="s">
        <v>1014</v>
      </c>
      <c r="F20" s="106" t="s">
        <v>1025</v>
      </c>
      <c r="G20" s="125" t="s">
        <v>1120</v>
      </c>
      <c r="H20" s="106">
        <v>28</v>
      </c>
      <c r="I20" s="106" t="s">
        <v>1027</v>
      </c>
      <c r="J20" s="106">
        <v>49</v>
      </c>
      <c r="K20" s="106"/>
      <c r="L20" s="127"/>
      <c r="M20" s="124" t="str">
        <f t="shared" si="3"/>
        <v>||PELL910719K92|EUDD720430MF4|1|30001000000500010884|Petición firmada por el Receptor||</v>
      </c>
      <c r="N20" s="131" t="str">
        <f t="shared" si="1"/>
        <v>||SPR190613I52|10-03-2026 18:00:00|30001000000500003456|Petición firmada por el Receptor||</v>
      </c>
      <c r="O20" s="132" t="str">
        <f t="shared" si="0"/>
        <v>||PELL910719K92|EUDD720430MF4|1|30001000000500010884|Petición firmada por el Receptor||
||SPR190613I52|10-03-2026 18:00:00|30001000000500003456|Petición firmada por el Receptor||</v>
      </c>
    </row>
    <row r="21" spans="1:15" ht="29" x14ac:dyDescent="0.35">
      <c r="A21" s="129" t="s">
        <v>1136</v>
      </c>
      <c r="B21" s="130" t="s">
        <v>1135</v>
      </c>
      <c r="C21" s="106">
        <v>1</v>
      </c>
      <c r="D21" s="106" t="s">
        <v>1026</v>
      </c>
      <c r="E21" s="72" t="s">
        <v>1014</v>
      </c>
      <c r="F21" s="106" t="s">
        <v>1028</v>
      </c>
      <c r="G21" s="125" t="s">
        <v>1120</v>
      </c>
      <c r="H21" s="106">
        <v>29</v>
      </c>
      <c r="I21" s="106" t="s">
        <v>1018</v>
      </c>
      <c r="J21" s="106">
        <v>50</v>
      </c>
      <c r="K21" s="106"/>
      <c r="L21" s="127"/>
      <c r="M21" s="124" t="str">
        <f>CONCATENATE("||",D21,"|",E21,"|",C21,"|",G21,"|","Petición firmada por el Receptor","||")</f>
        <v>||AAOL860322NW8|EUDD720430MF4|1|30001000000500010884|Petición firmada por el Receptor||</v>
      </c>
      <c r="N21" s="131" t="str">
        <f t="shared" si="1"/>
        <v>||SPR190613I52|10-03-2026 18:00:00|30001000000500003456|Petición firmada por el Receptor||</v>
      </c>
      <c r="O21" s="132" t="str">
        <f t="shared" si="0"/>
        <v>||AAOL860322NW8|EUDD720430MF4|1|30001000000500010884|Petición firmada por el Receptor||
||SPR190613I52|10-03-2026 18:00:00|30001000000500003456|Petición firmada por el Receptor||</v>
      </c>
    </row>
    <row r="22" spans="1:15" ht="29" x14ac:dyDescent="0.35">
      <c r="A22" s="129" t="s">
        <v>1136</v>
      </c>
      <c r="B22" s="130" t="s">
        <v>1135</v>
      </c>
      <c r="C22" s="106">
        <v>1</v>
      </c>
      <c r="D22" s="106" t="s">
        <v>1029</v>
      </c>
      <c r="E22" s="72" t="s">
        <v>1015</v>
      </c>
      <c r="F22" s="106" t="s">
        <v>738</v>
      </c>
      <c r="G22" s="125" t="s">
        <v>1121</v>
      </c>
      <c r="H22" s="106">
        <v>30</v>
      </c>
      <c r="I22" s="106" t="s">
        <v>460</v>
      </c>
      <c r="J22" s="106">
        <v>51</v>
      </c>
      <c r="K22" s="106"/>
      <c r="L22" s="127"/>
      <c r="M22" s="124" t="str">
        <f>CONCATENATE("||",D22,"|",E22,"|",C22,"|",G22,"|","Petición firmada por el Receptor","||")</f>
        <v>||EUOL830630TA2|EUPD531207DQ9|1|30001000000500010885|Petición firmada por el Receptor||</v>
      </c>
      <c r="N22" s="131" t="str">
        <f t="shared" si="1"/>
        <v>||SPR190613I52|10-03-2026 18:00:00|30001000000500003456|Petición firmada por el Receptor||</v>
      </c>
      <c r="O22" s="132" t="str">
        <f t="shared" si="0"/>
        <v>||EUOL830630TA2|EUPD531207DQ9|1|30001000000500010885|Petición firmada por el Receptor||
||SPR190613I52|10-03-2026 18:00:00|30001000000500003456|Petición firmada por el Receptor||</v>
      </c>
    </row>
    <row r="23" spans="1:15" ht="29" x14ac:dyDescent="0.35">
      <c r="A23" s="129" t="s">
        <v>1136</v>
      </c>
      <c r="B23" s="130" t="s">
        <v>1135</v>
      </c>
      <c r="C23" s="106">
        <v>1</v>
      </c>
      <c r="D23" s="106" t="s">
        <v>1030</v>
      </c>
      <c r="E23" s="72" t="s">
        <v>1015</v>
      </c>
      <c r="F23" s="106" t="s">
        <v>711</v>
      </c>
      <c r="G23" s="125" t="s">
        <v>1121</v>
      </c>
      <c r="H23" s="106">
        <v>3</v>
      </c>
      <c r="I23" s="106" t="s">
        <v>460</v>
      </c>
      <c r="J23" s="106">
        <v>52</v>
      </c>
      <c r="K23" s="106"/>
      <c r="L23" s="127"/>
      <c r="M23" s="124" t="str">
        <f t="shared" ref="M23:M86" si="4">CONCATENATE("||",D23,"|",E23,"|",C23,"|",G23,"|","Petición firmada por el Receptor","||")</f>
        <v>||BITL761115RV3|EUPD531207DQ9|1|30001000000500010885|Petición firmada por el Receptor||</v>
      </c>
      <c r="N23" s="131" t="str">
        <f t="shared" si="1"/>
        <v>||SPR190613I52|10-03-2026 18:00:00|30001000000500003456|Petición firmada por el Receptor||</v>
      </c>
      <c r="O23" s="132" t="str">
        <f t="shared" si="0"/>
        <v>||BITL761115RV3|EUPD531207DQ9|1|30001000000500010885|Petición firmada por el Receptor||
||SPR190613I52|10-03-2026 18:00:00|30001000000500003456|Petición firmada por el Receptor||</v>
      </c>
    </row>
    <row r="24" spans="1:15" ht="29" x14ac:dyDescent="0.35">
      <c r="A24" s="129" t="s">
        <v>1136</v>
      </c>
      <c r="B24" s="130" t="s">
        <v>1135</v>
      </c>
      <c r="C24" s="106">
        <v>1</v>
      </c>
      <c r="D24" s="106" t="s">
        <v>1031</v>
      </c>
      <c r="E24" s="72" t="s">
        <v>1015</v>
      </c>
      <c r="F24" s="106" t="s">
        <v>749</v>
      </c>
      <c r="G24" s="125" t="s">
        <v>1121</v>
      </c>
      <c r="H24" s="106">
        <v>40</v>
      </c>
      <c r="I24" s="106" t="s">
        <v>460</v>
      </c>
      <c r="J24" s="106">
        <v>53</v>
      </c>
      <c r="K24" s="106"/>
      <c r="L24" s="127"/>
      <c r="M24" s="124" t="str">
        <f t="shared" si="4"/>
        <v>||AAVL680812662|EUPD531207DQ9|1|30001000000500010885|Petición firmada por el Receptor||</v>
      </c>
      <c r="N24" s="131" t="str">
        <f t="shared" si="1"/>
        <v>||SPR190613I52|10-03-2026 18:00:00|30001000000500003456|Petición firmada por el Receptor||</v>
      </c>
      <c r="O24" s="132" t="str">
        <f t="shared" si="0"/>
        <v>||AAVL680812662|EUPD531207DQ9|1|30001000000500010885|Petición firmada por el Receptor||
||SPR190613I52|10-03-2026 18:00:00|30001000000500003456|Petición firmada por el Receptor||</v>
      </c>
    </row>
    <row r="25" spans="1:15" ht="29" x14ac:dyDescent="0.35">
      <c r="A25" s="129" t="s">
        <v>1136</v>
      </c>
      <c r="B25" s="130" t="s">
        <v>1135</v>
      </c>
      <c r="C25" s="106">
        <v>1</v>
      </c>
      <c r="D25" s="106" t="s">
        <v>1032</v>
      </c>
      <c r="E25" s="72" t="s">
        <v>1015</v>
      </c>
      <c r="F25" s="106" t="s">
        <v>738</v>
      </c>
      <c r="G25" s="125" t="s">
        <v>1121</v>
      </c>
      <c r="H25" s="106">
        <v>41</v>
      </c>
      <c r="I25" s="106" t="s">
        <v>460</v>
      </c>
      <c r="J25" s="106">
        <v>54</v>
      </c>
      <c r="K25" s="106"/>
      <c r="L25" s="127"/>
      <c r="M25" s="124" t="str">
        <f t="shared" si="4"/>
        <v>||BIOL760329L66|EUPD531207DQ9|1|30001000000500010885|Petición firmada por el Receptor||</v>
      </c>
      <c r="N25" s="131" t="str">
        <f t="shared" si="1"/>
        <v>||SPR190613I52|10-03-2026 18:00:00|30001000000500003456|Petición firmada por el Receptor||</v>
      </c>
      <c r="O25" s="132" t="str">
        <f t="shared" si="0"/>
        <v>||BIOL760329L66|EUPD531207DQ9|1|30001000000500010885|Petición firmada por el Receptor||
||SPR190613I52|10-03-2026 18:00:00|30001000000500003456|Petición firmada por el Receptor||</v>
      </c>
    </row>
    <row r="26" spans="1:15" ht="29" x14ac:dyDescent="0.35">
      <c r="A26" s="129" t="s">
        <v>1136</v>
      </c>
      <c r="B26" s="130" t="s">
        <v>1135</v>
      </c>
      <c r="C26" s="106">
        <v>1</v>
      </c>
      <c r="D26" s="106" t="s">
        <v>1033</v>
      </c>
      <c r="E26" s="72" t="s">
        <v>1015</v>
      </c>
      <c r="F26" s="106" t="s">
        <v>711</v>
      </c>
      <c r="G26" s="125" t="s">
        <v>1121</v>
      </c>
      <c r="H26" s="106">
        <v>55</v>
      </c>
      <c r="I26" s="106" t="s">
        <v>460</v>
      </c>
      <c r="J26" s="106">
        <v>55</v>
      </c>
      <c r="K26" s="106"/>
      <c r="L26" s="127"/>
      <c r="M26" s="124" t="str">
        <f t="shared" si="4"/>
        <v>||CUCL8105213C7|EUPD531207DQ9|1|30001000000500010885|Petición firmada por el Receptor||</v>
      </c>
      <c r="N26" s="131" t="str">
        <f t="shared" si="1"/>
        <v>||SPR190613I52|10-03-2026 18:00:00|30001000000500003456|Petición firmada por el Receptor||</v>
      </c>
      <c r="O26" s="132" t="str">
        <f t="shared" si="0"/>
        <v>||CUCL8105213C7|EUPD531207DQ9|1|30001000000500010885|Petición firmada por el Receptor||
||SPR190613I52|10-03-2026 18:00:00|30001000000500003456|Petición firmada por el Receptor||</v>
      </c>
    </row>
    <row r="27" spans="1:15" ht="29" x14ac:dyDescent="0.35">
      <c r="A27" s="129" t="s">
        <v>1136</v>
      </c>
      <c r="B27" s="130" t="s">
        <v>1135</v>
      </c>
      <c r="C27" s="106">
        <v>1</v>
      </c>
      <c r="D27" s="106" t="s">
        <v>1034</v>
      </c>
      <c r="E27" s="72" t="s">
        <v>1015</v>
      </c>
      <c r="F27" s="106" t="s">
        <v>749</v>
      </c>
      <c r="G27" s="125" t="s">
        <v>1121</v>
      </c>
      <c r="H27" s="106">
        <v>59</v>
      </c>
      <c r="I27" s="106" t="s">
        <v>1035</v>
      </c>
      <c r="J27" s="106">
        <v>56</v>
      </c>
      <c r="K27" s="106"/>
      <c r="L27" s="127"/>
      <c r="M27" s="124" t="str">
        <f t="shared" si="4"/>
        <v>||AAGL820622FJ8|EUPD531207DQ9|1|30001000000500010885|Petición firmada por el Receptor||</v>
      </c>
      <c r="N27" s="131" t="str">
        <f t="shared" si="1"/>
        <v>||SPR190613I52|10-03-2026 18:00:00|30001000000500003456|Petición firmada por el Receptor||</v>
      </c>
      <c r="O27" s="132" t="str">
        <f t="shared" si="0"/>
        <v>||AAGL820622FJ8|EUPD531207DQ9|1|30001000000500010885|Petición firmada por el Receptor||
||SPR190613I52|10-03-2026 18:00:00|30001000000500003456|Petición firmada por el Receptor||</v>
      </c>
    </row>
    <row r="28" spans="1:15" ht="29" x14ac:dyDescent="0.35">
      <c r="A28" s="129" t="s">
        <v>1136</v>
      </c>
      <c r="B28" s="130" t="s">
        <v>1135</v>
      </c>
      <c r="C28" s="106">
        <v>1</v>
      </c>
      <c r="D28" s="106" t="s">
        <v>1036</v>
      </c>
      <c r="E28" s="72" t="s">
        <v>1015</v>
      </c>
      <c r="F28" s="106" t="s">
        <v>738</v>
      </c>
      <c r="G28" s="125" t="s">
        <v>1121</v>
      </c>
      <c r="H28" s="106">
        <v>63</v>
      </c>
      <c r="I28" s="106" t="s">
        <v>460</v>
      </c>
      <c r="J28" s="106">
        <v>57</v>
      </c>
      <c r="K28" s="106"/>
      <c r="L28" s="127"/>
      <c r="M28" s="124" t="str">
        <f t="shared" si="4"/>
        <v>||MOVL940515KX8|EUPD531207DQ9|1|30001000000500010885|Petición firmada por el Receptor||</v>
      </c>
      <c r="N28" s="131" t="str">
        <f t="shared" si="1"/>
        <v>||SPR190613I52|10-03-2026 18:00:00|30001000000500003456|Petición firmada por el Receptor||</v>
      </c>
      <c r="O28" s="132" t="str">
        <f t="shared" si="0"/>
        <v>||MOVL940515KX8|EUPD531207DQ9|1|30001000000500010885|Petición firmada por el Receptor||
||SPR190613I52|10-03-2026 18:00:00|30001000000500003456|Petición firmada por el Receptor||</v>
      </c>
    </row>
    <row r="29" spans="1:15" ht="29" x14ac:dyDescent="0.35">
      <c r="A29" s="129" t="s">
        <v>1136</v>
      </c>
      <c r="B29" s="130" t="s">
        <v>1135</v>
      </c>
      <c r="C29" s="106">
        <v>1</v>
      </c>
      <c r="D29" s="106" t="s">
        <v>1037</v>
      </c>
      <c r="E29" s="72" t="s">
        <v>1015</v>
      </c>
      <c r="F29" s="106" t="s">
        <v>711</v>
      </c>
      <c r="G29" s="125" t="s">
        <v>1121</v>
      </c>
      <c r="H29" s="106">
        <v>66</v>
      </c>
      <c r="I29" s="106" t="s">
        <v>460</v>
      </c>
      <c r="J29" s="106">
        <v>58</v>
      </c>
      <c r="K29" s="106"/>
      <c r="L29" s="127"/>
      <c r="M29" s="124" t="str">
        <f t="shared" si="4"/>
        <v>||CUML541025FF8|EUPD531207DQ9|1|30001000000500010885|Petición firmada por el Receptor||</v>
      </c>
      <c r="N29" s="131" t="str">
        <f t="shared" si="1"/>
        <v>||SPR190613I52|10-03-2026 18:00:00|30001000000500003456|Petición firmada por el Receptor||</v>
      </c>
      <c r="O29" s="132" t="str">
        <f t="shared" si="0"/>
        <v>||CUML541025FF8|EUPD531207DQ9|1|30001000000500010885|Petición firmada por el Receptor||
||SPR190613I52|10-03-2026 18:00:00|30001000000500003456|Petición firmada por el Receptor||</v>
      </c>
    </row>
    <row r="30" spans="1:15" ht="29" x14ac:dyDescent="0.35">
      <c r="A30" s="129" t="s">
        <v>1136</v>
      </c>
      <c r="B30" s="130" t="s">
        <v>1135</v>
      </c>
      <c r="C30" s="106">
        <v>1</v>
      </c>
      <c r="D30" s="106" t="s">
        <v>1038</v>
      </c>
      <c r="E30" s="72" t="s">
        <v>1015</v>
      </c>
      <c r="F30" s="106" t="s">
        <v>749</v>
      </c>
      <c r="G30" s="125" t="s">
        <v>1121</v>
      </c>
      <c r="H30" s="106">
        <v>67</v>
      </c>
      <c r="I30" s="106" t="s">
        <v>1039</v>
      </c>
      <c r="J30" s="106">
        <v>59</v>
      </c>
      <c r="K30" s="106"/>
      <c r="L30" s="127"/>
      <c r="M30" s="124" t="str">
        <f t="shared" si="4"/>
        <v>||BIBJ850817F3A|EUPD531207DQ9|1|30001000000500010885|Petición firmada por el Receptor||</v>
      </c>
      <c r="N30" s="131" t="str">
        <f t="shared" si="1"/>
        <v>||SPR190613I52|10-03-2026 18:00:00|30001000000500003456|Petición firmada por el Receptor||</v>
      </c>
      <c r="O30" s="132" t="str">
        <f t="shared" si="0"/>
        <v>||BIBJ850817F3A|EUPD531207DQ9|1|30001000000500010885|Petición firmada por el Receptor||
||SPR190613I52|10-03-2026 18:00:00|30001000000500003456|Petición firmada por el Receptor||</v>
      </c>
    </row>
    <row r="31" spans="1:15" ht="29" x14ac:dyDescent="0.35">
      <c r="A31" s="129" t="s">
        <v>1136</v>
      </c>
      <c r="B31" s="130" t="s">
        <v>1135</v>
      </c>
      <c r="C31" s="106">
        <v>1</v>
      </c>
      <c r="D31" s="106" t="s">
        <v>1040</v>
      </c>
      <c r="E31" s="72" t="s">
        <v>1015</v>
      </c>
      <c r="F31" s="106" t="s">
        <v>1041</v>
      </c>
      <c r="G31" s="125" t="s">
        <v>1121</v>
      </c>
      <c r="H31" s="106">
        <v>68</v>
      </c>
      <c r="I31" s="106" t="s">
        <v>460</v>
      </c>
      <c r="J31" s="106">
        <v>60</v>
      </c>
      <c r="K31" s="106"/>
      <c r="L31" s="127"/>
      <c r="M31" s="124" t="str">
        <f t="shared" si="4"/>
        <v>||BARA611207RS2|EUPD531207DQ9|1|30001000000500010885|Petición firmada por el Receptor||</v>
      </c>
      <c r="N31" s="131" t="str">
        <f t="shared" si="1"/>
        <v>||SPR190613I52|10-03-2026 18:00:00|30001000000500003456|Petición firmada por el Receptor||</v>
      </c>
      <c r="O31" s="132" t="str">
        <f t="shared" si="0"/>
        <v>||BARA611207RS2|EUPD531207DQ9|1|30001000000500010885|Petición firmada por el Receptor||
||SPR190613I52|10-03-2026 18:00:00|30001000000500003456|Petición firmada por el Receptor||</v>
      </c>
    </row>
    <row r="32" spans="1:15" ht="29" x14ac:dyDescent="0.35">
      <c r="A32" s="129" t="s">
        <v>1136</v>
      </c>
      <c r="B32" s="130" t="s">
        <v>1135</v>
      </c>
      <c r="C32" s="106">
        <v>1</v>
      </c>
      <c r="D32" s="106" t="s">
        <v>1042</v>
      </c>
      <c r="E32" s="72" t="s">
        <v>1015</v>
      </c>
      <c r="F32" s="106" t="s">
        <v>711</v>
      </c>
      <c r="G32" s="125" t="s">
        <v>1121</v>
      </c>
      <c r="H32" s="106">
        <v>69</v>
      </c>
      <c r="I32" s="106" t="s">
        <v>460</v>
      </c>
      <c r="J32" s="106">
        <v>61</v>
      </c>
      <c r="K32" s="106"/>
      <c r="L32" s="127"/>
      <c r="M32" s="124" t="str">
        <f t="shared" si="4"/>
        <v>||BIPY810208GV1|EUPD531207DQ9|1|30001000000500010885|Petición firmada por el Receptor||</v>
      </c>
      <c r="N32" s="131" t="str">
        <f t="shared" si="1"/>
        <v>||SPR190613I52|10-03-2026 18:00:00|30001000000500003456|Petición firmada por el Receptor||</v>
      </c>
      <c r="O32" s="132" t="str">
        <f t="shared" si="0"/>
        <v>||BIPY810208GV1|EUPD531207DQ9|1|30001000000500010885|Petición firmada por el Receptor||
||SPR190613I52|10-03-2026 18:00:00|30001000000500003456|Petición firmada por el Receptor||</v>
      </c>
    </row>
    <row r="33" spans="1:15" ht="29" x14ac:dyDescent="0.35">
      <c r="A33" s="129" t="s">
        <v>1136</v>
      </c>
      <c r="B33" s="130" t="s">
        <v>1135</v>
      </c>
      <c r="C33" s="106">
        <v>1</v>
      </c>
      <c r="D33" s="106" t="s">
        <v>1043</v>
      </c>
      <c r="E33" s="72" t="s">
        <v>1015</v>
      </c>
      <c r="F33" s="106" t="s">
        <v>749</v>
      </c>
      <c r="G33" s="125" t="s">
        <v>1121</v>
      </c>
      <c r="H33" s="106">
        <v>70</v>
      </c>
      <c r="I33" s="106" t="s">
        <v>460</v>
      </c>
      <c r="J33" s="106">
        <v>62</v>
      </c>
      <c r="K33" s="106"/>
      <c r="L33" s="127"/>
      <c r="M33" s="124" t="str">
        <f t="shared" si="4"/>
        <v>||MOZF490211JW2|EUPD531207DQ9|1|30001000000500010885|Petición firmada por el Receptor||</v>
      </c>
      <c r="N33" s="131" t="str">
        <f t="shared" si="1"/>
        <v>||SPR190613I52|10-03-2026 18:00:00|30001000000500003456|Petición firmada por el Receptor||</v>
      </c>
      <c r="O33" s="132" t="str">
        <f t="shared" si="0"/>
        <v>||MOZF490211JW2|EUPD531207DQ9|1|30001000000500010885|Petición firmada por el Receptor||
||SPR190613I52|10-03-2026 18:00:00|30001000000500003456|Petición firmada por el Receptor||</v>
      </c>
    </row>
    <row r="34" spans="1:15" ht="29" x14ac:dyDescent="0.35">
      <c r="A34" s="129" t="s">
        <v>1136</v>
      </c>
      <c r="B34" s="130" t="s">
        <v>1135</v>
      </c>
      <c r="C34" s="106">
        <v>1</v>
      </c>
      <c r="D34" s="106" t="s">
        <v>1044</v>
      </c>
      <c r="E34" s="72" t="s">
        <v>1015</v>
      </c>
      <c r="F34" s="106" t="s">
        <v>738</v>
      </c>
      <c r="G34" s="125" t="s">
        <v>1121</v>
      </c>
      <c r="H34" s="106">
        <v>71</v>
      </c>
      <c r="I34" s="106" t="s">
        <v>460</v>
      </c>
      <c r="J34" s="106">
        <v>63</v>
      </c>
      <c r="K34" s="106"/>
      <c r="L34" s="127"/>
      <c r="M34" s="124" t="str">
        <f t="shared" si="4"/>
        <v>||AAAH7705058H2	|EUPD531207DQ9|1|30001000000500010885|Petición firmada por el Receptor||</v>
      </c>
      <c r="N34" s="131" t="str">
        <f t="shared" si="1"/>
        <v>||SPR190613I52|10-03-2026 18:00:00|30001000000500003456|Petición firmada por el Receptor||</v>
      </c>
      <c r="O34" s="132" t="str">
        <f t="shared" si="0"/>
        <v>||AAAH7705058H2	|EUPD531207DQ9|1|30001000000500010885|Petición firmada por el Receptor||
||SPR190613I52|10-03-2026 18:00:00|30001000000500003456|Petición firmada por el Receptor||</v>
      </c>
    </row>
    <row r="35" spans="1:15" ht="29" x14ac:dyDescent="0.35">
      <c r="A35" s="129" t="s">
        <v>1136</v>
      </c>
      <c r="B35" s="130" t="s">
        <v>1135</v>
      </c>
      <c r="C35" s="106">
        <v>1</v>
      </c>
      <c r="D35" s="106" t="s">
        <v>1045</v>
      </c>
      <c r="E35" s="72" t="s">
        <v>1015</v>
      </c>
      <c r="F35" s="106" t="s">
        <v>1025</v>
      </c>
      <c r="G35" s="125" t="s">
        <v>1121</v>
      </c>
      <c r="H35" s="106">
        <v>73</v>
      </c>
      <c r="I35" s="106" t="s">
        <v>1046</v>
      </c>
      <c r="J35" s="106">
        <v>64</v>
      </c>
      <c r="K35" s="106"/>
      <c r="L35" s="127"/>
      <c r="M35" s="124" t="str">
        <f t="shared" si="4"/>
        <v>||RELC9408103M9|EUPD531207DQ9|1|30001000000500010885|Petición firmada por el Receptor||</v>
      </c>
      <c r="N35" s="131" t="str">
        <f t="shared" si="1"/>
        <v>||SPR190613I52|10-03-2026 18:00:00|30001000000500003456|Petición firmada por el Receptor||</v>
      </c>
      <c r="O35" s="132" t="str">
        <f t="shared" si="0"/>
        <v>||RELC9408103M9|EUPD531207DQ9|1|30001000000500010885|Petición firmada por el Receptor||
||SPR190613I52|10-03-2026 18:00:00|30001000000500003456|Petición firmada por el Receptor||</v>
      </c>
    </row>
    <row r="36" spans="1:15" ht="29" x14ac:dyDescent="0.35">
      <c r="A36" s="129" t="s">
        <v>1136</v>
      </c>
      <c r="B36" s="130" t="s">
        <v>1135</v>
      </c>
      <c r="C36" s="106">
        <v>1</v>
      </c>
      <c r="D36" s="106" t="s">
        <v>1047</v>
      </c>
      <c r="E36" s="72" t="s">
        <v>1015</v>
      </c>
      <c r="F36" s="106" t="s">
        <v>749</v>
      </c>
      <c r="G36" s="125" t="s">
        <v>1121</v>
      </c>
      <c r="H36" s="106">
        <v>3</v>
      </c>
      <c r="I36" s="106" t="s">
        <v>460</v>
      </c>
      <c r="J36" s="106">
        <v>65</v>
      </c>
      <c r="K36" s="106"/>
      <c r="L36" s="127"/>
      <c r="M36" s="124" t="str">
        <f t="shared" si="4"/>
        <v>||AARE580920FM8|EUPD531207DQ9|1|30001000000500010885|Petición firmada por el Receptor||</v>
      </c>
      <c r="N36" s="131" t="str">
        <f t="shared" si="1"/>
        <v>||SPR190613I52|10-03-2026 18:00:00|30001000000500003456|Petición firmada por el Receptor||</v>
      </c>
      <c r="O36" s="132" t="str">
        <f t="shared" si="0"/>
        <v>||AARE580920FM8|EUPD531207DQ9|1|30001000000500010885|Petición firmada por el Receptor||
||SPR190613I52|10-03-2026 18:00:00|30001000000500003456|Petición firmada por el Receptor||</v>
      </c>
    </row>
    <row r="37" spans="1:15" ht="29" x14ac:dyDescent="0.35">
      <c r="A37" s="129" t="s">
        <v>1136</v>
      </c>
      <c r="B37" s="130" t="s">
        <v>1135</v>
      </c>
      <c r="C37" s="106">
        <v>1</v>
      </c>
      <c r="D37" s="106" t="s">
        <v>1048</v>
      </c>
      <c r="E37" s="72" t="s">
        <v>1015</v>
      </c>
      <c r="F37" s="106" t="s">
        <v>738</v>
      </c>
      <c r="G37" s="125" t="s">
        <v>1121</v>
      </c>
      <c r="H37" s="106">
        <v>78</v>
      </c>
      <c r="I37" s="106" t="s">
        <v>460</v>
      </c>
      <c r="J37" s="106">
        <v>66</v>
      </c>
      <c r="K37" s="106"/>
      <c r="L37" s="127"/>
      <c r="M37" s="124" t="str">
        <f t="shared" si="4"/>
        <v>||PEVA900802FZ9|EUPD531207DQ9|1|30001000000500010885|Petición firmada por el Receptor||</v>
      </c>
      <c r="N37" s="131" t="str">
        <f t="shared" si="1"/>
        <v>||SPR190613I52|10-03-2026 18:00:00|30001000000500003456|Petición firmada por el Receptor||</v>
      </c>
      <c r="O37" s="132" t="str">
        <f t="shared" si="0"/>
        <v>||PEVA900802FZ9|EUPD531207DQ9|1|30001000000500010885|Petición firmada por el Receptor||
||SPR190613I52|10-03-2026 18:00:00|30001000000500003456|Petición firmada por el Receptor||</v>
      </c>
    </row>
    <row r="38" spans="1:15" ht="29" x14ac:dyDescent="0.35">
      <c r="A38" s="129" t="s">
        <v>1136</v>
      </c>
      <c r="B38" s="130" t="s">
        <v>1135</v>
      </c>
      <c r="C38" s="106">
        <v>1</v>
      </c>
      <c r="D38" s="106" t="s">
        <v>1049</v>
      </c>
      <c r="E38" s="72" t="s">
        <v>1015</v>
      </c>
      <c r="F38" s="106" t="s">
        <v>711</v>
      </c>
      <c r="G38" s="125" t="s">
        <v>1121</v>
      </c>
      <c r="H38" s="106">
        <v>79</v>
      </c>
      <c r="I38" s="106" t="s">
        <v>460</v>
      </c>
      <c r="J38" s="106">
        <v>67</v>
      </c>
      <c r="K38" s="106"/>
      <c r="L38" s="127"/>
      <c r="M38" s="124" t="str">
        <f t="shared" si="4"/>
        <v>||AAMH8003067G7|EUPD531207DQ9|1|30001000000500010885|Petición firmada por el Receptor||</v>
      </c>
      <c r="N38" s="131" t="str">
        <f t="shared" si="1"/>
        <v>||SPR190613I52|10-03-2026 18:00:00|30001000000500003456|Petición firmada por el Receptor||</v>
      </c>
      <c r="O38" s="132" t="str">
        <f t="shared" si="0"/>
        <v>||AAMH8003067G7|EUPD531207DQ9|1|30001000000500010885|Petición firmada por el Receptor||
||SPR190613I52|10-03-2026 18:00:00|30001000000500003456|Petición firmada por el Receptor||</v>
      </c>
    </row>
    <row r="39" spans="1:15" ht="29" x14ac:dyDescent="0.35">
      <c r="A39" s="129" t="s">
        <v>1136</v>
      </c>
      <c r="B39" s="130" t="s">
        <v>1135</v>
      </c>
      <c r="C39" s="106">
        <v>1</v>
      </c>
      <c r="D39" s="106" t="s">
        <v>1050</v>
      </c>
      <c r="E39" s="72" t="s">
        <v>1015</v>
      </c>
      <c r="F39" s="106" t="s">
        <v>749</v>
      </c>
      <c r="G39" s="125" t="s">
        <v>1121</v>
      </c>
      <c r="H39" s="106">
        <v>82</v>
      </c>
      <c r="I39" s="106" t="s">
        <v>460</v>
      </c>
      <c r="J39" s="106">
        <v>68</v>
      </c>
      <c r="K39" s="106"/>
      <c r="L39" s="127"/>
      <c r="M39" s="124" t="str">
        <f t="shared" si="4"/>
        <v>||EUVY920803871|EUPD531207DQ9|1|30001000000500010885|Petición firmada por el Receptor||</v>
      </c>
      <c r="N39" s="131" t="str">
        <f t="shared" si="1"/>
        <v>||SPR190613I52|10-03-2026 18:00:00|30001000000500003456|Petición firmada por el Receptor||</v>
      </c>
      <c r="O39" s="132" t="str">
        <f t="shared" si="0"/>
        <v>||EUVY920803871|EUPD531207DQ9|1|30001000000500010885|Petición firmada por el Receptor||
||SPR190613I52|10-03-2026 18:00:00|30001000000500003456|Petición firmada por el Receptor||</v>
      </c>
    </row>
    <row r="40" spans="1:15" ht="29" x14ac:dyDescent="0.35">
      <c r="A40" s="129" t="s">
        <v>1136</v>
      </c>
      <c r="B40" s="130" t="s">
        <v>1135</v>
      </c>
      <c r="C40" s="106">
        <v>1</v>
      </c>
      <c r="D40" s="106" t="s">
        <v>1051</v>
      </c>
      <c r="E40" s="72" t="s">
        <v>1015</v>
      </c>
      <c r="F40" s="106" t="s">
        <v>738</v>
      </c>
      <c r="G40" s="125" t="s">
        <v>1121</v>
      </c>
      <c r="H40" s="106">
        <v>83</v>
      </c>
      <c r="I40" s="106" t="s">
        <v>460</v>
      </c>
      <c r="J40" s="106">
        <v>69</v>
      </c>
      <c r="K40" s="106"/>
      <c r="L40" s="127"/>
      <c r="M40" s="124" t="str">
        <f t="shared" si="4"/>
        <v>||BARA851007B90|EUPD531207DQ9|1|30001000000500010885|Petición firmada por el Receptor||</v>
      </c>
      <c r="N40" s="131" t="str">
        <f t="shared" si="1"/>
        <v>||SPR190613I52|10-03-2026 18:00:00|30001000000500003456|Petición firmada por el Receptor||</v>
      </c>
      <c r="O40" s="132" t="str">
        <f t="shared" si="0"/>
        <v>||BARA851007B90|EUPD531207DQ9|1|30001000000500010885|Petición firmada por el Receptor||
||SPR190613I52|10-03-2026 18:00:00|30001000000500003456|Petición firmada por el Receptor||</v>
      </c>
    </row>
    <row r="41" spans="1:15" ht="29" x14ac:dyDescent="0.35">
      <c r="A41" s="129" t="s">
        <v>1136</v>
      </c>
      <c r="B41" s="130" t="s">
        <v>1135</v>
      </c>
      <c r="C41" s="106">
        <v>1</v>
      </c>
      <c r="D41" s="106" t="s">
        <v>1052</v>
      </c>
      <c r="E41" s="72" t="s">
        <v>1015</v>
      </c>
      <c r="F41" s="106" t="s">
        <v>711</v>
      </c>
      <c r="G41" s="125" t="s">
        <v>1121</v>
      </c>
      <c r="H41" s="106">
        <v>85</v>
      </c>
      <c r="I41" s="106" t="s">
        <v>460</v>
      </c>
      <c r="J41" s="106">
        <v>70</v>
      </c>
      <c r="K41" s="106"/>
      <c r="L41" s="127"/>
      <c r="M41" s="124" t="str">
        <f t="shared" si="4"/>
        <v>||AOMD911126KT9|EUPD531207DQ9|1|30001000000500010885|Petición firmada por el Receptor||</v>
      </c>
      <c r="N41" s="131" t="str">
        <f t="shared" si="1"/>
        <v>||SPR190613I52|10-03-2026 18:00:00|30001000000500003456|Petición firmada por el Receptor||</v>
      </c>
      <c r="O41" s="132" t="str">
        <f t="shared" si="0"/>
        <v>||AOMD911126KT9|EUPD531207DQ9|1|30001000000500010885|Petición firmada por el Receptor||
||SPR190613I52|10-03-2026 18:00:00|30001000000500003456|Petición firmada por el Receptor||</v>
      </c>
    </row>
    <row r="42" spans="1:15" ht="29" x14ac:dyDescent="0.35">
      <c r="A42" s="129" t="s">
        <v>1136</v>
      </c>
      <c r="B42" s="130" t="s">
        <v>1135</v>
      </c>
      <c r="C42" s="106">
        <v>1</v>
      </c>
      <c r="D42" s="106" t="s">
        <v>1053</v>
      </c>
      <c r="E42" s="72" t="s">
        <v>1016</v>
      </c>
      <c r="F42" s="106" t="s">
        <v>749</v>
      </c>
      <c r="G42" s="125" t="s">
        <v>1122</v>
      </c>
      <c r="H42" s="106">
        <v>86</v>
      </c>
      <c r="I42" s="106" t="s">
        <v>460</v>
      </c>
      <c r="J42" s="106">
        <v>71</v>
      </c>
      <c r="K42" s="106"/>
      <c r="L42" s="127"/>
      <c r="M42" s="124" t="str">
        <f t="shared" si="4"/>
        <v>||AOBR921126CT7|PEPH660719GP7|1|30001000000500010886|Petición firmada por el Receptor||</v>
      </c>
      <c r="N42" s="131" t="str">
        <f t="shared" si="1"/>
        <v>||SPR190613I52|10-03-2026 18:00:00|30001000000500003456|Petición firmada por el Receptor||</v>
      </c>
      <c r="O42" s="132" t="str">
        <f t="shared" si="0"/>
        <v>||AOBR921126CT7|PEPH660719GP7|1|30001000000500010886|Petición firmada por el Receptor||
||SPR190613I52|10-03-2026 18:00:00|30001000000500003456|Petición firmada por el Receptor||</v>
      </c>
    </row>
    <row r="43" spans="1:15" ht="29" x14ac:dyDescent="0.35">
      <c r="A43" s="129" t="s">
        <v>1136</v>
      </c>
      <c r="B43" s="130" t="s">
        <v>1135</v>
      </c>
      <c r="C43" s="106">
        <v>1</v>
      </c>
      <c r="D43" s="106" t="s">
        <v>1054</v>
      </c>
      <c r="E43" s="72" t="s">
        <v>1016</v>
      </c>
      <c r="F43" s="106" t="s">
        <v>738</v>
      </c>
      <c r="G43" s="125" t="s">
        <v>1122</v>
      </c>
      <c r="H43" s="106">
        <v>89</v>
      </c>
      <c r="I43" s="106" t="s">
        <v>460</v>
      </c>
      <c r="J43" s="106">
        <v>72</v>
      </c>
      <c r="K43" s="106"/>
      <c r="L43" s="127"/>
      <c r="M43" s="124" t="str">
        <f t="shared" si="4"/>
        <v>||CAGL870810M47|PEPH660719GP7|1|30001000000500010886|Petición firmada por el Receptor||</v>
      </c>
      <c r="N43" s="131" t="str">
        <f t="shared" si="1"/>
        <v>||SPR190613I52|10-03-2026 18:00:00|30001000000500003456|Petición firmada por el Receptor||</v>
      </c>
      <c r="O43" s="132" t="str">
        <f t="shared" si="0"/>
        <v>||CAGL870810M47|PEPH660719GP7|1|30001000000500010886|Petición firmada por el Receptor||
||SPR190613I52|10-03-2026 18:00:00|30001000000500003456|Petición firmada por el Receptor||</v>
      </c>
    </row>
    <row r="44" spans="1:15" ht="29" x14ac:dyDescent="0.35">
      <c r="A44" s="129" t="s">
        <v>1136</v>
      </c>
      <c r="B44" s="130" t="s">
        <v>1135</v>
      </c>
      <c r="C44" s="106">
        <v>1</v>
      </c>
      <c r="D44" s="106" t="s">
        <v>1055</v>
      </c>
      <c r="E44" s="72" t="s">
        <v>1016</v>
      </c>
      <c r="F44" s="106" t="s">
        <v>1025</v>
      </c>
      <c r="G44" s="125" t="s">
        <v>1122</v>
      </c>
      <c r="H44" s="106">
        <v>94</v>
      </c>
      <c r="I44" s="106" t="s">
        <v>1046</v>
      </c>
      <c r="J44" s="106">
        <v>73</v>
      </c>
      <c r="K44" s="106"/>
      <c r="L44" s="127"/>
      <c r="M44" s="124" t="str">
        <f t="shared" si="4"/>
        <v>||AOAA910527SE1|PEPH660719GP7|1|30001000000500010886|Petición firmada por el Receptor||</v>
      </c>
      <c r="N44" s="131" t="str">
        <f t="shared" si="1"/>
        <v>||SPR190613I52|10-03-2026 18:00:00|30001000000500003456|Petición firmada por el Receptor||</v>
      </c>
      <c r="O44" s="132" t="str">
        <f t="shared" si="0"/>
        <v>||AOAA910527SE1|PEPH660719GP7|1|30001000000500010886|Petición firmada por el Receptor||
||SPR190613I52|10-03-2026 18:00:00|30001000000500003456|Petición firmada por el Receptor||</v>
      </c>
    </row>
    <row r="45" spans="1:15" ht="29" x14ac:dyDescent="0.35">
      <c r="A45" s="129" t="s">
        <v>1136</v>
      </c>
      <c r="B45" s="130" t="s">
        <v>1135</v>
      </c>
      <c r="C45" s="106">
        <v>1</v>
      </c>
      <c r="D45" s="106" t="s">
        <v>1056</v>
      </c>
      <c r="E45" s="72" t="s">
        <v>1016</v>
      </c>
      <c r="F45" s="106" t="s">
        <v>749</v>
      </c>
      <c r="G45" s="125" t="s">
        <v>1122</v>
      </c>
      <c r="H45" s="106">
        <v>95</v>
      </c>
      <c r="I45" s="106" t="s">
        <v>460</v>
      </c>
      <c r="J45" s="106">
        <v>74</v>
      </c>
      <c r="K45" s="106"/>
      <c r="L45" s="127"/>
      <c r="M45" s="124" t="str">
        <f t="shared" si="4"/>
        <v>||CAGW891112CC0|PEPH660719GP7|1|30001000000500010886|Petición firmada por el Receptor||</v>
      </c>
      <c r="N45" s="131" t="str">
        <f t="shared" si="1"/>
        <v>||SPR190613I52|10-03-2026 18:00:00|30001000000500003456|Petición firmada por el Receptor||</v>
      </c>
      <c r="O45" s="132" t="str">
        <f t="shared" si="0"/>
        <v>||CAGW891112CC0|PEPH660719GP7|1|30001000000500010886|Petición firmada por el Receptor||
||SPR190613I52|10-03-2026 18:00:00|30001000000500003456|Petición firmada por el Receptor||</v>
      </c>
    </row>
    <row r="46" spans="1:15" ht="29" x14ac:dyDescent="0.35">
      <c r="A46" s="129" t="s">
        <v>1136</v>
      </c>
      <c r="B46" s="130" t="s">
        <v>1135</v>
      </c>
      <c r="C46" s="106">
        <v>1</v>
      </c>
      <c r="D46" s="106" t="s">
        <v>1057</v>
      </c>
      <c r="E46" s="72" t="s">
        <v>1016</v>
      </c>
      <c r="F46" s="106" t="s">
        <v>738</v>
      </c>
      <c r="G46" s="125" t="s">
        <v>1122</v>
      </c>
      <c r="H46" s="106">
        <v>96</v>
      </c>
      <c r="I46" s="106" t="s">
        <v>460</v>
      </c>
      <c r="J46" s="106">
        <v>75</v>
      </c>
      <c r="K46" s="106"/>
      <c r="L46" s="127"/>
      <c r="M46" s="124" t="str">
        <f t="shared" si="4"/>
        <v>||AOEH820627HQ2|PEPH660719GP7|1|30001000000500010886|Petición firmada por el Receptor||</v>
      </c>
      <c r="N46" s="131" t="str">
        <f t="shared" si="1"/>
        <v>||SPR190613I52|10-03-2026 18:00:00|30001000000500003456|Petición firmada por el Receptor||</v>
      </c>
      <c r="O46" s="132" t="str">
        <f t="shared" si="0"/>
        <v>||AOEH820627HQ2|PEPH660719GP7|1|30001000000500010886|Petición firmada por el Receptor||
||SPR190613I52|10-03-2026 18:00:00|30001000000500003456|Petición firmada por el Receptor||</v>
      </c>
    </row>
    <row r="47" spans="1:15" ht="29" x14ac:dyDescent="0.35">
      <c r="A47" s="129" t="s">
        <v>1136</v>
      </c>
      <c r="B47" s="130" t="s">
        <v>1135</v>
      </c>
      <c r="C47" s="106">
        <v>1</v>
      </c>
      <c r="D47" s="106" t="s">
        <v>1058</v>
      </c>
      <c r="E47" s="72" t="s">
        <v>1016</v>
      </c>
      <c r="F47" s="106" t="s">
        <v>711</v>
      </c>
      <c r="G47" s="125" t="s">
        <v>1122</v>
      </c>
      <c r="H47" s="106">
        <v>97</v>
      </c>
      <c r="I47" s="106" t="s">
        <v>460</v>
      </c>
      <c r="J47" s="106">
        <v>76</v>
      </c>
      <c r="K47" s="106"/>
      <c r="L47" s="127"/>
      <c r="M47" s="124" t="str">
        <f t="shared" si="4"/>
        <v>||AOBB881224G1A|PEPH660719GP7|1|30001000000500010886|Petición firmada por el Receptor||</v>
      </c>
      <c r="N47" s="131" t="str">
        <f t="shared" si="1"/>
        <v>||SPR190613I52|10-03-2026 18:00:00|30001000000500003456|Petición firmada por el Receptor||</v>
      </c>
      <c r="O47" s="132" t="str">
        <f t="shared" si="0"/>
        <v>||AOBB881224G1A|PEPH660719GP7|1|30001000000500010886|Petición firmada por el Receptor||
||SPR190613I52|10-03-2026 18:00:00|30001000000500003456|Petición firmada por el Receptor||</v>
      </c>
    </row>
    <row r="48" spans="1:15" ht="29" x14ac:dyDescent="0.35">
      <c r="A48" s="129" t="s">
        <v>1136</v>
      </c>
      <c r="B48" s="130" t="s">
        <v>1135</v>
      </c>
      <c r="C48" s="106">
        <v>1</v>
      </c>
      <c r="D48" s="106" t="s">
        <v>1059</v>
      </c>
      <c r="E48" s="72" t="s">
        <v>1016</v>
      </c>
      <c r="F48" s="106" t="s">
        <v>749</v>
      </c>
      <c r="G48" s="125" t="s">
        <v>1122</v>
      </c>
      <c r="H48" s="106">
        <v>98</v>
      </c>
      <c r="I48" s="106" t="s">
        <v>460</v>
      </c>
      <c r="J48" s="106">
        <v>77</v>
      </c>
      <c r="K48" s="106"/>
      <c r="L48" s="127"/>
      <c r="M48" s="124" t="str">
        <f t="shared" si="4"/>
        <v>||AOMW790330HS8|PEPH660719GP7|1|30001000000500010886|Petición firmada por el Receptor||</v>
      </c>
      <c r="N48" s="131" t="str">
        <f t="shared" si="1"/>
        <v>||SPR190613I52|10-03-2026 18:00:00|30001000000500003456|Petición firmada por el Receptor||</v>
      </c>
      <c r="O48" s="132" t="str">
        <f t="shared" si="0"/>
        <v>||AOMW790330HS8|PEPH660719GP7|1|30001000000500010886|Petición firmada por el Receptor||
||SPR190613I52|10-03-2026 18:00:00|30001000000500003456|Petición firmada por el Receptor||</v>
      </c>
    </row>
    <row r="49" spans="1:15" ht="29" x14ac:dyDescent="0.35">
      <c r="A49" s="129" t="s">
        <v>1136</v>
      </c>
      <c r="B49" s="130" t="s">
        <v>1135</v>
      </c>
      <c r="C49" s="106">
        <v>1</v>
      </c>
      <c r="D49" s="106" t="s">
        <v>1060</v>
      </c>
      <c r="E49" s="72" t="s">
        <v>1016</v>
      </c>
      <c r="F49" s="106" t="s">
        <v>738</v>
      </c>
      <c r="G49" s="125" t="s">
        <v>1122</v>
      </c>
      <c r="H49" s="106">
        <v>3</v>
      </c>
      <c r="I49" s="106" t="s">
        <v>460</v>
      </c>
      <c r="J49" s="106">
        <v>78</v>
      </c>
      <c r="K49" s="106"/>
      <c r="L49" s="127"/>
      <c r="M49" s="124" t="str">
        <f t="shared" si="4"/>
        <v>||AOFW800207AY7|PEPH660719GP7|1|30001000000500010886|Petición firmada por el Receptor||</v>
      </c>
      <c r="N49" s="131" t="str">
        <f t="shared" si="1"/>
        <v>||SPR190613I52|10-03-2026 18:00:00|30001000000500003456|Petición firmada por el Receptor||</v>
      </c>
      <c r="O49" s="132" t="str">
        <f t="shared" si="0"/>
        <v>||AOFW800207AY7|PEPH660719GP7|1|30001000000500010886|Petición firmada por el Receptor||
||SPR190613I52|10-03-2026 18:00:00|30001000000500003456|Petición firmada por el Receptor||</v>
      </c>
    </row>
    <row r="50" spans="1:15" ht="29" x14ac:dyDescent="0.35">
      <c r="A50" s="129" t="s">
        <v>1136</v>
      </c>
      <c r="B50" s="130" t="s">
        <v>1135</v>
      </c>
      <c r="C50" s="106">
        <v>1</v>
      </c>
      <c r="D50" s="106" t="s">
        <v>721</v>
      </c>
      <c r="E50" s="72" t="s">
        <v>1016</v>
      </c>
      <c r="F50" s="106">
        <v>612</v>
      </c>
      <c r="G50" s="125" t="s">
        <v>1122</v>
      </c>
      <c r="H50" s="106">
        <v>203</v>
      </c>
      <c r="I50" s="106" t="s">
        <v>959</v>
      </c>
      <c r="J50" s="106">
        <v>70</v>
      </c>
      <c r="K50" s="106"/>
      <c r="L50" s="126"/>
      <c r="M50" s="124" t="str">
        <f t="shared" si="4"/>
        <v>||MESA301116B47|PEPH660719GP7|1|30001000000500010886|Petición firmada por el Receptor||</v>
      </c>
      <c r="N50" s="131" t="str">
        <f t="shared" si="1"/>
        <v>||SPR190613I52|10-03-2026 18:00:00|30001000000500003456|Petición firmada por el Receptor||</v>
      </c>
      <c r="O50" s="132" t="str">
        <f t="shared" si="0"/>
        <v>||MESA301116B47|PEPH660719GP7|1|30001000000500010886|Petición firmada por el Receptor||
||SPR190613I52|10-03-2026 18:00:00|30001000000500003456|Petición firmada por el Receptor||</v>
      </c>
    </row>
    <row r="51" spans="1:15" ht="29" x14ac:dyDescent="0.35">
      <c r="A51" s="129" t="s">
        <v>1136</v>
      </c>
      <c r="B51" s="130" t="s">
        <v>1135</v>
      </c>
      <c r="C51" s="106">
        <v>1</v>
      </c>
      <c r="D51" s="106" t="s">
        <v>862</v>
      </c>
      <c r="E51" s="72" t="s">
        <v>1016</v>
      </c>
      <c r="F51" s="106">
        <v>612</v>
      </c>
      <c r="G51" s="125" t="s">
        <v>1122</v>
      </c>
      <c r="H51" s="106">
        <v>734</v>
      </c>
      <c r="I51" s="106">
        <v>300155</v>
      </c>
      <c r="J51" s="106">
        <v>70</v>
      </c>
      <c r="K51" s="106"/>
      <c r="L51" s="126"/>
      <c r="M51" s="124" t="str">
        <f t="shared" si="4"/>
        <v>||VAHA920703749|PEPH660719GP7|1|30001000000500010886|Petición firmada por el Receptor||</v>
      </c>
      <c r="N51" s="131" t="str">
        <f t="shared" si="1"/>
        <v>||SPR190613I52|10-03-2026 18:00:00|30001000000500003456|Petición firmada por el Receptor||</v>
      </c>
      <c r="O51" s="132" t="str">
        <f t="shared" si="0"/>
        <v>||VAHA920703749|PEPH660719GP7|1|30001000000500010886|Petición firmada por el Receptor||
||SPR190613I52|10-03-2026 18:00:00|30001000000500003456|Petición firmada por el Receptor||</v>
      </c>
    </row>
    <row r="52" spans="1:15" ht="29" x14ac:dyDescent="0.35">
      <c r="A52" s="129" t="s">
        <v>1136</v>
      </c>
      <c r="B52" s="130" t="s">
        <v>1135</v>
      </c>
      <c r="C52" s="106">
        <v>1</v>
      </c>
      <c r="D52" s="106" t="s">
        <v>716</v>
      </c>
      <c r="E52" s="72" t="s">
        <v>1016</v>
      </c>
      <c r="F52" s="106">
        <v>612</v>
      </c>
      <c r="G52" s="125" t="s">
        <v>1122</v>
      </c>
      <c r="H52" s="106" t="s">
        <v>706</v>
      </c>
      <c r="I52" s="106" t="s">
        <v>960</v>
      </c>
      <c r="J52" s="106" t="s">
        <v>717</v>
      </c>
      <c r="K52" s="106"/>
      <c r="L52" s="126"/>
      <c r="M52" s="124" t="str">
        <f t="shared" si="4"/>
        <v>||MEMA800818BU8|PEPH660719GP7|1|30001000000500010886|Petición firmada por el Receptor||</v>
      </c>
      <c r="N52" s="131" t="str">
        <f t="shared" si="1"/>
        <v>||SPR190613I52|10-03-2026 18:00:00|30001000000500003456|Petición firmada por el Receptor||</v>
      </c>
      <c r="O52" s="132" t="str">
        <f t="shared" si="0"/>
        <v>||MEMA800818BU8|PEPH660719GP7|1|30001000000500010886|Petición firmada por el Receptor||
||SPR190613I52|10-03-2026 18:00:00|30001000000500003456|Petición firmada por el Receptor||</v>
      </c>
    </row>
    <row r="53" spans="1:15" ht="29" x14ac:dyDescent="0.35">
      <c r="A53" s="129" t="s">
        <v>1136</v>
      </c>
      <c r="B53" s="130" t="s">
        <v>1135</v>
      </c>
      <c r="C53" s="106">
        <v>1</v>
      </c>
      <c r="D53" s="106" t="s">
        <v>734</v>
      </c>
      <c r="E53" s="72" t="s">
        <v>1016</v>
      </c>
      <c r="F53" s="106">
        <v>621</v>
      </c>
      <c r="G53" s="125" t="s">
        <v>1122</v>
      </c>
      <c r="H53" s="106" t="s">
        <v>706</v>
      </c>
      <c r="I53" s="106" t="s">
        <v>736</v>
      </c>
      <c r="J53" s="106">
        <v>2</v>
      </c>
      <c r="K53" s="106"/>
      <c r="L53" s="126"/>
      <c r="M53" s="124" t="str">
        <f t="shared" si="4"/>
        <v>||VISL760602BK8|PEPH660719GP7|1|30001000000500010886|Petición firmada por el Receptor||</v>
      </c>
      <c r="N53" s="131" t="str">
        <f t="shared" si="1"/>
        <v>||SPR190613I52|10-03-2026 18:00:00|30001000000500003456|Petición firmada por el Receptor||</v>
      </c>
      <c r="O53" s="132" t="str">
        <f t="shared" si="0"/>
        <v>||VISL760602BK8|PEPH660719GP7|1|30001000000500010886|Petición firmada por el Receptor||
||SPR190613I52|10-03-2026 18:00:00|30001000000500003456|Petición firmada por el Receptor||</v>
      </c>
    </row>
    <row r="54" spans="1:15" ht="29" x14ac:dyDescent="0.35">
      <c r="A54" s="129" t="s">
        <v>1136</v>
      </c>
      <c r="B54" s="130" t="s">
        <v>1135</v>
      </c>
      <c r="C54" s="106">
        <v>1</v>
      </c>
      <c r="D54" s="106" t="s">
        <v>864</v>
      </c>
      <c r="E54" s="72" t="s">
        <v>1016</v>
      </c>
      <c r="F54" s="106">
        <v>621</v>
      </c>
      <c r="G54" s="125" t="s">
        <v>1122</v>
      </c>
      <c r="H54" s="106" t="s">
        <v>706</v>
      </c>
      <c r="I54" s="106" t="s">
        <v>460</v>
      </c>
      <c r="J54" s="106">
        <v>69</v>
      </c>
      <c r="K54" s="106"/>
      <c r="L54" s="126"/>
      <c r="M54" s="124" t="str">
        <f t="shared" si="4"/>
        <v>||GATJ840104P55|PEPH660719GP7|1|30001000000500010886|Petición firmada por el Receptor||</v>
      </c>
      <c r="N54" s="131" t="str">
        <f t="shared" si="1"/>
        <v>||SPR190613I52|10-03-2026 18:00:00|30001000000500003456|Petición firmada por el Receptor||</v>
      </c>
      <c r="O54" s="132" t="str">
        <f t="shared" si="0"/>
        <v>||GATJ840104P55|PEPH660719GP7|1|30001000000500010886|Petición firmada por el Receptor||
||SPR190613I52|10-03-2026 18:00:00|30001000000500003456|Petición firmada por el Receptor||</v>
      </c>
    </row>
    <row r="55" spans="1:15" ht="29" x14ac:dyDescent="0.35">
      <c r="A55" s="129" t="s">
        <v>1136</v>
      </c>
      <c r="B55" s="130" t="s">
        <v>1135</v>
      </c>
      <c r="C55" s="106">
        <v>1</v>
      </c>
      <c r="D55" s="106" t="s">
        <v>852</v>
      </c>
      <c r="E55" s="72" t="s">
        <v>1016</v>
      </c>
      <c r="F55" s="107">
        <v>605621</v>
      </c>
      <c r="G55" s="125" t="s">
        <v>1122</v>
      </c>
      <c r="H55" s="106" t="s">
        <v>1065</v>
      </c>
      <c r="I55" s="106" t="s">
        <v>460</v>
      </c>
      <c r="J55" s="106">
        <v>76</v>
      </c>
      <c r="K55" s="106"/>
      <c r="L55" s="126"/>
      <c r="M55" s="124" t="str">
        <f t="shared" si="4"/>
        <v>||VAGE410918GBA|PEPH660719GP7|1|30001000000500010886|Petición firmada por el Receptor||</v>
      </c>
      <c r="N55" s="131" t="str">
        <f t="shared" si="1"/>
        <v>||SPR190613I52|10-03-2026 18:00:00|30001000000500003456|Petición firmada por el Receptor||</v>
      </c>
      <c r="O55" s="132" t="str">
        <f t="shared" si="0"/>
        <v>||VAGE410918GBA|PEPH660719GP7|1|30001000000500010886|Petición firmada por el Receptor||
||SPR190613I52|10-03-2026 18:00:00|30001000000500003456|Petición firmada por el Receptor||</v>
      </c>
    </row>
    <row r="56" spans="1:15" ht="29" x14ac:dyDescent="0.35">
      <c r="A56" s="129" t="s">
        <v>1136</v>
      </c>
      <c r="B56" s="130" t="s">
        <v>1135</v>
      </c>
      <c r="C56" s="106">
        <v>1</v>
      </c>
      <c r="D56" s="106" t="s">
        <v>917</v>
      </c>
      <c r="E56" s="72" t="s">
        <v>1016</v>
      </c>
      <c r="F56" s="106">
        <v>626</v>
      </c>
      <c r="G56" s="125" t="s">
        <v>1122</v>
      </c>
      <c r="H56" s="106">
        <v>3</v>
      </c>
      <c r="I56" s="106" t="s">
        <v>460</v>
      </c>
      <c r="J56" s="106">
        <v>68</v>
      </c>
      <c r="K56" s="106"/>
      <c r="L56" s="126"/>
      <c r="M56" s="124" t="str">
        <f t="shared" si="4"/>
        <v>||QUJJ830623JL0|PEPH660719GP7|1|30001000000500010886|Petición firmada por el Receptor||</v>
      </c>
      <c r="N56" s="131" t="str">
        <f t="shared" si="1"/>
        <v>||SPR190613I52|10-03-2026 18:00:00|30001000000500003456|Petición firmada por el Receptor||</v>
      </c>
      <c r="O56" s="132" t="str">
        <f t="shared" si="0"/>
        <v>||QUJJ830623JL0|PEPH660719GP7|1|30001000000500010886|Petición firmada por el Receptor||
||SPR190613I52|10-03-2026 18:00:00|30001000000500003456|Petición firmada por el Receptor||</v>
      </c>
    </row>
    <row r="57" spans="1:15" ht="29" x14ac:dyDescent="0.35">
      <c r="A57" s="129" t="s">
        <v>1136</v>
      </c>
      <c r="B57" s="130" t="s">
        <v>1135</v>
      </c>
      <c r="C57" s="106">
        <v>1</v>
      </c>
      <c r="D57" s="106" t="s">
        <v>737</v>
      </c>
      <c r="E57" s="72" t="s">
        <v>1016</v>
      </c>
      <c r="F57" s="106">
        <v>626</v>
      </c>
      <c r="G57" s="125" t="s">
        <v>1122</v>
      </c>
      <c r="H57" s="106">
        <v>3</v>
      </c>
      <c r="I57" s="106" t="s">
        <v>460</v>
      </c>
      <c r="J57" s="106">
        <v>78</v>
      </c>
      <c r="K57" s="106"/>
      <c r="L57" s="126"/>
      <c r="M57" s="124" t="str">
        <f t="shared" si="4"/>
        <v>||AAGM871005UH7|PEPH660719GP7|1|30001000000500010886|Petición firmada por el Receptor||</v>
      </c>
      <c r="N57" s="131" t="str">
        <f t="shared" si="1"/>
        <v>||SPR190613I52|10-03-2026 18:00:00|30001000000500003456|Petición firmada por el Receptor||</v>
      </c>
      <c r="O57" s="132" t="str">
        <f t="shared" si="0"/>
        <v>||AAGM871005UH7|PEPH660719GP7|1|30001000000500010886|Petición firmada por el Receptor||
||SPR190613I52|10-03-2026 18:00:00|30001000000500003456|Petición firmada por el Receptor||</v>
      </c>
    </row>
    <row r="58" spans="1:15" ht="29" x14ac:dyDescent="0.35">
      <c r="A58" s="129" t="s">
        <v>1136</v>
      </c>
      <c r="B58" s="130" t="s">
        <v>1135</v>
      </c>
      <c r="C58" s="106">
        <v>1</v>
      </c>
      <c r="D58" s="106" t="s">
        <v>855</v>
      </c>
      <c r="E58" s="72" t="s">
        <v>1016</v>
      </c>
      <c r="F58" s="107">
        <v>605626</v>
      </c>
      <c r="G58" s="125" t="s">
        <v>1122</v>
      </c>
      <c r="H58" s="106">
        <v>819</v>
      </c>
      <c r="I58" s="106" t="s">
        <v>460</v>
      </c>
      <c r="J58" s="106" t="s">
        <v>961</v>
      </c>
      <c r="K58" s="106"/>
      <c r="L58" s="126"/>
      <c r="M58" s="124" t="str">
        <f t="shared" si="4"/>
        <v>||IAPI810923LP9|PEPH660719GP7|1|30001000000500010886|Petición firmada por el Receptor||</v>
      </c>
      <c r="N58" s="131" t="str">
        <f t="shared" si="1"/>
        <v>||SPR190613I52|10-03-2026 18:00:00|30001000000500003456|Petición firmada por el Receptor||</v>
      </c>
      <c r="O58" s="132" t="str">
        <f t="shared" si="0"/>
        <v>||IAPI810923LP9|PEPH660719GP7|1|30001000000500010886|Petición firmada por el Receptor||
||SPR190613I52|10-03-2026 18:00:00|30001000000500003456|Petición firmada por el Receptor||</v>
      </c>
    </row>
    <row r="59" spans="1:15" ht="29" x14ac:dyDescent="0.35">
      <c r="A59" s="129" t="s">
        <v>1136</v>
      </c>
      <c r="B59" s="130" t="s">
        <v>1135</v>
      </c>
      <c r="C59" s="106">
        <v>2</v>
      </c>
      <c r="D59" s="106" t="s">
        <v>704</v>
      </c>
      <c r="E59" s="72" t="s">
        <v>1017</v>
      </c>
      <c r="F59" s="106">
        <v>606</v>
      </c>
      <c r="G59" s="125" t="s">
        <v>1123</v>
      </c>
      <c r="H59" s="106" t="s">
        <v>706</v>
      </c>
      <c r="I59" s="106" t="s">
        <v>460</v>
      </c>
      <c r="J59" s="106">
        <v>453</v>
      </c>
      <c r="K59" s="106"/>
      <c r="L59" s="126"/>
      <c r="M59" s="124" t="str">
        <f t="shared" si="4"/>
        <v>||PILY750909JI9|MABJ861003PW1|2|30001000000500010887|Petición firmada por el Receptor||</v>
      </c>
      <c r="N59" s="131" t="str">
        <f t="shared" si="1"/>
        <v>||SPR190613I52|10-03-2026 18:00:00|30001000000500003456|Petición firmada por el Receptor||</v>
      </c>
      <c r="O59" s="132" t="str">
        <f t="shared" si="0"/>
        <v>||PILY750909JI9|MABJ861003PW1|2|30001000000500010887|Petición firmada por el Receptor||
||SPR190613I52|10-03-2026 18:00:00|30001000000500003456|Petición firmada por el Receptor||</v>
      </c>
    </row>
    <row r="60" spans="1:15" ht="29" x14ac:dyDescent="0.35">
      <c r="A60" s="129" t="s">
        <v>1136</v>
      </c>
      <c r="B60" s="130" t="s">
        <v>1135</v>
      </c>
      <c r="C60" s="106">
        <v>2</v>
      </c>
      <c r="D60" s="106" t="s">
        <v>967</v>
      </c>
      <c r="E60" s="72" t="s">
        <v>1017</v>
      </c>
      <c r="F60" s="106">
        <v>605</v>
      </c>
      <c r="G60" s="125" t="s">
        <v>1123</v>
      </c>
      <c r="H60" s="106" t="s">
        <v>706</v>
      </c>
      <c r="I60" s="106" t="s">
        <v>460</v>
      </c>
      <c r="J60" s="106">
        <v>1076</v>
      </c>
      <c r="K60" s="106"/>
      <c r="L60" s="126"/>
      <c r="M60" s="124" t="str">
        <f t="shared" si="4"/>
        <v>||RAGR760807952|MABJ861003PW1|2|30001000000500010887|Petición firmada por el Receptor||</v>
      </c>
      <c r="N60" s="131" t="str">
        <f t="shared" si="1"/>
        <v>||SPR190613I52|10-03-2026 18:00:00|30001000000500003456|Petición firmada por el Receptor||</v>
      </c>
      <c r="O60" s="132" t="str">
        <f t="shared" si="0"/>
        <v>||RAGR760807952|MABJ861003PW1|2|30001000000500010887|Petición firmada por el Receptor||
||SPR190613I52|10-03-2026 18:00:00|30001000000500003456|Petición firmada por el Receptor||</v>
      </c>
    </row>
    <row r="61" spans="1:15" ht="29" x14ac:dyDescent="0.35">
      <c r="A61" s="129" t="s">
        <v>1136</v>
      </c>
      <c r="B61" s="130" t="s">
        <v>1135</v>
      </c>
      <c r="C61" s="106">
        <v>2</v>
      </c>
      <c r="D61" s="106" t="s">
        <v>866</v>
      </c>
      <c r="E61" s="72" t="s">
        <v>1017</v>
      </c>
      <c r="F61" s="106" t="s">
        <v>821</v>
      </c>
      <c r="G61" s="125" t="s">
        <v>1123</v>
      </c>
      <c r="H61" s="106" t="s">
        <v>706</v>
      </c>
      <c r="I61" s="106" t="s">
        <v>460</v>
      </c>
      <c r="J61" s="106">
        <v>907</v>
      </c>
      <c r="K61" s="106"/>
      <c r="L61" s="126"/>
      <c r="M61" s="124" t="str">
        <f t="shared" si="4"/>
        <v>||RITJ780624FS5|MABJ861003PW1|2|30001000000500010887|Petición firmada por el Receptor||</v>
      </c>
      <c r="N61" s="131" t="str">
        <f t="shared" si="1"/>
        <v>||SPR190613I52|10-03-2026 18:00:00|30001000000500003456|Petición firmada por el Receptor||</v>
      </c>
      <c r="O61" s="132" t="str">
        <f t="shared" si="0"/>
        <v>||RITJ780624FS5|MABJ861003PW1|2|30001000000500010887|Petición firmada por el Receptor||
||SPR190613I52|10-03-2026 18:00:00|30001000000500003456|Petición firmada por el Receptor||</v>
      </c>
    </row>
    <row r="62" spans="1:15" ht="29" x14ac:dyDescent="0.35">
      <c r="A62" s="129" t="s">
        <v>1136</v>
      </c>
      <c r="B62" s="130" t="s">
        <v>1135</v>
      </c>
      <c r="C62" s="106">
        <v>2</v>
      </c>
      <c r="D62" s="106" t="s">
        <v>855</v>
      </c>
      <c r="E62" s="72" t="s">
        <v>1017</v>
      </c>
      <c r="F62" s="106" t="s">
        <v>738</v>
      </c>
      <c r="G62" s="125" t="s">
        <v>1123</v>
      </c>
      <c r="H62" s="106">
        <v>819</v>
      </c>
      <c r="I62" s="106" t="s">
        <v>460</v>
      </c>
      <c r="J62" s="106" t="s">
        <v>961</v>
      </c>
      <c r="K62" s="106"/>
      <c r="L62" s="126"/>
      <c r="M62" s="124" t="str">
        <f t="shared" si="4"/>
        <v>||IAPI810923LP9|MABJ861003PW1|2|30001000000500010887|Petición firmada por el Receptor||</v>
      </c>
      <c r="N62" s="131" t="str">
        <f t="shared" si="1"/>
        <v>||SPR190613I52|10-03-2026 18:00:00|30001000000500003456|Petición firmada por el Receptor||</v>
      </c>
      <c r="O62" s="132" t="str">
        <f t="shared" si="0"/>
        <v>||IAPI810923LP9|MABJ861003PW1|2|30001000000500010887|Petición firmada por el Receptor||
||SPR190613I52|10-03-2026 18:00:00|30001000000500003456|Petición firmada por el Receptor||</v>
      </c>
    </row>
    <row r="63" spans="1:15" ht="29" x14ac:dyDescent="0.35">
      <c r="A63" s="129" t="s">
        <v>1136</v>
      </c>
      <c r="B63" s="130" t="s">
        <v>1135</v>
      </c>
      <c r="C63" s="106">
        <v>2</v>
      </c>
      <c r="D63" s="106" t="s">
        <v>867</v>
      </c>
      <c r="E63" s="72" t="s">
        <v>1017</v>
      </c>
      <c r="F63" s="106" t="s">
        <v>738</v>
      </c>
      <c r="G63" s="125" t="s">
        <v>1123</v>
      </c>
      <c r="H63" s="106">
        <v>3</v>
      </c>
      <c r="I63" s="106" t="s">
        <v>868</v>
      </c>
      <c r="J63" s="106">
        <v>907</v>
      </c>
      <c r="K63" s="106"/>
      <c r="L63" s="126"/>
      <c r="M63" s="124" t="str">
        <f t="shared" si="4"/>
        <v>||REVJ7602249B4|MABJ861003PW1|2|30001000000500010887|Petición firmada por el Receptor||</v>
      </c>
      <c r="N63" s="131" t="str">
        <f t="shared" si="1"/>
        <v>||SPR190613I52|10-03-2026 18:00:00|30001000000500003456|Petición firmada por el Receptor||</v>
      </c>
      <c r="O63" s="132" t="str">
        <f t="shared" si="0"/>
        <v>||REVJ7602249B4|MABJ861003PW1|2|30001000000500010887|Petición firmada por el Receptor||
||SPR190613I52|10-03-2026 18:00:00|30001000000500003456|Petición firmada por el Receptor||</v>
      </c>
    </row>
    <row r="64" spans="1:15" ht="29" x14ac:dyDescent="0.35">
      <c r="A64" s="129" t="s">
        <v>1136</v>
      </c>
      <c r="B64" s="130" t="s">
        <v>1135</v>
      </c>
      <c r="C64" s="106">
        <v>2</v>
      </c>
      <c r="D64" s="106" t="s">
        <v>714</v>
      </c>
      <c r="E64" s="72" t="s">
        <v>1017</v>
      </c>
      <c r="F64" s="106" t="s">
        <v>740</v>
      </c>
      <c r="G64" s="125" t="s">
        <v>1123</v>
      </c>
      <c r="H64" s="106" t="s">
        <v>706</v>
      </c>
      <c r="I64" s="106" t="s">
        <v>742</v>
      </c>
      <c r="J64" s="106">
        <v>679</v>
      </c>
      <c r="K64" s="106"/>
      <c r="L64" s="126"/>
      <c r="M64" s="124" t="str">
        <f t="shared" si="4"/>
        <v>||IATF410605E89|MABJ861003PW1|2|30001000000500010887|Petición firmada por el Receptor||</v>
      </c>
      <c r="N64" s="131" t="str">
        <f t="shared" si="1"/>
        <v>||SPR190613I52|10-03-2026 18:00:00|30001000000500003456|Petición firmada por el Receptor||</v>
      </c>
      <c r="O64" s="132" t="str">
        <f t="shared" si="0"/>
        <v>||IATF410605E89|MABJ861003PW1|2|30001000000500010887|Petición firmada por el Receptor||
||SPR190613I52|10-03-2026 18:00:00|30001000000500003456|Petición firmada por el Receptor||</v>
      </c>
    </row>
    <row r="65" spans="1:15" ht="29" x14ac:dyDescent="0.35">
      <c r="A65" s="129" t="s">
        <v>1136</v>
      </c>
      <c r="B65" s="130" t="s">
        <v>1135</v>
      </c>
      <c r="C65" s="106">
        <v>2</v>
      </c>
      <c r="D65" s="106" t="s">
        <v>724</v>
      </c>
      <c r="E65" s="72" t="s">
        <v>1017</v>
      </c>
      <c r="F65" s="106" t="s">
        <v>741</v>
      </c>
      <c r="G65" s="125" t="s">
        <v>1123</v>
      </c>
      <c r="H65" s="106" t="s">
        <v>410</v>
      </c>
      <c r="I65" s="106" t="s">
        <v>962</v>
      </c>
      <c r="J65" s="106" t="s">
        <v>725</v>
      </c>
      <c r="K65" s="106"/>
      <c r="L65" s="126"/>
      <c r="M65" s="124" t="str">
        <f t="shared" si="4"/>
        <v>||BAJA730719QY9|MABJ861003PW1|2|30001000000500010887|Petición firmada por el Receptor||</v>
      </c>
      <c r="N65" s="131" t="str">
        <f t="shared" si="1"/>
        <v>||SPR190613I52|10-03-2026 18:00:00|30001000000500003456|Petición firmada por el Receptor||</v>
      </c>
      <c r="O65" s="132" t="str">
        <f t="shared" si="0"/>
        <v>||BAJA730719QY9|MABJ861003PW1|2|30001000000500010887|Petición firmada por el Receptor||
||SPR190613I52|10-03-2026 18:00:00|30001000000500003456|Petición firmada por el Receptor||</v>
      </c>
    </row>
    <row r="66" spans="1:15" ht="29" x14ac:dyDescent="0.35">
      <c r="A66" s="129" t="s">
        <v>1136</v>
      </c>
      <c r="B66" s="130" t="s">
        <v>1135</v>
      </c>
      <c r="C66" s="106">
        <v>3</v>
      </c>
      <c r="D66" s="106" t="s">
        <v>1061</v>
      </c>
      <c r="E66" s="72" t="s">
        <v>1017</v>
      </c>
      <c r="F66" s="106" t="s">
        <v>711</v>
      </c>
      <c r="G66" s="125" t="s">
        <v>1123</v>
      </c>
      <c r="H66" s="106" t="s">
        <v>706</v>
      </c>
      <c r="I66" s="106" t="s">
        <v>460</v>
      </c>
      <c r="J66" s="106" t="s">
        <v>1062</v>
      </c>
      <c r="K66" s="106"/>
      <c r="L66" s="126"/>
      <c r="M66" s="124" t="str">
        <f t="shared" si="4"/>
        <v>||AOPW7710126PA|MABJ861003PW1|3|30001000000500010887|Petición firmada por el Receptor||</v>
      </c>
      <c r="N66" s="131" t="str">
        <f t="shared" si="1"/>
        <v>||SPR190613I52|10-03-2026 18:00:00|30001000000500003456|Petición firmada por el Receptor||</v>
      </c>
      <c r="O66" s="132" t="str">
        <f t="shared" ref="O66:O129" si="5">CONCATENATE(M66, CHAR(10), N66)</f>
        <v>||AOPW7710126PA|MABJ861003PW1|3|30001000000500010887|Petición firmada por el Receptor||
||SPR190613I52|10-03-2026 18:00:00|30001000000500003456|Petición firmada por el Receptor||</v>
      </c>
    </row>
    <row r="67" spans="1:15" ht="29" x14ac:dyDescent="0.35">
      <c r="A67" s="129" t="s">
        <v>1136</v>
      </c>
      <c r="B67" s="130" t="s">
        <v>1135</v>
      </c>
      <c r="C67" s="106">
        <v>3</v>
      </c>
      <c r="D67" s="106" t="s">
        <v>1063</v>
      </c>
      <c r="E67" s="72" t="s">
        <v>1017</v>
      </c>
      <c r="F67" s="106" t="s">
        <v>735</v>
      </c>
      <c r="G67" s="125" t="s">
        <v>1123</v>
      </c>
      <c r="H67" s="106" t="s">
        <v>706</v>
      </c>
      <c r="I67" s="106" t="s">
        <v>736</v>
      </c>
      <c r="J67" s="106">
        <v>106</v>
      </c>
      <c r="K67" s="106"/>
      <c r="L67" s="126"/>
      <c r="M67" s="124" t="str">
        <f t="shared" si="4"/>
        <v>||AOTE680812K3A|MABJ861003PW1|3|30001000000500010887|Petición firmada por el Receptor||</v>
      </c>
      <c r="N67" s="131" t="str">
        <f t="shared" ref="N67:N130" si="6">CONCATENATE("||","SPR190613I52","|",A67,"|",B67,"|","Petición firmada por el Receptor","||")</f>
        <v>||SPR190613I52|10-03-2026 18:00:00|30001000000500003456|Petición firmada por el Receptor||</v>
      </c>
      <c r="O67" s="132" t="str">
        <f t="shared" si="5"/>
        <v>||AOTE680812K3A|MABJ861003PW1|3|30001000000500010887|Petición firmada por el Receptor||
||SPR190613I52|10-03-2026 18:00:00|30001000000500003456|Petición firmada por el Receptor||</v>
      </c>
    </row>
    <row r="68" spans="1:15" ht="29" x14ac:dyDescent="0.35">
      <c r="A68" s="129" t="s">
        <v>1136</v>
      </c>
      <c r="B68" s="130" t="s">
        <v>1135</v>
      </c>
      <c r="C68" s="106">
        <v>3</v>
      </c>
      <c r="D68" s="106" t="s">
        <v>1064</v>
      </c>
      <c r="E68" s="72" t="s">
        <v>1017</v>
      </c>
      <c r="F68" s="106" t="s">
        <v>738</v>
      </c>
      <c r="G68" s="125" t="s">
        <v>1123</v>
      </c>
      <c r="H68" s="106" t="s">
        <v>706</v>
      </c>
      <c r="I68" s="106" t="s">
        <v>460</v>
      </c>
      <c r="J68" s="106">
        <v>107</v>
      </c>
      <c r="K68" s="106"/>
      <c r="L68" s="126"/>
      <c r="M68" s="124" t="str">
        <f t="shared" si="4"/>
        <v>||CARG330210FS9|MABJ861003PW1|3|30001000000500010887|Petición firmada por el Receptor||</v>
      </c>
      <c r="N68" s="131" t="str">
        <f t="shared" si="6"/>
        <v>||SPR190613I52|10-03-2026 18:00:00|30001000000500003456|Petición firmada por el Receptor||</v>
      </c>
      <c r="O68" s="132" t="str">
        <f t="shared" si="5"/>
        <v>||CARG330210FS9|MABJ861003PW1|3|30001000000500010887|Petición firmada por el Receptor||
||SPR190613I52|10-03-2026 18:00:00|30001000000500003456|Petición firmada por el Receptor||</v>
      </c>
    </row>
    <row r="69" spans="1:15" ht="29" x14ac:dyDescent="0.35">
      <c r="A69" s="129" t="s">
        <v>1136</v>
      </c>
      <c r="B69" s="130" t="s">
        <v>1135</v>
      </c>
      <c r="C69" s="106">
        <v>3</v>
      </c>
      <c r="D69" s="106" t="s">
        <v>1066</v>
      </c>
      <c r="E69" s="72" t="s">
        <v>1017</v>
      </c>
      <c r="F69" s="106" t="s">
        <v>711</v>
      </c>
      <c r="G69" s="125" t="s">
        <v>1123</v>
      </c>
      <c r="H69" s="106" t="s">
        <v>706</v>
      </c>
      <c r="I69" s="106" t="s">
        <v>460</v>
      </c>
      <c r="J69" s="106" t="s">
        <v>1067</v>
      </c>
      <c r="K69" s="106"/>
      <c r="L69" s="126"/>
      <c r="M69" s="124" t="str">
        <f t="shared" si="4"/>
        <v>||AOTE700812K3A|MABJ861003PW1|3|30001000000500010887|Petición firmada por el Receptor||</v>
      </c>
      <c r="N69" s="131" t="str">
        <f t="shared" si="6"/>
        <v>||SPR190613I52|10-03-2026 18:00:00|30001000000500003456|Petición firmada por el Receptor||</v>
      </c>
      <c r="O69" s="132" t="str">
        <f t="shared" si="5"/>
        <v>||AOTE700812K3A|MABJ861003PW1|3|30001000000500010887|Petición firmada por el Receptor||
||SPR190613I52|10-03-2026 18:00:00|30001000000500003456|Petición firmada por el Receptor||</v>
      </c>
    </row>
    <row r="70" spans="1:15" ht="29" x14ac:dyDescent="0.35">
      <c r="A70" s="129" t="s">
        <v>1136</v>
      </c>
      <c r="B70" s="130" t="s">
        <v>1135</v>
      </c>
      <c r="C70" s="106">
        <v>3</v>
      </c>
      <c r="D70" s="106" t="s">
        <v>1068</v>
      </c>
      <c r="E70" s="72" t="s">
        <v>1017</v>
      </c>
      <c r="F70" s="106" t="s">
        <v>749</v>
      </c>
      <c r="G70" s="125" t="s">
        <v>1123</v>
      </c>
      <c r="H70" s="106" t="s">
        <v>706</v>
      </c>
      <c r="I70" s="106" t="s">
        <v>460</v>
      </c>
      <c r="J70" s="107">
        <v>109104</v>
      </c>
      <c r="K70" s="106"/>
      <c r="L70" s="126"/>
      <c r="M70" s="124" t="str">
        <f t="shared" si="4"/>
        <v>||AOOM901231I96|MABJ861003PW1|3|30001000000500010887|Petición firmada por el Receptor||</v>
      </c>
      <c r="N70" s="131" t="str">
        <f t="shared" si="6"/>
        <v>||SPR190613I52|10-03-2026 18:00:00|30001000000500003456|Petición firmada por el Receptor||</v>
      </c>
      <c r="O70" s="132" t="str">
        <f t="shared" si="5"/>
        <v>||AOOM901231I96|MABJ861003PW1|3|30001000000500010887|Petición firmada por el Receptor||
||SPR190613I52|10-03-2026 18:00:00|30001000000500003456|Petición firmada por el Receptor||</v>
      </c>
    </row>
    <row r="71" spans="1:15" ht="29" x14ac:dyDescent="0.35">
      <c r="A71" s="129" t="s">
        <v>1136</v>
      </c>
      <c r="B71" s="130" t="s">
        <v>1135</v>
      </c>
      <c r="C71" s="106">
        <v>3</v>
      </c>
      <c r="D71" s="106" t="s">
        <v>1069</v>
      </c>
      <c r="E71" s="72" t="s">
        <v>1017</v>
      </c>
      <c r="F71" s="106" t="s">
        <v>778</v>
      </c>
      <c r="G71" s="125" t="s">
        <v>1123</v>
      </c>
      <c r="H71" s="106" t="s">
        <v>706</v>
      </c>
      <c r="I71" s="106" t="s">
        <v>1070</v>
      </c>
      <c r="J71" s="106" t="s">
        <v>1071</v>
      </c>
      <c r="K71" s="106"/>
      <c r="L71" s="126"/>
      <c r="M71" s="124" t="str">
        <f t="shared" si="4"/>
        <v>||AODH5503161V4|MABJ861003PW1|3|30001000000500010887|Petición firmada por el Receptor||</v>
      </c>
      <c r="N71" s="131" t="str">
        <f t="shared" si="6"/>
        <v>||SPR190613I52|10-03-2026 18:00:00|30001000000500003456|Petición firmada por el Receptor||</v>
      </c>
      <c r="O71" s="132" t="str">
        <f t="shared" si="5"/>
        <v>||AODH5503161V4|MABJ861003PW1|3|30001000000500010887|Petición firmada por el Receptor||
||SPR190613I52|10-03-2026 18:00:00|30001000000500003456|Petición firmada por el Receptor||</v>
      </c>
    </row>
    <row r="72" spans="1:15" ht="29" x14ac:dyDescent="0.35">
      <c r="A72" s="129" t="s">
        <v>1136</v>
      </c>
      <c r="B72" s="130" t="s">
        <v>1135</v>
      </c>
      <c r="C72" s="106">
        <v>3</v>
      </c>
      <c r="D72" s="106" t="s">
        <v>1072</v>
      </c>
      <c r="E72" s="72" t="s">
        <v>1017</v>
      </c>
      <c r="F72" s="106" t="s">
        <v>1025</v>
      </c>
      <c r="G72" s="125" t="s">
        <v>1123</v>
      </c>
      <c r="H72" s="106" t="s">
        <v>706</v>
      </c>
      <c r="I72" s="106" t="s">
        <v>1073</v>
      </c>
      <c r="J72" s="106" t="s">
        <v>1074</v>
      </c>
      <c r="K72" s="106"/>
      <c r="L72" s="126"/>
      <c r="M72" s="124" t="str">
        <f t="shared" si="4"/>
        <v>||AOPO540805UI3|MABJ861003PW1|3|30001000000500010887|Petición firmada por el Receptor||</v>
      </c>
      <c r="N72" s="131" t="str">
        <f t="shared" si="6"/>
        <v>||SPR190613I52|10-03-2026 18:00:00|30001000000500003456|Petición firmada por el Receptor||</v>
      </c>
      <c r="O72" s="132" t="str">
        <f t="shared" si="5"/>
        <v>||AOPO540805UI3|MABJ861003PW1|3|30001000000500010887|Petición firmada por el Receptor||
||SPR190613I52|10-03-2026 18:00:00|30001000000500003456|Petición firmada por el Receptor||</v>
      </c>
    </row>
    <row r="73" spans="1:15" ht="29" x14ac:dyDescent="0.35">
      <c r="A73" s="129" t="s">
        <v>1136</v>
      </c>
      <c r="B73" s="130" t="s">
        <v>1135</v>
      </c>
      <c r="C73" s="106">
        <v>3</v>
      </c>
      <c r="D73" s="106" t="s">
        <v>1075</v>
      </c>
      <c r="E73" s="72" t="s">
        <v>1017</v>
      </c>
      <c r="F73" s="106" t="s">
        <v>749</v>
      </c>
      <c r="G73" s="125" t="s">
        <v>1123</v>
      </c>
      <c r="H73" s="106" t="s">
        <v>706</v>
      </c>
      <c r="I73" s="106" t="s">
        <v>460</v>
      </c>
      <c r="J73" s="106" t="s">
        <v>1076</v>
      </c>
      <c r="K73" s="106"/>
      <c r="L73" s="126"/>
      <c r="M73" s="124" t="str">
        <f t="shared" si="4"/>
        <v>||CARD871124CR6|MABJ861003PW1|3|30001000000500010887|Petición firmada por el Receptor||</v>
      </c>
      <c r="N73" s="131" t="str">
        <f t="shared" si="6"/>
        <v>||SPR190613I52|10-03-2026 18:00:00|30001000000500003456|Petición firmada por el Receptor||</v>
      </c>
      <c r="O73" s="132" t="str">
        <f t="shared" si="5"/>
        <v>||CARD871124CR6|MABJ861003PW1|3|30001000000500010887|Petición firmada por el Receptor||
||SPR190613I52|10-03-2026 18:00:00|30001000000500003456|Petición firmada por el Receptor||</v>
      </c>
    </row>
    <row r="74" spans="1:15" ht="29" x14ac:dyDescent="0.35">
      <c r="A74" s="129" t="s">
        <v>1136</v>
      </c>
      <c r="B74" s="130" t="s">
        <v>1135</v>
      </c>
      <c r="C74" s="106">
        <v>3</v>
      </c>
      <c r="D74" s="106" t="s">
        <v>1077</v>
      </c>
      <c r="E74" s="72" t="s">
        <v>1017</v>
      </c>
      <c r="F74" s="106" t="s">
        <v>778</v>
      </c>
      <c r="G74" s="125" t="s">
        <v>1123</v>
      </c>
      <c r="H74" s="106" t="s">
        <v>706</v>
      </c>
      <c r="I74" s="106" t="s">
        <v>736</v>
      </c>
      <c r="J74" s="106">
        <v>113</v>
      </c>
      <c r="K74" s="106"/>
      <c r="L74" s="126"/>
      <c r="M74" s="124" t="str">
        <f t="shared" si="4"/>
        <v>||AOJL590816R57|MABJ861003PW1|3|30001000000500010887|Petición firmada por el Receptor||</v>
      </c>
      <c r="N74" s="131" t="str">
        <f t="shared" si="6"/>
        <v>||SPR190613I52|10-03-2026 18:00:00|30001000000500003456|Petición firmada por el Receptor||</v>
      </c>
      <c r="O74" s="132" t="str">
        <f t="shared" si="5"/>
        <v>||AOJL590816R57|MABJ861003PW1|3|30001000000500010887|Petición firmada por el Receptor||
||SPR190613I52|10-03-2026 18:00:00|30001000000500003456|Petición firmada por el Receptor||</v>
      </c>
    </row>
    <row r="75" spans="1:15" ht="43.5" x14ac:dyDescent="0.35">
      <c r="A75" s="129" t="s">
        <v>1136</v>
      </c>
      <c r="B75" s="130" t="s">
        <v>1135</v>
      </c>
      <c r="C75" s="106">
        <v>3</v>
      </c>
      <c r="D75" s="106" t="s">
        <v>1078</v>
      </c>
      <c r="E75" s="72" t="s">
        <v>1017</v>
      </c>
      <c r="F75" s="106">
        <v>612</v>
      </c>
      <c r="G75" s="125" t="s">
        <v>1123</v>
      </c>
      <c r="H75" s="106" t="s">
        <v>1079</v>
      </c>
      <c r="I75" s="106" t="s">
        <v>1080</v>
      </c>
      <c r="J75" s="106" t="s">
        <v>1081</v>
      </c>
      <c r="K75" s="106"/>
      <c r="L75" s="126"/>
      <c r="M75" s="124" t="str">
        <f t="shared" si="4"/>
        <v>||CACX69111983A|MABJ861003PW1|3|30001000000500010887|Petición firmada por el Receptor||</v>
      </c>
      <c r="N75" s="131" t="str">
        <f t="shared" si="6"/>
        <v>||SPR190613I52|10-03-2026 18:00:00|30001000000500003456|Petición firmada por el Receptor||</v>
      </c>
      <c r="O75" s="132" t="str">
        <f t="shared" si="5"/>
        <v>||CACX69111983A|MABJ861003PW1|3|30001000000500010887|Petición firmada por el Receptor||
||SPR190613I52|10-03-2026 18:00:00|30001000000500003456|Petición firmada por el Receptor||</v>
      </c>
    </row>
    <row r="76" spans="1:15" ht="29" x14ac:dyDescent="0.35">
      <c r="A76" s="129" t="s">
        <v>1136</v>
      </c>
      <c r="B76" s="130" t="s">
        <v>1135</v>
      </c>
      <c r="C76" s="106">
        <v>3</v>
      </c>
      <c r="D76" s="106" t="s">
        <v>1082</v>
      </c>
      <c r="E76" s="72" t="s">
        <v>1017</v>
      </c>
      <c r="F76" s="106" t="s">
        <v>749</v>
      </c>
      <c r="G76" s="125" t="s">
        <v>1123</v>
      </c>
      <c r="H76" s="106" t="s">
        <v>706</v>
      </c>
      <c r="I76" s="106" t="s">
        <v>460</v>
      </c>
      <c r="J76" s="106" t="s">
        <v>1083</v>
      </c>
      <c r="K76" s="106"/>
      <c r="L76" s="126"/>
      <c r="M76" s="124" t="str">
        <f t="shared" si="4"/>
        <v>||AOCF550917M74|MABJ861003PW1|3|30001000000500010887|Petición firmada por el Receptor||</v>
      </c>
      <c r="N76" s="131" t="str">
        <f t="shared" si="6"/>
        <v>||SPR190613I52|10-03-2026 18:00:00|30001000000500003456|Petición firmada por el Receptor||</v>
      </c>
      <c r="O76" s="132" t="str">
        <f t="shared" si="5"/>
        <v>||AOCF550917M74|MABJ861003PW1|3|30001000000500010887|Petición firmada por el Receptor||
||SPR190613I52|10-03-2026 18:00:00|30001000000500003456|Petición firmada por el Receptor||</v>
      </c>
    </row>
    <row r="77" spans="1:15" ht="29" x14ac:dyDescent="0.35">
      <c r="A77" s="129" t="s">
        <v>1136</v>
      </c>
      <c r="B77" s="130" t="s">
        <v>1135</v>
      </c>
      <c r="C77" s="106">
        <v>3</v>
      </c>
      <c r="D77" s="106" t="s">
        <v>1084</v>
      </c>
      <c r="E77" s="72" t="s">
        <v>1017</v>
      </c>
      <c r="F77" s="106" t="s">
        <v>738</v>
      </c>
      <c r="G77" s="125" t="s">
        <v>1123</v>
      </c>
      <c r="H77" s="106" t="s">
        <v>706</v>
      </c>
      <c r="I77" s="106" t="s">
        <v>460</v>
      </c>
      <c r="J77" s="106" t="s">
        <v>1085</v>
      </c>
      <c r="K77" s="106"/>
      <c r="L77" s="126"/>
      <c r="M77" s="124" t="str">
        <f t="shared" si="4"/>
        <v>||AOCF711004SK2|MABJ861003PW1|3|30001000000500010887|Petición firmada por el Receptor||</v>
      </c>
      <c r="N77" s="131" t="str">
        <f t="shared" si="6"/>
        <v>||SPR190613I52|10-03-2026 18:00:00|30001000000500003456|Petición firmada por el Receptor||</v>
      </c>
      <c r="O77" s="132" t="str">
        <f t="shared" si="5"/>
        <v>||AOCF711004SK2|MABJ861003PW1|3|30001000000500010887|Petición firmada por el Receptor||
||SPR190613I52|10-03-2026 18:00:00|30001000000500003456|Petición firmada por el Receptor||</v>
      </c>
    </row>
    <row r="78" spans="1:15" ht="29" x14ac:dyDescent="0.35">
      <c r="A78" s="129" t="s">
        <v>1136</v>
      </c>
      <c r="B78" s="130" t="s">
        <v>1135</v>
      </c>
      <c r="C78" s="106">
        <v>3</v>
      </c>
      <c r="D78" s="106" t="s">
        <v>1086</v>
      </c>
      <c r="E78" s="72" t="s">
        <v>1017</v>
      </c>
      <c r="F78" s="106" t="s">
        <v>711</v>
      </c>
      <c r="G78" s="125" t="s">
        <v>1123</v>
      </c>
      <c r="H78" s="106" t="s">
        <v>706</v>
      </c>
      <c r="I78" s="106" t="s">
        <v>460</v>
      </c>
      <c r="J78" s="106" t="s">
        <v>1087</v>
      </c>
      <c r="K78" s="106"/>
      <c r="L78" s="126"/>
      <c r="M78" s="124" t="str">
        <f t="shared" si="4"/>
        <v>||AOMJ581003B35|MABJ861003PW1|3|30001000000500010887|Petición firmada por el Receptor||</v>
      </c>
      <c r="N78" s="131" t="str">
        <f t="shared" si="6"/>
        <v>||SPR190613I52|10-03-2026 18:00:00|30001000000500003456|Petición firmada por el Receptor||</v>
      </c>
      <c r="O78" s="132" t="str">
        <f t="shared" si="5"/>
        <v>||AOMJ581003B35|MABJ861003PW1|3|30001000000500010887|Petición firmada por el Receptor||
||SPR190613I52|10-03-2026 18:00:00|30001000000500003456|Petición firmada por el Receptor||</v>
      </c>
    </row>
    <row r="79" spans="1:15" ht="29" x14ac:dyDescent="0.35">
      <c r="A79" s="129" t="s">
        <v>1136</v>
      </c>
      <c r="B79" s="130" t="s">
        <v>1135</v>
      </c>
      <c r="C79" s="106">
        <v>3</v>
      </c>
      <c r="D79" s="106" t="s">
        <v>857</v>
      </c>
      <c r="E79" s="72" t="s">
        <v>1017</v>
      </c>
      <c r="F79" s="106" t="s">
        <v>711</v>
      </c>
      <c r="G79" s="125" t="s">
        <v>1123</v>
      </c>
      <c r="H79" s="106" t="s">
        <v>706</v>
      </c>
      <c r="I79" s="106" t="s">
        <v>460</v>
      </c>
      <c r="J79" s="106" t="s">
        <v>858</v>
      </c>
      <c r="K79" s="106"/>
      <c r="L79" s="126"/>
      <c r="M79" s="124" t="str">
        <f t="shared" si="4"/>
        <v>||CAGM630514EA6|MABJ861003PW1|3|30001000000500010887|Petición firmada por el Receptor||</v>
      </c>
      <c r="N79" s="131" t="str">
        <f t="shared" si="6"/>
        <v>||SPR190613I52|10-03-2026 18:00:00|30001000000500003456|Petición firmada por el Receptor||</v>
      </c>
      <c r="O79" s="132" t="str">
        <f t="shared" si="5"/>
        <v>||CAGM630514EA6|MABJ861003PW1|3|30001000000500010887|Petición firmada por el Receptor||
||SPR190613I52|10-03-2026 18:00:00|30001000000500003456|Petición firmada por el Receptor||</v>
      </c>
    </row>
    <row r="80" spans="1:15" ht="43.5" x14ac:dyDescent="0.35">
      <c r="A80" s="129" t="s">
        <v>1136</v>
      </c>
      <c r="B80" s="130" t="s">
        <v>1135</v>
      </c>
      <c r="C80" s="106">
        <v>3</v>
      </c>
      <c r="D80" s="106" t="s">
        <v>869</v>
      </c>
      <c r="E80" s="72" t="s">
        <v>1117</v>
      </c>
      <c r="F80" s="106">
        <v>612</v>
      </c>
      <c r="G80" s="125" t="s">
        <v>1124</v>
      </c>
      <c r="H80" s="106" t="s">
        <v>870</v>
      </c>
      <c r="I80" s="106" t="s">
        <v>871</v>
      </c>
      <c r="J80" s="106">
        <v>664</v>
      </c>
      <c r="K80" s="106"/>
      <c r="L80" s="126"/>
      <c r="M80" s="124" t="str">
        <f t="shared" si="4"/>
        <v>||TEGJ440427T86|AAMT450528NI0|3|30001000000500010888|Petición firmada por el Receptor||</v>
      </c>
      <c r="N80" s="131" t="str">
        <f t="shared" si="6"/>
        <v>||SPR190613I52|10-03-2026 18:00:00|30001000000500003456|Petición firmada por el Receptor||</v>
      </c>
      <c r="O80" s="132" t="str">
        <f t="shared" si="5"/>
        <v>||TEGJ440427T86|AAMT450528NI0|3|30001000000500010888|Petición firmada por el Receptor||
||SPR190613I52|10-03-2026 18:00:00|30001000000500003456|Petición firmada por el Receptor||</v>
      </c>
    </row>
    <row r="81" spans="1:15" ht="29" x14ac:dyDescent="0.35">
      <c r="A81" s="129" t="s">
        <v>1136</v>
      </c>
      <c r="B81" s="130" t="s">
        <v>1135</v>
      </c>
      <c r="C81" s="106">
        <v>3</v>
      </c>
      <c r="D81" s="106" t="s">
        <v>745</v>
      </c>
      <c r="E81" s="72" t="s">
        <v>1117</v>
      </c>
      <c r="F81" s="106">
        <v>612</v>
      </c>
      <c r="G81" s="125" t="s">
        <v>1124</v>
      </c>
      <c r="H81" s="106" t="s">
        <v>706</v>
      </c>
      <c r="I81" s="106" t="s">
        <v>460</v>
      </c>
      <c r="J81" s="106" t="s">
        <v>746</v>
      </c>
      <c r="K81" s="106"/>
      <c r="L81" s="126"/>
      <c r="M81" s="124" t="str">
        <f t="shared" si="4"/>
        <v>||LAMC6004276Q3|AAMT450528NI0|3|30001000000500010888|Petición firmada por el Receptor||</v>
      </c>
      <c r="N81" s="131" t="str">
        <f t="shared" si="6"/>
        <v>||SPR190613I52|10-03-2026 18:00:00|30001000000500003456|Petición firmada por el Receptor||</v>
      </c>
      <c r="O81" s="132" t="str">
        <f t="shared" si="5"/>
        <v>||LAMC6004276Q3|AAMT450528NI0|3|30001000000500010888|Petición firmada por el Receptor||
||SPR190613I52|10-03-2026 18:00:00|30001000000500003456|Petición firmada por el Receptor||</v>
      </c>
    </row>
    <row r="82" spans="1:15" ht="29" x14ac:dyDescent="0.35">
      <c r="A82" s="129" t="s">
        <v>1136</v>
      </c>
      <c r="B82" s="130" t="s">
        <v>1135</v>
      </c>
      <c r="C82" s="106">
        <v>3</v>
      </c>
      <c r="D82" s="106" t="s">
        <v>859</v>
      </c>
      <c r="E82" s="72" t="s">
        <v>1117</v>
      </c>
      <c r="F82" s="106">
        <v>612</v>
      </c>
      <c r="G82" s="125" t="s">
        <v>1124</v>
      </c>
      <c r="H82" s="106" t="s">
        <v>706</v>
      </c>
      <c r="I82" s="106" t="s">
        <v>963</v>
      </c>
      <c r="J82" s="106" t="s">
        <v>706</v>
      </c>
      <c r="K82" s="106"/>
      <c r="L82" s="126"/>
      <c r="M82" s="124" t="str">
        <f t="shared" si="4"/>
        <v>||OITR910202CY9|AAMT450528NI0|3|30001000000500010888|Petición firmada por el Receptor||</v>
      </c>
      <c r="N82" s="131" t="str">
        <f t="shared" si="6"/>
        <v>||SPR190613I52|10-03-2026 18:00:00|30001000000500003456|Petición firmada por el Receptor||</v>
      </c>
      <c r="O82" s="132" t="str">
        <f t="shared" si="5"/>
        <v>||OITR910202CY9|AAMT450528NI0|3|30001000000500010888|Petición firmada por el Receptor||
||SPR190613I52|10-03-2026 18:00:00|30001000000500003456|Petición firmada por el Receptor||</v>
      </c>
    </row>
    <row r="83" spans="1:15" ht="29" x14ac:dyDescent="0.35">
      <c r="A83" s="129" t="s">
        <v>1136</v>
      </c>
      <c r="B83" s="130" t="s">
        <v>1135</v>
      </c>
      <c r="C83" s="106">
        <v>3</v>
      </c>
      <c r="D83" s="106" t="s">
        <v>861</v>
      </c>
      <c r="E83" s="72" t="s">
        <v>1117</v>
      </c>
      <c r="F83" s="106">
        <v>621</v>
      </c>
      <c r="G83" s="125" t="s">
        <v>1124</v>
      </c>
      <c r="H83" s="106" t="s">
        <v>706</v>
      </c>
      <c r="I83" s="106" t="s">
        <v>460</v>
      </c>
      <c r="J83" s="106">
        <v>496</v>
      </c>
      <c r="K83" s="106"/>
      <c r="L83" s="126"/>
      <c r="M83" s="124" t="str">
        <f t="shared" si="4"/>
        <v>||OIRL790904BW1|AAMT450528NI0|3|30001000000500010888|Petición firmada por el Receptor||</v>
      </c>
      <c r="N83" s="131" t="str">
        <f t="shared" si="6"/>
        <v>||SPR190613I52|10-03-2026 18:00:00|30001000000500003456|Petición firmada por el Receptor||</v>
      </c>
      <c r="O83" s="132" t="str">
        <f t="shared" si="5"/>
        <v>||OIRL790904BW1|AAMT450528NI0|3|30001000000500010888|Petición firmada por el Receptor||
||SPR190613I52|10-03-2026 18:00:00|30001000000500003456|Petición firmada por el Receptor||</v>
      </c>
    </row>
    <row r="84" spans="1:15" ht="29" x14ac:dyDescent="0.35">
      <c r="A84" s="129" t="s">
        <v>1136</v>
      </c>
      <c r="B84" s="130" t="s">
        <v>1135</v>
      </c>
      <c r="C84" s="106"/>
      <c r="D84" s="106" t="s">
        <v>1008</v>
      </c>
      <c r="E84" s="72" t="s">
        <v>1117</v>
      </c>
      <c r="F84" s="106">
        <v>621</v>
      </c>
      <c r="G84" s="125" t="s">
        <v>1124</v>
      </c>
      <c r="H84" s="106" t="s">
        <v>706</v>
      </c>
      <c r="I84" s="106" t="s">
        <v>736</v>
      </c>
      <c r="J84" s="106" t="s">
        <v>706</v>
      </c>
      <c r="K84" s="109"/>
      <c r="L84" s="126"/>
      <c r="M84" s="124" t="str">
        <f t="shared" si="4"/>
        <v>||MOLK920210RY2|AAMT450528NI0||30001000000500010888|Petición firmada por el Receptor||</v>
      </c>
      <c r="N84" s="131" t="str">
        <f t="shared" si="6"/>
        <v>||SPR190613I52|10-03-2026 18:00:00|30001000000500003456|Petición firmada por el Receptor||</v>
      </c>
      <c r="O84" s="132" t="str">
        <f t="shared" si="5"/>
        <v>||MOLK920210RY2|AAMT450528NI0||30001000000500010888|Petición firmada por el Receptor||
||SPR190613I52|10-03-2026 18:00:00|30001000000500003456|Petición firmada por el Receptor||</v>
      </c>
    </row>
    <row r="85" spans="1:15" ht="29" x14ac:dyDescent="0.35">
      <c r="A85" s="129" t="s">
        <v>1136</v>
      </c>
      <c r="B85" s="130" t="s">
        <v>1135</v>
      </c>
      <c r="C85" s="106">
        <v>3</v>
      </c>
      <c r="D85" s="106" t="s">
        <v>755</v>
      </c>
      <c r="E85" s="72" t="s">
        <v>1117</v>
      </c>
      <c r="F85" s="106">
        <v>621</v>
      </c>
      <c r="G85" s="125" t="s">
        <v>1124</v>
      </c>
      <c r="H85" s="106" t="s">
        <v>706</v>
      </c>
      <c r="I85" s="106" t="s">
        <v>736</v>
      </c>
      <c r="J85" s="106">
        <v>117</v>
      </c>
      <c r="K85" s="106"/>
      <c r="L85" s="126"/>
      <c r="M85" s="124" t="str">
        <f t="shared" si="4"/>
        <v>||GAHI871105NQ0|AAMT450528NI0|3|30001000000500010888|Petición firmada por el Receptor||</v>
      </c>
      <c r="N85" s="131" t="str">
        <f t="shared" si="6"/>
        <v>||SPR190613I52|10-03-2026 18:00:00|30001000000500003456|Petición firmada por el Receptor||</v>
      </c>
      <c r="O85" s="132" t="str">
        <f t="shared" si="5"/>
        <v>||GAHI871105NQ0|AAMT450528NI0|3|30001000000500010888|Petición firmada por el Receptor||
||SPR190613I52|10-03-2026 18:00:00|30001000000500003456|Petición firmada por el Receptor||</v>
      </c>
    </row>
    <row r="86" spans="1:15" ht="29" x14ac:dyDescent="0.35">
      <c r="A86" s="129" t="s">
        <v>1136</v>
      </c>
      <c r="B86" s="130" t="s">
        <v>1135</v>
      </c>
      <c r="C86" s="106">
        <v>3</v>
      </c>
      <c r="D86" s="106" t="s">
        <v>877</v>
      </c>
      <c r="E86" s="72" t="s">
        <v>1117</v>
      </c>
      <c r="F86" s="106">
        <v>626</v>
      </c>
      <c r="G86" s="125" t="s">
        <v>1124</v>
      </c>
      <c r="H86" s="106" t="s">
        <v>706</v>
      </c>
      <c r="I86" s="106" t="s">
        <v>736</v>
      </c>
      <c r="J86" s="106">
        <v>95</v>
      </c>
      <c r="K86" s="106"/>
      <c r="L86" s="126"/>
      <c r="M86" s="124" t="str">
        <f t="shared" si="4"/>
        <v>||FAGJ760203QH4|AAMT450528NI0|3|30001000000500010888|Petición firmada por el Receptor||</v>
      </c>
      <c r="N86" s="131" t="str">
        <f t="shared" si="6"/>
        <v>||SPR190613I52|10-03-2026 18:00:00|30001000000500003456|Petición firmada por el Receptor||</v>
      </c>
      <c r="O86" s="132" t="str">
        <f t="shared" si="5"/>
        <v>||FAGJ760203QH4|AAMT450528NI0|3|30001000000500010888|Petición firmada por el Receptor||
||SPR190613I52|10-03-2026 18:00:00|30001000000500003456|Petición firmada por el Receptor||</v>
      </c>
    </row>
    <row r="87" spans="1:15" ht="43.5" x14ac:dyDescent="0.35">
      <c r="A87" s="129" t="s">
        <v>1136</v>
      </c>
      <c r="B87" s="130" t="s">
        <v>1135</v>
      </c>
      <c r="C87" s="106">
        <v>3</v>
      </c>
      <c r="D87" s="106" t="s">
        <v>1013</v>
      </c>
      <c r="E87" s="72" t="s">
        <v>1117</v>
      </c>
      <c r="F87" s="106">
        <v>626</v>
      </c>
      <c r="G87" s="125" t="s">
        <v>1124</v>
      </c>
      <c r="H87" s="78">
        <v>203</v>
      </c>
      <c r="I87" s="108" t="s">
        <v>1012</v>
      </c>
      <c r="J87" s="108">
        <v>44</v>
      </c>
      <c r="K87" s="106"/>
      <c r="L87" s="126"/>
      <c r="M87" s="124" t="str">
        <f t="shared" ref="M87:M150" si="7">CONCATENATE("||",D87,"|",E87,"|",C87,"|",G87,"|","Petición firmada por el Receptor","||")</f>
        <v>||ROAE840831LU0|AAMT450528NI0|3|30001000000500010888|Petición firmada por el Receptor||</v>
      </c>
      <c r="N87" s="131" t="str">
        <f t="shared" si="6"/>
        <v>||SPR190613I52|10-03-2026 18:00:00|30001000000500003456|Petición firmada por el Receptor||</v>
      </c>
      <c r="O87" s="132" t="str">
        <f t="shared" si="5"/>
        <v>||ROAE840831LU0|AAMT450528NI0|3|30001000000500010888|Petición firmada por el Receptor||
||SPR190613I52|10-03-2026 18:00:00|30001000000500003456|Petición firmada por el Receptor||</v>
      </c>
    </row>
    <row r="88" spans="1:15" ht="43.5" x14ac:dyDescent="0.35">
      <c r="A88" s="129" t="s">
        <v>1136</v>
      </c>
      <c r="B88" s="130" t="s">
        <v>1135</v>
      </c>
      <c r="C88" s="106">
        <v>3</v>
      </c>
      <c r="D88" s="106" t="s">
        <v>757</v>
      </c>
      <c r="E88" s="72" t="s">
        <v>1117</v>
      </c>
      <c r="F88" s="106">
        <v>626</v>
      </c>
      <c r="G88" s="125" t="s">
        <v>1124</v>
      </c>
      <c r="H88" s="106" t="s">
        <v>759</v>
      </c>
      <c r="I88" s="106" t="s">
        <v>760</v>
      </c>
      <c r="J88" s="106" t="s">
        <v>761</v>
      </c>
      <c r="K88" s="106"/>
      <c r="L88" s="126"/>
      <c r="M88" s="124" t="str">
        <f t="shared" si="7"/>
        <v>||GAPI781227NS6|AAMT450528NI0|3|30001000000500010888|Petición firmada por el Receptor||</v>
      </c>
      <c r="N88" s="131" t="str">
        <f t="shared" si="6"/>
        <v>||SPR190613I52|10-03-2026 18:00:00|30001000000500003456|Petición firmada por el Receptor||</v>
      </c>
      <c r="O88" s="132" t="str">
        <f t="shared" si="5"/>
        <v>||GAPI781227NS6|AAMT450528NI0|3|30001000000500010888|Petición firmada por el Receptor||
||SPR190613I52|10-03-2026 18:00:00|30001000000500003456|Petición firmada por el Receptor||</v>
      </c>
    </row>
    <row r="89" spans="1:15" ht="29" x14ac:dyDescent="0.35">
      <c r="A89" s="129" t="s">
        <v>1136</v>
      </c>
      <c r="B89" s="130" t="s">
        <v>1135</v>
      </c>
      <c r="C89" s="106">
        <v>3</v>
      </c>
      <c r="D89" s="106" t="s">
        <v>752</v>
      </c>
      <c r="E89" s="72" t="s">
        <v>1117</v>
      </c>
      <c r="F89" s="106">
        <v>621</v>
      </c>
      <c r="G89" s="125" t="s">
        <v>1124</v>
      </c>
      <c r="H89" s="106">
        <v>735</v>
      </c>
      <c r="I89" s="106" t="s">
        <v>753</v>
      </c>
      <c r="J89" s="106" t="s">
        <v>754</v>
      </c>
      <c r="K89" s="106"/>
      <c r="L89" s="126"/>
      <c r="M89" s="124" t="str">
        <f t="shared" si="7"/>
        <v>||CAMD301211QE2|AAMT450528NI0|3|30001000000500010888|Petición firmada por el Receptor||</v>
      </c>
      <c r="N89" s="131" t="str">
        <f t="shared" si="6"/>
        <v>||SPR190613I52|10-03-2026 18:00:00|30001000000500003456|Petición firmada por el Receptor||</v>
      </c>
      <c r="O89" s="132" t="str">
        <f t="shared" si="5"/>
        <v>||CAMD301211QE2|AAMT450528NI0|3|30001000000500010888|Petición firmada por el Receptor||
||SPR190613I52|10-03-2026 18:00:00|30001000000500003456|Petición firmada por el Receptor||</v>
      </c>
    </row>
    <row r="90" spans="1:15" ht="29" x14ac:dyDescent="0.35">
      <c r="A90" s="129" t="s">
        <v>1136</v>
      </c>
      <c r="B90" s="130" t="s">
        <v>1135</v>
      </c>
      <c r="C90" s="106">
        <v>4</v>
      </c>
      <c r="D90" s="106" t="s">
        <v>752</v>
      </c>
      <c r="E90" s="72" t="s">
        <v>1117</v>
      </c>
      <c r="F90" s="106" t="s">
        <v>749</v>
      </c>
      <c r="G90" s="125" t="s">
        <v>1124</v>
      </c>
      <c r="H90" s="106">
        <v>735</v>
      </c>
      <c r="I90" s="106" t="s">
        <v>753</v>
      </c>
      <c r="J90" s="106" t="s">
        <v>754</v>
      </c>
      <c r="K90" s="106"/>
      <c r="L90" s="126"/>
      <c r="M90" s="124" t="str">
        <f t="shared" si="7"/>
        <v>||CAMD301211QE2|AAMT450528NI0|4|30001000000500010888|Petición firmada por el Receptor||</v>
      </c>
      <c r="N90" s="131" t="str">
        <f t="shared" si="6"/>
        <v>||SPR190613I52|10-03-2026 18:00:00|30001000000500003456|Petición firmada por el Receptor||</v>
      </c>
      <c r="O90" s="132" t="str">
        <f t="shared" si="5"/>
        <v>||CAMD301211QE2|AAMT450528NI0|4|30001000000500010888|Petición firmada por el Receptor||
||SPR190613I52|10-03-2026 18:00:00|30001000000500003456|Petición firmada por el Receptor||</v>
      </c>
    </row>
    <row r="91" spans="1:15" ht="29" x14ac:dyDescent="0.35">
      <c r="A91" s="129" t="s">
        <v>1136</v>
      </c>
      <c r="B91" s="130" t="s">
        <v>1135</v>
      </c>
      <c r="C91" s="106">
        <v>4</v>
      </c>
      <c r="D91" s="106" t="s">
        <v>1097</v>
      </c>
      <c r="E91" s="72" t="s">
        <v>1117</v>
      </c>
      <c r="F91" s="106">
        <v>610</v>
      </c>
      <c r="G91" s="125" t="s">
        <v>1124</v>
      </c>
      <c r="H91" s="106" t="s">
        <v>706</v>
      </c>
      <c r="I91" s="106" t="s">
        <v>791</v>
      </c>
      <c r="J91" s="106" t="s">
        <v>706</v>
      </c>
      <c r="K91" s="106"/>
      <c r="L91" s="126"/>
      <c r="M91" s="124" t="str">
        <f t="shared" si="7"/>
        <v>||RIRA840915RA1|AAMT450528NI0|4|30001000000500010888|Petición firmada por el Receptor||</v>
      </c>
      <c r="N91" s="131" t="str">
        <f t="shared" si="6"/>
        <v>||SPR190613I52|10-03-2026 18:00:00|30001000000500003456|Petición firmada por el Receptor||</v>
      </c>
      <c r="O91" s="132" t="str">
        <f t="shared" si="5"/>
        <v>||RIRA840915RA1|AAMT450528NI0|4|30001000000500010888|Petición firmada por el Receptor||
||SPR190613I52|10-03-2026 18:00:00|30001000000500003456|Petición firmada por el Receptor||</v>
      </c>
    </row>
    <row r="92" spans="1:15" ht="29" x14ac:dyDescent="0.35">
      <c r="A92" s="129" t="s">
        <v>1136</v>
      </c>
      <c r="B92" s="130" t="s">
        <v>1135</v>
      </c>
      <c r="C92" s="106">
        <v>4</v>
      </c>
      <c r="D92" s="106" t="s">
        <v>878</v>
      </c>
      <c r="E92" s="72" t="s">
        <v>1117</v>
      </c>
      <c r="F92" s="106">
        <v>605</v>
      </c>
      <c r="G92" s="125" t="s">
        <v>1124</v>
      </c>
      <c r="H92" s="106">
        <v>3</v>
      </c>
      <c r="I92" s="106" t="s">
        <v>460</v>
      </c>
      <c r="J92" s="106">
        <v>907</v>
      </c>
      <c r="K92" s="106"/>
      <c r="L92" s="126"/>
      <c r="M92" s="124" t="str">
        <f t="shared" si="7"/>
        <v>||RIGJ870824L34|AAMT450528NI0|4|30001000000500010888|Petición firmada por el Receptor||</v>
      </c>
      <c r="N92" s="131" t="str">
        <f t="shared" si="6"/>
        <v>||SPR190613I52|10-03-2026 18:00:00|30001000000500003456|Petición firmada por el Receptor||</v>
      </c>
      <c r="O92" s="132" t="str">
        <f t="shared" si="5"/>
        <v>||RIGJ870824L34|AAMT450528NI0|4|30001000000500010888|Petición firmada por el Receptor||
||SPR190613I52|10-03-2026 18:00:00|30001000000500003456|Petición firmada por el Receptor||</v>
      </c>
    </row>
    <row r="93" spans="1:15" ht="29" x14ac:dyDescent="0.35">
      <c r="A93" s="129" t="s">
        <v>1136</v>
      </c>
      <c r="B93" s="130" t="s">
        <v>1135</v>
      </c>
      <c r="C93" s="106">
        <v>4</v>
      </c>
      <c r="D93" s="106" t="s">
        <v>882</v>
      </c>
      <c r="E93" s="72" t="s">
        <v>1117</v>
      </c>
      <c r="F93" s="106">
        <v>606</v>
      </c>
      <c r="G93" s="125" t="s">
        <v>1124</v>
      </c>
      <c r="H93" s="106" t="s">
        <v>706</v>
      </c>
      <c r="I93" s="106" t="s">
        <v>460</v>
      </c>
      <c r="J93" s="106">
        <v>1851</v>
      </c>
      <c r="K93" s="106"/>
      <c r="L93" s="126"/>
      <c r="M93" s="124" t="str">
        <f t="shared" si="7"/>
        <v>||BAAJ6405113Z1|AAMT450528NI0|4|30001000000500010888|Petición firmada por el Receptor||</v>
      </c>
      <c r="N93" s="131" t="str">
        <f t="shared" si="6"/>
        <v>||SPR190613I52|10-03-2026 18:00:00|30001000000500003456|Petición firmada por el Receptor||</v>
      </c>
      <c r="O93" s="132" t="str">
        <f t="shared" si="5"/>
        <v>||BAAJ6405113Z1|AAMT450528NI0|4|30001000000500010888|Petición firmada por el Receptor||
||SPR190613I52|10-03-2026 18:00:00|30001000000500003456|Petición firmada por el Receptor||</v>
      </c>
    </row>
    <row r="94" spans="1:15" ht="29" x14ac:dyDescent="0.35">
      <c r="A94" s="129" t="s">
        <v>1136</v>
      </c>
      <c r="B94" s="130" t="s">
        <v>1135</v>
      </c>
      <c r="C94" s="106">
        <v>4</v>
      </c>
      <c r="D94" s="106" t="s">
        <v>1098</v>
      </c>
      <c r="E94" s="72" t="s">
        <v>1117</v>
      </c>
      <c r="F94" s="106">
        <v>619</v>
      </c>
      <c r="G94" s="125" t="s">
        <v>1124</v>
      </c>
      <c r="H94" s="106" t="s">
        <v>706</v>
      </c>
      <c r="I94" s="106" t="s">
        <v>460</v>
      </c>
      <c r="J94" s="106">
        <v>887</v>
      </c>
      <c r="K94" s="106"/>
      <c r="L94" s="126"/>
      <c r="M94" s="124" t="str">
        <f t="shared" si="7"/>
        <v>||OAGY9106174T9|AAMT450528NI0|4|30001000000500010888|Petición firmada por el Receptor||</v>
      </c>
      <c r="N94" s="131" t="str">
        <f t="shared" si="6"/>
        <v>||SPR190613I52|10-03-2026 18:00:00|30001000000500003456|Petición firmada por el Receptor||</v>
      </c>
      <c r="O94" s="132" t="str">
        <f t="shared" si="5"/>
        <v>||OAGY9106174T9|AAMT450528NI0|4|30001000000500010888|Petición firmada por el Receptor||
||SPR190613I52|10-03-2026 18:00:00|30001000000500003456|Petición firmada por el Receptor||</v>
      </c>
    </row>
    <row r="95" spans="1:15" ht="29" x14ac:dyDescent="0.35">
      <c r="A95" s="129" t="s">
        <v>1136</v>
      </c>
      <c r="B95" s="130" t="s">
        <v>1135</v>
      </c>
      <c r="C95" s="106">
        <v>4</v>
      </c>
      <c r="D95" s="106" t="s">
        <v>704</v>
      </c>
      <c r="E95" s="72" t="s">
        <v>1117</v>
      </c>
      <c r="F95" s="106">
        <v>606</v>
      </c>
      <c r="G95" s="125" t="s">
        <v>1124</v>
      </c>
      <c r="H95" s="106" t="s">
        <v>706</v>
      </c>
      <c r="I95" s="106" t="s">
        <v>460</v>
      </c>
      <c r="J95" s="106">
        <v>453</v>
      </c>
      <c r="K95" s="106"/>
      <c r="L95" s="126"/>
      <c r="M95" s="124" t="str">
        <f t="shared" si="7"/>
        <v>||PILY750909JI9|AAMT450528NI0|4|30001000000500010888|Petición firmada por el Receptor||</v>
      </c>
      <c r="N95" s="131" t="str">
        <f t="shared" si="6"/>
        <v>||SPR190613I52|10-03-2026 18:00:00|30001000000500003456|Petición firmada por el Receptor||</v>
      </c>
      <c r="O95" s="132" t="str">
        <f t="shared" si="5"/>
        <v>||PILY750909JI9|AAMT450528NI0|4|30001000000500010888|Petición firmada por el Receptor||
||SPR190613I52|10-03-2026 18:00:00|30001000000500003456|Petición firmada por el Receptor||</v>
      </c>
    </row>
    <row r="96" spans="1:15" ht="29" x14ac:dyDescent="0.35">
      <c r="A96" s="129" t="s">
        <v>1136</v>
      </c>
      <c r="B96" s="130" t="s">
        <v>1135</v>
      </c>
      <c r="C96" s="106">
        <v>4</v>
      </c>
      <c r="D96" s="106" t="s">
        <v>884</v>
      </c>
      <c r="E96" s="72" t="s">
        <v>1117</v>
      </c>
      <c r="F96" s="106">
        <v>608</v>
      </c>
      <c r="G96" s="125" t="s">
        <v>1124</v>
      </c>
      <c r="H96" s="106" t="s">
        <v>706</v>
      </c>
      <c r="I96" s="106" t="s">
        <v>460</v>
      </c>
      <c r="J96" s="106">
        <v>871</v>
      </c>
      <c r="K96" s="106"/>
      <c r="L96" s="126"/>
      <c r="M96" s="124" t="str">
        <f t="shared" si="7"/>
        <v>||AECJ630309C12|AAMT450528NI0|4|30001000000500010888|Petición firmada por el Receptor||</v>
      </c>
      <c r="N96" s="131" t="str">
        <f t="shared" si="6"/>
        <v>||SPR190613I52|10-03-2026 18:00:00|30001000000500003456|Petición firmada por el Receptor||</v>
      </c>
      <c r="O96" s="132" t="str">
        <f t="shared" si="5"/>
        <v>||AECJ630309C12|AAMT450528NI0|4|30001000000500010888|Petición firmada por el Receptor||
||SPR190613I52|10-03-2026 18:00:00|30001000000500003456|Petición firmada por el Receptor||</v>
      </c>
    </row>
    <row r="97" spans="1:15" ht="29" x14ac:dyDescent="0.35">
      <c r="A97" s="129" t="s">
        <v>1136</v>
      </c>
      <c r="B97" s="130" t="s">
        <v>1135</v>
      </c>
      <c r="C97" s="106">
        <v>4</v>
      </c>
      <c r="D97" s="106" t="s">
        <v>1099</v>
      </c>
      <c r="E97" s="72" t="s">
        <v>1117</v>
      </c>
      <c r="F97" s="106">
        <v>612</v>
      </c>
      <c r="G97" s="125" t="s">
        <v>1124</v>
      </c>
      <c r="H97" s="106" t="s">
        <v>1100</v>
      </c>
      <c r="I97" s="106" t="s">
        <v>976</v>
      </c>
      <c r="J97" s="106">
        <v>1028</v>
      </c>
      <c r="K97" s="106"/>
      <c r="L97" s="126"/>
      <c r="M97" s="124" t="str">
        <f t="shared" si="7"/>
        <v>||DIJA830428AJ0|AAMT450528NI0|4|30001000000500010888|Petición firmada por el Receptor||</v>
      </c>
      <c r="N97" s="131" t="str">
        <f t="shared" si="6"/>
        <v>||SPR190613I52|10-03-2026 18:00:00|30001000000500003456|Petición firmada por el Receptor||</v>
      </c>
      <c r="O97" s="132" t="str">
        <f t="shared" si="5"/>
        <v>||DIJA830428AJ0|AAMT450528NI0|4|30001000000500010888|Petición firmada por el Receptor||
||SPR190613I52|10-03-2026 18:00:00|30001000000500003456|Petición firmada por el Receptor||</v>
      </c>
    </row>
    <row r="98" spans="1:15" ht="29" x14ac:dyDescent="0.35">
      <c r="A98" s="129" t="s">
        <v>1136</v>
      </c>
      <c r="B98" s="130" t="s">
        <v>1135</v>
      </c>
      <c r="C98" s="106">
        <v>4</v>
      </c>
      <c r="D98" s="106" t="s">
        <v>764</v>
      </c>
      <c r="E98" s="72" t="s">
        <v>1117</v>
      </c>
      <c r="F98" s="106">
        <v>608</v>
      </c>
      <c r="G98" s="125" t="s">
        <v>1124</v>
      </c>
      <c r="H98" s="106">
        <v>735</v>
      </c>
      <c r="I98" s="106" t="s">
        <v>769</v>
      </c>
      <c r="J98" s="106">
        <v>597</v>
      </c>
      <c r="K98" s="106"/>
      <c r="L98" s="126"/>
      <c r="M98" s="124" t="str">
        <f t="shared" si="7"/>
        <v>||MOGE491001HQ7|AAMT450528NI0|4|30001000000500010888|Petición firmada por el Receptor||</v>
      </c>
      <c r="N98" s="131" t="str">
        <f t="shared" si="6"/>
        <v>||SPR190613I52|10-03-2026 18:00:00|30001000000500003456|Petición firmada por el Receptor||</v>
      </c>
      <c r="O98" s="132" t="str">
        <f t="shared" si="5"/>
        <v>||MOGE491001HQ7|AAMT450528NI0|4|30001000000500010888|Petición firmada por el Receptor||
||SPR190613I52|10-03-2026 18:00:00|30001000000500003456|Petición firmada por el Receptor||</v>
      </c>
    </row>
    <row r="99" spans="1:15" ht="29" x14ac:dyDescent="0.35">
      <c r="A99" s="129" t="s">
        <v>1136</v>
      </c>
      <c r="B99" s="130" t="s">
        <v>1135</v>
      </c>
      <c r="C99" s="106">
        <v>4</v>
      </c>
      <c r="D99" s="106" t="s">
        <v>885</v>
      </c>
      <c r="E99" s="72" t="s">
        <v>1117</v>
      </c>
      <c r="F99" s="106">
        <v>611</v>
      </c>
      <c r="G99" s="125" t="s">
        <v>1124</v>
      </c>
      <c r="H99" s="106" t="s">
        <v>706</v>
      </c>
      <c r="I99" s="106" t="s">
        <v>460</v>
      </c>
      <c r="J99" s="106">
        <v>758</v>
      </c>
      <c r="K99" s="106"/>
      <c r="L99" s="126"/>
      <c r="M99" s="124" t="str">
        <f t="shared" si="7"/>
        <v>||BAOJ850621TZ4|AAMT450528NI0|4|30001000000500010888|Petición firmada por el Receptor||</v>
      </c>
      <c r="N99" s="131" t="str">
        <f t="shared" si="6"/>
        <v>||SPR190613I52|10-03-2026 18:00:00|30001000000500003456|Petición firmada por el Receptor||</v>
      </c>
      <c r="O99" s="132" t="str">
        <f t="shared" si="5"/>
        <v>||BAOJ850621TZ4|AAMT450528NI0|4|30001000000500010888|Petición firmada por el Receptor||
||SPR190613I52|10-03-2026 18:00:00|30001000000500003456|Petición firmada por el Receptor||</v>
      </c>
    </row>
    <row r="100" spans="1:15" ht="29" x14ac:dyDescent="0.35">
      <c r="A100" s="129" t="s">
        <v>1136</v>
      </c>
      <c r="B100" s="130" t="s">
        <v>1135</v>
      </c>
      <c r="C100" s="106">
        <v>4</v>
      </c>
      <c r="D100" s="106" t="s">
        <v>1101</v>
      </c>
      <c r="E100" s="72" t="s">
        <v>1118</v>
      </c>
      <c r="F100" s="106">
        <v>610</v>
      </c>
      <c r="G100" s="125" t="s">
        <v>1125</v>
      </c>
      <c r="H100" s="106" t="s">
        <v>706</v>
      </c>
      <c r="I100" s="106" t="s">
        <v>460</v>
      </c>
      <c r="J100" s="106">
        <v>907</v>
      </c>
      <c r="K100" s="106"/>
      <c r="L100" s="126"/>
      <c r="M100" s="124" t="str">
        <f t="shared" si="7"/>
        <v>||OATJ7710302P2|BAZA6106176K9|4|30001000000500010889|Petición firmada por el Receptor||</v>
      </c>
      <c r="N100" s="131" t="str">
        <f t="shared" si="6"/>
        <v>||SPR190613I52|10-03-2026 18:00:00|30001000000500003456|Petición firmada por el Receptor||</v>
      </c>
      <c r="O100" s="132" t="str">
        <f t="shared" si="5"/>
        <v>||OATJ7710302P2|BAZA6106176K9|4|30001000000500010889|Petición firmada por el Receptor||
||SPR190613I52|10-03-2026 18:00:00|30001000000500003456|Petición firmada por el Receptor||</v>
      </c>
    </row>
    <row r="101" spans="1:15" ht="29" x14ac:dyDescent="0.35">
      <c r="A101" s="129" t="s">
        <v>1136</v>
      </c>
      <c r="B101" s="130" t="s">
        <v>1135</v>
      </c>
      <c r="C101" s="106">
        <v>4</v>
      </c>
      <c r="D101" s="106" t="s">
        <v>766</v>
      </c>
      <c r="E101" s="72" t="s">
        <v>1118</v>
      </c>
      <c r="F101" s="106">
        <v>611</v>
      </c>
      <c r="G101" s="125" t="s">
        <v>1125</v>
      </c>
      <c r="H101" s="106" t="s">
        <v>706</v>
      </c>
      <c r="I101" s="106" t="s">
        <v>736</v>
      </c>
      <c r="J101" s="106" t="s">
        <v>706</v>
      </c>
      <c r="K101" s="106"/>
      <c r="L101" s="126"/>
      <c r="M101" s="124" t="str">
        <f t="shared" si="7"/>
        <v>||CACX730623IMA|BAZA6106176K9|4|30001000000500010889|Petición firmada por el Receptor||</v>
      </c>
      <c r="N101" s="131" t="str">
        <f t="shared" si="6"/>
        <v>||SPR190613I52|10-03-2026 18:00:00|30001000000500003456|Petición firmada por el Receptor||</v>
      </c>
      <c r="O101" s="132" t="str">
        <f t="shared" si="5"/>
        <v>||CACX730623IMA|BAZA6106176K9|4|30001000000500010889|Petición firmada por el Receptor||
||SPR190613I52|10-03-2026 18:00:00|30001000000500003456|Petición firmada por el Receptor||</v>
      </c>
    </row>
    <row r="102" spans="1:15" ht="29" x14ac:dyDescent="0.35">
      <c r="A102" s="129" t="s">
        <v>1136</v>
      </c>
      <c r="B102" s="130" t="s">
        <v>1135</v>
      </c>
      <c r="C102" s="106">
        <v>4</v>
      </c>
      <c r="D102" s="106" t="s">
        <v>891</v>
      </c>
      <c r="E102" s="72" t="s">
        <v>1118</v>
      </c>
      <c r="F102" s="106">
        <v>614</v>
      </c>
      <c r="G102" s="125" t="s">
        <v>1125</v>
      </c>
      <c r="H102" s="106" t="s">
        <v>706</v>
      </c>
      <c r="I102" s="106" t="s">
        <v>460</v>
      </c>
      <c r="J102" s="106">
        <v>470</v>
      </c>
      <c r="K102" s="106"/>
      <c r="L102" s="126"/>
      <c r="M102" s="124" t="str">
        <f t="shared" si="7"/>
        <v>||RESJ730128HX3|BAZA6106176K9|4|30001000000500010889|Petición firmada por el Receptor||</v>
      </c>
      <c r="N102" s="131" t="str">
        <f t="shared" si="6"/>
        <v>||SPR190613I52|10-03-2026 18:00:00|30001000000500003456|Petición firmada por el Receptor||</v>
      </c>
      <c r="O102" s="132" t="str">
        <f t="shared" si="5"/>
        <v>||RESJ730128HX3|BAZA6106176K9|4|30001000000500010889|Petición firmada por el Receptor||
||SPR190613I52|10-03-2026 18:00:00|30001000000500003456|Petición firmada por el Receptor||</v>
      </c>
    </row>
    <row r="103" spans="1:15" ht="43.5" x14ac:dyDescent="0.35">
      <c r="A103" s="129" t="s">
        <v>1136</v>
      </c>
      <c r="B103" s="130" t="s">
        <v>1135</v>
      </c>
      <c r="C103" s="106">
        <v>4</v>
      </c>
      <c r="D103" s="106" t="s">
        <v>1102</v>
      </c>
      <c r="E103" s="72" t="s">
        <v>1118</v>
      </c>
      <c r="F103" s="106">
        <v>612</v>
      </c>
      <c r="G103" s="125" t="s">
        <v>1125</v>
      </c>
      <c r="H103" s="106" t="s">
        <v>880</v>
      </c>
      <c r="I103" s="106" t="s">
        <v>1103</v>
      </c>
      <c r="J103" s="106">
        <v>639</v>
      </c>
      <c r="K103" s="106"/>
      <c r="L103" s="126"/>
      <c r="M103" s="124" t="str">
        <f t="shared" si="7"/>
        <v>||GUTA800126KJ1|BAZA6106176K9|4|30001000000500010889|Petición firmada por el Receptor||</v>
      </c>
      <c r="N103" s="131" t="str">
        <f t="shared" si="6"/>
        <v>||SPR190613I52|10-03-2026 18:00:00|30001000000500003456|Petición firmada por el Receptor||</v>
      </c>
      <c r="O103" s="132" t="str">
        <f t="shared" si="5"/>
        <v>||GUTA800126KJ1|BAZA6106176K9|4|30001000000500010889|Petición firmada por el Receptor||
||SPR190613I52|10-03-2026 18:00:00|30001000000500003456|Petición firmada por el Receptor||</v>
      </c>
    </row>
    <row r="104" spans="1:15" ht="29" x14ac:dyDescent="0.35">
      <c r="A104" s="129" t="s">
        <v>1136</v>
      </c>
      <c r="B104" s="130" t="s">
        <v>1135</v>
      </c>
      <c r="C104" s="106">
        <v>4</v>
      </c>
      <c r="D104" s="106" t="s">
        <v>770</v>
      </c>
      <c r="E104" s="72" t="s">
        <v>1118</v>
      </c>
      <c r="F104" s="106">
        <v>614</v>
      </c>
      <c r="G104" s="125" t="s">
        <v>1125</v>
      </c>
      <c r="H104" s="106" t="s">
        <v>706</v>
      </c>
      <c r="I104" s="106" t="s">
        <v>460</v>
      </c>
      <c r="J104" s="106">
        <v>775</v>
      </c>
      <c r="K104" s="106"/>
      <c r="L104" s="126"/>
      <c r="M104" s="124" t="str">
        <f t="shared" si="7"/>
        <v>||CAPN790518LL1|BAZA6106176K9|4|30001000000500010889|Petición firmada por el Receptor||</v>
      </c>
      <c r="N104" s="131" t="str">
        <f t="shared" si="6"/>
        <v>||SPR190613I52|10-03-2026 18:00:00|30001000000500003456|Petición firmada por el Receptor||</v>
      </c>
      <c r="O104" s="132" t="str">
        <f t="shared" si="5"/>
        <v>||CAPN790518LL1|BAZA6106176K9|4|30001000000500010889|Petición firmada por el Receptor||
||SPR190613I52|10-03-2026 18:00:00|30001000000500003456|Petición firmada por el Receptor||</v>
      </c>
    </row>
    <row r="105" spans="1:15" ht="29" x14ac:dyDescent="0.35">
      <c r="A105" s="129" t="s">
        <v>1136</v>
      </c>
      <c r="B105" s="130" t="s">
        <v>1135</v>
      </c>
      <c r="C105" s="106">
        <v>4</v>
      </c>
      <c r="D105" s="106" t="s">
        <v>877</v>
      </c>
      <c r="E105" s="72" t="s">
        <v>1118</v>
      </c>
      <c r="F105" s="106">
        <v>616</v>
      </c>
      <c r="G105" s="125" t="s">
        <v>1125</v>
      </c>
      <c r="H105" s="106" t="s">
        <v>706</v>
      </c>
      <c r="I105" s="106" t="s">
        <v>791</v>
      </c>
      <c r="J105" s="106" t="s">
        <v>706</v>
      </c>
      <c r="K105" s="106"/>
      <c r="L105" s="126"/>
      <c r="M105" s="124" t="str">
        <f t="shared" si="7"/>
        <v>||FAGJ760203QH4|BAZA6106176K9|4|30001000000500010889|Petición firmada por el Receptor||</v>
      </c>
      <c r="N105" s="131" t="str">
        <f t="shared" si="6"/>
        <v>||SPR190613I52|10-03-2026 18:00:00|30001000000500003456|Petición firmada por el Receptor||</v>
      </c>
      <c r="O105" s="132" t="str">
        <f t="shared" si="5"/>
        <v>||FAGJ760203QH4|BAZA6106176K9|4|30001000000500010889|Petición firmada por el Receptor||
||SPR190613I52|10-03-2026 18:00:00|30001000000500003456|Petición firmada por el Receptor||</v>
      </c>
    </row>
    <row r="106" spans="1:15" ht="29" x14ac:dyDescent="0.35">
      <c r="A106" s="129" t="s">
        <v>1136</v>
      </c>
      <c r="B106" s="130" t="s">
        <v>1135</v>
      </c>
      <c r="C106" s="106">
        <v>4</v>
      </c>
      <c r="D106" s="106" t="s">
        <v>1104</v>
      </c>
      <c r="E106" s="72" t="s">
        <v>1118</v>
      </c>
      <c r="F106" s="106">
        <v>619</v>
      </c>
      <c r="G106" s="125" t="s">
        <v>1125</v>
      </c>
      <c r="H106" s="106" t="s">
        <v>706</v>
      </c>
      <c r="I106" s="106" t="s">
        <v>460</v>
      </c>
      <c r="J106" s="106">
        <v>1122</v>
      </c>
      <c r="K106" s="106"/>
      <c r="L106" s="126"/>
      <c r="M106" s="124" t="str">
        <f t="shared" si="7"/>
        <v>||BALM8708151UA|BAZA6106176K9|4|30001000000500010889|Petición firmada por el Receptor||</v>
      </c>
      <c r="N106" s="131" t="str">
        <f t="shared" si="6"/>
        <v>||SPR190613I52|10-03-2026 18:00:00|30001000000500003456|Petición firmada por el Receptor||</v>
      </c>
      <c r="O106" s="132" t="str">
        <f t="shared" si="5"/>
        <v>||BALM8708151UA|BAZA6106176K9|4|30001000000500010889|Petición firmada por el Receptor||
||SPR190613I52|10-03-2026 18:00:00|30001000000500003456|Petición firmada por el Receptor||</v>
      </c>
    </row>
    <row r="107" spans="1:15" ht="29" x14ac:dyDescent="0.35">
      <c r="A107" s="129" t="s">
        <v>1136</v>
      </c>
      <c r="B107" s="130" t="s">
        <v>1135</v>
      </c>
      <c r="C107" s="106">
        <v>4</v>
      </c>
      <c r="D107" s="106" t="s">
        <v>765</v>
      </c>
      <c r="E107" s="72" t="s">
        <v>1118</v>
      </c>
      <c r="F107" s="106">
        <v>616</v>
      </c>
      <c r="G107" s="125" t="s">
        <v>1125</v>
      </c>
      <c r="H107" s="106" t="s">
        <v>706</v>
      </c>
      <c r="I107" s="106" t="s">
        <v>791</v>
      </c>
      <c r="J107" s="106" t="s">
        <v>706</v>
      </c>
      <c r="K107" s="106"/>
      <c r="L107" s="126"/>
      <c r="M107" s="124" t="str">
        <f t="shared" si="7"/>
        <v>||CAMP850507SZ4|BAZA6106176K9|4|30001000000500010889|Petición firmada por el Receptor||</v>
      </c>
      <c r="N107" s="131" t="str">
        <f t="shared" si="6"/>
        <v>||SPR190613I52|10-03-2026 18:00:00|30001000000500003456|Petición firmada por el Receptor||</v>
      </c>
      <c r="O107" s="132" t="str">
        <f t="shared" si="5"/>
        <v>||CAMP850507SZ4|BAZA6106176K9|4|30001000000500010889|Petición firmada por el Receptor||
||SPR190613I52|10-03-2026 18:00:00|30001000000500003456|Petición firmada por el Receptor||</v>
      </c>
    </row>
    <row r="108" spans="1:15" ht="29" x14ac:dyDescent="0.35">
      <c r="A108" s="129" t="s">
        <v>1136</v>
      </c>
      <c r="B108" s="130" t="s">
        <v>1135</v>
      </c>
      <c r="C108" s="106">
        <v>4</v>
      </c>
      <c r="D108" s="106" t="s">
        <v>892</v>
      </c>
      <c r="E108" s="72" t="s">
        <v>1118</v>
      </c>
      <c r="F108" s="106">
        <v>615</v>
      </c>
      <c r="G108" s="125" t="s">
        <v>1125</v>
      </c>
      <c r="H108" s="106" t="s">
        <v>706</v>
      </c>
      <c r="I108" s="106" t="s">
        <v>460</v>
      </c>
      <c r="J108" s="106">
        <v>773</v>
      </c>
      <c r="K108" s="106"/>
      <c r="L108" s="126"/>
      <c r="M108" s="124" t="str">
        <f t="shared" si="7"/>
        <v>||AUFJ790405DA5|BAZA6106176K9|4|30001000000500010889|Petición firmada por el Receptor||</v>
      </c>
      <c r="N108" s="131" t="str">
        <f t="shared" si="6"/>
        <v>||SPR190613I52|10-03-2026 18:00:00|30001000000500003456|Petición firmada por el Receptor||</v>
      </c>
      <c r="O108" s="132" t="str">
        <f t="shared" si="5"/>
        <v>||AUFJ790405DA5|BAZA6106176K9|4|30001000000500010889|Petición firmada por el Receptor||
||SPR190613I52|10-03-2026 18:00:00|30001000000500003456|Petición firmada por el Receptor||</v>
      </c>
    </row>
    <row r="109" spans="1:15" ht="29" x14ac:dyDescent="0.35">
      <c r="A109" s="129" t="s">
        <v>1136</v>
      </c>
      <c r="B109" s="130" t="s">
        <v>1135</v>
      </c>
      <c r="C109" s="106">
        <v>4</v>
      </c>
      <c r="D109" s="106" t="s">
        <v>1106</v>
      </c>
      <c r="E109" s="72" t="s">
        <v>1118</v>
      </c>
      <c r="F109" s="106">
        <v>625</v>
      </c>
      <c r="G109" s="125" t="s">
        <v>1125</v>
      </c>
      <c r="H109" s="106" t="s">
        <v>706</v>
      </c>
      <c r="I109" s="106" t="s">
        <v>460</v>
      </c>
      <c r="J109" s="106">
        <v>202</v>
      </c>
      <c r="K109" s="106"/>
      <c r="L109" s="126"/>
      <c r="M109" s="124" t="str">
        <f t="shared" si="7"/>
        <v>||REJR571014978|BAZA6106176K9|4|30001000000500010889|Petición firmada por el Receptor||</v>
      </c>
      <c r="N109" s="131" t="str">
        <f t="shared" si="6"/>
        <v>||SPR190613I52|10-03-2026 18:00:00|30001000000500003456|Petición firmada por el Receptor||</v>
      </c>
      <c r="O109" s="132" t="str">
        <f t="shared" si="5"/>
        <v>||REJR571014978|BAZA6106176K9|4|30001000000500010889|Petición firmada por el Receptor||
||SPR190613I52|10-03-2026 18:00:00|30001000000500003456|Petición firmada por el Receptor||</v>
      </c>
    </row>
    <row r="110" spans="1:15" ht="29" x14ac:dyDescent="0.35">
      <c r="A110" s="129" t="s">
        <v>1136</v>
      </c>
      <c r="B110" s="130" t="s">
        <v>1135</v>
      </c>
      <c r="C110" s="106">
        <v>4</v>
      </c>
      <c r="D110" s="106" t="s">
        <v>772</v>
      </c>
      <c r="E110" s="72" t="s">
        <v>1118</v>
      </c>
      <c r="F110" s="106">
        <v>615</v>
      </c>
      <c r="G110" s="125" t="s">
        <v>1125</v>
      </c>
      <c r="H110" s="106" t="s">
        <v>706</v>
      </c>
      <c r="I110" s="106" t="s">
        <v>773</v>
      </c>
      <c r="J110" s="106">
        <v>876</v>
      </c>
      <c r="K110" s="106"/>
      <c r="L110" s="126"/>
      <c r="M110" s="124" t="str">
        <f t="shared" si="7"/>
        <v>||HICI811004EH7|BAZA6106176K9|4|30001000000500010889|Petición firmada por el Receptor||</v>
      </c>
      <c r="N110" s="131" t="str">
        <f t="shared" si="6"/>
        <v>||SPR190613I52|10-03-2026 18:00:00|30001000000500003456|Petición firmada por el Receptor||</v>
      </c>
      <c r="O110" s="132" t="str">
        <f t="shared" si="5"/>
        <v>||HICI811004EH7|BAZA6106176K9|4|30001000000500010889|Petición firmada por el Receptor||
||SPR190613I52|10-03-2026 18:00:00|30001000000500003456|Petición firmada por el Receptor||</v>
      </c>
    </row>
    <row r="111" spans="1:15" ht="29" x14ac:dyDescent="0.35">
      <c r="A111" s="129" t="s">
        <v>1136</v>
      </c>
      <c r="B111" s="130" t="s">
        <v>1135</v>
      </c>
      <c r="C111" s="106">
        <v>4</v>
      </c>
      <c r="D111" s="106" t="s">
        <v>894</v>
      </c>
      <c r="E111" s="72" t="s">
        <v>1118</v>
      </c>
      <c r="F111" s="106">
        <v>607</v>
      </c>
      <c r="G111" s="125" t="s">
        <v>1125</v>
      </c>
      <c r="H111" s="106" t="s">
        <v>706</v>
      </c>
      <c r="I111" s="106" t="s">
        <v>460</v>
      </c>
      <c r="J111" s="106">
        <v>160</v>
      </c>
      <c r="K111" s="106"/>
      <c r="L111" s="126"/>
      <c r="M111" s="124" t="str">
        <f t="shared" si="7"/>
        <v>||TEBJ700901UQ7|BAZA6106176K9|4|30001000000500010889|Petición firmada por el Receptor||</v>
      </c>
      <c r="N111" s="131" t="str">
        <f t="shared" si="6"/>
        <v>||SPR190613I52|10-03-2026 18:00:00|30001000000500003456|Petición firmada por el Receptor||</v>
      </c>
      <c r="O111" s="132" t="str">
        <f t="shared" si="5"/>
        <v>||TEBJ700901UQ7|BAZA6106176K9|4|30001000000500010889|Petición firmada por el Receptor||
||SPR190613I52|10-03-2026 18:00:00|30001000000500003456|Petición firmada por el Receptor||</v>
      </c>
    </row>
    <row r="112" spans="1:15" ht="43.5" x14ac:dyDescent="0.35">
      <c r="A112" s="129" t="s">
        <v>1136</v>
      </c>
      <c r="B112" s="130" t="s">
        <v>1135</v>
      </c>
      <c r="C112" s="106">
        <v>4</v>
      </c>
      <c r="D112" s="106" t="s">
        <v>1107</v>
      </c>
      <c r="E112" s="72" t="s">
        <v>1118</v>
      </c>
      <c r="F112" s="106">
        <v>622</v>
      </c>
      <c r="G112" s="125" t="s">
        <v>1125</v>
      </c>
      <c r="H112" s="106">
        <v>203</v>
      </c>
      <c r="I112" s="106" t="s">
        <v>1108</v>
      </c>
      <c r="J112" s="106">
        <v>50</v>
      </c>
      <c r="K112" s="106"/>
      <c r="L112" s="126"/>
      <c r="M112" s="124" t="str">
        <f t="shared" si="7"/>
        <v>||RATM5407207Q5|BAZA6106176K9|4|30001000000500010889|Petición firmada por el Receptor||</v>
      </c>
      <c r="N112" s="131" t="str">
        <f t="shared" si="6"/>
        <v>||SPR190613I52|10-03-2026 18:00:00|30001000000500003456|Petición firmada por el Receptor||</v>
      </c>
      <c r="O112" s="132" t="str">
        <f t="shared" si="5"/>
        <v>||RATM5407207Q5|BAZA6106176K9|4|30001000000500010889|Petición firmada por el Receptor||
||SPR190613I52|10-03-2026 18:00:00|30001000000500003456|Petición firmada por el Receptor||</v>
      </c>
    </row>
    <row r="113" spans="1:15" ht="29" x14ac:dyDescent="0.35">
      <c r="A113" s="129" t="s">
        <v>1136</v>
      </c>
      <c r="B113" s="130" t="s">
        <v>1135</v>
      </c>
      <c r="C113" s="106">
        <v>4</v>
      </c>
      <c r="D113" s="106" t="s">
        <v>774</v>
      </c>
      <c r="E113" s="72" t="s">
        <v>1118</v>
      </c>
      <c r="F113" s="106">
        <v>607</v>
      </c>
      <c r="G113" s="125" t="s">
        <v>1125</v>
      </c>
      <c r="H113" s="106" t="s">
        <v>706</v>
      </c>
      <c r="I113" s="106" t="s">
        <v>776</v>
      </c>
      <c r="J113" s="106" t="s">
        <v>706</v>
      </c>
      <c r="K113" s="106"/>
      <c r="L113" s="126"/>
      <c r="M113" s="124" t="str">
        <f t="shared" si="7"/>
        <v>||PEMA690424LY9|BAZA6106176K9|4|30001000000500010889|Petición firmada por el Receptor||</v>
      </c>
      <c r="N113" s="131" t="str">
        <f t="shared" si="6"/>
        <v>||SPR190613I52|10-03-2026 18:00:00|30001000000500003456|Petición firmada por el Receptor||</v>
      </c>
      <c r="O113" s="132" t="str">
        <f t="shared" si="5"/>
        <v>||PEMA690424LY9|BAZA6106176K9|4|30001000000500010889|Petición firmada por el Receptor||
||SPR190613I52|10-03-2026 18:00:00|30001000000500003456|Petición firmada por el Receptor||</v>
      </c>
    </row>
    <row r="114" spans="1:15" ht="43.5" x14ac:dyDescent="0.35">
      <c r="A114" s="129" t="s">
        <v>1136</v>
      </c>
      <c r="B114" s="130" t="s">
        <v>1135</v>
      </c>
      <c r="C114" s="106">
        <v>4</v>
      </c>
      <c r="D114" s="106" t="s">
        <v>896</v>
      </c>
      <c r="E114" s="72" t="s">
        <v>1118</v>
      </c>
      <c r="F114" s="106">
        <v>626</v>
      </c>
      <c r="G114" s="125" t="s">
        <v>1125</v>
      </c>
      <c r="H114" s="106" t="s">
        <v>706</v>
      </c>
      <c r="I114" s="106" t="s">
        <v>964</v>
      </c>
      <c r="J114" s="106">
        <v>131</v>
      </c>
      <c r="K114" s="106"/>
      <c r="L114" s="126"/>
      <c r="M114" s="124" t="str">
        <f t="shared" si="7"/>
        <v>||FARJ8901276F7|BAZA6106176K9|4|30001000000500010889|Petición firmada por el Receptor||</v>
      </c>
      <c r="N114" s="131" t="str">
        <f t="shared" si="6"/>
        <v>||SPR190613I52|10-03-2026 18:00:00|30001000000500003456|Petición firmada por el Receptor||</v>
      </c>
      <c r="O114" s="132" t="str">
        <f t="shared" si="5"/>
        <v>||FARJ8901276F7|BAZA6106176K9|4|30001000000500010889|Petición firmada por el Receptor||
||SPR190613I52|10-03-2026 18:00:00|30001000000500003456|Petición firmada por el Receptor||</v>
      </c>
    </row>
    <row r="115" spans="1:15" ht="29" x14ac:dyDescent="0.35">
      <c r="A115" s="129" t="s">
        <v>1136</v>
      </c>
      <c r="B115" s="130" t="s">
        <v>1135</v>
      </c>
      <c r="C115" s="106">
        <v>4</v>
      </c>
      <c r="D115" s="106" t="s">
        <v>1109</v>
      </c>
      <c r="E115" s="72" t="s">
        <v>1118</v>
      </c>
      <c r="F115" s="106">
        <v>619</v>
      </c>
      <c r="G115" s="125" t="s">
        <v>1125</v>
      </c>
      <c r="H115" s="106" t="s">
        <v>706</v>
      </c>
      <c r="I115" s="106" t="s">
        <v>460</v>
      </c>
      <c r="J115" s="106">
        <v>647</v>
      </c>
      <c r="K115" s="106"/>
      <c r="L115" s="126"/>
      <c r="M115" s="124" t="str">
        <f t="shared" si="7"/>
        <v>||GOSD7705295D6|BAZA6106176K9|4|30001000000500010889|Petición firmada por el Receptor||</v>
      </c>
      <c r="N115" s="131" t="str">
        <f t="shared" si="6"/>
        <v>||SPR190613I52|10-03-2026 18:00:00|30001000000500003456|Petición firmada por el Receptor||</v>
      </c>
      <c r="O115" s="132" t="str">
        <f t="shared" si="5"/>
        <v>||GOSD7705295D6|BAZA6106176K9|4|30001000000500010889|Petición firmada por el Receptor||
||SPR190613I52|10-03-2026 18:00:00|30001000000500003456|Petición firmada por el Receptor||</v>
      </c>
    </row>
    <row r="116" spans="1:15" ht="29" x14ac:dyDescent="0.35">
      <c r="A116" s="129" t="s">
        <v>1136</v>
      </c>
      <c r="B116" s="130" t="s">
        <v>1135</v>
      </c>
      <c r="C116" s="106">
        <v>4</v>
      </c>
      <c r="D116" s="106" t="s">
        <v>777</v>
      </c>
      <c r="E116" s="72" t="s">
        <v>1118</v>
      </c>
      <c r="F116" s="106">
        <v>626</v>
      </c>
      <c r="G116" s="125" t="s">
        <v>1125</v>
      </c>
      <c r="H116" s="106" t="s">
        <v>706</v>
      </c>
      <c r="I116" s="106" t="s">
        <v>965</v>
      </c>
      <c r="J116" s="106" t="s">
        <v>706</v>
      </c>
      <c r="K116" s="106"/>
      <c r="L116" s="126"/>
      <c r="M116" s="124" t="str">
        <f t="shared" si="7"/>
        <v>||OICE850512LB3|BAZA6106176K9|4|30001000000500010889|Petición firmada por el Receptor||</v>
      </c>
      <c r="N116" s="131" t="str">
        <f t="shared" si="6"/>
        <v>||SPR190613I52|10-03-2026 18:00:00|30001000000500003456|Petición firmada por el Receptor||</v>
      </c>
      <c r="O116" s="132" t="str">
        <f t="shared" si="5"/>
        <v>||OICE850512LB3|BAZA6106176K9|4|30001000000500010889|Petición firmada por el Receptor||
||SPR190613I52|10-03-2026 18:00:00|30001000000500003456|Petición firmada por el Receptor||</v>
      </c>
    </row>
    <row r="117" spans="1:15" ht="29" x14ac:dyDescent="0.35">
      <c r="A117" s="129" t="s">
        <v>1136</v>
      </c>
      <c r="B117" s="130" t="s">
        <v>1135</v>
      </c>
      <c r="C117" s="106">
        <v>5</v>
      </c>
      <c r="D117" s="106" t="s">
        <v>873</v>
      </c>
      <c r="E117" s="72" t="s">
        <v>1118</v>
      </c>
      <c r="F117" s="106">
        <v>612</v>
      </c>
      <c r="G117" s="125" t="s">
        <v>1125</v>
      </c>
      <c r="H117" s="106" t="s">
        <v>874</v>
      </c>
      <c r="I117" s="106" t="s">
        <v>875</v>
      </c>
      <c r="J117" s="106" t="s">
        <v>876</v>
      </c>
      <c r="K117" s="106"/>
      <c r="L117" s="126"/>
      <c r="M117" s="124" t="str">
        <f t="shared" si="7"/>
        <v>||BAGJ8803124R5|BAZA6106176K9|5|30001000000500010889|Petición firmada por el Receptor||</v>
      </c>
      <c r="N117" s="131" t="str">
        <f t="shared" si="6"/>
        <v>||SPR190613I52|10-03-2026 18:00:00|30001000000500003456|Petición firmada por el Receptor||</v>
      </c>
      <c r="O117" s="132" t="str">
        <f t="shared" si="5"/>
        <v>||BAGJ8803124R5|BAZA6106176K9|5|30001000000500010889|Petición firmada por el Receptor||
||SPR190613I52|10-03-2026 18:00:00|30001000000500003456|Petición firmada por el Receptor||</v>
      </c>
    </row>
    <row r="118" spans="1:15" ht="29" x14ac:dyDescent="0.35">
      <c r="A118" s="129" t="s">
        <v>1136</v>
      </c>
      <c r="B118" s="130" t="s">
        <v>1135</v>
      </c>
      <c r="C118" s="106">
        <v>5</v>
      </c>
      <c r="D118" s="106" t="s">
        <v>1009</v>
      </c>
      <c r="E118" s="72" t="s">
        <v>1118</v>
      </c>
      <c r="F118" s="106">
        <v>612</v>
      </c>
      <c r="G118" s="125" t="s">
        <v>1125</v>
      </c>
      <c r="H118" s="106" t="s">
        <v>1010</v>
      </c>
      <c r="I118" s="106" t="s">
        <v>1011</v>
      </c>
      <c r="J118" s="106">
        <v>734</v>
      </c>
      <c r="K118" s="106"/>
      <c r="L118" s="126"/>
      <c r="M118" s="124" t="str">
        <f t="shared" si="7"/>
        <v>||RARE830330KU5|BAZA6106176K9|5|30001000000500010889|Petición firmada por el Receptor||</v>
      </c>
      <c r="N118" s="131" t="str">
        <f t="shared" si="6"/>
        <v>||SPR190613I52|10-03-2026 18:00:00|30001000000500003456|Petición firmada por el Receptor||</v>
      </c>
      <c r="O118" s="132" t="str">
        <f t="shared" si="5"/>
        <v>||RARE830330KU5|BAZA6106176K9|5|30001000000500010889|Petición firmada por el Receptor||
||SPR190613I52|10-03-2026 18:00:00|30001000000500003456|Petición firmada por el Receptor||</v>
      </c>
    </row>
    <row r="119" spans="1:15" ht="29" x14ac:dyDescent="0.35">
      <c r="A119" s="129" t="s">
        <v>1136</v>
      </c>
      <c r="B119" s="130" t="s">
        <v>1135</v>
      </c>
      <c r="C119" s="106">
        <v>5</v>
      </c>
      <c r="D119" s="106" t="s">
        <v>780</v>
      </c>
      <c r="E119" s="72" t="s">
        <v>1118</v>
      </c>
      <c r="F119" s="106" t="s">
        <v>711</v>
      </c>
      <c r="G119" s="125" t="s">
        <v>1125</v>
      </c>
      <c r="H119" s="106">
        <v>3</v>
      </c>
      <c r="I119" s="106" t="s">
        <v>460</v>
      </c>
      <c r="J119" s="106" t="s">
        <v>785</v>
      </c>
      <c r="K119" s="106"/>
      <c r="L119" s="126"/>
      <c r="M119" s="124" t="str">
        <f t="shared" si="7"/>
        <v>||TEGS860519DM0|BAZA6106176K9|5|30001000000500010889|Petición firmada por el Receptor||</v>
      </c>
      <c r="N119" s="131" t="str">
        <f t="shared" si="6"/>
        <v>||SPR190613I52|10-03-2026 18:00:00|30001000000500003456|Petición firmada por el Receptor||</v>
      </c>
      <c r="O119" s="132" t="str">
        <f t="shared" si="5"/>
        <v>||TEGS860519DM0|BAZA6106176K9|5|30001000000500010889|Petición firmada por el Receptor||
||SPR190613I52|10-03-2026 18:00:00|30001000000500003456|Petición firmada por el Receptor||</v>
      </c>
    </row>
    <row r="120" spans="1:15" ht="43.5" x14ac:dyDescent="0.35">
      <c r="A120" s="129" t="s">
        <v>1136</v>
      </c>
      <c r="B120" s="130" t="s">
        <v>1135</v>
      </c>
      <c r="C120" s="106">
        <v>5</v>
      </c>
      <c r="D120" s="106" t="s">
        <v>897</v>
      </c>
      <c r="E120" s="72" t="s">
        <v>1119</v>
      </c>
      <c r="F120" s="106">
        <v>621</v>
      </c>
      <c r="G120" s="125" t="s">
        <v>1126</v>
      </c>
      <c r="H120" s="106" t="s">
        <v>898</v>
      </c>
      <c r="I120" s="106" t="s">
        <v>899</v>
      </c>
      <c r="J120" s="106" t="s">
        <v>900</v>
      </c>
      <c r="K120" s="106"/>
      <c r="L120" s="126"/>
      <c r="M120" s="124" t="str">
        <f t="shared" si="7"/>
        <v>||SEAJ840217SU1|AAUR760114I12|5|30001000000500010890|Petición firmada por el Receptor||</v>
      </c>
      <c r="N120" s="131" t="str">
        <f t="shared" si="6"/>
        <v>||SPR190613I52|10-03-2026 18:00:00|30001000000500003456|Petición firmada por el Receptor||</v>
      </c>
      <c r="O120" s="132" t="str">
        <f t="shared" si="5"/>
        <v>||SEAJ840217SU1|AAUR760114I12|5|30001000000500010890|Petición firmada por el Receptor||
||SPR190613I52|10-03-2026 18:00:00|30001000000500003456|Petición firmada por el Receptor||</v>
      </c>
    </row>
    <row r="121" spans="1:15" ht="29" x14ac:dyDescent="0.35">
      <c r="A121" s="129" t="s">
        <v>1136</v>
      </c>
      <c r="B121" s="130" t="s">
        <v>1135</v>
      </c>
      <c r="C121" s="106">
        <v>5</v>
      </c>
      <c r="D121" s="106" t="s">
        <v>1110</v>
      </c>
      <c r="E121" s="72" t="s">
        <v>1119</v>
      </c>
      <c r="F121" s="106">
        <v>625</v>
      </c>
      <c r="G121" s="125" t="s">
        <v>1126</v>
      </c>
      <c r="H121" s="106" t="s">
        <v>706</v>
      </c>
      <c r="I121" s="106" t="s">
        <v>460</v>
      </c>
      <c r="J121" s="106">
        <v>907</v>
      </c>
      <c r="K121" s="106"/>
      <c r="L121" s="126"/>
      <c r="M121" s="124" t="str">
        <f t="shared" si="7"/>
        <v>||COTM691023TDA|AAUR760114I12|5|30001000000500010890|Petición firmada por el Receptor||</v>
      </c>
      <c r="N121" s="131" t="str">
        <f t="shared" si="6"/>
        <v>||SPR190613I52|10-03-2026 18:00:00|30001000000500003456|Petición firmada por el Receptor||</v>
      </c>
      <c r="O121" s="132" t="str">
        <f t="shared" si="5"/>
        <v>||COTM691023TDA|AAUR760114I12|5|30001000000500010890|Petición firmada por el Receptor||
||SPR190613I52|10-03-2026 18:00:00|30001000000500003456|Petición firmada por el Receptor||</v>
      </c>
    </row>
    <row r="122" spans="1:15" ht="29" x14ac:dyDescent="0.35">
      <c r="A122" s="129" t="s">
        <v>1136</v>
      </c>
      <c r="B122" s="130" t="s">
        <v>1135</v>
      </c>
      <c r="C122" s="106">
        <v>5</v>
      </c>
      <c r="D122" s="106" t="s">
        <v>782</v>
      </c>
      <c r="E122" s="72" t="s">
        <v>1119</v>
      </c>
      <c r="F122" s="106" t="s">
        <v>1114</v>
      </c>
      <c r="G122" s="125" t="s">
        <v>1126</v>
      </c>
      <c r="H122" s="106" t="s">
        <v>706</v>
      </c>
      <c r="I122" s="106">
        <v>300155</v>
      </c>
      <c r="J122" s="106" t="s">
        <v>784</v>
      </c>
      <c r="K122" s="106"/>
      <c r="L122" s="126"/>
      <c r="M122" s="124" t="str">
        <f t="shared" si="7"/>
        <v>||BAMA9109179Z0|AAUR760114I12|5|30001000000500010890|Petición firmada por el Receptor||</v>
      </c>
      <c r="N122" s="131" t="str">
        <f t="shared" si="6"/>
        <v>||SPR190613I52|10-03-2026 18:00:00|30001000000500003456|Petición firmada por el Receptor||</v>
      </c>
      <c r="O122" s="132" t="str">
        <f t="shared" si="5"/>
        <v>||BAMA9109179Z0|AAUR760114I12|5|30001000000500010890|Petición firmada por el Receptor||
||SPR190613I52|10-03-2026 18:00:00|30001000000500003456|Petición firmada por el Receptor||</v>
      </c>
    </row>
    <row r="123" spans="1:15" ht="29" x14ac:dyDescent="0.35">
      <c r="A123" s="129" t="s">
        <v>1136</v>
      </c>
      <c r="B123" s="130" t="s">
        <v>1135</v>
      </c>
      <c r="C123" s="106">
        <v>5</v>
      </c>
      <c r="D123" s="106" t="s">
        <v>901</v>
      </c>
      <c r="E123" s="72" t="s">
        <v>1119</v>
      </c>
      <c r="F123" s="106" t="s">
        <v>738</v>
      </c>
      <c r="G123" s="125" t="s">
        <v>1126</v>
      </c>
      <c r="H123" s="106" t="s">
        <v>706</v>
      </c>
      <c r="I123" s="106" t="s">
        <v>460</v>
      </c>
      <c r="J123" s="106" t="s">
        <v>902</v>
      </c>
      <c r="K123" s="106"/>
      <c r="L123" s="126"/>
      <c r="M123" s="124" t="str">
        <f t="shared" si="7"/>
        <v>||PEAJ791129GK1|AAUR760114I12|5|30001000000500010890|Petición firmada por el Receptor||</v>
      </c>
      <c r="N123" s="131" t="str">
        <f t="shared" si="6"/>
        <v>||SPR190613I52|10-03-2026 18:00:00|30001000000500003456|Petición firmada por el Receptor||</v>
      </c>
      <c r="O123" s="132" t="str">
        <f t="shared" si="5"/>
        <v>||PEAJ791129GK1|AAUR760114I12|5|30001000000500010890|Petición firmada por el Receptor||
||SPR190613I52|10-03-2026 18:00:00|30001000000500003456|Petición firmada por el Receptor||</v>
      </c>
    </row>
    <row r="124" spans="1:15" ht="29" x14ac:dyDescent="0.35">
      <c r="A124" s="129" t="s">
        <v>1136</v>
      </c>
      <c r="B124" s="130" t="s">
        <v>1135</v>
      </c>
      <c r="C124" s="106">
        <v>5</v>
      </c>
      <c r="D124" s="106" t="s">
        <v>1111</v>
      </c>
      <c r="E124" s="72" t="s">
        <v>1119</v>
      </c>
      <c r="F124" s="106">
        <v>607</v>
      </c>
      <c r="G124" s="125" t="s">
        <v>1126</v>
      </c>
      <c r="H124" s="106" t="s">
        <v>706</v>
      </c>
      <c r="I124" s="106" t="s">
        <v>460</v>
      </c>
      <c r="J124" s="106">
        <v>907</v>
      </c>
      <c r="K124" s="106"/>
      <c r="L124" s="126"/>
      <c r="M124" s="124" t="str">
        <f t="shared" si="7"/>
        <v>||RAEM690625DW0|AAUR760114I12|5|30001000000500010890|Petición firmada por el Receptor||</v>
      </c>
      <c r="N124" s="131" t="str">
        <f t="shared" si="6"/>
        <v>||SPR190613I52|10-03-2026 18:00:00|30001000000500003456|Petición firmada por el Receptor||</v>
      </c>
      <c r="O124" s="132" t="str">
        <f t="shared" si="5"/>
        <v>||RAEM690625DW0|AAUR760114I12|5|30001000000500010890|Petición firmada por el Receptor||
||SPR190613I52|10-03-2026 18:00:00|30001000000500003456|Petición firmada por el Receptor||</v>
      </c>
    </row>
    <row r="125" spans="1:15" ht="29" x14ac:dyDescent="0.35">
      <c r="A125" s="129" t="s">
        <v>1136</v>
      </c>
      <c r="B125" s="130" t="s">
        <v>1135</v>
      </c>
      <c r="C125" s="106">
        <v>5</v>
      </c>
      <c r="D125" s="106" t="s">
        <v>786</v>
      </c>
      <c r="E125" s="72" t="s">
        <v>1119</v>
      </c>
      <c r="F125" s="106" t="s">
        <v>1115</v>
      </c>
      <c r="G125" s="125" t="s">
        <v>1126</v>
      </c>
      <c r="H125" s="106">
        <v>3</v>
      </c>
      <c r="I125" s="106" t="s">
        <v>788</v>
      </c>
      <c r="J125" s="106" t="s">
        <v>789</v>
      </c>
      <c r="K125" s="106"/>
      <c r="L125" s="126"/>
      <c r="M125" s="124" t="str">
        <f t="shared" si="7"/>
        <v>||SAMC640104A8A|AAUR760114I12|5|30001000000500010890|Petición firmada por el Receptor||</v>
      </c>
      <c r="N125" s="131" t="str">
        <f t="shared" si="6"/>
        <v>||SPR190613I52|10-03-2026 18:00:00|30001000000500003456|Petición firmada por el Receptor||</v>
      </c>
      <c r="O125" s="132" t="str">
        <f t="shared" si="5"/>
        <v>||SAMC640104A8A|AAUR760114I12|5|30001000000500010890|Petición firmada por el Receptor||
||SPR190613I52|10-03-2026 18:00:00|30001000000500003456|Petición firmada por el Receptor||</v>
      </c>
    </row>
    <row r="126" spans="1:15" ht="29" x14ac:dyDescent="0.35">
      <c r="A126" s="129" t="s">
        <v>1136</v>
      </c>
      <c r="B126" s="130" t="s">
        <v>1135</v>
      </c>
      <c r="C126" s="106">
        <v>6</v>
      </c>
      <c r="D126" s="106" t="s">
        <v>792</v>
      </c>
      <c r="E126" s="72" t="s">
        <v>1119</v>
      </c>
      <c r="F126" s="106">
        <v>605</v>
      </c>
      <c r="G126" s="125" t="s">
        <v>1126</v>
      </c>
      <c r="H126" s="106" t="s">
        <v>706</v>
      </c>
      <c r="I126" s="106" t="s">
        <v>460</v>
      </c>
      <c r="J126" s="106">
        <v>434</v>
      </c>
      <c r="K126" s="106"/>
      <c r="L126" s="126"/>
      <c r="M126" s="124" t="str">
        <f t="shared" si="7"/>
        <v>||ROTC910125C1A|AAUR760114I12|6|30001000000500010890|Petición firmada por el Receptor||</v>
      </c>
      <c r="N126" s="131" t="str">
        <f t="shared" si="6"/>
        <v>||SPR190613I52|10-03-2026 18:00:00|30001000000500003456|Petición firmada por el Receptor||</v>
      </c>
      <c r="O126" s="132" t="str">
        <f t="shared" si="5"/>
        <v>||ROTC910125C1A|AAUR760114I12|6|30001000000500010890|Petición firmada por el Receptor||
||SPR190613I52|10-03-2026 18:00:00|30001000000500003456|Petición firmada por el Receptor||</v>
      </c>
    </row>
    <row r="127" spans="1:15" ht="29" x14ac:dyDescent="0.35">
      <c r="A127" s="129" t="s">
        <v>1136</v>
      </c>
      <c r="B127" s="130" t="s">
        <v>1135</v>
      </c>
      <c r="C127" s="106">
        <v>6</v>
      </c>
      <c r="D127" s="106" t="s">
        <v>982</v>
      </c>
      <c r="E127" s="72" t="s">
        <v>1119</v>
      </c>
      <c r="F127" s="106">
        <v>607</v>
      </c>
      <c r="G127" s="125" t="s">
        <v>1126</v>
      </c>
      <c r="H127" s="106" t="s">
        <v>706</v>
      </c>
      <c r="I127" s="106" t="s">
        <v>460</v>
      </c>
      <c r="J127" s="106">
        <v>2223</v>
      </c>
      <c r="K127" s="106"/>
      <c r="L127" s="126"/>
      <c r="M127" s="124" t="str">
        <f t="shared" si="7"/>
        <v>||AERA660921JA4|AAUR760114I12|6|30001000000500010890|Petición firmada por el Receptor||</v>
      </c>
      <c r="N127" s="131" t="str">
        <f t="shared" si="6"/>
        <v>||SPR190613I52|10-03-2026 18:00:00|30001000000500003456|Petición firmada por el Receptor||</v>
      </c>
      <c r="O127" s="132" t="str">
        <f t="shared" si="5"/>
        <v>||AERA660921JA4|AAUR760114I12|6|30001000000500010890|Petición firmada por el Receptor||
||SPR190613I52|10-03-2026 18:00:00|30001000000500003456|Petición firmada por el Receptor||</v>
      </c>
    </row>
    <row r="128" spans="1:15" ht="29" x14ac:dyDescent="0.35">
      <c r="A128" s="129" t="s">
        <v>1136</v>
      </c>
      <c r="B128" s="130" t="s">
        <v>1135</v>
      </c>
      <c r="C128" s="106">
        <v>6</v>
      </c>
      <c r="D128" s="106" t="s">
        <v>903</v>
      </c>
      <c r="E128" s="72" t="s">
        <v>1119</v>
      </c>
      <c r="F128" s="106">
        <v>605</v>
      </c>
      <c r="G128" s="125" t="s">
        <v>1126</v>
      </c>
      <c r="H128" s="106" t="s">
        <v>706</v>
      </c>
      <c r="I128" s="106" t="s">
        <v>460</v>
      </c>
      <c r="J128" s="106">
        <v>946</v>
      </c>
      <c r="K128" s="106"/>
      <c r="L128" s="126"/>
      <c r="M128" s="124" t="str">
        <f t="shared" si="7"/>
        <v>||BAOJ780206PQ0|AAUR760114I12|6|30001000000500010890|Petición firmada por el Receptor||</v>
      </c>
      <c r="N128" s="131" t="str">
        <f t="shared" si="6"/>
        <v>||SPR190613I52|10-03-2026 18:00:00|30001000000500003456|Petición firmada por el Receptor||</v>
      </c>
      <c r="O128" s="132" t="str">
        <f t="shared" si="5"/>
        <v>||BAOJ780206PQ0|AAUR760114I12|6|30001000000500010890|Petición firmada por el Receptor||
||SPR190613I52|10-03-2026 18:00:00|30001000000500003456|Petición firmada por el Receptor||</v>
      </c>
    </row>
    <row r="129" spans="1:15" ht="29" x14ac:dyDescent="0.35">
      <c r="A129" s="129" t="s">
        <v>1136</v>
      </c>
      <c r="B129" s="130" t="s">
        <v>1135</v>
      </c>
      <c r="C129" s="106">
        <v>6</v>
      </c>
      <c r="D129" s="106" t="s">
        <v>906</v>
      </c>
      <c r="E129" s="72" t="s">
        <v>1119</v>
      </c>
      <c r="F129" s="106">
        <v>606</v>
      </c>
      <c r="G129" s="125" t="s">
        <v>1126</v>
      </c>
      <c r="H129" s="106" t="s">
        <v>706</v>
      </c>
      <c r="I129" s="106" t="s">
        <v>460</v>
      </c>
      <c r="J129" s="106">
        <v>520</v>
      </c>
      <c r="K129" s="106"/>
      <c r="L129" s="126"/>
      <c r="M129" s="124" t="str">
        <f t="shared" si="7"/>
        <v>||GARJ860610L57|AAUR760114I12|6|30001000000500010890|Petición firmada por el Receptor||</v>
      </c>
      <c r="N129" s="131" t="str">
        <f t="shared" si="6"/>
        <v>||SPR190613I52|10-03-2026 18:00:00|30001000000500003456|Petición firmada por el Receptor||</v>
      </c>
      <c r="O129" s="132" t="str">
        <f t="shared" si="5"/>
        <v>||GARJ860610L57|AAUR760114I12|6|30001000000500010890|Petición firmada por el Receptor||
||SPR190613I52|10-03-2026 18:00:00|30001000000500003456|Petición firmada por el Receptor||</v>
      </c>
    </row>
    <row r="130" spans="1:15" ht="29" x14ac:dyDescent="0.35">
      <c r="A130" s="129" t="s">
        <v>1136</v>
      </c>
      <c r="B130" s="130" t="s">
        <v>1135</v>
      </c>
      <c r="C130" s="106">
        <v>6</v>
      </c>
      <c r="D130" s="106" t="s">
        <v>969</v>
      </c>
      <c r="E130" s="72" t="s">
        <v>1119</v>
      </c>
      <c r="F130" s="106">
        <v>619</v>
      </c>
      <c r="G130" s="125" t="s">
        <v>1126</v>
      </c>
      <c r="H130" s="106">
        <v>3</v>
      </c>
      <c r="I130" s="106" t="s">
        <v>460</v>
      </c>
      <c r="J130" s="106">
        <v>300</v>
      </c>
      <c r="K130" s="106"/>
      <c r="L130" s="126"/>
      <c r="M130" s="124" t="str">
        <f t="shared" si="7"/>
        <v>||RARR830920UJ1|AAUR760114I12|6|30001000000500010890|Petición firmada por el Receptor||</v>
      </c>
      <c r="N130" s="131" t="str">
        <f t="shared" si="6"/>
        <v>||SPR190613I52|10-03-2026 18:00:00|30001000000500003456|Petición firmada por el Receptor||</v>
      </c>
      <c r="O130" s="132" t="str">
        <f t="shared" ref="O130:O193" si="8">CONCATENATE(M130, CHAR(10), N130)</f>
        <v>||RARR830920UJ1|AAUR760114I12|6|30001000000500010890|Petición firmada por el Receptor||
||SPR190613I52|10-03-2026 18:00:00|30001000000500003456|Petición firmada por el Receptor||</v>
      </c>
    </row>
    <row r="131" spans="1:15" ht="29" x14ac:dyDescent="0.35">
      <c r="A131" s="129" t="s">
        <v>1136</v>
      </c>
      <c r="B131" s="130" t="s">
        <v>1135</v>
      </c>
      <c r="C131" s="106">
        <v>6</v>
      </c>
      <c r="D131" s="106" t="s">
        <v>797</v>
      </c>
      <c r="E131" s="72" t="s">
        <v>1119</v>
      </c>
      <c r="F131" s="106">
        <v>606</v>
      </c>
      <c r="G131" s="125" t="s">
        <v>1126</v>
      </c>
      <c r="H131" s="106" t="s">
        <v>795</v>
      </c>
      <c r="I131" s="106" t="s">
        <v>796</v>
      </c>
      <c r="J131" s="106">
        <v>803</v>
      </c>
      <c r="K131" s="106"/>
      <c r="L131" s="126"/>
      <c r="M131" s="124" t="str">
        <f t="shared" si="7"/>
        <v>||RAMR320727HE2|AAUR760114I12|6|30001000000500010890|Petición firmada por el Receptor||</v>
      </c>
      <c r="N131" s="131" t="str">
        <f t="shared" ref="N131:N194" si="9">CONCATENATE("||","SPR190613I52","|",A131,"|",B131,"|","Petición firmada por el Receptor","||")</f>
        <v>||SPR190613I52|10-03-2026 18:00:00|30001000000500003456|Petición firmada por el Receptor||</v>
      </c>
      <c r="O131" s="132" t="str">
        <f t="shared" si="8"/>
        <v>||RAMR320727HE2|AAUR760114I12|6|30001000000500010890|Petición firmada por el Receptor||
||SPR190613I52|10-03-2026 18:00:00|30001000000500003456|Petición firmada por el Receptor||</v>
      </c>
    </row>
    <row r="132" spans="1:15" ht="29" x14ac:dyDescent="0.35">
      <c r="A132" s="129" t="s">
        <v>1136</v>
      </c>
      <c r="B132" s="130" t="s">
        <v>1135</v>
      </c>
      <c r="C132" s="106">
        <v>6</v>
      </c>
      <c r="D132" s="106" t="s">
        <v>907</v>
      </c>
      <c r="E132" s="72" t="s">
        <v>1119</v>
      </c>
      <c r="F132" s="106">
        <v>608</v>
      </c>
      <c r="G132" s="125" t="s">
        <v>1126</v>
      </c>
      <c r="H132" s="106" t="s">
        <v>706</v>
      </c>
      <c r="I132" s="106" t="s">
        <v>460</v>
      </c>
      <c r="J132" s="106">
        <v>157</v>
      </c>
      <c r="K132" s="106"/>
      <c r="L132" s="126"/>
      <c r="M132" s="124" t="str">
        <f t="shared" si="7"/>
        <v>||DIXJ7410127G5|AAUR760114I12|6|30001000000500010890|Petición firmada por el Receptor||</v>
      </c>
      <c r="N132" s="131" t="str">
        <f t="shared" si="9"/>
        <v>||SPR190613I52|10-03-2026 18:00:00|30001000000500003456|Petición firmada por el Receptor||</v>
      </c>
      <c r="O132" s="132" t="str">
        <f t="shared" si="8"/>
        <v>||DIXJ7410127G5|AAUR760114I12|6|30001000000500010890|Petición firmada por el Receptor||
||SPR190613I52|10-03-2026 18:00:00|30001000000500003456|Petición firmada por el Receptor||</v>
      </c>
    </row>
    <row r="133" spans="1:15" ht="29" x14ac:dyDescent="0.35">
      <c r="A133" s="129" t="s">
        <v>1136</v>
      </c>
      <c r="B133" s="130" t="s">
        <v>1135</v>
      </c>
      <c r="C133" s="106">
        <v>6</v>
      </c>
      <c r="D133" s="106" t="s">
        <v>970</v>
      </c>
      <c r="E133" s="72" t="s">
        <v>1119</v>
      </c>
      <c r="F133" s="106">
        <v>610</v>
      </c>
      <c r="G133" s="125" t="s">
        <v>1126</v>
      </c>
      <c r="H133" s="106" t="s">
        <v>706</v>
      </c>
      <c r="I133" s="106" t="s">
        <v>460</v>
      </c>
      <c r="J133" s="106">
        <v>603</v>
      </c>
      <c r="K133" s="106"/>
      <c r="L133" s="126"/>
      <c r="M133" s="124" t="str">
        <f t="shared" si="7"/>
        <v>||CARS9311212S8|AAUR760114I12|6|30001000000500010890|Petición firmada por el Receptor||</v>
      </c>
      <c r="N133" s="131" t="str">
        <f t="shared" si="9"/>
        <v>||SPR190613I52|10-03-2026 18:00:00|30001000000500003456|Petición firmada por el Receptor||</v>
      </c>
      <c r="O133" s="132" t="str">
        <f t="shared" si="8"/>
        <v>||CARS9311212S8|AAUR760114I12|6|30001000000500010890|Petición firmada por el Receptor||
||SPR190613I52|10-03-2026 18:00:00|30001000000500003456|Petición firmada por el Receptor||</v>
      </c>
    </row>
    <row r="134" spans="1:15" ht="29" x14ac:dyDescent="0.35">
      <c r="A134" s="129" t="s">
        <v>1136</v>
      </c>
      <c r="B134" s="130" t="s">
        <v>1135</v>
      </c>
      <c r="C134" s="106">
        <v>6</v>
      </c>
      <c r="D134" s="106" t="s">
        <v>808</v>
      </c>
      <c r="E134" s="72" t="s">
        <v>1119</v>
      </c>
      <c r="F134" s="106">
        <v>608</v>
      </c>
      <c r="G134" s="125" t="s">
        <v>1126</v>
      </c>
      <c r="H134" s="107">
        <v>735738</v>
      </c>
      <c r="I134" s="106" t="s">
        <v>810</v>
      </c>
      <c r="J134" s="106">
        <v>595</v>
      </c>
      <c r="K134" s="106"/>
      <c r="L134" s="126"/>
      <c r="M134" s="124" t="str">
        <f t="shared" si="7"/>
        <v>||EOMJ840701VA8|AAUR760114I12|6|30001000000500010890|Petición firmada por el Receptor||</v>
      </c>
      <c r="N134" s="131" t="str">
        <f t="shared" si="9"/>
        <v>||SPR190613I52|10-03-2026 18:00:00|30001000000500003456|Petición firmada por el Receptor||</v>
      </c>
      <c r="O134" s="132" t="str">
        <f t="shared" si="8"/>
        <v>||EOMJ840701VA8|AAUR760114I12|6|30001000000500010890|Petición firmada por el Receptor||
||SPR190613I52|10-03-2026 18:00:00|30001000000500003456|Petición firmada por el Receptor||</v>
      </c>
    </row>
    <row r="135" spans="1:15" ht="29" x14ac:dyDescent="0.35">
      <c r="A135" s="129" t="s">
        <v>1136</v>
      </c>
      <c r="B135" s="130" t="s">
        <v>1135</v>
      </c>
      <c r="C135" s="106">
        <v>6</v>
      </c>
      <c r="D135" s="106" t="s">
        <v>908</v>
      </c>
      <c r="E135" s="72" t="s">
        <v>1119</v>
      </c>
      <c r="F135" s="106">
        <v>611</v>
      </c>
      <c r="G135" s="125" t="s">
        <v>1126</v>
      </c>
      <c r="H135" s="106" t="s">
        <v>706</v>
      </c>
      <c r="I135" s="106" t="s">
        <v>460</v>
      </c>
      <c r="J135" s="106">
        <v>229</v>
      </c>
      <c r="K135" s="106"/>
      <c r="L135" s="126"/>
      <c r="M135" s="124" t="str">
        <f t="shared" si="7"/>
        <v>||BAOJ880708DJ8|AAUR760114I12|6|30001000000500010890|Petición firmada por el Receptor||</v>
      </c>
      <c r="N135" s="131" t="str">
        <f t="shared" si="9"/>
        <v>||SPR190613I52|10-03-2026 18:00:00|30001000000500003456|Petición firmada por el Receptor||</v>
      </c>
      <c r="O135" s="132" t="str">
        <f t="shared" si="8"/>
        <v>||BAOJ880708DJ8|AAUR760114I12|6|30001000000500010890|Petición firmada por el Receptor||
||SPR190613I52|10-03-2026 18:00:00|30001000000500003456|Petición firmada por el Receptor||</v>
      </c>
    </row>
    <row r="136" spans="1:15" ht="29" x14ac:dyDescent="0.35">
      <c r="A136" s="129" t="s">
        <v>1136</v>
      </c>
      <c r="B136" s="130" t="s">
        <v>1135</v>
      </c>
      <c r="C136" s="106">
        <v>6</v>
      </c>
      <c r="D136" s="106" t="s">
        <v>971</v>
      </c>
      <c r="E136" s="72" t="s">
        <v>1119</v>
      </c>
      <c r="F136" s="106">
        <v>607</v>
      </c>
      <c r="G136" s="125" t="s">
        <v>1126</v>
      </c>
      <c r="H136" s="106" t="s">
        <v>706</v>
      </c>
      <c r="I136" s="106" t="s">
        <v>773</v>
      </c>
      <c r="J136" s="106" t="s">
        <v>706</v>
      </c>
      <c r="K136" s="106"/>
      <c r="L136" s="126"/>
      <c r="M136" s="124" t="str">
        <f t="shared" si="7"/>
        <v>||ROCH511116LI6|AAUR760114I12|6|30001000000500010890|Petición firmada por el Receptor||</v>
      </c>
      <c r="N136" s="131" t="str">
        <f t="shared" si="9"/>
        <v>||SPR190613I52|10-03-2026 18:00:00|30001000000500003456|Petición firmada por el Receptor||</v>
      </c>
      <c r="O136" s="132" t="str">
        <f t="shared" si="8"/>
        <v>||ROCH511116LI6|AAUR760114I12|6|30001000000500010890|Petición firmada por el Receptor||
||SPR190613I52|10-03-2026 18:00:00|30001000000500003456|Petición firmada por el Receptor||</v>
      </c>
    </row>
    <row r="137" spans="1:15" ht="29" x14ac:dyDescent="0.35">
      <c r="A137" s="129" t="s">
        <v>1136</v>
      </c>
      <c r="B137" s="130" t="s">
        <v>1135</v>
      </c>
      <c r="C137" s="106">
        <v>6</v>
      </c>
      <c r="D137" s="106" t="s">
        <v>811</v>
      </c>
      <c r="E137" s="72" t="s">
        <v>1119</v>
      </c>
      <c r="F137" s="106">
        <v>611</v>
      </c>
      <c r="G137" s="125" t="s">
        <v>1126</v>
      </c>
      <c r="H137" s="106" t="s">
        <v>706</v>
      </c>
      <c r="I137" s="106">
        <v>300155</v>
      </c>
      <c r="J137" s="106">
        <v>506</v>
      </c>
      <c r="K137" s="106"/>
      <c r="L137" s="126"/>
      <c r="M137" s="124" t="str">
        <f t="shared" si="7"/>
        <v>||GATJ8808047D5|AAUR760114I12|6|30001000000500010890|Petición firmada por el Receptor||</v>
      </c>
      <c r="N137" s="131" t="str">
        <f t="shared" si="9"/>
        <v>||SPR190613I52|10-03-2026 18:00:00|30001000000500003456|Petición firmada por el Receptor||</v>
      </c>
      <c r="O137" s="132" t="str">
        <f t="shared" si="8"/>
        <v>||GATJ8808047D5|AAUR760114I12|6|30001000000500010890|Petición firmada por el Receptor||
||SPR190613I52|10-03-2026 18:00:00|30001000000500003456|Petición firmada por el Receptor||</v>
      </c>
    </row>
    <row r="138" spans="1:15" ht="29" x14ac:dyDescent="0.35">
      <c r="A138" s="129" t="s">
        <v>1136</v>
      </c>
      <c r="B138" s="130" t="s">
        <v>1135</v>
      </c>
      <c r="C138" s="106">
        <v>6</v>
      </c>
      <c r="D138" s="106" t="s">
        <v>972</v>
      </c>
      <c r="E138" s="72" t="s">
        <v>1119</v>
      </c>
      <c r="F138" s="106">
        <v>612</v>
      </c>
      <c r="G138" s="125" t="s">
        <v>1126</v>
      </c>
      <c r="H138" s="106" t="s">
        <v>880</v>
      </c>
      <c r="I138" s="106" t="s">
        <v>881</v>
      </c>
      <c r="J138" s="106">
        <v>568</v>
      </c>
      <c r="K138" s="106"/>
      <c r="L138" s="126"/>
      <c r="M138" s="124" t="str">
        <f t="shared" si="7"/>
        <v>||REFJ860507MT8|AAUR760114I12|6|30001000000500010890|Petición firmada por el Receptor||</v>
      </c>
      <c r="N138" s="131" t="str">
        <f t="shared" si="9"/>
        <v>||SPR190613I52|10-03-2026 18:00:00|30001000000500003456|Petición firmada por el Receptor||</v>
      </c>
      <c r="O138" s="132" t="str">
        <f t="shared" si="8"/>
        <v>||REFJ860507MT8|AAUR760114I12|6|30001000000500010890|Petición firmada por el Receptor||
||SPR190613I52|10-03-2026 18:00:00|30001000000500003456|Petición firmada por el Receptor||</v>
      </c>
    </row>
    <row r="139" spans="1:15" ht="29" x14ac:dyDescent="0.35">
      <c r="A139" s="129" t="s">
        <v>1136</v>
      </c>
      <c r="B139" s="130" t="s">
        <v>1135</v>
      </c>
      <c r="C139" s="106">
        <v>6</v>
      </c>
      <c r="D139" s="106" t="s">
        <v>973</v>
      </c>
      <c r="E139" s="72" t="s">
        <v>1119</v>
      </c>
      <c r="F139" s="106">
        <v>607</v>
      </c>
      <c r="G139" s="125" t="s">
        <v>1126</v>
      </c>
      <c r="H139" s="106">
        <v>3</v>
      </c>
      <c r="I139" s="106" t="s">
        <v>460</v>
      </c>
      <c r="J139" s="106">
        <v>803</v>
      </c>
      <c r="K139" s="106"/>
      <c r="L139" s="126"/>
      <c r="M139" s="124" t="str">
        <f t="shared" si="7"/>
        <v>||RAFM720405F67|AAUR760114I12|6|30001000000500010890|Petición firmada por el Receptor||</v>
      </c>
      <c r="N139" s="131" t="str">
        <f t="shared" si="9"/>
        <v>||SPR190613I52|10-03-2026 18:00:00|30001000000500003456|Petición firmada por el Receptor||</v>
      </c>
      <c r="O139" s="132" t="str">
        <f t="shared" si="8"/>
        <v>||RAFM720405F67|AAUR760114I12|6|30001000000500010890|Petición firmada por el Receptor||
||SPR190613I52|10-03-2026 18:00:00|30001000000500003456|Petición firmada por el Receptor||</v>
      </c>
    </row>
    <row r="140" spans="1:15" ht="29" x14ac:dyDescent="0.35">
      <c r="A140" s="129" t="s">
        <v>1136</v>
      </c>
      <c r="B140" s="130" t="s">
        <v>1135</v>
      </c>
      <c r="C140" s="106">
        <v>6</v>
      </c>
      <c r="D140" s="106" t="s">
        <v>807</v>
      </c>
      <c r="E140" s="72" t="s">
        <v>1022</v>
      </c>
      <c r="F140" s="106">
        <v>612</v>
      </c>
      <c r="G140" s="125" t="s">
        <v>1127</v>
      </c>
      <c r="H140" s="106" t="s">
        <v>805</v>
      </c>
      <c r="I140" s="106" t="s">
        <v>806</v>
      </c>
      <c r="J140" s="106">
        <v>705</v>
      </c>
      <c r="K140" s="106"/>
      <c r="L140" s="126"/>
      <c r="M140" s="124" t="str">
        <f t="shared" si="7"/>
        <v>||LESJ6004207K1|AAML920925E50|6|30001000000500010891|Petición firmada por el Receptor||</v>
      </c>
      <c r="N140" s="131" t="str">
        <f t="shared" si="9"/>
        <v>||SPR190613I52|10-03-2026 18:00:00|30001000000500003456|Petición firmada por el Receptor||</v>
      </c>
      <c r="O140" s="132" t="str">
        <f t="shared" si="8"/>
        <v>||LESJ6004207K1|AAML920925E50|6|30001000000500010891|Petición firmada por el Receptor||
||SPR190613I52|10-03-2026 18:00:00|30001000000500003456|Petición firmada por el Receptor||</v>
      </c>
    </row>
    <row r="141" spans="1:15" ht="29" x14ac:dyDescent="0.35">
      <c r="A141" s="129" t="s">
        <v>1136</v>
      </c>
      <c r="B141" s="130" t="s">
        <v>1135</v>
      </c>
      <c r="C141" s="106">
        <v>6</v>
      </c>
      <c r="D141" s="106" t="s">
        <v>909</v>
      </c>
      <c r="E141" s="72" t="s">
        <v>1022</v>
      </c>
      <c r="F141" s="106">
        <v>614</v>
      </c>
      <c r="G141" s="125" t="s">
        <v>1127</v>
      </c>
      <c r="H141" s="106" t="s">
        <v>706</v>
      </c>
      <c r="I141" s="106" t="s">
        <v>460</v>
      </c>
      <c r="J141" s="106">
        <v>834</v>
      </c>
      <c r="K141" s="106"/>
      <c r="L141" s="126"/>
      <c r="M141" s="124" t="str">
        <f t="shared" si="7"/>
        <v>||REDJ840924TI2|AAML920925E50|6|30001000000500010891|Petición firmada por el Receptor||</v>
      </c>
      <c r="N141" s="131" t="str">
        <f t="shared" si="9"/>
        <v>||SPR190613I52|10-03-2026 18:00:00|30001000000500003456|Petición firmada por el Receptor||</v>
      </c>
      <c r="O141" s="132" t="str">
        <f t="shared" si="8"/>
        <v>||REDJ840924TI2|AAML920925E50|6|30001000000500010891|Petición firmada por el Receptor||
||SPR190613I52|10-03-2026 18:00:00|30001000000500003456|Petición firmada por el Receptor||</v>
      </c>
    </row>
    <row r="142" spans="1:15" ht="29" x14ac:dyDescent="0.35">
      <c r="A142" s="129" t="s">
        <v>1136</v>
      </c>
      <c r="B142" s="130" t="s">
        <v>1135</v>
      </c>
      <c r="C142" s="106">
        <v>6</v>
      </c>
      <c r="D142" s="106" t="s">
        <v>974</v>
      </c>
      <c r="E142" s="72" t="s">
        <v>1022</v>
      </c>
      <c r="F142" s="106">
        <v>625</v>
      </c>
      <c r="G142" s="125" t="s">
        <v>1127</v>
      </c>
      <c r="H142" s="106" t="s">
        <v>975</v>
      </c>
      <c r="I142" s="106" t="s">
        <v>976</v>
      </c>
      <c r="J142" s="106">
        <v>1084</v>
      </c>
      <c r="K142" s="106"/>
      <c r="L142" s="126"/>
      <c r="M142" s="124" t="str">
        <f t="shared" si="7"/>
        <v>||RAAJ5106192M4|AAML920925E50|6|30001000000500010891|Petición firmada por el Receptor||</v>
      </c>
      <c r="N142" s="131" t="str">
        <f t="shared" si="9"/>
        <v>||SPR190613I52|10-03-2026 18:00:00|30001000000500003456|Petición firmada por el Receptor||</v>
      </c>
      <c r="O142" s="132" t="str">
        <f t="shared" si="8"/>
        <v>||RAAJ5106192M4|AAML920925E50|6|30001000000500010891|Petición firmada por el Receptor||
||SPR190613I52|10-03-2026 18:00:00|30001000000500003456|Petición firmada por el Receptor||</v>
      </c>
    </row>
    <row r="143" spans="1:15" ht="29" x14ac:dyDescent="0.35">
      <c r="A143" s="129" t="s">
        <v>1136</v>
      </c>
      <c r="B143" s="130" t="s">
        <v>1135</v>
      </c>
      <c r="C143" s="106">
        <v>6</v>
      </c>
      <c r="D143" s="106" t="s">
        <v>812</v>
      </c>
      <c r="E143" s="72" t="s">
        <v>1022</v>
      </c>
      <c r="F143" s="106">
        <v>614</v>
      </c>
      <c r="G143" s="125" t="s">
        <v>1127</v>
      </c>
      <c r="H143" s="106" t="s">
        <v>706</v>
      </c>
      <c r="I143" s="106" t="s">
        <v>460</v>
      </c>
      <c r="J143" s="106">
        <v>907</v>
      </c>
      <c r="K143" s="106"/>
      <c r="L143" s="126"/>
      <c r="M143" s="124" t="str">
        <f t="shared" si="7"/>
        <v>||COTB930709IT6|AAML920925E50|6|30001000000500010891|Petición firmada por el Receptor||</v>
      </c>
      <c r="N143" s="131" t="str">
        <f t="shared" si="9"/>
        <v>||SPR190613I52|10-03-2026 18:00:00|30001000000500003456|Petición firmada por el Receptor||</v>
      </c>
      <c r="O143" s="132" t="str">
        <f t="shared" si="8"/>
        <v>||COTB930709IT6|AAML920925E50|6|30001000000500010891|Petición firmada por el Receptor||
||SPR190613I52|10-03-2026 18:00:00|30001000000500003456|Petición firmada por el Receptor||</v>
      </c>
    </row>
    <row r="144" spans="1:15" ht="29" x14ac:dyDescent="0.35">
      <c r="A144" s="129" t="s">
        <v>1136</v>
      </c>
      <c r="B144" s="130" t="s">
        <v>1135</v>
      </c>
      <c r="C144" s="106">
        <v>6</v>
      </c>
      <c r="D144" s="106" t="s">
        <v>910</v>
      </c>
      <c r="E144" s="72" t="s">
        <v>1022</v>
      </c>
      <c r="F144" s="106">
        <v>615</v>
      </c>
      <c r="G144" s="125" t="s">
        <v>1127</v>
      </c>
      <c r="H144" s="106" t="s">
        <v>706</v>
      </c>
      <c r="I144" s="106" t="s">
        <v>460</v>
      </c>
      <c r="J144" s="106">
        <v>2223</v>
      </c>
      <c r="K144" s="106"/>
      <c r="L144" s="126"/>
      <c r="M144" s="124" t="str">
        <f t="shared" si="7"/>
        <v>||ZEDJ6802123F4|AAML920925E50|6|30001000000500010891|Petición firmada por el Receptor||</v>
      </c>
      <c r="N144" s="131" t="str">
        <f t="shared" si="9"/>
        <v>||SPR190613I52|10-03-2026 18:00:00|30001000000500003456|Petición firmada por el Receptor||</v>
      </c>
      <c r="O144" s="132" t="str">
        <f t="shared" si="8"/>
        <v>||ZEDJ6802123F4|AAML920925E50|6|30001000000500010891|Petición firmada por el Receptor||
||SPR190613I52|10-03-2026 18:00:00|30001000000500003456|Petición firmada por el Receptor||</v>
      </c>
    </row>
    <row r="145" spans="1:15" ht="29" x14ac:dyDescent="0.35">
      <c r="A145" s="129" t="s">
        <v>1136</v>
      </c>
      <c r="B145" s="130" t="s">
        <v>1135</v>
      </c>
      <c r="C145" s="106">
        <v>6</v>
      </c>
      <c r="D145" s="106" t="s">
        <v>977</v>
      </c>
      <c r="E145" s="72" t="s">
        <v>1022</v>
      </c>
      <c r="F145" s="106">
        <v>619</v>
      </c>
      <c r="G145" s="125" t="s">
        <v>1127</v>
      </c>
      <c r="H145" s="106" t="s">
        <v>706</v>
      </c>
      <c r="I145" s="106" t="s">
        <v>460</v>
      </c>
      <c r="J145" s="106">
        <v>157</v>
      </c>
      <c r="K145" s="106"/>
      <c r="L145" s="126"/>
      <c r="M145" s="124" t="str">
        <f t="shared" si="7"/>
        <v>||AELC900321MB8|AAML920925E50|6|30001000000500010891|Petición firmada por el Receptor||</v>
      </c>
      <c r="N145" s="131" t="str">
        <f t="shared" si="9"/>
        <v>||SPR190613I52|10-03-2026 18:00:00|30001000000500003456|Petición firmada por el Receptor||</v>
      </c>
      <c r="O145" s="132" t="str">
        <f t="shared" si="8"/>
        <v>||AELC900321MB8|AAML920925E50|6|30001000000500010891|Petición firmada por el Receptor||
||SPR190613I52|10-03-2026 18:00:00|30001000000500003456|Petición firmada por el Receptor||</v>
      </c>
    </row>
    <row r="146" spans="1:15" ht="29" x14ac:dyDescent="0.35">
      <c r="A146" s="129" t="s">
        <v>1136</v>
      </c>
      <c r="B146" s="130" t="s">
        <v>1135</v>
      </c>
      <c r="C146" s="106">
        <v>6</v>
      </c>
      <c r="D146" s="106" t="s">
        <v>817</v>
      </c>
      <c r="E146" s="72" t="s">
        <v>1022</v>
      </c>
      <c r="F146" s="106">
        <v>615</v>
      </c>
      <c r="G146" s="125" t="s">
        <v>1127</v>
      </c>
      <c r="H146" s="106" t="s">
        <v>706</v>
      </c>
      <c r="I146" s="106" t="s">
        <v>460</v>
      </c>
      <c r="J146" s="106">
        <v>898</v>
      </c>
      <c r="K146" s="106"/>
      <c r="L146" s="126"/>
      <c r="M146" s="124" t="str">
        <f t="shared" si="7"/>
        <v>||FUMM840229HK5|AAML920925E50|6|30001000000500010891|Petición firmada por el Receptor||</v>
      </c>
      <c r="N146" s="131" t="str">
        <f t="shared" si="9"/>
        <v>||SPR190613I52|10-03-2026 18:00:00|30001000000500003456|Petición firmada por el Receptor||</v>
      </c>
      <c r="O146" s="132" t="str">
        <f t="shared" si="8"/>
        <v>||FUMM840229HK5|AAML920925E50|6|30001000000500010891|Petición firmada por el Receptor||
||SPR190613I52|10-03-2026 18:00:00|30001000000500003456|Petición firmada por el Receptor||</v>
      </c>
    </row>
    <row r="147" spans="1:15" ht="29" x14ac:dyDescent="0.35">
      <c r="A147" s="129" t="s">
        <v>1136</v>
      </c>
      <c r="B147" s="130" t="s">
        <v>1135</v>
      </c>
      <c r="C147" s="106">
        <v>6</v>
      </c>
      <c r="D147" s="106" t="s">
        <v>911</v>
      </c>
      <c r="E147" s="72" t="s">
        <v>1022</v>
      </c>
      <c r="F147" s="106">
        <v>616</v>
      </c>
      <c r="G147" s="125" t="s">
        <v>1127</v>
      </c>
      <c r="H147" s="106" t="s">
        <v>706</v>
      </c>
      <c r="I147" s="106" t="s">
        <v>460</v>
      </c>
      <c r="J147" s="106">
        <v>907</v>
      </c>
      <c r="K147" s="106"/>
      <c r="L147" s="126"/>
      <c r="M147" s="124" t="str">
        <f t="shared" si="7"/>
        <v>||PAGJ7608292Y6|AAML920925E50|6|30001000000500010891|Petición firmada por el Receptor||</v>
      </c>
      <c r="N147" s="131" t="str">
        <f t="shared" si="9"/>
        <v>||SPR190613I52|10-03-2026 18:00:00|30001000000500003456|Petición firmada por el Receptor||</v>
      </c>
      <c r="O147" s="132" t="str">
        <f t="shared" si="8"/>
        <v>||PAGJ7608292Y6|AAML920925E50|6|30001000000500010891|Petición firmada por el Receptor||
||SPR190613I52|10-03-2026 18:00:00|30001000000500003456|Petición firmada por el Receptor||</v>
      </c>
    </row>
    <row r="148" spans="1:15" ht="29" x14ac:dyDescent="0.35">
      <c r="A148" s="129" t="s">
        <v>1136</v>
      </c>
      <c r="B148" s="130" t="s">
        <v>1135</v>
      </c>
      <c r="C148" s="106">
        <v>6</v>
      </c>
      <c r="D148" s="106" t="s">
        <v>978</v>
      </c>
      <c r="E148" s="72" t="s">
        <v>1022</v>
      </c>
      <c r="F148" s="106">
        <v>607</v>
      </c>
      <c r="G148" s="125" t="s">
        <v>1127</v>
      </c>
      <c r="H148" s="106">
        <v>3</v>
      </c>
      <c r="I148" s="106" t="s">
        <v>460</v>
      </c>
      <c r="J148" s="106">
        <v>273</v>
      </c>
      <c r="K148" s="106"/>
      <c r="L148" s="126"/>
      <c r="M148" s="124" t="str">
        <f t="shared" si="7"/>
        <v>||TUAR6401301G4|AAML920925E50|6|30001000000500010891|Petición firmada por el Receptor||</v>
      </c>
      <c r="N148" s="131" t="str">
        <f t="shared" si="9"/>
        <v>||SPR190613I52|10-03-2026 18:00:00|30001000000500003456|Petición firmada por el Receptor||</v>
      </c>
      <c r="O148" s="132" t="str">
        <f t="shared" si="8"/>
        <v>||TUAR6401301G4|AAML920925E50|6|30001000000500010891|Petición firmada por el Receptor||
||SPR190613I52|10-03-2026 18:00:00|30001000000500003456|Petición firmada por el Receptor||</v>
      </c>
    </row>
    <row r="149" spans="1:15" ht="29" x14ac:dyDescent="0.35">
      <c r="A149" s="129" t="s">
        <v>1136</v>
      </c>
      <c r="B149" s="130" t="s">
        <v>1135</v>
      </c>
      <c r="C149" s="106">
        <v>6</v>
      </c>
      <c r="D149" s="106" t="s">
        <v>790</v>
      </c>
      <c r="E149" s="72" t="s">
        <v>1022</v>
      </c>
      <c r="F149" s="106">
        <v>616</v>
      </c>
      <c r="G149" s="125" t="s">
        <v>1127</v>
      </c>
      <c r="H149" s="106" t="s">
        <v>706</v>
      </c>
      <c r="I149" s="106" t="s">
        <v>791</v>
      </c>
      <c r="J149" s="106" t="s">
        <v>706</v>
      </c>
      <c r="K149" s="106"/>
      <c r="L149" s="126"/>
      <c r="M149" s="124" t="str">
        <f t="shared" si="7"/>
        <v>||MEAG4509116E4|AAML920925E50|6|30001000000500010891|Petición firmada por el Receptor||</v>
      </c>
      <c r="N149" s="131" t="str">
        <f t="shared" si="9"/>
        <v>||SPR190613I52|10-03-2026 18:00:00|30001000000500003456|Petición firmada por el Receptor||</v>
      </c>
      <c r="O149" s="132" t="str">
        <f t="shared" si="8"/>
        <v>||MEAG4509116E4|AAML920925E50|6|30001000000500010891|Petición firmada por el Receptor||
||SPR190613I52|10-03-2026 18:00:00|30001000000500003456|Petición firmada por el Receptor||</v>
      </c>
    </row>
    <row r="150" spans="1:15" ht="29" x14ac:dyDescent="0.35">
      <c r="A150" s="129" t="s">
        <v>1136</v>
      </c>
      <c r="B150" s="130" t="s">
        <v>1135</v>
      </c>
      <c r="C150" s="106">
        <v>6</v>
      </c>
      <c r="D150" s="106" t="s">
        <v>904</v>
      </c>
      <c r="E150" s="72" t="s">
        <v>1022</v>
      </c>
      <c r="F150" s="106">
        <v>621</v>
      </c>
      <c r="G150" s="125" t="s">
        <v>1127</v>
      </c>
      <c r="H150" s="106" t="s">
        <v>410</v>
      </c>
      <c r="I150" s="106" t="s">
        <v>905</v>
      </c>
      <c r="J150" s="106">
        <v>609</v>
      </c>
      <c r="K150" s="106"/>
      <c r="L150" s="126"/>
      <c r="M150" s="124" t="str">
        <f t="shared" si="7"/>
        <v>||RIRJ9106098L4|AAML920925E50|6|30001000000500010891|Petición firmada por el Receptor||</v>
      </c>
      <c r="N150" s="131" t="str">
        <f t="shared" si="9"/>
        <v>||SPR190613I52|10-03-2026 18:00:00|30001000000500003456|Petición firmada por el Receptor||</v>
      </c>
      <c r="O150" s="132" t="str">
        <f t="shared" si="8"/>
        <v>||RIRJ9106098L4|AAML920925E50|6|30001000000500010891|Petición firmada por el Receptor||
||SPR190613I52|10-03-2026 18:00:00|30001000000500003456|Petición firmada por el Receptor||</v>
      </c>
    </row>
    <row r="151" spans="1:15" ht="29" x14ac:dyDescent="0.35">
      <c r="A151" s="129" t="s">
        <v>1136</v>
      </c>
      <c r="B151" s="130" t="s">
        <v>1135</v>
      </c>
      <c r="C151" s="106">
        <v>6</v>
      </c>
      <c r="D151" s="106" t="s">
        <v>979</v>
      </c>
      <c r="E151" s="72" t="s">
        <v>1022</v>
      </c>
      <c r="F151" s="106">
        <v>619</v>
      </c>
      <c r="G151" s="125" t="s">
        <v>1127</v>
      </c>
      <c r="H151" s="106" t="s">
        <v>706</v>
      </c>
      <c r="I151" s="106">
        <v>300155</v>
      </c>
      <c r="J151" s="106">
        <v>618</v>
      </c>
      <c r="K151" s="106"/>
      <c r="L151" s="126"/>
      <c r="M151" s="124" t="str">
        <f t="shared" ref="M151:M214" si="10">CONCATENATE("||",D151,"|",E151,"|",C151,"|",G151,"|","Petición firmada por el Receptor","||")</f>
        <v>||MORK930617MG9|AAML920925E50|6|30001000000500010891|Petición firmada por el Receptor||</v>
      </c>
      <c r="N151" s="131" t="str">
        <f t="shared" si="9"/>
        <v>||SPR190613I52|10-03-2026 18:00:00|30001000000500003456|Petición firmada por el Receptor||</v>
      </c>
      <c r="O151" s="132" t="str">
        <f t="shared" si="8"/>
        <v>||MORK930617MG9|AAML920925E50|6|30001000000500010891|Petición firmada por el Receptor||
||SPR190613I52|10-03-2026 18:00:00|30001000000500003456|Petición firmada por el Receptor||</v>
      </c>
    </row>
    <row r="152" spans="1:15" ht="43.5" x14ac:dyDescent="0.35">
      <c r="A152" s="129" t="s">
        <v>1136</v>
      </c>
      <c r="B152" s="130" t="s">
        <v>1135</v>
      </c>
      <c r="C152" s="106">
        <v>6</v>
      </c>
      <c r="D152" s="106" t="s">
        <v>800</v>
      </c>
      <c r="E152" s="72" t="s">
        <v>1022</v>
      </c>
      <c r="F152" s="106">
        <v>621</v>
      </c>
      <c r="G152" s="125" t="s">
        <v>1127</v>
      </c>
      <c r="H152" s="106">
        <v>735</v>
      </c>
      <c r="I152" s="106" t="s">
        <v>801</v>
      </c>
      <c r="J152" s="106">
        <v>664</v>
      </c>
      <c r="K152" s="106"/>
      <c r="L152" s="126"/>
      <c r="M152" s="124" t="str">
        <f t="shared" si="10"/>
        <v>||BAAL540713KP5|AAML920925E50|6|30001000000500010891|Petición firmada por el Receptor||</v>
      </c>
      <c r="N152" s="131" t="str">
        <f t="shared" si="9"/>
        <v>||SPR190613I52|10-03-2026 18:00:00|30001000000500003456|Petición firmada por el Receptor||</v>
      </c>
      <c r="O152" s="132" t="str">
        <f t="shared" si="8"/>
        <v>||BAAL540713KP5|AAML920925E50|6|30001000000500010891|Petición firmada por el Receptor||
||SPR190613I52|10-03-2026 18:00:00|30001000000500003456|Petición firmada por el Receptor||</v>
      </c>
    </row>
    <row r="153" spans="1:15" ht="29" x14ac:dyDescent="0.35">
      <c r="A153" s="129" t="s">
        <v>1136</v>
      </c>
      <c r="B153" s="130" t="s">
        <v>1135</v>
      </c>
      <c r="C153" s="106">
        <v>6</v>
      </c>
      <c r="D153" s="106" t="s">
        <v>913</v>
      </c>
      <c r="E153" s="72" t="s">
        <v>1022</v>
      </c>
      <c r="F153" s="106">
        <v>626</v>
      </c>
      <c r="G153" s="125" t="s">
        <v>1127</v>
      </c>
      <c r="H153" s="106" t="s">
        <v>706</v>
      </c>
      <c r="I153" s="106" t="s">
        <v>914</v>
      </c>
      <c r="J153" s="106">
        <v>50</v>
      </c>
      <c r="K153" s="106"/>
      <c r="L153" s="126"/>
      <c r="M153" s="124" t="str">
        <f t="shared" si="10"/>
        <v>||TEVJ881202PP4|AAML920925E50|6|30001000000500010891|Petición firmada por el Receptor||</v>
      </c>
      <c r="N153" s="131" t="str">
        <f t="shared" si="9"/>
        <v>||SPR190613I52|10-03-2026 18:00:00|30001000000500003456|Petición firmada por el Receptor||</v>
      </c>
      <c r="O153" s="132" t="str">
        <f t="shared" si="8"/>
        <v>||TEVJ881202PP4|AAML920925E50|6|30001000000500010891|Petición firmada por el Receptor||
||SPR190613I52|10-03-2026 18:00:00|30001000000500003456|Petición firmada por el Receptor||</v>
      </c>
    </row>
    <row r="154" spans="1:15" ht="29" x14ac:dyDescent="0.35">
      <c r="A154" s="129" t="s">
        <v>1136</v>
      </c>
      <c r="B154" s="130" t="s">
        <v>1135</v>
      </c>
      <c r="C154" s="106">
        <v>6</v>
      </c>
      <c r="D154" s="106" t="s">
        <v>980</v>
      </c>
      <c r="E154" s="72" t="s">
        <v>1022</v>
      </c>
      <c r="F154" s="106">
        <v>625</v>
      </c>
      <c r="G154" s="125" t="s">
        <v>1127</v>
      </c>
      <c r="H154" s="106" t="s">
        <v>706</v>
      </c>
      <c r="I154" s="106" t="s">
        <v>460</v>
      </c>
      <c r="J154" s="106">
        <v>1115</v>
      </c>
      <c r="K154" s="106"/>
      <c r="L154" s="126"/>
      <c r="M154" s="124" t="str">
        <f t="shared" si="10"/>
        <v>||RAHA820325ER7|AAML920925E50|6|30001000000500010891|Petición firmada por el Receptor||</v>
      </c>
      <c r="N154" s="131" t="str">
        <f t="shared" si="9"/>
        <v>||SPR190613I52|10-03-2026 18:00:00|30001000000500003456|Petición firmada por el Receptor||</v>
      </c>
      <c r="O154" s="132" t="str">
        <f t="shared" si="8"/>
        <v>||RAHA820325ER7|AAML920925E50|6|30001000000500010891|Petición firmada por el Receptor||
||SPR190613I52|10-03-2026 18:00:00|30001000000500003456|Petición firmada por el Receptor||</v>
      </c>
    </row>
    <row r="155" spans="1:15" ht="29" x14ac:dyDescent="0.35">
      <c r="A155" s="129" t="s">
        <v>1136</v>
      </c>
      <c r="B155" s="130" t="s">
        <v>1135</v>
      </c>
      <c r="C155" s="106">
        <v>6</v>
      </c>
      <c r="D155" s="106" t="s">
        <v>819</v>
      </c>
      <c r="E155" s="72" t="s">
        <v>1022</v>
      </c>
      <c r="F155" s="106">
        <v>626</v>
      </c>
      <c r="G155" s="125" t="s">
        <v>1127</v>
      </c>
      <c r="H155" s="106">
        <v>3</v>
      </c>
      <c r="I155" s="106" t="s">
        <v>460</v>
      </c>
      <c r="J155" s="106">
        <v>2223</v>
      </c>
      <c r="K155" s="106"/>
      <c r="L155" s="126"/>
      <c r="M155" s="124" t="str">
        <f t="shared" si="10"/>
        <v>||LASC610522KBA|AAML920925E50|6|30001000000500010891|Petición firmada por el Receptor||</v>
      </c>
      <c r="N155" s="131" t="str">
        <f t="shared" si="9"/>
        <v>||SPR190613I52|10-03-2026 18:00:00|30001000000500003456|Petición firmada por el Receptor||</v>
      </c>
      <c r="O155" s="132" t="str">
        <f t="shared" si="8"/>
        <v>||LASC610522KBA|AAML920925E50|6|30001000000500010891|Petición firmada por el Receptor||
||SPR190613I52|10-03-2026 18:00:00|30001000000500003456|Petición firmada por el Receptor||</v>
      </c>
    </row>
    <row r="156" spans="1:15" ht="29" x14ac:dyDescent="0.35">
      <c r="A156" s="129" t="s">
        <v>1136</v>
      </c>
      <c r="B156" s="130" t="s">
        <v>1135</v>
      </c>
      <c r="C156" s="106">
        <v>7</v>
      </c>
      <c r="D156" s="106" t="s">
        <v>794</v>
      </c>
      <c r="E156" s="72" t="s">
        <v>1022</v>
      </c>
      <c r="F156" s="106">
        <v>605</v>
      </c>
      <c r="G156" s="125" t="s">
        <v>1127</v>
      </c>
      <c r="H156" s="106" t="s">
        <v>706</v>
      </c>
      <c r="I156" s="106" t="s">
        <v>460</v>
      </c>
      <c r="J156" s="106">
        <v>1123</v>
      </c>
      <c r="K156" s="106"/>
      <c r="L156" s="126"/>
      <c r="M156" s="124" t="str">
        <f t="shared" si="10"/>
        <v>||POVA521205734|AAML920925E50|7|30001000000500010891|Petición firmada por el Receptor||</v>
      </c>
      <c r="N156" s="131" t="str">
        <f t="shared" si="9"/>
        <v>||SPR190613I52|10-03-2026 18:00:00|30001000000500003456|Petición firmada por el Receptor||</v>
      </c>
      <c r="O156" s="132" t="str">
        <f t="shared" si="8"/>
        <v>||POVA521205734|AAML920925E50|7|30001000000500010891|Petición firmada por el Receptor||
||SPR190613I52|10-03-2026 18:00:00|30001000000500003456|Petición firmada por el Receptor||</v>
      </c>
    </row>
    <row r="157" spans="1:15" ht="29" x14ac:dyDescent="0.35">
      <c r="A157" s="129" t="s">
        <v>1136</v>
      </c>
      <c r="B157" s="130" t="s">
        <v>1135</v>
      </c>
      <c r="C157" s="106">
        <v>7</v>
      </c>
      <c r="D157" s="106" t="s">
        <v>981</v>
      </c>
      <c r="E157" s="72" t="s">
        <v>1022</v>
      </c>
      <c r="F157" s="106">
        <v>607</v>
      </c>
      <c r="G157" s="125" t="s">
        <v>1127</v>
      </c>
      <c r="H157" s="106" t="s">
        <v>706</v>
      </c>
      <c r="I157" s="106" t="s">
        <v>460</v>
      </c>
      <c r="J157" s="106">
        <v>2223</v>
      </c>
      <c r="K157" s="106"/>
      <c r="L157" s="126"/>
      <c r="M157" s="124" t="str">
        <f t="shared" si="10"/>
        <v>||AERA660921L4A|AAML920925E50|7|30001000000500010891|Petición firmada por el Receptor||</v>
      </c>
      <c r="N157" s="131" t="str">
        <f t="shared" si="9"/>
        <v>||SPR190613I52|10-03-2026 18:00:00|30001000000500003456|Petición firmada por el Receptor||</v>
      </c>
      <c r="O157" s="132" t="str">
        <f t="shared" si="8"/>
        <v>||AERA660921L4A|AAML920925E50|7|30001000000500010891|Petición firmada por el Receptor||
||SPR190613I52|10-03-2026 18:00:00|30001000000500003456|Petición firmada por el Receptor||</v>
      </c>
    </row>
    <row r="158" spans="1:15" ht="29" x14ac:dyDescent="0.35">
      <c r="A158" s="129" t="s">
        <v>1136</v>
      </c>
      <c r="B158" s="130" t="s">
        <v>1135</v>
      </c>
      <c r="C158" s="106">
        <v>7</v>
      </c>
      <c r="D158" s="106" t="s">
        <v>918</v>
      </c>
      <c r="E158" s="72" t="s">
        <v>1022</v>
      </c>
      <c r="F158" s="106">
        <v>605</v>
      </c>
      <c r="G158" s="125" t="s">
        <v>1127</v>
      </c>
      <c r="H158" s="106" t="s">
        <v>706</v>
      </c>
      <c r="I158" s="106" t="s">
        <v>460</v>
      </c>
      <c r="J158" s="106">
        <v>120</v>
      </c>
      <c r="K158" s="106"/>
      <c r="L158" s="126"/>
      <c r="M158" s="124" t="str">
        <f t="shared" si="10"/>
        <v>||BAJJ580724KU7|AAML920925E50|7|30001000000500010891|Petición firmada por el Receptor||</v>
      </c>
      <c r="N158" s="131" t="str">
        <f t="shared" si="9"/>
        <v>||SPR190613I52|10-03-2026 18:00:00|30001000000500003456|Petición firmada por el Receptor||</v>
      </c>
      <c r="O158" s="132" t="str">
        <f t="shared" si="8"/>
        <v>||BAJJ580724KU7|AAML920925E50|7|30001000000500010891|Petición firmada por el Receptor||
||SPR190613I52|10-03-2026 18:00:00|30001000000500003456|Petición firmada por el Receptor||</v>
      </c>
    </row>
    <row r="159" spans="1:15" ht="29" x14ac:dyDescent="0.35">
      <c r="A159" s="129" t="s">
        <v>1136</v>
      </c>
      <c r="B159" s="130" t="s">
        <v>1135</v>
      </c>
      <c r="C159" s="106">
        <v>7</v>
      </c>
      <c r="D159" s="106" t="s">
        <v>966</v>
      </c>
      <c r="E159" s="72" t="s">
        <v>1022</v>
      </c>
      <c r="F159" s="106">
        <v>606</v>
      </c>
      <c r="G159" s="125" t="s">
        <v>1127</v>
      </c>
      <c r="H159" s="106" t="s">
        <v>706</v>
      </c>
      <c r="I159" s="106" t="s">
        <v>460</v>
      </c>
      <c r="J159" s="106">
        <v>1112</v>
      </c>
      <c r="K159" s="106"/>
      <c r="L159" s="126"/>
      <c r="M159" s="124" t="str">
        <f t="shared" si="10"/>
        <v>||EAMJ840131DW0|AAML920925E50|7|30001000000500010891|Petición firmada por el Receptor||</v>
      </c>
      <c r="N159" s="131" t="str">
        <f t="shared" si="9"/>
        <v>||SPR190613I52|10-03-2026 18:00:00|30001000000500003456|Petición firmada por el Receptor||</v>
      </c>
      <c r="O159" s="132" t="str">
        <f t="shared" si="8"/>
        <v>||EAMJ840131DW0|AAML920925E50|7|30001000000500010891|Petición firmada por el Receptor||
||SPR190613I52|10-03-2026 18:00:00|30001000000500003456|Petición firmada por el Receptor||</v>
      </c>
    </row>
    <row r="160" spans="1:15" ht="29" x14ac:dyDescent="0.35">
      <c r="A160" s="129" t="s">
        <v>1136</v>
      </c>
      <c r="B160" s="130" t="s">
        <v>1135</v>
      </c>
      <c r="C160" s="106">
        <v>7</v>
      </c>
      <c r="D160" s="106" t="s">
        <v>983</v>
      </c>
      <c r="E160" s="72" t="s">
        <v>1023</v>
      </c>
      <c r="F160" s="106">
        <v>619</v>
      </c>
      <c r="G160" s="125" t="s">
        <v>1128</v>
      </c>
      <c r="H160" s="106" t="s">
        <v>706</v>
      </c>
      <c r="I160" s="106" t="s">
        <v>460</v>
      </c>
      <c r="J160" s="106">
        <v>434</v>
      </c>
      <c r="K160" s="106"/>
      <c r="L160" s="126"/>
      <c r="M160" s="124" t="str">
        <f t="shared" si="10"/>
        <v>||RACA9509245K7|AACL9007138A5|7|30001000000500010892|Petición firmada por el Receptor||</v>
      </c>
      <c r="N160" s="131" t="str">
        <f t="shared" si="9"/>
        <v>||SPR190613I52|10-03-2026 18:00:00|30001000000500003456|Petición firmada por el Receptor||</v>
      </c>
      <c r="O160" s="132" t="str">
        <f t="shared" si="8"/>
        <v>||RACA9509245K7|AACL9007138A5|7|30001000000500010892|Petición firmada por el Receptor||
||SPR190613I52|10-03-2026 18:00:00|30001000000500003456|Petición firmada por el Receptor||</v>
      </c>
    </row>
    <row r="161" spans="1:15" ht="29" x14ac:dyDescent="0.35">
      <c r="A161" s="129" t="s">
        <v>1136</v>
      </c>
      <c r="B161" s="130" t="s">
        <v>1135</v>
      </c>
      <c r="C161" s="106">
        <v>7</v>
      </c>
      <c r="D161" s="106" t="s">
        <v>820</v>
      </c>
      <c r="E161" s="72" t="s">
        <v>1023</v>
      </c>
      <c r="F161" s="106">
        <v>606</v>
      </c>
      <c r="G161" s="125" t="s">
        <v>1128</v>
      </c>
      <c r="H161" s="106">
        <v>3</v>
      </c>
      <c r="I161" s="106" t="s">
        <v>460</v>
      </c>
      <c r="J161" s="106">
        <v>885</v>
      </c>
      <c r="K161" s="106"/>
      <c r="L161" s="126"/>
      <c r="M161" s="124" t="str">
        <f t="shared" si="10"/>
        <v>||MOSI8003278I3|AACL9007138A5|7|30001000000500010892|Petición firmada por el Receptor||</v>
      </c>
      <c r="N161" s="131" t="str">
        <f t="shared" si="9"/>
        <v>||SPR190613I52|10-03-2026 18:00:00|30001000000500003456|Petición firmada por el Receptor||</v>
      </c>
      <c r="O161" s="132" t="str">
        <f t="shared" si="8"/>
        <v>||MOSI8003278I3|AACL9007138A5|7|30001000000500010892|Petición firmada por el Receptor||
||SPR190613I52|10-03-2026 18:00:00|30001000000500003456|Petición firmada por el Receptor||</v>
      </c>
    </row>
    <row r="162" spans="1:15" ht="29" x14ac:dyDescent="0.35">
      <c r="A162" s="129" t="s">
        <v>1136</v>
      </c>
      <c r="B162" s="130" t="s">
        <v>1135</v>
      </c>
      <c r="C162" s="106">
        <v>7</v>
      </c>
      <c r="D162" s="106" t="s">
        <v>920</v>
      </c>
      <c r="E162" s="72" t="s">
        <v>1023</v>
      </c>
      <c r="F162" s="106">
        <v>608</v>
      </c>
      <c r="G162" s="125" t="s">
        <v>1128</v>
      </c>
      <c r="H162" s="106" t="s">
        <v>706</v>
      </c>
      <c r="I162" s="106" t="s">
        <v>460</v>
      </c>
      <c r="J162" s="106">
        <v>667</v>
      </c>
      <c r="K162" s="106"/>
      <c r="L162" s="126"/>
      <c r="M162" s="124" t="str">
        <f t="shared" si="10"/>
        <v>||SERJ870405LA0|AACL9007138A5|7|30001000000500010892|Petición firmada por el Receptor||</v>
      </c>
      <c r="N162" s="131" t="str">
        <f t="shared" si="9"/>
        <v>||SPR190613I52|10-03-2026 18:00:00|30001000000500003456|Petición firmada por el Receptor||</v>
      </c>
      <c r="O162" s="132" t="str">
        <f t="shared" si="8"/>
        <v>||SERJ870405LA0|AACL9007138A5|7|30001000000500010892|Petición firmada por el Receptor||
||SPR190613I52|10-03-2026 18:00:00|30001000000500003456|Petición firmada por el Receptor||</v>
      </c>
    </row>
    <row r="163" spans="1:15" ht="29" x14ac:dyDescent="0.35">
      <c r="A163" s="129" t="s">
        <v>1136</v>
      </c>
      <c r="B163" s="130" t="s">
        <v>1135</v>
      </c>
      <c r="C163" s="106">
        <v>7</v>
      </c>
      <c r="D163" s="106" t="s">
        <v>984</v>
      </c>
      <c r="E163" s="72" t="s">
        <v>1023</v>
      </c>
      <c r="F163" s="106">
        <v>625</v>
      </c>
      <c r="G163" s="125" t="s">
        <v>1128</v>
      </c>
      <c r="H163" s="106" t="s">
        <v>706</v>
      </c>
      <c r="I163" s="106" t="s">
        <v>460</v>
      </c>
      <c r="J163" s="106">
        <v>1115</v>
      </c>
      <c r="K163" s="106"/>
      <c r="L163" s="126"/>
      <c r="M163" s="124" t="str">
        <f t="shared" si="10"/>
        <v>||RAAL720826PX0|AACL9007138A5|7|30001000000500010892|Petición firmada por el Receptor||</v>
      </c>
      <c r="N163" s="131" t="str">
        <f t="shared" si="9"/>
        <v>||SPR190613I52|10-03-2026 18:00:00|30001000000500003456|Petición firmada por el Receptor||</v>
      </c>
      <c r="O163" s="132" t="str">
        <f t="shared" si="8"/>
        <v>||RAAL720826PX0|AACL9007138A5|7|30001000000500010892|Petición firmada por el Receptor||
||SPR190613I52|10-03-2026 18:00:00|30001000000500003456|Petición firmada por el Receptor||</v>
      </c>
    </row>
    <row r="164" spans="1:15" ht="29" x14ac:dyDescent="0.35">
      <c r="A164" s="129" t="s">
        <v>1136</v>
      </c>
      <c r="B164" s="130" t="s">
        <v>1135</v>
      </c>
      <c r="C164" s="106">
        <v>7</v>
      </c>
      <c r="D164" s="106" t="s">
        <v>822</v>
      </c>
      <c r="E164" s="72" t="s">
        <v>1023</v>
      </c>
      <c r="F164" s="106">
        <v>608</v>
      </c>
      <c r="G164" s="125" t="s">
        <v>1128</v>
      </c>
      <c r="H164" s="106">
        <v>3</v>
      </c>
      <c r="I164" s="106" t="s">
        <v>460</v>
      </c>
      <c r="J164" s="106">
        <v>470</v>
      </c>
      <c r="K164" s="106"/>
      <c r="L164" s="126"/>
      <c r="M164" s="124" t="str">
        <f t="shared" si="10"/>
        <v>||AOME8805126L5|AACL9007138A5|7|30001000000500010892|Petición firmada por el Receptor||</v>
      </c>
      <c r="N164" s="131" t="str">
        <f t="shared" si="9"/>
        <v>||SPR190613I52|10-03-2026 18:00:00|30001000000500003456|Petición firmada por el Receptor||</v>
      </c>
      <c r="O164" s="132" t="str">
        <f t="shared" si="8"/>
        <v>||AOME8805126L5|AACL9007138A5|7|30001000000500010892|Petición firmada por el Receptor||
||SPR190613I52|10-03-2026 18:00:00|30001000000500003456|Petición firmada por el Receptor||</v>
      </c>
    </row>
    <row r="165" spans="1:15" ht="29" x14ac:dyDescent="0.35">
      <c r="A165" s="129" t="s">
        <v>1136</v>
      </c>
      <c r="B165" s="130" t="s">
        <v>1135</v>
      </c>
      <c r="C165" s="106">
        <v>7</v>
      </c>
      <c r="D165" s="106" t="s">
        <v>921</v>
      </c>
      <c r="E165" s="72" t="s">
        <v>1023</v>
      </c>
      <c r="F165" s="106">
        <v>611</v>
      </c>
      <c r="G165" s="125" t="s">
        <v>1128</v>
      </c>
      <c r="H165" s="106" t="s">
        <v>706</v>
      </c>
      <c r="I165" s="106" t="s">
        <v>922</v>
      </c>
      <c r="J165" s="106" t="s">
        <v>706</v>
      </c>
      <c r="K165" s="106"/>
      <c r="L165" s="126"/>
      <c r="M165" s="124" t="str">
        <f t="shared" si="10"/>
        <v>||BALJ610518ES0|AACL9007138A5|7|30001000000500010892|Petición firmada por el Receptor||</v>
      </c>
      <c r="N165" s="131" t="str">
        <f t="shared" si="9"/>
        <v>||SPR190613I52|10-03-2026 18:00:00|30001000000500003456|Petición firmada por el Receptor||</v>
      </c>
      <c r="O165" s="132" t="str">
        <f t="shared" si="8"/>
        <v>||BALJ610518ES0|AACL9007138A5|7|30001000000500010892|Petición firmada por el Receptor||
||SPR190613I52|10-03-2026 18:00:00|30001000000500003456|Petición firmada por el Receptor||</v>
      </c>
    </row>
    <row r="166" spans="1:15" ht="29" x14ac:dyDescent="0.35">
      <c r="A166" s="129" t="s">
        <v>1136</v>
      </c>
      <c r="B166" s="130" t="s">
        <v>1135</v>
      </c>
      <c r="C166" s="106">
        <v>7</v>
      </c>
      <c r="D166" s="106" t="s">
        <v>985</v>
      </c>
      <c r="E166" s="72" t="s">
        <v>1023</v>
      </c>
      <c r="F166" s="106">
        <v>607</v>
      </c>
      <c r="G166" s="125" t="s">
        <v>1128</v>
      </c>
      <c r="H166" s="106" t="s">
        <v>706</v>
      </c>
      <c r="I166" s="106" t="s">
        <v>460</v>
      </c>
      <c r="J166" s="106">
        <v>660</v>
      </c>
      <c r="K166" s="106"/>
      <c r="L166" s="126"/>
      <c r="M166" s="124" t="str">
        <f t="shared" si="10"/>
        <v>||GORJ520704KS0|AACL9007138A5|7|30001000000500010892|Petición firmada por el Receptor||</v>
      </c>
      <c r="N166" s="131" t="str">
        <f t="shared" si="9"/>
        <v>||SPR190613I52|10-03-2026 18:00:00|30001000000500003456|Petición firmada por el Receptor||</v>
      </c>
      <c r="O166" s="132" t="str">
        <f t="shared" si="8"/>
        <v>||GORJ520704KS0|AACL9007138A5|7|30001000000500010892|Petición firmada por el Receptor||
||SPR190613I52|10-03-2026 18:00:00|30001000000500003456|Petición firmada por el Receptor||</v>
      </c>
    </row>
    <row r="167" spans="1:15" ht="29" x14ac:dyDescent="0.35">
      <c r="A167" s="129" t="s">
        <v>1136</v>
      </c>
      <c r="B167" s="130" t="s">
        <v>1135</v>
      </c>
      <c r="C167" s="106">
        <v>7</v>
      </c>
      <c r="D167" s="106" t="s">
        <v>829</v>
      </c>
      <c r="E167" s="72" t="s">
        <v>1023</v>
      </c>
      <c r="F167" s="106">
        <v>611</v>
      </c>
      <c r="G167" s="125" t="s">
        <v>1128</v>
      </c>
      <c r="H167" s="106" t="s">
        <v>706</v>
      </c>
      <c r="I167" s="106" t="s">
        <v>460</v>
      </c>
      <c r="J167" s="106">
        <v>603</v>
      </c>
      <c r="K167" s="106"/>
      <c r="L167" s="126"/>
      <c r="M167" s="124" t="str">
        <f t="shared" si="10"/>
        <v>||JUPI9412121BA|AACL9007138A5|7|30001000000500010892|Petición firmada por el Receptor||</v>
      </c>
      <c r="N167" s="131" t="str">
        <f t="shared" si="9"/>
        <v>||SPR190613I52|10-03-2026 18:00:00|30001000000500003456|Petición firmada por el Receptor||</v>
      </c>
      <c r="O167" s="132" t="str">
        <f t="shared" si="8"/>
        <v>||JUPI9412121BA|AACL9007138A5|7|30001000000500010892|Petición firmada por el Receptor||
||SPR190613I52|10-03-2026 18:00:00|30001000000500003456|Petición firmada por el Receptor||</v>
      </c>
    </row>
    <row r="168" spans="1:15" ht="29" x14ac:dyDescent="0.35">
      <c r="A168" s="129" t="s">
        <v>1136</v>
      </c>
      <c r="B168" s="130" t="s">
        <v>1135</v>
      </c>
      <c r="C168" s="106">
        <v>7</v>
      </c>
      <c r="D168" s="106" t="s">
        <v>1112</v>
      </c>
      <c r="E168" s="72" t="s">
        <v>1023</v>
      </c>
      <c r="F168" s="106">
        <v>612</v>
      </c>
      <c r="G168" s="125" t="s">
        <v>1128</v>
      </c>
      <c r="H168" s="106" t="s">
        <v>706</v>
      </c>
      <c r="I168" s="106" t="s">
        <v>460</v>
      </c>
      <c r="J168" s="106">
        <v>332</v>
      </c>
      <c r="K168" s="106"/>
      <c r="L168" s="126"/>
      <c r="M168" s="124" t="str">
        <f t="shared" si="10"/>
        <v>||RACM7211181D7|AACL9007138A5|7|30001000000500010892|Petición firmada por el Receptor||</v>
      </c>
      <c r="N168" s="131" t="str">
        <f t="shared" si="9"/>
        <v>||SPR190613I52|10-03-2026 18:00:00|30001000000500003456|Petición firmada por el Receptor||</v>
      </c>
      <c r="O168" s="132" t="str">
        <f t="shared" si="8"/>
        <v>||RACM7211181D7|AACL9007138A5|7|30001000000500010892|Petición firmada por el Receptor||
||SPR190613I52|10-03-2026 18:00:00|30001000000500003456|Petición firmada por el Receptor||</v>
      </c>
    </row>
    <row r="169" spans="1:15" ht="29" x14ac:dyDescent="0.35">
      <c r="A169" s="129" t="s">
        <v>1136</v>
      </c>
      <c r="B169" s="130" t="s">
        <v>1135</v>
      </c>
      <c r="C169" s="106">
        <v>7</v>
      </c>
      <c r="D169" s="106" t="s">
        <v>986</v>
      </c>
      <c r="E169" s="72" t="s">
        <v>1023</v>
      </c>
      <c r="F169" s="106">
        <v>619</v>
      </c>
      <c r="G169" s="125" t="s">
        <v>1128</v>
      </c>
      <c r="H169" s="106" t="s">
        <v>706</v>
      </c>
      <c r="I169" s="106" t="s">
        <v>460</v>
      </c>
      <c r="J169" s="106">
        <v>550</v>
      </c>
      <c r="K169" s="106"/>
      <c r="L169" s="126"/>
      <c r="M169" s="124" t="str">
        <f t="shared" si="10"/>
        <v>||ROME871130C99|AACL9007138A5|7|30001000000500010892|Petición firmada por el Receptor||</v>
      </c>
      <c r="N169" s="131" t="str">
        <f t="shared" si="9"/>
        <v>||SPR190613I52|10-03-2026 18:00:00|30001000000500003456|Petición firmada por el Receptor||</v>
      </c>
      <c r="O169" s="132" t="str">
        <f t="shared" si="8"/>
        <v>||ROME871130C99|AACL9007138A5|7|30001000000500010892|Petición firmada por el Receptor||
||SPR190613I52|10-03-2026 18:00:00|30001000000500003456|Petición firmada por el Receptor||</v>
      </c>
    </row>
    <row r="170" spans="1:15" ht="43.5" x14ac:dyDescent="0.35">
      <c r="A170" s="129" t="s">
        <v>1136</v>
      </c>
      <c r="B170" s="130" t="s">
        <v>1135</v>
      </c>
      <c r="C170" s="106">
        <v>7</v>
      </c>
      <c r="D170" s="106" t="s">
        <v>826</v>
      </c>
      <c r="E170" s="72" t="s">
        <v>1023</v>
      </c>
      <c r="F170" s="106">
        <v>612</v>
      </c>
      <c r="G170" s="125" t="s">
        <v>1128</v>
      </c>
      <c r="H170" s="106" t="s">
        <v>827</v>
      </c>
      <c r="I170" s="106" t="s">
        <v>828</v>
      </c>
      <c r="J170" s="106">
        <v>689</v>
      </c>
      <c r="K170" s="106"/>
      <c r="L170" s="126"/>
      <c r="M170" s="124" t="str">
        <f t="shared" si="10"/>
        <v>||GUTS660710RB8|AACL9007138A5|7|30001000000500010892|Petición firmada por el Receptor||</v>
      </c>
      <c r="N170" s="131" t="str">
        <f t="shared" si="9"/>
        <v>||SPR190613I52|10-03-2026 18:00:00|30001000000500003456|Petición firmada por el Receptor||</v>
      </c>
      <c r="O170" s="132" t="str">
        <f t="shared" si="8"/>
        <v>||GUTS660710RB8|AACL9007138A5|7|30001000000500010892|Petición firmada por el Receptor||
||SPR190613I52|10-03-2026 18:00:00|30001000000500003456|Petición firmada por el Receptor||</v>
      </c>
    </row>
    <row r="171" spans="1:15" ht="29" x14ac:dyDescent="0.35">
      <c r="A171" s="129" t="s">
        <v>1136</v>
      </c>
      <c r="B171" s="130" t="s">
        <v>1135</v>
      </c>
      <c r="C171" s="106">
        <v>7</v>
      </c>
      <c r="D171" s="106" t="s">
        <v>1105</v>
      </c>
      <c r="E171" s="72" t="s">
        <v>1023</v>
      </c>
      <c r="F171" s="106">
        <v>614</v>
      </c>
      <c r="G171" s="125" t="s">
        <v>1128</v>
      </c>
      <c r="H171" s="106">
        <v>3</v>
      </c>
      <c r="I171" s="106" t="s">
        <v>460</v>
      </c>
      <c r="J171" s="106">
        <v>907</v>
      </c>
      <c r="K171" s="106"/>
      <c r="L171" s="126"/>
      <c r="M171" s="124" t="str">
        <f t="shared" si="10"/>
        <v>||RERJ830912GT8|AACL9007138A5|7|30001000000500010892|Petición firmada por el Receptor||</v>
      </c>
      <c r="N171" s="131" t="str">
        <f t="shared" si="9"/>
        <v>||SPR190613I52|10-03-2026 18:00:00|30001000000500003456|Petición firmada por el Receptor||</v>
      </c>
      <c r="O171" s="132" t="str">
        <f t="shared" si="8"/>
        <v>||RERJ830912GT8|AACL9007138A5|7|30001000000500010892|Petición firmada por el Receptor||
||SPR190613I52|10-03-2026 18:00:00|30001000000500003456|Petición firmada por el Receptor||</v>
      </c>
    </row>
    <row r="172" spans="1:15" ht="29" x14ac:dyDescent="0.35">
      <c r="A172" s="129" t="s">
        <v>1136</v>
      </c>
      <c r="B172" s="130" t="s">
        <v>1135</v>
      </c>
      <c r="C172" s="106">
        <v>7</v>
      </c>
      <c r="D172" s="106" t="s">
        <v>987</v>
      </c>
      <c r="E172" s="72" t="s">
        <v>1023</v>
      </c>
      <c r="F172" s="106">
        <v>625</v>
      </c>
      <c r="G172" s="125" t="s">
        <v>1128</v>
      </c>
      <c r="H172" s="106" t="s">
        <v>706</v>
      </c>
      <c r="I172" s="106" t="s">
        <v>460</v>
      </c>
      <c r="J172" s="106">
        <v>1070</v>
      </c>
      <c r="K172" s="106"/>
      <c r="L172" s="126"/>
      <c r="M172" s="124" t="str">
        <f t="shared" si="10"/>
        <v>||GOJC930424PG9|AACL9007138A5|7|30001000000500010892|Petición firmada por el Receptor||</v>
      </c>
      <c r="N172" s="131" t="str">
        <f t="shared" si="9"/>
        <v>||SPR190613I52|10-03-2026 18:00:00|30001000000500003456|Petición firmada por el Receptor||</v>
      </c>
      <c r="O172" s="132" t="str">
        <f t="shared" si="8"/>
        <v>||GOJC930424PG9|AACL9007138A5|7|30001000000500010892|Petición firmada por el Receptor||
||SPR190613I52|10-03-2026 18:00:00|30001000000500003456|Petición firmada por el Receptor||</v>
      </c>
    </row>
    <row r="173" spans="1:15" ht="29" x14ac:dyDescent="0.35">
      <c r="A173" s="129" t="s">
        <v>1136</v>
      </c>
      <c r="B173" s="130" t="s">
        <v>1135</v>
      </c>
      <c r="C173" s="106">
        <v>7</v>
      </c>
      <c r="D173" s="106" t="s">
        <v>812</v>
      </c>
      <c r="E173" s="72" t="s">
        <v>1023</v>
      </c>
      <c r="F173" s="106">
        <v>614</v>
      </c>
      <c r="G173" s="125" t="s">
        <v>1128</v>
      </c>
      <c r="H173" s="106" t="s">
        <v>706</v>
      </c>
      <c r="I173" s="106" t="s">
        <v>460</v>
      </c>
      <c r="J173" s="106">
        <v>907</v>
      </c>
      <c r="K173" s="106"/>
      <c r="L173" s="126"/>
      <c r="M173" s="124" t="str">
        <f t="shared" si="10"/>
        <v>||COTB930709IT6|AACL9007138A5|7|30001000000500010892|Petición firmada por el Receptor||</v>
      </c>
      <c r="N173" s="131" t="str">
        <f t="shared" si="9"/>
        <v>||SPR190613I52|10-03-2026 18:00:00|30001000000500003456|Petición firmada por el Receptor||</v>
      </c>
      <c r="O173" s="132" t="str">
        <f t="shared" si="8"/>
        <v>||COTB930709IT6|AACL9007138A5|7|30001000000500010892|Petición firmada por el Receptor||
||SPR190613I52|10-03-2026 18:00:00|30001000000500003456|Petición firmada por el Receptor||</v>
      </c>
    </row>
    <row r="174" spans="1:15" ht="29" x14ac:dyDescent="0.35">
      <c r="A174" s="129" t="s">
        <v>1136</v>
      </c>
      <c r="B174" s="130" t="s">
        <v>1135</v>
      </c>
      <c r="C174" s="106">
        <v>7</v>
      </c>
      <c r="D174" s="106" t="s">
        <v>890</v>
      </c>
      <c r="E174" s="72" t="s">
        <v>1023</v>
      </c>
      <c r="F174" s="106">
        <v>616</v>
      </c>
      <c r="G174" s="125" t="s">
        <v>1128</v>
      </c>
      <c r="H174" s="106" t="s">
        <v>706</v>
      </c>
      <c r="I174" s="106" t="s">
        <v>791</v>
      </c>
      <c r="J174" s="106" t="s">
        <v>706</v>
      </c>
      <c r="K174" s="106"/>
      <c r="L174" s="126"/>
      <c r="M174" s="124" t="str">
        <f t="shared" si="10"/>
        <v>||DIAJ590707A6A|AACL9007138A5|7|30001000000500010892|Petición firmada por el Receptor||</v>
      </c>
      <c r="N174" s="131" t="str">
        <f t="shared" si="9"/>
        <v>||SPR190613I52|10-03-2026 18:00:00|30001000000500003456|Petición firmada por el Receptor||</v>
      </c>
      <c r="O174" s="132" t="str">
        <f t="shared" si="8"/>
        <v>||DIAJ590707A6A|AACL9007138A5|7|30001000000500010892|Petición firmada por el Receptor||
||SPR190613I52|10-03-2026 18:00:00|30001000000500003456|Petición firmada por el Receptor||</v>
      </c>
    </row>
    <row r="175" spans="1:15" ht="29" x14ac:dyDescent="0.35">
      <c r="A175" s="129" t="s">
        <v>1136</v>
      </c>
      <c r="B175" s="130" t="s">
        <v>1135</v>
      </c>
      <c r="C175" s="106">
        <v>7</v>
      </c>
      <c r="D175" s="106" t="s">
        <v>988</v>
      </c>
      <c r="E175" s="72" t="s">
        <v>1023</v>
      </c>
      <c r="F175" s="106">
        <v>607</v>
      </c>
      <c r="G175" s="125" t="s">
        <v>1128</v>
      </c>
      <c r="H175" s="106" t="s">
        <v>706</v>
      </c>
      <c r="I175" s="106" t="s">
        <v>460</v>
      </c>
      <c r="J175" s="106">
        <v>603</v>
      </c>
      <c r="K175" s="106"/>
      <c r="L175" s="126"/>
      <c r="M175" s="124" t="str">
        <f t="shared" si="10"/>
        <v>||AEPC930615PM9|AACL9007138A5|7|30001000000500010892|Petición firmada por el Receptor||</v>
      </c>
      <c r="N175" s="131" t="str">
        <f t="shared" si="9"/>
        <v>||SPR190613I52|10-03-2026 18:00:00|30001000000500003456|Petición firmada por el Receptor||</v>
      </c>
      <c r="O175" s="132" t="str">
        <f t="shared" si="8"/>
        <v>||AEPC930615PM9|AACL9007138A5|7|30001000000500010892|Petición firmada por el Receptor||
||SPR190613I52|10-03-2026 18:00:00|30001000000500003456|Petición firmada por el Receptor||</v>
      </c>
    </row>
    <row r="176" spans="1:15" ht="29" x14ac:dyDescent="0.35">
      <c r="A176" s="129" t="s">
        <v>1136</v>
      </c>
      <c r="B176" s="130" t="s">
        <v>1135</v>
      </c>
      <c r="C176" s="106">
        <v>7</v>
      </c>
      <c r="D176" s="106" t="s">
        <v>799</v>
      </c>
      <c r="E176" s="72" t="s">
        <v>1023</v>
      </c>
      <c r="F176" s="106">
        <v>616</v>
      </c>
      <c r="G176" s="125" t="s">
        <v>1128</v>
      </c>
      <c r="H176" s="106" t="s">
        <v>706</v>
      </c>
      <c r="I176" s="106" t="s">
        <v>798</v>
      </c>
      <c r="J176" s="106">
        <v>50</v>
      </c>
      <c r="K176" s="106"/>
      <c r="L176" s="126"/>
      <c r="M176" s="124" t="str">
        <f t="shared" si="10"/>
        <v>||GOIC821104MZ8|AACL9007138A5|7|30001000000500010892|Petición firmada por el Receptor||</v>
      </c>
      <c r="N176" s="131" t="str">
        <f t="shared" si="9"/>
        <v>||SPR190613I52|10-03-2026 18:00:00|30001000000500003456|Petición firmada por el Receptor||</v>
      </c>
      <c r="O176" s="132" t="str">
        <f t="shared" si="8"/>
        <v>||GOIC821104MZ8|AACL9007138A5|7|30001000000500010892|Petición firmada por el Receptor||
||SPR190613I52|10-03-2026 18:00:00|30001000000500003456|Petición firmada por el Receptor||</v>
      </c>
    </row>
    <row r="177" spans="1:15" ht="29" x14ac:dyDescent="0.35">
      <c r="A177" s="129" t="s">
        <v>1136</v>
      </c>
      <c r="B177" s="130" t="s">
        <v>1135</v>
      </c>
      <c r="C177" s="106">
        <v>7</v>
      </c>
      <c r="D177" s="106" t="s">
        <v>924</v>
      </c>
      <c r="E177" s="72" t="s">
        <v>1023</v>
      </c>
      <c r="F177" s="106">
        <v>621</v>
      </c>
      <c r="G177" s="125" t="s">
        <v>1128</v>
      </c>
      <c r="H177" s="106" t="s">
        <v>706</v>
      </c>
      <c r="I177" s="106" t="s">
        <v>460</v>
      </c>
      <c r="J177" s="106">
        <v>131</v>
      </c>
      <c r="K177" s="106"/>
      <c r="L177" s="126"/>
      <c r="M177" s="124" t="str">
        <f t="shared" si="10"/>
        <v>||TELJ8709298U5|AACL9007138A5|7|30001000000500010892|Petición firmada por el Receptor||</v>
      </c>
      <c r="N177" s="131" t="str">
        <f t="shared" si="9"/>
        <v>||SPR190613I52|10-03-2026 18:00:00|30001000000500003456|Petición firmada por el Receptor||</v>
      </c>
      <c r="O177" s="132" t="str">
        <f t="shared" si="8"/>
        <v>||TELJ8709298U5|AACL9007138A5|7|30001000000500010892|Petición firmada por el Receptor||
||SPR190613I52|10-03-2026 18:00:00|30001000000500003456|Petición firmada por el Receptor||</v>
      </c>
    </row>
    <row r="178" spans="1:15" ht="29" x14ac:dyDescent="0.35">
      <c r="A178" s="129" t="s">
        <v>1136</v>
      </c>
      <c r="B178" s="130" t="s">
        <v>1135</v>
      </c>
      <c r="C178" s="106">
        <v>7</v>
      </c>
      <c r="D178" s="106" t="s">
        <v>989</v>
      </c>
      <c r="E178" s="72" t="s">
        <v>1023</v>
      </c>
      <c r="F178" s="106">
        <v>619</v>
      </c>
      <c r="G178" s="125" t="s">
        <v>1128</v>
      </c>
      <c r="H178" s="106" t="s">
        <v>706</v>
      </c>
      <c r="I178" s="106" t="s">
        <v>460</v>
      </c>
      <c r="J178" s="106">
        <v>2223</v>
      </c>
      <c r="K178" s="106"/>
      <c r="L178" s="126"/>
      <c r="M178" s="124" t="str">
        <f t="shared" si="10"/>
        <v>||RAGN671208IE0|AACL9007138A5|7|30001000000500010892|Petición firmada por el Receptor||</v>
      </c>
      <c r="N178" s="131" t="str">
        <f t="shared" si="9"/>
        <v>||SPR190613I52|10-03-2026 18:00:00|30001000000500003456|Petición firmada por el Receptor||</v>
      </c>
      <c r="O178" s="132" t="str">
        <f t="shared" si="8"/>
        <v>||RAGN671208IE0|AACL9007138A5|7|30001000000500010892|Petición firmada por el Receptor||
||SPR190613I52|10-03-2026 18:00:00|30001000000500003456|Petición firmada por el Receptor||</v>
      </c>
    </row>
    <row r="179" spans="1:15" ht="43.5" x14ac:dyDescent="0.35">
      <c r="A179" s="129" t="s">
        <v>1136</v>
      </c>
      <c r="B179" s="130" t="s">
        <v>1135</v>
      </c>
      <c r="C179" s="106">
        <v>7</v>
      </c>
      <c r="D179" s="106" t="s">
        <v>803</v>
      </c>
      <c r="E179" s="72" t="s">
        <v>1023</v>
      </c>
      <c r="F179" s="106">
        <v>621</v>
      </c>
      <c r="G179" s="125" t="s">
        <v>1128</v>
      </c>
      <c r="H179" s="106" t="s">
        <v>759</v>
      </c>
      <c r="I179" s="106" t="s">
        <v>760</v>
      </c>
      <c r="J179" s="106" t="s">
        <v>761</v>
      </c>
      <c r="K179" s="106"/>
      <c r="L179" s="126"/>
      <c r="M179" s="124" t="str">
        <f t="shared" si="10"/>
        <v>||GASE820904133|AACL9007138A5|7|30001000000500010892|Petición firmada por el Receptor||</v>
      </c>
      <c r="N179" s="131" t="str">
        <f t="shared" si="9"/>
        <v>||SPR190613I52|10-03-2026 18:00:00|30001000000500003456|Petición firmada por el Receptor||</v>
      </c>
      <c r="O179" s="132" t="str">
        <f t="shared" si="8"/>
        <v>||GASE820904133|AACL9007138A5|7|30001000000500010892|Petición firmada por el Receptor||
||SPR190613I52|10-03-2026 18:00:00|30001000000500003456|Petición firmada por el Receptor||</v>
      </c>
    </row>
    <row r="180" spans="1:15" ht="29" x14ac:dyDescent="0.35">
      <c r="A180" s="129" t="s">
        <v>1136</v>
      </c>
      <c r="B180" s="130" t="s">
        <v>1135</v>
      </c>
      <c r="C180" s="106">
        <v>7</v>
      </c>
      <c r="D180" s="106" t="s">
        <v>925</v>
      </c>
      <c r="E180" s="72" t="s">
        <v>1024</v>
      </c>
      <c r="F180" s="106">
        <v>615</v>
      </c>
      <c r="G180" s="125" t="s">
        <v>1129</v>
      </c>
      <c r="H180" s="106" t="s">
        <v>706</v>
      </c>
      <c r="I180" s="106" t="s">
        <v>460</v>
      </c>
      <c r="J180" s="106">
        <v>1123</v>
      </c>
      <c r="K180" s="106"/>
      <c r="L180" s="126"/>
      <c r="M180" s="124" t="str">
        <f t="shared" si="10"/>
        <v>||BARJ570127MD3|PELL910719K92|7|30001000000500010956|Petición firmada por el Receptor||</v>
      </c>
      <c r="N180" s="131" t="str">
        <f t="shared" si="9"/>
        <v>||SPR190613I52|10-03-2026 18:00:00|30001000000500003456|Petición firmada por el Receptor||</v>
      </c>
      <c r="O180" s="132" t="str">
        <f t="shared" si="8"/>
        <v>||BARJ570127MD3|PELL910719K92|7|30001000000500010956|Petición firmada por el Receptor||
||SPR190613I52|10-03-2026 18:00:00|30001000000500003456|Petición firmada por el Receptor||</v>
      </c>
    </row>
    <row r="181" spans="1:15" ht="29" x14ac:dyDescent="0.35">
      <c r="A181" s="129" t="s">
        <v>1136</v>
      </c>
      <c r="B181" s="130" t="s">
        <v>1135</v>
      </c>
      <c r="C181" s="106">
        <v>7</v>
      </c>
      <c r="D181" s="106" t="s">
        <v>990</v>
      </c>
      <c r="E181" s="72" t="s">
        <v>1024</v>
      </c>
      <c r="F181" s="106">
        <v>625</v>
      </c>
      <c r="G181" s="125" t="s">
        <v>1129</v>
      </c>
      <c r="H181" s="106" t="s">
        <v>706</v>
      </c>
      <c r="I181" s="106" t="s">
        <v>460</v>
      </c>
      <c r="J181" s="106">
        <v>363</v>
      </c>
      <c r="K181" s="106"/>
      <c r="L181" s="126"/>
      <c r="M181" s="124" t="str">
        <f t="shared" si="10"/>
        <v>||ROMC9207269Q7|PELL910719K92|7|30001000000500010956|Petición firmada por el Receptor||</v>
      </c>
      <c r="N181" s="131" t="str">
        <f t="shared" si="9"/>
        <v>||SPR190613I52|10-03-2026 18:00:00|30001000000500003456|Petición firmada por el Receptor||</v>
      </c>
      <c r="O181" s="132" t="str">
        <f t="shared" si="8"/>
        <v>||ROMC9207269Q7|PELL910719K92|7|30001000000500010956|Petición firmada por el Receptor||
||SPR190613I52|10-03-2026 18:00:00|30001000000500003456|Petición firmada por el Receptor||</v>
      </c>
    </row>
    <row r="182" spans="1:15" ht="29" x14ac:dyDescent="0.35">
      <c r="A182" s="129" t="s">
        <v>1136</v>
      </c>
      <c r="B182" s="130" t="s">
        <v>1135</v>
      </c>
      <c r="C182" s="106">
        <v>7</v>
      </c>
      <c r="D182" s="106" t="s">
        <v>830</v>
      </c>
      <c r="E182" s="72" t="s">
        <v>1024</v>
      </c>
      <c r="F182" s="106">
        <v>615</v>
      </c>
      <c r="G182" s="125" t="s">
        <v>1129</v>
      </c>
      <c r="H182" s="106" t="s">
        <v>706</v>
      </c>
      <c r="I182" s="106" t="s">
        <v>460</v>
      </c>
      <c r="J182" s="106">
        <v>601</v>
      </c>
      <c r="K182" s="106"/>
      <c r="L182" s="126"/>
      <c r="M182" s="124" t="str">
        <f t="shared" si="10"/>
        <v>||MEGR8604038Z4|PELL910719K92|7|30001000000500010956|Petición firmada por el Receptor||</v>
      </c>
      <c r="N182" s="131" t="str">
        <f t="shared" si="9"/>
        <v>||SPR190613I52|10-03-2026 18:00:00|30001000000500003456|Petición firmada por el Receptor||</v>
      </c>
      <c r="O182" s="132" t="str">
        <f t="shared" si="8"/>
        <v>||MEGR8604038Z4|PELL910719K92|7|30001000000500010956|Petición firmada por el Receptor||
||SPR190613I52|10-03-2026 18:00:00|30001000000500003456|Petición firmada por el Receptor||</v>
      </c>
    </row>
    <row r="183" spans="1:15" ht="29" x14ac:dyDescent="0.35">
      <c r="A183" s="129" t="s">
        <v>1136</v>
      </c>
      <c r="B183" s="130" t="s">
        <v>1135</v>
      </c>
      <c r="C183" s="106">
        <v>7</v>
      </c>
      <c r="D183" s="106" t="s">
        <v>926</v>
      </c>
      <c r="E183" s="72" t="s">
        <v>1024</v>
      </c>
      <c r="F183" s="106">
        <v>626</v>
      </c>
      <c r="G183" s="125" t="s">
        <v>1129</v>
      </c>
      <c r="H183" s="106" t="s">
        <v>706</v>
      </c>
      <c r="I183" s="106" t="s">
        <v>460</v>
      </c>
      <c r="J183" s="106">
        <v>907</v>
      </c>
      <c r="K183" s="106"/>
      <c r="L183" s="126"/>
      <c r="M183" s="124" t="str">
        <f t="shared" si="10"/>
        <v>||SELJ881003DP9|PELL910719K92|7|30001000000500010956|Petición firmada por el Receptor||</v>
      </c>
      <c r="N183" s="131" t="str">
        <f t="shared" si="9"/>
        <v>||SPR190613I52|10-03-2026 18:00:00|30001000000500003456|Petición firmada por el Receptor||</v>
      </c>
      <c r="O183" s="132" t="str">
        <f t="shared" si="8"/>
        <v>||SELJ881003DP9|PELL910719K92|7|30001000000500010956|Petición firmada por el Receptor||
||SPR190613I52|10-03-2026 18:00:00|30001000000500003456|Petición firmada por el Receptor||</v>
      </c>
    </row>
    <row r="184" spans="1:15" ht="29" x14ac:dyDescent="0.35">
      <c r="A184" s="129" t="s">
        <v>1136</v>
      </c>
      <c r="B184" s="130" t="s">
        <v>1135</v>
      </c>
      <c r="C184" s="106">
        <v>7</v>
      </c>
      <c r="D184" s="106" t="s">
        <v>991</v>
      </c>
      <c r="E184" s="72" t="s">
        <v>1024</v>
      </c>
      <c r="F184" s="106">
        <v>625</v>
      </c>
      <c r="G184" s="125" t="s">
        <v>1129</v>
      </c>
      <c r="H184" s="106" t="s">
        <v>706</v>
      </c>
      <c r="I184" s="106" t="s">
        <v>460</v>
      </c>
      <c r="J184" s="106">
        <v>120</v>
      </c>
      <c r="K184" s="106"/>
      <c r="L184" s="126"/>
      <c r="M184" s="124" t="str">
        <f t="shared" si="10"/>
        <v>||RAMC8207227P0|PELL910719K92|7|30001000000500010956|Petición firmada por el Receptor||</v>
      </c>
      <c r="N184" s="131" t="str">
        <f t="shared" si="9"/>
        <v>||SPR190613I52|10-03-2026 18:00:00|30001000000500003456|Petición firmada por el Receptor||</v>
      </c>
      <c r="O184" s="132" t="str">
        <f t="shared" si="8"/>
        <v>||RAMC8207227P0|PELL910719K92|7|30001000000500010956|Petición firmada por el Receptor||
||SPR190613I52|10-03-2026 18:00:00|30001000000500003456|Petición firmada por el Receptor||</v>
      </c>
    </row>
    <row r="185" spans="1:15" ht="29" x14ac:dyDescent="0.35">
      <c r="A185" s="129" t="s">
        <v>1136</v>
      </c>
      <c r="B185" s="130" t="s">
        <v>1135</v>
      </c>
      <c r="C185" s="106">
        <v>7</v>
      </c>
      <c r="D185" s="106" t="s">
        <v>831</v>
      </c>
      <c r="E185" s="72" t="s">
        <v>1024</v>
      </c>
      <c r="F185" s="106">
        <v>626</v>
      </c>
      <c r="G185" s="125" t="s">
        <v>1129</v>
      </c>
      <c r="H185" s="106" t="s">
        <v>706</v>
      </c>
      <c r="I185" s="106" t="s">
        <v>460</v>
      </c>
      <c r="J185" s="106">
        <v>907</v>
      </c>
      <c r="K185" s="106"/>
      <c r="L185" s="126"/>
      <c r="M185" s="124" t="str">
        <f t="shared" si="10"/>
        <v>||PEGK900604C3A|PELL910719K92|7|30001000000500010956|Petición firmada por el Receptor||</v>
      </c>
      <c r="N185" s="131" t="str">
        <f t="shared" si="9"/>
        <v>||SPR190613I52|10-03-2026 18:00:00|30001000000500003456|Petición firmada por el Receptor||</v>
      </c>
      <c r="O185" s="132" t="str">
        <f t="shared" si="8"/>
        <v>||PEGK900604C3A|PELL910719K92|7|30001000000500010956|Petición firmada por el Receptor||
||SPR190613I52|10-03-2026 18:00:00|30001000000500003456|Petición firmada por el Receptor||</v>
      </c>
    </row>
    <row r="186" spans="1:15" ht="29" x14ac:dyDescent="0.35">
      <c r="A186" s="129" t="s">
        <v>1136</v>
      </c>
      <c r="B186" s="130" t="s">
        <v>1135</v>
      </c>
      <c r="C186" s="106">
        <v>8</v>
      </c>
      <c r="D186" s="106" t="s">
        <v>838</v>
      </c>
      <c r="E186" s="72" t="s">
        <v>1024</v>
      </c>
      <c r="F186" s="106">
        <v>605</v>
      </c>
      <c r="G186" s="125" t="s">
        <v>1129</v>
      </c>
      <c r="H186" s="106" t="s">
        <v>706</v>
      </c>
      <c r="I186" s="106" t="s">
        <v>460</v>
      </c>
      <c r="J186" s="106">
        <v>1112</v>
      </c>
      <c r="K186" s="106"/>
      <c r="L186" s="126"/>
      <c r="M186" s="124" t="str">
        <f t="shared" si="10"/>
        <v>||PEZN680104SS2|PELL910719K92|8|30001000000500010956|Petición firmada por el Receptor||</v>
      </c>
      <c r="N186" s="131" t="str">
        <f t="shared" si="9"/>
        <v>||SPR190613I52|10-03-2026 18:00:00|30001000000500003456|Petición firmada por el Receptor||</v>
      </c>
      <c r="O186" s="132" t="str">
        <f t="shared" si="8"/>
        <v>||PEZN680104SS2|PELL910719K92|8|30001000000500010956|Petición firmada por el Receptor||
||SPR190613I52|10-03-2026 18:00:00|30001000000500003456|Petición firmada por el Receptor||</v>
      </c>
    </row>
    <row r="187" spans="1:15" ht="29" x14ac:dyDescent="0.35">
      <c r="A187" s="129" t="s">
        <v>1136</v>
      </c>
      <c r="B187" s="130" t="s">
        <v>1135</v>
      </c>
      <c r="C187" s="106">
        <v>8</v>
      </c>
      <c r="D187" s="106" t="s">
        <v>992</v>
      </c>
      <c r="E187" s="72" t="s">
        <v>1024</v>
      </c>
      <c r="F187" s="106">
        <v>610</v>
      </c>
      <c r="G187" s="125" t="s">
        <v>1129</v>
      </c>
      <c r="H187" s="106" t="s">
        <v>706</v>
      </c>
      <c r="I187" s="106" t="s">
        <v>460</v>
      </c>
      <c r="J187" s="106">
        <v>907</v>
      </c>
      <c r="K187" s="106"/>
      <c r="L187" s="126"/>
      <c r="M187" s="124" t="str">
        <f t="shared" si="10"/>
        <v>||RAHC851028PY0|PELL910719K92|8|30001000000500010956|Petición firmada por el Receptor||</v>
      </c>
      <c r="N187" s="131" t="str">
        <f t="shared" si="9"/>
        <v>||SPR190613I52|10-03-2026 18:00:00|30001000000500003456|Petición firmada por el Receptor||</v>
      </c>
      <c r="O187" s="132" t="str">
        <f t="shared" si="8"/>
        <v>||RAHC851028PY0|PELL910719K92|8|30001000000500010956|Petición firmada por el Receptor||
||SPR190613I52|10-03-2026 18:00:00|30001000000500003456|Petición firmada por el Receptor||</v>
      </c>
    </row>
    <row r="188" spans="1:15" ht="29" x14ac:dyDescent="0.35">
      <c r="A188" s="129" t="s">
        <v>1136</v>
      </c>
      <c r="B188" s="130" t="s">
        <v>1135</v>
      </c>
      <c r="C188" s="106">
        <v>8</v>
      </c>
      <c r="D188" s="106" t="s">
        <v>927</v>
      </c>
      <c r="E188" s="72" t="s">
        <v>1024</v>
      </c>
      <c r="F188" s="106">
        <v>605</v>
      </c>
      <c r="G188" s="125" t="s">
        <v>1129</v>
      </c>
      <c r="H188" s="106" t="s">
        <v>706</v>
      </c>
      <c r="I188" s="106" t="s">
        <v>460</v>
      </c>
      <c r="J188" s="106">
        <v>907</v>
      </c>
      <c r="K188" s="106"/>
      <c r="L188" s="126"/>
      <c r="M188" s="124" t="str">
        <f t="shared" si="10"/>
        <v>||EIRJ780723QE3|PELL910719K92|8|30001000000500010956|Petición firmada por el Receptor||</v>
      </c>
      <c r="N188" s="131" t="str">
        <f t="shared" si="9"/>
        <v>||SPR190613I52|10-03-2026 18:00:00|30001000000500003456|Petición firmada por el Receptor||</v>
      </c>
      <c r="O188" s="132" t="str">
        <f t="shared" si="8"/>
        <v>||EIRJ780723QE3|PELL910719K92|8|30001000000500010956|Petición firmada por el Receptor||
||SPR190613I52|10-03-2026 18:00:00|30001000000500003456|Petición firmada por el Receptor||</v>
      </c>
    </row>
    <row r="189" spans="1:15" ht="29" x14ac:dyDescent="0.35">
      <c r="A189" s="129" t="s">
        <v>1136</v>
      </c>
      <c r="B189" s="130" t="s">
        <v>1135</v>
      </c>
      <c r="C189" s="106">
        <v>8</v>
      </c>
      <c r="D189" s="106" t="s">
        <v>928</v>
      </c>
      <c r="E189" s="72" t="s">
        <v>1024</v>
      </c>
      <c r="F189" s="106">
        <v>606</v>
      </c>
      <c r="G189" s="125" t="s">
        <v>1129</v>
      </c>
      <c r="H189" s="106">
        <v>3</v>
      </c>
      <c r="I189" s="106" t="s">
        <v>460</v>
      </c>
      <c r="J189" s="106">
        <v>2223</v>
      </c>
      <c r="K189" s="106"/>
      <c r="L189" s="126"/>
      <c r="M189" s="124" t="str">
        <f t="shared" si="10"/>
        <v>||SERJ511227GC7|PELL910719K92|8|30001000000500010956|Petición firmada por el Receptor||</v>
      </c>
      <c r="N189" s="131" t="str">
        <f t="shared" si="9"/>
        <v>||SPR190613I52|10-03-2026 18:00:00|30001000000500003456|Petición firmada por el Receptor||</v>
      </c>
      <c r="O189" s="132" t="str">
        <f t="shared" si="8"/>
        <v>||SERJ511227GC7|PELL910719K92|8|30001000000500010956|Petición firmada por el Receptor||
||SPR190613I52|10-03-2026 18:00:00|30001000000500003456|Petición firmada por el Receptor||</v>
      </c>
    </row>
    <row r="190" spans="1:15" ht="29" x14ac:dyDescent="0.35">
      <c r="A190" s="129" t="s">
        <v>1136</v>
      </c>
      <c r="B190" s="130" t="s">
        <v>1135</v>
      </c>
      <c r="C190" s="106">
        <v>8</v>
      </c>
      <c r="D190" s="106" t="s">
        <v>993</v>
      </c>
      <c r="E190" s="72" t="s">
        <v>1024</v>
      </c>
      <c r="F190" s="106">
        <v>625</v>
      </c>
      <c r="G190" s="125" t="s">
        <v>1129</v>
      </c>
      <c r="H190" s="106" t="s">
        <v>706</v>
      </c>
      <c r="I190" s="106" t="s">
        <v>460</v>
      </c>
      <c r="J190" s="106">
        <v>871</v>
      </c>
      <c r="K190" s="106"/>
      <c r="L190" s="126"/>
      <c r="M190" s="124" t="str">
        <f t="shared" si="10"/>
        <v>||RARC920424NN3|PELL910719K92|8|30001000000500010956|Petición firmada por el Receptor||</v>
      </c>
      <c r="N190" s="131" t="str">
        <f t="shared" si="9"/>
        <v>||SPR190613I52|10-03-2026 18:00:00|30001000000500003456|Petición firmada por el Receptor||</v>
      </c>
      <c r="O190" s="132" t="str">
        <f t="shared" si="8"/>
        <v>||RARC920424NN3|PELL910719K92|8|30001000000500010956|Petición firmada por el Receptor||
||SPR190613I52|10-03-2026 18:00:00|30001000000500003456|Petición firmada por el Receptor||</v>
      </c>
    </row>
    <row r="191" spans="1:15" ht="29" x14ac:dyDescent="0.35">
      <c r="A191" s="129" t="s">
        <v>1136</v>
      </c>
      <c r="B191" s="130" t="s">
        <v>1135</v>
      </c>
      <c r="C191" s="106">
        <v>8</v>
      </c>
      <c r="D191" s="106" t="s">
        <v>833</v>
      </c>
      <c r="E191" s="72" t="s">
        <v>1024</v>
      </c>
      <c r="F191" s="106">
        <v>606</v>
      </c>
      <c r="G191" s="125" t="s">
        <v>1129</v>
      </c>
      <c r="H191" s="106" t="s">
        <v>706</v>
      </c>
      <c r="I191" s="106">
        <v>300155</v>
      </c>
      <c r="J191" s="106">
        <v>83</v>
      </c>
      <c r="K191" s="106"/>
      <c r="L191" s="126"/>
      <c r="M191" s="124" t="str">
        <f t="shared" si="10"/>
        <v>||GAZE931230J82|PELL910719K92|8|30001000000500010956|Petición firmada por el Receptor||</v>
      </c>
      <c r="N191" s="131" t="str">
        <f t="shared" si="9"/>
        <v>||SPR190613I52|10-03-2026 18:00:00|30001000000500003456|Petición firmada por el Receptor||</v>
      </c>
      <c r="O191" s="132" t="str">
        <f t="shared" si="8"/>
        <v>||GAZE931230J82|PELL910719K92|8|30001000000500010956|Petición firmada por el Receptor||
||SPR190613I52|10-03-2026 18:00:00|30001000000500003456|Petición firmada por el Receptor||</v>
      </c>
    </row>
    <row r="192" spans="1:15" ht="29" x14ac:dyDescent="0.35">
      <c r="A192" s="129" t="s">
        <v>1136</v>
      </c>
      <c r="B192" s="130" t="s">
        <v>1135</v>
      </c>
      <c r="C192" s="106">
        <v>8</v>
      </c>
      <c r="D192" s="106" t="s">
        <v>930</v>
      </c>
      <c r="E192" s="72" t="s">
        <v>1024</v>
      </c>
      <c r="F192" s="106">
        <v>608</v>
      </c>
      <c r="G192" s="125" t="s">
        <v>1129</v>
      </c>
      <c r="H192" s="106" t="s">
        <v>706</v>
      </c>
      <c r="I192" s="106" t="s">
        <v>460</v>
      </c>
      <c r="J192" s="106">
        <v>131</v>
      </c>
      <c r="K192" s="106"/>
      <c r="L192" s="126"/>
      <c r="M192" s="124" t="str">
        <f t="shared" si="10"/>
        <v>||DOSJ710102D84|PELL910719K92|8|30001000000500010956|Petición firmada por el Receptor||</v>
      </c>
      <c r="N192" s="131" t="str">
        <f t="shared" si="9"/>
        <v>||SPR190613I52|10-03-2026 18:00:00|30001000000500003456|Petición firmada por el Receptor||</v>
      </c>
      <c r="O192" s="132" t="str">
        <f t="shared" si="8"/>
        <v>||DOSJ710102D84|PELL910719K92|8|30001000000500010956|Petición firmada por el Receptor||
||SPR190613I52|10-03-2026 18:00:00|30001000000500003456|Petición firmada por el Receptor||</v>
      </c>
    </row>
    <row r="193" spans="1:15" ht="29" x14ac:dyDescent="0.35">
      <c r="A193" s="129" t="s">
        <v>1136</v>
      </c>
      <c r="B193" s="130" t="s">
        <v>1135</v>
      </c>
      <c r="C193" s="106">
        <v>8</v>
      </c>
      <c r="D193" s="106" t="s">
        <v>994</v>
      </c>
      <c r="E193" s="72" t="s">
        <v>1024</v>
      </c>
      <c r="F193" s="106">
        <v>607</v>
      </c>
      <c r="G193" s="125" t="s">
        <v>1129</v>
      </c>
      <c r="H193" s="106">
        <v>3</v>
      </c>
      <c r="I193" s="106" t="s">
        <v>460</v>
      </c>
      <c r="J193" s="106">
        <v>403</v>
      </c>
      <c r="K193" s="106"/>
      <c r="L193" s="126"/>
      <c r="M193" s="124" t="str">
        <f t="shared" si="10"/>
        <v>||RARN720630QF2|PELL910719K92|8|30001000000500010956|Petición firmada por el Receptor||</v>
      </c>
      <c r="N193" s="131" t="str">
        <f t="shared" si="9"/>
        <v>||SPR190613I52|10-03-2026 18:00:00|30001000000500003456|Petición firmada por el Receptor||</v>
      </c>
      <c r="O193" s="132" t="str">
        <f t="shared" si="8"/>
        <v>||RARN720630QF2|PELL910719K92|8|30001000000500010956|Petición firmada por el Receptor||
||SPR190613I52|10-03-2026 18:00:00|30001000000500003456|Petición firmada por el Receptor||</v>
      </c>
    </row>
    <row r="194" spans="1:15" ht="29" x14ac:dyDescent="0.35">
      <c r="A194" s="129" t="s">
        <v>1136</v>
      </c>
      <c r="B194" s="130" t="s">
        <v>1135</v>
      </c>
      <c r="C194" s="106">
        <v>8</v>
      </c>
      <c r="D194" s="106" t="s">
        <v>839</v>
      </c>
      <c r="E194" s="72" t="s">
        <v>1024</v>
      </c>
      <c r="F194" s="106">
        <v>608</v>
      </c>
      <c r="G194" s="125" t="s">
        <v>1129</v>
      </c>
      <c r="H194" s="106" t="s">
        <v>706</v>
      </c>
      <c r="I194" s="106" t="s">
        <v>460</v>
      </c>
      <c r="J194" s="106">
        <v>833</v>
      </c>
      <c r="K194" s="106"/>
      <c r="L194" s="126"/>
      <c r="M194" s="124" t="str">
        <f t="shared" si="10"/>
        <v>||MEJE8211143U5|PELL910719K92|8|30001000000500010956|Petición firmada por el Receptor||</v>
      </c>
      <c r="N194" s="131" t="str">
        <f t="shared" si="9"/>
        <v>||SPR190613I52|10-03-2026 18:00:00|30001000000500003456|Petición firmada por el Receptor||</v>
      </c>
      <c r="O194" s="132" t="str">
        <f t="shared" ref="O194:O226" si="11">CONCATENATE(M194, CHAR(10), N194)</f>
        <v>||MEJE8211143U5|PELL910719K92|8|30001000000500010956|Petición firmada por el Receptor||
||SPR190613I52|10-03-2026 18:00:00|30001000000500003456|Petición firmada por el Receptor||</v>
      </c>
    </row>
    <row r="195" spans="1:15" ht="29" x14ac:dyDescent="0.35">
      <c r="A195" s="129" t="s">
        <v>1136</v>
      </c>
      <c r="B195" s="130" t="s">
        <v>1135</v>
      </c>
      <c r="C195" s="106">
        <v>8</v>
      </c>
      <c r="D195" s="106" t="s">
        <v>1113</v>
      </c>
      <c r="E195" s="72" t="s">
        <v>1024</v>
      </c>
      <c r="F195" s="106">
        <v>611</v>
      </c>
      <c r="G195" s="125" t="s">
        <v>1129</v>
      </c>
      <c r="H195" s="106" t="s">
        <v>706</v>
      </c>
      <c r="I195" s="106" t="s">
        <v>460</v>
      </c>
      <c r="J195" s="106">
        <v>450</v>
      </c>
      <c r="K195" s="106"/>
      <c r="L195" s="126"/>
      <c r="M195" s="124" t="str">
        <f t="shared" si="10"/>
        <v>||NUTC880716DD4|PELL910719K92|8|30001000000500010956|Petición firmada por el Receptor||</v>
      </c>
      <c r="N195" s="131" t="str">
        <f t="shared" ref="N195:N226" si="12">CONCATENATE("||","SPR190613I52","|",A195,"|",B195,"|","Petición firmada por el Receptor","||")</f>
        <v>||SPR190613I52|10-03-2026 18:00:00|30001000000500003456|Petición firmada por el Receptor||</v>
      </c>
      <c r="O195" s="132" t="str">
        <f t="shared" si="11"/>
        <v>||NUTC880716DD4|PELL910719K92|8|30001000000500010956|Petición firmada por el Receptor||
||SPR190613I52|10-03-2026 18:00:00|30001000000500003456|Petición firmada por el Receptor||</v>
      </c>
    </row>
    <row r="196" spans="1:15" ht="29" x14ac:dyDescent="0.35">
      <c r="A196" s="129" t="s">
        <v>1136</v>
      </c>
      <c r="B196" s="130" t="s">
        <v>1135</v>
      </c>
      <c r="C196" s="106">
        <v>8</v>
      </c>
      <c r="D196" s="106" t="s">
        <v>995</v>
      </c>
      <c r="E196" s="72" t="s">
        <v>1024</v>
      </c>
      <c r="F196" s="106">
        <v>610</v>
      </c>
      <c r="G196" s="125" t="s">
        <v>1129</v>
      </c>
      <c r="H196" s="106" t="s">
        <v>706</v>
      </c>
      <c r="I196" s="106" t="s">
        <v>460</v>
      </c>
      <c r="J196" s="106">
        <v>443</v>
      </c>
      <c r="K196" s="106"/>
      <c r="L196" s="126"/>
      <c r="M196" s="124" t="str">
        <f t="shared" si="10"/>
        <v>||RAMP611019Q94|PELL910719K92|8|30001000000500010956|Petición firmada por el Receptor||</v>
      </c>
      <c r="N196" s="131" t="str">
        <f t="shared" si="12"/>
        <v>||SPR190613I52|10-03-2026 18:00:00|30001000000500003456|Petición firmada por el Receptor||</v>
      </c>
      <c r="O196" s="132" t="str">
        <f t="shared" si="11"/>
        <v>||RAMP611019Q94|PELL910719K92|8|30001000000500010956|Petición firmada por el Receptor||
||SPR190613I52|10-03-2026 18:00:00|30001000000500003456|Petición firmada por el Receptor||</v>
      </c>
    </row>
    <row r="197" spans="1:15" ht="29" x14ac:dyDescent="0.35">
      <c r="A197" s="129" t="s">
        <v>1136</v>
      </c>
      <c r="B197" s="130" t="s">
        <v>1135</v>
      </c>
      <c r="C197" s="106">
        <v>8</v>
      </c>
      <c r="D197" s="106" t="s">
        <v>841</v>
      </c>
      <c r="E197" s="72" t="s">
        <v>1024</v>
      </c>
      <c r="F197" s="106">
        <v>611</v>
      </c>
      <c r="G197" s="125" t="s">
        <v>1129</v>
      </c>
      <c r="H197" s="106" t="s">
        <v>706</v>
      </c>
      <c r="I197" s="106" t="s">
        <v>460</v>
      </c>
      <c r="J197" s="106">
        <v>647</v>
      </c>
      <c r="K197" s="106"/>
      <c r="L197" s="126"/>
      <c r="M197" s="124" t="str">
        <f t="shared" si="10"/>
        <v>||PECN650201TK3|PELL910719K92|8|30001000000500010956|Petición firmada por el Receptor||</v>
      </c>
      <c r="N197" s="131" t="str">
        <f t="shared" si="12"/>
        <v>||SPR190613I52|10-03-2026 18:00:00|30001000000500003456|Petición firmada por el Receptor||</v>
      </c>
      <c r="O197" s="132" t="str">
        <f t="shared" si="11"/>
        <v>||PECN650201TK3|PELL910719K92|8|30001000000500010956|Petición firmada por el Receptor||
||SPR190613I52|10-03-2026 18:00:00|30001000000500003456|Petición firmada por el Receptor||</v>
      </c>
    </row>
    <row r="198" spans="1:15" ht="29" x14ac:dyDescent="0.35">
      <c r="A198" s="129" t="s">
        <v>1136</v>
      </c>
      <c r="B198" s="130" t="s">
        <v>1135</v>
      </c>
      <c r="C198" s="106">
        <v>8</v>
      </c>
      <c r="D198" s="106" t="s">
        <v>1116</v>
      </c>
      <c r="E198" s="72" t="s">
        <v>1024</v>
      </c>
      <c r="F198" s="106">
        <v>614</v>
      </c>
      <c r="G198" s="125" t="s">
        <v>1129</v>
      </c>
      <c r="H198" s="106" t="s">
        <v>706</v>
      </c>
      <c r="I198" s="106" t="s">
        <v>934</v>
      </c>
      <c r="J198" s="106">
        <v>907</v>
      </c>
      <c r="K198" s="106"/>
      <c r="L198" s="126"/>
      <c r="M198" s="124" t="str">
        <f t="shared" si="10"/>
        <v>||MOGR771202HE9|PELL910719K92|8|30001000000500010956|Petición firmada por el Receptor||</v>
      </c>
      <c r="N198" s="131" t="str">
        <f t="shared" si="12"/>
        <v>||SPR190613I52|10-03-2026 18:00:00|30001000000500003456|Petición firmada por el Receptor||</v>
      </c>
      <c r="O198" s="132" t="str">
        <f t="shared" si="11"/>
        <v>||MOGR771202HE9|PELL910719K92|8|30001000000500010956|Petición firmada por el Receptor||
||SPR190613I52|10-03-2026 18:00:00|30001000000500003456|Petición firmada por el Receptor||</v>
      </c>
    </row>
    <row r="199" spans="1:15" ht="29" x14ac:dyDescent="0.35">
      <c r="A199" s="129" t="s">
        <v>1136</v>
      </c>
      <c r="B199" s="130" t="s">
        <v>1135</v>
      </c>
      <c r="C199" s="106">
        <v>8</v>
      </c>
      <c r="D199" s="106" t="s">
        <v>996</v>
      </c>
      <c r="E199" s="72" t="s">
        <v>1024</v>
      </c>
      <c r="F199" s="106">
        <v>612</v>
      </c>
      <c r="G199" s="125" t="s">
        <v>1129</v>
      </c>
      <c r="H199" s="106" t="s">
        <v>706</v>
      </c>
      <c r="I199" s="106" t="s">
        <v>460</v>
      </c>
      <c r="J199" s="106">
        <v>907</v>
      </c>
      <c r="K199" s="106"/>
      <c r="L199" s="126"/>
      <c r="M199" s="124" t="str">
        <f t="shared" si="10"/>
        <v>||ROCK890119273|PELL910719K92|8|30001000000500010956|Petición firmada por el Receptor||</v>
      </c>
      <c r="N199" s="131" t="str">
        <f t="shared" si="12"/>
        <v>||SPR190613I52|10-03-2026 18:00:00|30001000000500003456|Petición firmada por el Receptor||</v>
      </c>
      <c r="O199" s="132" t="str">
        <f t="shared" si="11"/>
        <v>||ROCK890119273|PELL910719K92|8|30001000000500010956|Petición firmada por el Receptor||
||SPR190613I52|10-03-2026 18:00:00|30001000000500003456|Petición firmada por el Receptor||</v>
      </c>
    </row>
    <row r="200" spans="1:15" ht="29" x14ac:dyDescent="0.35">
      <c r="A200" s="129" t="s">
        <v>1136</v>
      </c>
      <c r="B200" s="130" t="s">
        <v>1135</v>
      </c>
      <c r="C200" s="106">
        <v>8</v>
      </c>
      <c r="D200" s="106" t="s">
        <v>840</v>
      </c>
      <c r="E200" s="72" t="s">
        <v>1026</v>
      </c>
      <c r="F200" s="106">
        <v>614</v>
      </c>
      <c r="G200" s="125" t="s">
        <v>1130</v>
      </c>
      <c r="H200" s="106" t="s">
        <v>706</v>
      </c>
      <c r="I200" s="106" t="s">
        <v>460</v>
      </c>
      <c r="J200" s="106">
        <v>907</v>
      </c>
      <c r="K200" s="106"/>
      <c r="L200" s="126"/>
      <c r="M200" s="124" t="str">
        <f t="shared" si="10"/>
        <v>||MEJN660116FJ9|AAOL860322NW8|8|30001000000500010951|Petición firmada por el Receptor||</v>
      </c>
      <c r="N200" s="131" t="str">
        <f t="shared" si="12"/>
        <v>||SPR190613I52|10-03-2026 18:00:00|30001000000500003456|Petición firmada por el Receptor||</v>
      </c>
      <c r="O200" s="132" t="str">
        <f t="shared" si="11"/>
        <v>||MEJN660116FJ9|AAOL860322NW8|8|30001000000500010951|Petición firmada por el Receptor||
||SPR190613I52|10-03-2026 18:00:00|30001000000500003456|Petición firmada por el Receptor||</v>
      </c>
    </row>
    <row r="201" spans="1:15" ht="29" x14ac:dyDescent="0.35">
      <c r="A201" s="129" t="s">
        <v>1136</v>
      </c>
      <c r="B201" s="130" t="s">
        <v>1135</v>
      </c>
      <c r="C201" s="106">
        <v>8</v>
      </c>
      <c r="D201" s="106" t="s">
        <v>929</v>
      </c>
      <c r="E201" s="72" t="s">
        <v>1026</v>
      </c>
      <c r="F201" s="106">
        <v>616</v>
      </c>
      <c r="G201" s="125" t="s">
        <v>1130</v>
      </c>
      <c r="H201" s="106" t="s">
        <v>706</v>
      </c>
      <c r="I201" s="106" t="s">
        <v>736</v>
      </c>
      <c r="J201" s="106" t="s">
        <v>706</v>
      </c>
      <c r="K201" s="106"/>
      <c r="L201" s="126"/>
      <c r="M201" s="124" t="str">
        <f t="shared" si="10"/>
        <v>||DOSJ730102D8A|AAOL860322NW8|8|30001000000500010951|Petición firmada por el Receptor||</v>
      </c>
      <c r="N201" s="131" t="str">
        <f t="shared" si="12"/>
        <v>||SPR190613I52|10-03-2026 18:00:00|30001000000500003456|Petición firmada por el Receptor||</v>
      </c>
      <c r="O201" s="132" t="str">
        <f t="shared" si="11"/>
        <v>||DOSJ730102D8A|AAOL860322NW8|8|30001000000500010951|Petición firmada por el Receptor||
||SPR190613I52|10-03-2026 18:00:00|30001000000500003456|Petición firmada por el Receptor||</v>
      </c>
    </row>
    <row r="202" spans="1:15" ht="29" x14ac:dyDescent="0.35">
      <c r="A202" s="129" t="s">
        <v>1136</v>
      </c>
      <c r="B202" s="130" t="s">
        <v>1135</v>
      </c>
      <c r="C202" s="106">
        <v>8</v>
      </c>
      <c r="D202" s="106" t="s">
        <v>997</v>
      </c>
      <c r="E202" s="72" t="s">
        <v>1026</v>
      </c>
      <c r="F202" s="106">
        <v>610</v>
      </c>
      <c r="G202" s="125" t="s">
        <v>1130</v>
      </c>
      <c r="H202" s="106" t="s">
        <v>706</v>
      </c>
      <c r="I202" s="106" t="s">
        <v>460</v>
      </c>
      <c r="J202" s="106">
        <v>885</v>
      </c>
      <c r="K202" s="106"/>
      <c r="L202" s="126"/>
      <c r="M202" s="124" t="str">
        <f t="shared" si="10"/>
        <v>||AESL870623D98|AAOL860322NW8|8|30001000000500010951|Petición firmada por el Receptor||</v>
      </c>
      <c r="N202" s="131" t="str">
        <f t="shared" si="12"/>
        <v>||SPR190613I52|10-03-2026 18:00:00|30001000000500003456|Petición firmada por el Receptor||</v>
      </c>
      <c r="O202" s="132" t="str">
        <f t="shared" si="11"/>
        <v>||AESL870623D98|AAOL860322NW8|8|30001000000500010951|Petición firmada por el Receptor||
||SPR190613I52|10-03-2026 18:00:00|30001000000500003456|Petición firmada por el Receptor||</v>
      </c>
    </row>
    <row r="203" spans="1:15" ht="29" x14ac:dyDescent="0.35">
      <c r="A203" s="129" t="s">
        <v>1136</v>
      </c>
      <c r="B203" s="130" t="s">
        <v>1135</v>
      </c>
      <c r="C203" s="106">
        <v>8</v>
      </c>
      <c r="D203" s="106" t="s">
        <v>824</v>
      </c>
      <c r="E203" s="72" t="s">
        <v>1026</v>
      </c>
      <c r="F203" s="106">
        <v>616</v>
      </c>
      <c r="G203" s="125" t="s">
        <v>1130</v>
      </c>
      <c r="H203" s="106" t="s">
        <v>706</v>
      </c>
      <c r="I203" s="106" t="s">
        <v>825</v>
      </c>
      <c r="J203" s="106" t="s">
        <v>706</v>
      </c>
      <c r="K203" s="106"/>
      <c r="L203" s="126"/>
      <c r="M203" s="124" t="str">
        <f t="shared" si="10"/>
        <v>||SACC831027B52|AAOL860322NW8|8|30001000000500010951|Petición firmada por el Receptor||</v>
      </c>
      <c r="N203" s="131" t="str">
        <f t="shared" si="12"/>
        <v>||SPR190613I52|10-03-2026 18:00:00|30001000000500003456|Petición firmada por el Receptor||</v>
      </c>
      <c r="O203" s="132" t="str">
        <f t="shared" si="11"/>
        <v>||SACC831027B52|AAOL860322NW8|8|30001000000500010951|Petición firmada por el Receptor||
||SPR190613I52|10-03-2026 18:00:00|30001000000500003456|Petición firmada por el Receptor||</v>
      </c>
    </row>
    <row r="204" spans="1:15" ht="29" x14ac:dyDescent="0.35">
      <c r="A204" s="129" t="s">
        <v>1136</v>
      </c>
      <c r="B204" s="130" t="s">
        <v>1135</v>
      </c>
      <c r="C204" s="106">
        <v>8</v>
      </c>
      <c r="D204" s="106" t="s">
        <v>939</v>
      </c>
      <c r="E204" s="72" t="s">
        <v>1026</v>
      </c>
      <c r="F204" s="106">
        <v>615</v>
      </c>
      <c r="G204" s="125" t="s">
        <v>1130</v>
      </c>
      <c r="H204" s="106" t="s">
        <v>706</v>
      </c>
      <c r="I204" s="106" t="s">
        <v>736</v>
      </c>
      <c r="J204" s="106" t="s">
        <v>706</v>
      </c>
      <c r="K204" s="106"/>
      <c r="L204" s="126"/>
      <c r="M204" s="124" t="str">
        <f t="shared" si="10"/>
        <v>||VEMA851004RV1|AAOL860322NW8|8|30001000000500010951|Petición firmada por el Receptor||</v>
      </c>
      <c r="N204" s="131" t="str">
        <f t="shared" si="12"/>
        <v>||SPR190613I52|10-03-2026 18:00:00|30001000000500003456|Petición firmada por el Receptor||</v>
      </c>
      <c r="O204" s="132" t="str">
        <f t="shared" si="11"/>
        <v>||VEMA851004RV1|AAOL860322NW8|8|30001000000500010951|Petición firmada por el Receptor||
||SPR190613I52|10-03-2026 18:00:00|30001000000500003456|Petición firmada por el Receptor||</v>
      </c>
    </row>
    <row r="205" spans="1:15" ht="29" x14ac:dyDescent="0.35">
      <c r="A205" s="129" t="s">
        <v>1136</v>
      </c>
      <c r="B205" s="130" t="s">
        <v>1135</v>
      </c>
      <c r="C205" s="106">
        <v>8</v>
      </c>
      <c r="D205" s="106" t="s">
        <v>998</v>
      </c>
      <c r="E205" s="72" t="s">
        <v>1026</v>
      </c>
      <c r="F205" s="106">
        <v>612</v>
      </c>
      <c r="G205" s="125" t="s">
        <v>1130</v>
      </c>
      <c r="H205" s="106" t="s">
        <v>706</v>
      </c>
      <c r="I205" s="106" t="s">
        <v>460</v>
      </c>
      <c r="J205" s="106">
        <v>885</v>
      </c>
      <c r="K205" s="106"/>
      <c r="L205" s="126"/>
      <c r="M205" s="124" t="str">
        <f t="shared" si="10"/>
        <v>||RASL900301UZ6|AAOL860322NW8|8|30001000000500010951|Petición firmada por el Receptor||</v>
      </c>
      <c r="N205" s="131" t="str">
        <f t="shared" si="12"/>
        <v>||SPR190613I52|10-03-2026 18:00:00|30001000000500003456|Petición firmada por el Receptor||</v>
      </c>
      <c r="O205" s="132" t="str">
        <f t="shared" si="11"/>
        <v>||RASL900301UZ6|AAOL860322NW8|8|30001000000500010951|Petición firmada por el Receptor||
||SPR190613I52|10-03-2026 18:00:00|30001000000500003456|Petición firmada por el Receptor||</v>
      </c>
    </row>
    <row r="206" spans="1:15" ht="29" x14ac:dyDescent="0.35">
      <c r="A206" s="129" t="s">
        <v>1136</v>
      </c>
      <c r="B206" s="130" t="s">
        <v>1135</v>
      </c>
      <c r="C206" s="106">
        <v>8</v>
      </c>
      <c r="D206" s="106" t="s">
        <v>842</v>
      </c>
      <c r="E206" s="72" t="s">
        <v>1026</v>
      </c>
      <c r="F206" s="106">
        <v>615</v>
      </c>
      <c r="G206" s="125" t="s">
        <v>1130</v>
      </c>
      <c r="H206" s="106" t="s">
        <v>706</v>
      </c>
      <c r="I206" s="106" t="s">
        <v>460</v>
      </c>
      <c r="J206" s="106">
        <v>911</v>
      </c>
      <c r="K206" s="106"/>
      <c r="L206" s="126"/>
      <c r="M206" s="124" t="str">
        <f t="shared" si="10"/>
        <v>||PEIN730415NJ0|AAOL860322NW8|8|30001000000500010951|Petición firmada por el Receptor||</v>
      </c>
      <c r="N206" s="131" t="str">
        <f t="shared" si="12"/>
        <v>||SPR190613I52|10-03-2026 18:00:00|30001000000500003456|Petición firmada por el Receptor||</v>
      </c>
      <c r="O206" s="132" t="str">
        <f t="shared" si="11"/>
        <v>||PEIN730415NJ0|AAOL860322NW8|8|30001000000500010951|Petición firmada por el Receptor||
||SPR190613I52|10-03-2026 18:00:00|30001000000500003456|Petición firmada por el Receptor||</v>
      </c>
    </row>
    <row r="207" spans="1:15" ht="29" x14ac:dyDescent="0.35">
      <c r="A207" s="129" t="s">
        <v>1136</v>
      </c>
      <c r="B207" s="130" t="s">
        <v>1135</v>
      </c>
      <c r="C207" s="106">
        <v>9</v>
      </c>
      <c r="D207" s="106" t="s">
        <v>955</v>
      </c>
      <c r="E207" s="72" t="s">
        <v>1026</v>
      </c>
      <c r="F207" s="106">
        <v>612</v>
      </c>
      <c r="G207" s="125" t="s">
        <v>1130</v>
      </c>
      <c r="H207" s="106" t="s">
        <v>706</v>
      </c>
      <c r="I207" s="106" t="s">
        <v>460</v>
      </c>
      <c r="J207" s="106">
        <v>632</v>
      </c>
      <c r="K207" s="106"/>
      <c r="L207" s="126"/>
      <c r="M207" s="124" t="str">
        <f t="shared" si="10"/>
        <v>||NEGA880410498|AAOL860322NW8|9|30001000000500010951|Petición firmada por el Receptor||</v>
      </c>
      <c r="N207" s="131" t="str">
        <f t="shared" si="12"/>
        <v>||SPR190613I52|10-03-2026 18:00:00|30001000000500003456|Petición firmada por el Receptor||</v>
      </c>
      <c r="O207" s="132" t="str">
        <f t="shared" si="11"/>
        <v>||NEGA880410498|AAOL860322NW8|9|30001000000500010951|Petición firmada por el Receptor||
||SPR190613I52|10-03-2026 18:00:00|30001000000500003456|Petición firmada por el Receptor||</v>
      </c>
    </row>
    <row r="208" spans="1:15" ht="29" x14ac:dyDescent="0.35">
      <c r="A208" s="129" t="s">
        <v>1136</v>
      </c>
      <c r="B208" s="130" t="s">
        <v>1135</v>
      </c>
      <c r="C208" s="106">
        <v>9</v>
      </c>
      <c r="D208" s="106" t="s">
        <v>999</v>
      </c>
      <c r="E208" s="72" t="s">
        <v>1026</v>
      </c>
      <c r="F208" s="106">
        <v>612</v>
      </c>
      <c r="G208" s="125" t="s">
        <v>1130</v>
      </c>
      <c r="H208" s="106" t="s">
        <v>706</v>
      </c>
      <c r="I208" s="106" t="s">
        <v>460</v>
      </c>
      <c r="J208" s="106">
        <v>603</v>
      </c>
      <c r="K208" s="106"/>
      <c r="L208" s="126"/>
      <c r="M208" s="124" t="str">
        <f t="shared" si="10"/>
        <v>||GODA850130SC6|AAOL860322NW8|9|30001000000500010951|Petición firmada por el Receptor||</v>
      </c>
      <c r="N208" s="131" t="str">
        <f t="shared" si="12"/>
        <v>||SPR190613I52|10-03-2026 18:00:00|30001000000500003456|Petición firmada por el Receptor||</v>
      </c>
      <c r="O208" s="132" t="str">
        <f t="shared" si="11"/>
        <v>||GODA850130SC6|AAOL860322NW8|9|30001000000500010951|Petición firmada por el Receptor||
||SPR190613I52|10-03-2026 18:00:00|30001000000500003456|Petición firmada por el Receptor||</v>
      </c>
    </row>
    <row r="209" spans="1:15" ht="29" x14ac:dyDescent="0.35">
      <c r="A209" s="129" t="s">
        <v>1136</v>
      </c>
      <c r="B209" s="130" t="s">
        <v>1135</v>
      </c>
      <c r="C209" s="106">
        <v>9</v>
      </c>
      <c r="D209" s="106" t="s">
        <v>843</v>
      </c>
      <c r="E209" s="72" t="s">
        <v>1026</v>
      </c>
      <c r="F209" s="106">
        <v>612</v>
      </c>
      <c r="G209" s="125" t="s">
        <v>1130</v>
      </c>
      <c r="H209" s="106" t="s">
        <v>706</v>
      </c>
      <c r="I209" s="106" t="s">
        <v>844</v>
      </c>
      <c r="J209" s="106">
        <v>632</v>
      </c>
      <c r="K209" s="106"/>
      <c r="L209" s="126"/>
      <c r="M209" s="124" t="str">
        <f t="shared" si="10"/>
        <v>||BACF891210PH0|AAOL860322NW8|9|30001000000500010951|Petición firmada por el Receptor||</v>
      </c>
      <c r="N209" s="131" t="str">
        <f t="shared" si="12"/>
        <v>||SPR190613I52|10-03-2026 18:00:00|30001000000500003456|Petición firmada por el Receptor||</v>
      </c>
      <c r="O209" s="132" t="str">
        <f t="shared" si="11"/>
        <v>||BACF891210PH0|AAOL860322NW8|9|30001000000500010951|Petición firmada por el Receptor||
||SPR190613I52|10-03-2026 18:00:00|30001000000500003456|Petición firmada por el Receptor||</v>
      </c>
    </row>
    <row r="210" spans="1:15" ht="29" x14ac:dyDescent="0.35">
      <c r="A210" s="129" t="s">
        <v>1136</v>
      </c>
      <c r="B210" s="130" t="s">
        <v>1135</v>
      </c>
      <c r="C210" s="106">
        <v>9</v>
      </c>
      <c r="D210" s="106" t="s">
        <v>957</v>
      </c>
      <c r="E210" s="72" t="s">
        <v>1026</v>
      </c>
      <c r="F210" s="106">
        <v>621</v>
      </c>
      <c r="G210" s="125" t="s">
        <v>1130</v>
      </c>
      <c r="H210" s="106" t="s">
        <v>706</v>
      </c>
      <c r="I210" s="106" t="s">
        <v>460</v>
      </c>
      <c r="J210" s="106" t="s">
        <v>946</v>
      </c>
      <c r="K210" s="106"/>
      <c r="L210" s="126"/>
      <c r="M210" s="124" t="str">
        <f t="shared" si="10"/>
        <v>||VECA921119HD1|AAOL860322NW8|9|30001000000500010951|Petición firmada por el Receptor||</v>
      </c>
      <c r="N210" s="131" t="str">
        <f t="shared" si="12"/>
        <v>||SPR190613I52|10-03-2026 18:00:00|30001000000500003456|Petición firmada por el Receptor||</v>
      </c>
      <c r="O210" s="132" t="str">
        <f t="shared" si="11"/>
        <v>||VECA921119HD1|AAOL860322NW8|9|30001000000500010951|Petición firmada por el Receptor||
||SPR190613I52|10-03-2026 18:00:00|30001000000500003456|Petición firmada por el Receptor||</v>
      </c>
    </row>
    <row r="211" spans="1:15" ht="29" x14ac:dyDescent="0.35">
      <c r="A211" s="129" t="s">
        <v>1136</v>
      </c>
      <c r="B211" s="130" t="s">
        <v>1135</v>
      </c>
      <c r="C211" s="106">
        <v>9</v>
      </c>
      <c r="D211" s="106" t="s">
        <v>1000</v>
      </c>
      <c r="E211" s="72" t="s">
        <v>1026</v>
      </c>
      <c r="F211" s="106">
        <v>621</v>
      </c>
      <c r="G211" s="125" t="s">
        <v>1130</v>
      </c>
      <c r="H211" s="106" t="s">
        <v>706</v>
      </c>
      <c r="I211" s="106" t="s">
        <v>460</v>
      </c>
      <c r="J211" s="106">
        <v>462</v>
      </c>
      <c r="K211" s="106"/>
      <c r="L211" s="126"/>
      <c r="M211" s="124" t="str">
        <f t="shared" si="10"/>
        <v>||MOCK940425PP6|AAOL860322NW8|9|30001000000500010951|Petición firmada por el Receptor||</v>
      </c>
      <c r="N211" s="131" t="str">
        <f t="shared" si="12"/>
        <v>||SPR190613I52|10-03-2026 18:00:00|30001000000500003456|Petición firmada por el Receptor||</v>
      </c>
      <c r="O211" s="132" t="str">
        <f t="shared" si="11"/>
        <v>||MOCK940425PP6|AAOL860322NW8|9|30001000000500010951|Petición firmada por el Receptor||
||SPR190613I52|10-03-2026 18:00:00|30001000000500003456|Petición firmada por el Receptor||</v>
      </c>
    </row>
    <row r="212" spans="1:15" ht="29" x14ac:dyDescent="0.35">
      <c r="A212" s="129" t="s">
        <v>1136</v>
      </c>
      <c r="B212" s="130" t="s">
        <v>1135</v>
      </c>
      <c r="C212" s="106">
        <v>9</v>
      </c>
      <c r="D212" s="106" t="s">
        <v>846</v>
      </c>
      <c r="E212" s="72" t="s">
        <v>1026</v>
      </c>
      <c r="F212" s="106">
        <v>621</v>
      </c>
      <c r="G212" s="125" t="s">
        <v>1130</v>
      </c>
      <c r="H212" s="106">
        <v>3</v>
      </c>
      <c r="I212" s="106" t="s">
        <v>460</v>
      </c>
      <c r="J212" s="106">
        <v>632</v>
      </c>
      <c r="K212" s="106"/>
      <c r="L212" s="126"/>
      <c r="M212" s="124" t="str">
        <f t="shared" si="10"/>
        <v>||COMB811017PUA|AAOL860322NW8|9|30001000000500010951|Petición firmada por el Receptor||</v>
      </c>
      <c r="N212" s="131" t="str">
        <f t="shared" si="12"/>
        <v>||SPR190613I52|10-03-2026 18:00:00|30001000000500003456|Petición firmada por el Receptor||</v>
      </c>
      <c r="O212" s="132" t="str">
        <f t="shared" si="11"/>
        <v>||COMB811017PUA|AAOL860322NW8|9|30001000000500010951|Petición firmada por el Receptor||
||SPR190613I52|10-03-2026 18:00:00|30001000000500003456|Petición firmada por el Receptor||</v>
      </c>
    </row>
    <row r="213" spans="1:15" ht="29" x14ac:dyDescent="0.35">
      <c r="A213" s="129" t="s">
        <v>1136</v>
      </c>
      <c r="B213" s="130" t="s">
        <v>1135</v>
      </c>
      <c r="C213" s="106">
        <v>9</v>
      </c>
      <c r="D213" s="106" t="s">
        <v>944</v>
      </c>
      <c r="E213" s="72" t="s">
        <v>1026</v>
      </c>
      <c r="F213" s="106">
        <v>626</v>
      </c>
      <c r="G213" s="125" t="s">
        <v>1130</v>
      </c>
      <c r="H213" s="106" t="s">
        <v>706</v>
      </c>
      <c r="I213" s="106" t="s">
        <v>460</v>
      </c>
      <c r="J213" s="106" t="s">
        <v>945</v>
      </c>
      <c r="K213" s="106"/>
      <c r="L213" s="126"/>
      <c r="M213" s="124" t="str">
        <f t="shared" si="10"/>
        <v>||VEBA9501271P9|AAOL860322NW8|9|30001000000500010951|Petición firmada por el Receptor||</v>
      </c>
      <c r="N213" s="131" t="str">
        <f t="shared" si="12"/>
        <v>||SPR190613I52|10-03-2026 18:00:00|30001000000500003456|Petición firmada por el Receptor||</v>
      </c>
      <c r="O213" s="132" t="str">
        <f t="shared" si="11"/>
        <v>||VEBA9501271P9|AAOL860322NW8|9|30001000000500010951|Petición firmada por el Receptor||
||SPR190613I52|10-03-2026 18:00:00|30001000000500003456|Petición firmada por el Receptor||</v>
      </c>
    </row>
    <row r="214" spans="1:15" ht="29" x14ac:dyDescent="0.35">
      <c r="A214" s="129" t="s">
        <v>1136</v>
      </c>
      <c r="B214" s="130" t="s">
        <v>1135</v>
      </c>
      <c r="C214" s="106">
        <v>9</v>
      </c>
      <c r="D214" s="106" t="s">
        <v>1003</v>
      </c>
      <c r="E214" s="72" t="s">
        <v>1026</v>
      </c>
      <c r="F214" s="106">
        <v>626</v>
      </c>
      <c r="G214" s="125" t="s">
        <v>1130</v>
      </c>
      <c r="H214" s="106" t="s">
        <v>706</v>
      </c>
      <c r="I214" s="106" t="s">
        <v>460</v>
      </c>
      <c r="J214" s="106">
        <v>975</v>
      </c>
      <c r="K214" s="106"/>
      <c r="L214" s="126"/>
      <c r="M214" s="124" t="str">
        <f t="shared" si="10"/>
        <v>||RASA760107GP7|AAOL860322NW8|9|30001000000500010951|Petición firmada por el Receptor||</v>
      </c>
      <c r="N214" s="131" t="str">
        <f t="shared" si="12"/>
        <v>||SPR190613I52|10-03-2026 18:00:00|30001000000500003456|Petición firmada por el Receptor||</v>
      </c>
      <c r="O214" s="132" t="str">
        <f t="shared" si="11"/>
        <v>||RASA760107GP7|AAOL860322NW8|9|30001000000500010951|Petición firmada por el Receptor||
||SPR190613I52|10-03-2026 18:00:00|30001000000500003456|Petición firmada por el Receptor||</v>
      </c>
    </row>
    <row r="215" spans="1:15" ht="58" x14ac:dyDescent="0.35">
      <c r="A215" s="129" t="s">
        <v>1136</v>
      </c>
      <c r="B215" s="130" t="s">
        <v>1135</v>
      </c>
      <c r="C215" s="106">
        <v>9</v>
      </c>
      <c r="D215" s="106" t="s">
        <v>958</v>
      </c>
      <c r="E215" s="72" t="s">
        <v>1026</v>
      </c>
      <c r="F215" s="106">
        <v>626</v>
      </c>
      <c r="G215" s="125" t="s">
        <v>1130</v>
      </c>
      <c r="H215" s="106" t="s">
        <v>706</v>
      </c>
      <c r="I215" s="106" t="s">
        <v>460</v>
      </c>
      <c r="J215" s="106" t="s">
        <v>1001</v>
      </c>
      <c r="K215" s="106"/>
      <c r="L215" s="126"/>
      <c r="M215" s="124" t="str">
        <f t="shared" ref="M215:M226" si="13">CONCATENATE("||",D215,"|",E215,"|",C215,"|",G215,"|","Petición firmada por el Receptor","||")</f>
        <v>||MEVE861019DK6|AAOL860322NW8|9|30001000000500010951|Petición firmada por el Receptor||</v>
      </c>
      <c r="N215" s="131" t="str">
        <f t="shared" si="12"/>
        <v>||SPR190613I52|10-03-2026 18:00:00|30001000000500003456|Petición firmada por el Receptor||</v>
      </c>
      <c r="O215" s="132" t="str">
        <f t="shared" si="11"/>
        <v>||MEVE861019DK6|AAOL860322NW8|9|30001000000500010951|Petición firmada por el Receptor||
||SPR190613I52|10-03-2026 18:00:00|30001000000500003456|Petición firmada por el Receptor||</v>
      </c>
    </row>
    <row r="216" spans="1:15" ht="29" x14ac:dyDescent="0.35">
      <c r="A216" s="129" t="s">
        <v>1136</v>
      </c>
      <c r="B216" s="130" t="s">
        <v>1135</v>
      </c>
      <c r="C216" s="106">
        <v>9</v>
      </c>
      <c r="D216" s="106" t="s">
        <v>847</v>
      </c>
      <c r="E216" s="72" t="s">
        <v>1026</v>
      </c>
      <c r="F216" s="106">
        <v>626</v>
      </c>
      <c r="G216" s="125" t="s">
        <v>1130</v>
      </c>
      <c r="H216" s="106" t="s">
        <v>706</v>
      </c>
      <c r="I216" s="106" t="s">
        <v>736</v>
      </c>
      <c r="J216" s="106">
        <v>632</v>
      </c>
      <c r="K216" s="106"/>
      <c r="L216" s="126"/>
      <c r="M216" s="124" t="str">
        <f t="shared" si="13"/>
        <v>||COBB941002HL5|AAOL860322NW8|9|30001000000500010951|Petición firmada por el Receptor||</v>
      </c>
      <c r="N216" s="131" t="str">
        <f t="shared" si="12"/>
        <v>||SPR190613I52|10-03-2026 18:00:00|30001000000500003456|Petición firmada por el Receptor||</v>
      </c>
      <c r="O216" s="132" t="str">
        <f t="shared" si="11"/>
        <v>||COBB941002HL5|AAOL860322NW8|9|30001000000500010951|Petición firmada por el Receptor||
||SPR190613I52|10-03-2026 18:00:00|30001000000500003456|Petición firmada por el Receptor||</v>
      </c>
    </row>
    <row r="217" spans="1:15" ht="29" x14ac:dyDescent="0.35">
      <c r="A217" s="129" t="s">
        <v>1136</v>
      </c>
      <c r="B217" s="130" t="s">
        <v>1135</v>
      </c>
      <c r="C217" s="106">
        <v>10</v>
      </c>
      <c r="D217" s="106" t="s">
        <v>950</v>
      </c>
      <c r="E217" s="72" t="s">
        <v>1026</v>
      </c>
      <c r="F217" s="106">
        <v>612</v>
      </c>
      <c r="G217" s="125" t="s">
        <v>1130</v>
      </c>
      <c r="H217" s="106" t="s">
        <v>706</v>
      </c>
      <c r="I217" s="106">
        <v>300155</v>
      </c>
      <c r="J217" s="106" t="s">
        <v>951</v>
      </c>
      <c r="K217" s="106"/>
      <c r="L217" s="126"/>
      <c r="M217" s="124" t="str">
        <f t="shared" si="13"/>
        <v>||VEEA9302069E0|AAOL860322NW8|10|30001000000500010951|Petición firmada por el Receptor||</v>
      </c>
      <c r="N217" s="131" t="str">
        <f t="shared" si="12"/>
        <v>||SPR190613I52|10-03-2026 18:00:00|30001000000500003456|Petición firmada por el Receptor||</v>
      </c>
      <c r="O217" s="132" t="str">
        <f t="shared" si="11"/>
        <v>||VEEA9302069E0|AAOL860322NW8|10|30001000000500010951|Petición firmada por el Receptor||
||SPR190613I52|10-03-2026 18:00:00|30001000000500003456|Petición firmada por el Receptor||</v>
      </c>
    </row>
    <row r="218" spans="1:15" ht="29" x14ac:dyDescent="0.35">
      <c r="A218" s="129" t="s">
        <v>1136</v>
      </c>
      <c r="B218" s="130" t="s">
        <v>1135</v>
      </c>
      <c r="C218" s="106">
        <v>10</v>
      </c>
      <c r="D218" s="106" t="s">
        <v>1004</v>
      </c>
      <c r="E218" s="72" t="s">
        <v>1026</v>
      </c>
      <c r="F218" s="106">
        <v>616</v>
      </c>
      <c r="G218" s="125" t="s">
        <v>1130</v>
      </c>
      <c r="H218" s="106" t="s">
        <v>706</v>
      </c>
      <c r="I218" s="106" t="s">
        <v>791</v>
      </c>
      <c r="J218" s="106">
        <v>632</v>
      </c>
      <c r="K218" s="106"/>
      <c r="L218" s="126"/>
      <c r="M218" s="124" t="str">
        <f t="shared" si="13"/>
        <v>||MOMK921104BF4|AAOL860322NW8|10|30001000000500010951|Petición firmada por el Receptor||</v>
      </c>
      <c r="N218" s="131" t="str">
        <f t="shared" si="12"/>
        <v>||SPR190613I52|10-03-2026 18:00:00|30001000000500003456|Petición firmada por el Receptor||</v>
      </c>
      <c r="O218" s="132" t="str">
        <f t="shared" si="11"/>
        <v>||MOMK921104BF4|AAOL860322NW8|10|30001000000500010951|Petición firmada por el Receptor||
||SPR190613I52|10-03-2026 18:00:00|30001000000500003456|Petición firmada por el Receptor||</v>
      </c>
    </row>
    <row r="219" spans="1:15" ht="29" x14ac:dyDescent="0.35">
      <c r="A219" s="129" t="s">
        <v>1136</v>
      </c>
      <c r="B219" s="130" t="s">
        <v>1135</v>
      </c>
      <c r="C219" s="106">
        <v>10</v>
      </c>
      <c r="D219" s="106" t="s">
        <v>848</v>
      </c>
      <c r="E219" s="72" t="s">
        <v>1026</v>
      </c>
      <c r="F219" s="106">
        <v>612</v>
      </c>
      <c r="G219" s="125" t="s">
        <v>1130</v>
      </c>
      <c r="H219" s="106" t="s">
        <v>706</v>
      </c>
      <c r="I219" s="106" t="s">
        <v>460</v>
      </c>
      <c r="J219" s="106">
        <v>632</v>
      </c>
      <c r="K219" s="106"/>
      <c r="L219" s="126"/>
      <c r="M219" s="124" t="str">
        <f t="shared" si="13"/>
        <v>||LADB9205132N5|AAOL860322NW8|10|30001000000500010951|Petición firmada por el Receptor||</v>
      </c>
      <c r="N219" s="131" t="str">
        <f t="shared" si="12"/>
        <v>||SPR190613I52|10-03-2026 18:00:00|30001000000500003456|Petición firmada por el Receptor||</v>
      </c>
      <c r="O219" s="132" t="str">
        <f t="shared" si="11"/>
        <v>||LADB9205132N5|AAOL860322NW8|10|30001000000500010951|Petición firmada por el Receptor||
||SPR190613I52|10-03-2026 18:00:00|30001000000500003456|Petición firmada por el Receptor||</v>
      </c>
    </row>
    <row r="220" spans="1:15" ht="29" x14ac:dyDescent="0.35">
      <c r="A220" s="129" t="s">
        <v>1136</v>
      </c>
      <c r="B220" s="130" t="s">
        <v>1135</v>
      </c>
      <c r="C220" s="106">
        <v>10</v>
      </c>
      <c r="D220" s="106" t="s">
        <v>947</v>
      </c>
      <c r="E220" s="72" t="s">
        <v>1026</v>
      </c>
      <c r="F220" s="106">
        <v>621</v>
      </c>
      <c r="G220" s="125" t="s">
        <v>1130</v>
      </c>
      <c r="H220" s="106" t="s">
        <v>706</v>
      </c>
      <c r="I220" s="106" t="s">
        <v>948</v>
      </c>
      <c r="J220" s="106" t="s">
        <v>949</v>
      </c>
      <c r="K220" s="106"/>
      <c r="L220" s="126"/>
      <c r="M220" s="124" t="str">
        <f t="shared" si="13"/>
        <v>||OECB620119A17|AAOL860322NW8|10|30001000000500010951|Petición firmada por el Receptor||</v>
      </c>
      <c r="N220" s="131" t="str">
        <f t="shared" si="12"/>
        <v>||SPR190613I52|10-03-2026 18:00:00|30001000000500003456|Petición firmada por el Receptor||</v>
      </c>
      <c r="O220" s="132" t="str">
        <f t="shared" si="11"/>
        <v>||OECB620119A17|AAOL860322NW8|10|30001000000500010951|Petición firmada por el Receptor||
||SPR190613I52|10-03-2026 18:00:00|30001000000500003456|Petición firmada por el Receptor||</v>
      </c>
    </row>
    <row r="221" spans="1:15" ht="29" x14ac:dyDescent="0.35">
      <c r="A221" s="129" t="s">
        <v>1136</v>
      </c>
      <c r="B221" s="130" t="s">
        <v>1135</v>
      </c>
      <c r="C221" s="106">
        <v>10</v>
      </c>
      <c r="D221" s="106" t="s">
        <v>1005</v>
      </c>
      <c r="E221" s="72" t="s">
        <v>1026</v>
      </c>
      <c r="F221" s="106">
        <v>621</v>
      </c>
      <c r="G221" s="125" t="s">
        <v>1130</v>
      </c>
      <c r="H221" s="106" t="s">
        <v>706</v>
      </c>
      <c r="I221" s="106" t="s">
        <v>791</v>
      </c>
      <c r="J221" s="106" t="s">
        <v>706</v>
      </c>
      <c r="K221" s="106"/>
      <c r="L221" s="126"/>
      <c r="M221" s="124" t="str">
        <f t="shared" si="13"/>
        <v>||MOBK9201138K9|AAOL860322NW8|10|30001000000500010951|Petición firmada por el Receptor||</v>
      </c>
      <c r="N221" s="131" t="str">
        <f t="shared" si="12"/>
        <v>||SPR190613I52|10-03-2026 18:00:00|30001000000500003456|Petición firmada por el Receptor||</v>
      </c>
      <c r="O221" s="132" t="str">
        <f t="shared" si="11"/>
        <v>||MOBK9201138K9|AAOL860322NW8|10|30001000000500010951|Petición firmada por el Receptor||
||SPR190613I52|10-03-2026 18:00:00|30001000000500003456|Petición firmada por el Receptor||</v>
      </c>
    </row>
    <row r="222" spans="1:15" ht="29" x14ac:dyDescent="0.35">
      <c r="A222" s="129" t="s">
        <v>1136</v>
      </c>
      <c r="B222" s="130" t="s">
        <v>1135</v>
      </c>
      <c r="C222" s="106">
        <v>10</v>
      </c>
      <c r="D222" s="106" t="s">
        <v>849</v>
      </c>
      <c r="E222" s="72" t="s">
        <v>1026</v>
      </c>
      <c r="F222" s="106">
        <v>621</v>
      </c>
      <c r="G222" s="125" t="s">
        <v>1130</v>
      </c>
      <c r="H222" s="106" t="s">
        <v>706</v>
      </c>
      <c r="I222" s="106" t="s">
        <v>460</v>
      </c>
      <c r="J222" s="106">
        <v>632</v>
      </c>
      <c r="K222" s="106"/>
      <c r="L222" s="126"/>
      <c r="M222" s="124" t="str">
        <f t="shared" si="13"/>
        <v>||BECE870824R19|AAOL860322NW8|10|30001000000500010951|Petición firmada por el Receptor||</v>
      </c>
      <c r="N222" s="131" t="str">
        <f t="shared" si="12"/>
        <v>||SPR190613I52|10-03-2026 18:00:00|30001000000500003456|Petición firmada por el Receptor||</v>
      </c>
      <c r="O222" s="132" t="str">
        <f t="shared" si="11"/>
        <v>||BECE870824R19|AAOL860322NW8|10|30001000000500010951|Petición firmada por el Receptor||
||SPR190613I52|10-03-2026 18:00:00|30001000000500003456|Petición firmada por el Receptor||</v>
      </c>
    </row>
    <row r="223" spans="1:15" ht="29" x14ac:dyDescent="0.35">
      <c r="A223" s="129" t="s">
        <v>1136</v>
      </c>
      <c r="B223" s="130" t="s">
        <v>1135</v>
      </c>
      <c r="C223" s="106">
        <v>10</v>
      </c>
      <c r="D223" s="106" t="s">
        <v>952</v>
      </c>
      <c r="E223" s="72" t="s">
        <v>1026</v>
      </c>
      <c r="F223" s="106">
        <v>626</v>
      </c>
      <c r="G223" s="125" t="s">
        <v>1130</v>
      </c>
      <c r="H223" s="106" t="s">
        <v>706</v>
      </c>
      <c r="I223" s="106" t="s">
        <v>460</v>
      </c>
      <c r="J223" s="106" t="s">
        <v>954</v>
      </c>
      <c r="K223" s="106"/>
      <c r="L223" s="126"/>
      <c r="M223" s="124" t="str">
        <f t="shared" si="13"/>
        <v>||NOTD8302237B0|AAOL860322NW8|10|30001000000500010951|Petición firmada por el Receptor||</v>
      </c>
      <c r="N223" s="131" t="str">
        <f t="shared" si="12"/>
        <v>||SPR190613I52|10-03-2026 18:00:00|30001000000500003456|Petición firmada por el Receptor||</v>
      </c>
      <c r="O223" s="132" t="str">
        <f t="shared" si="11"/>
        <v>||NOTD8302237B0|AAOL860322NW8|10|30001000000500010951|Petición firmada por el Receptor||
||SPR190613I52|10-03-2026 18:00:00|30001000000500003456|Petición firmada por el Receptor||</v>
      </c>
    </row>
    <row r="224" spans="1:15" ht="43.5" x14ac:dyDescent="0.35">
      <c r="A224" s="129" t="s">
        <v>1136</v>
      </c>
      <c r="B224" s="130" t="s">
        <v>1135</v>
      </c>
      <c r="C224" s="106">
        <v>10</v>
      </c>
      <c r="D224" s="106" t="s">
        <v>1006</v>
      </c>
      <c r="E224" s="72" t="s">
        <v>1026</v>
      </c>
      <c r="F224" s="106">
        <v>626</v>
      </c>
      <c r="G224" s="125" t="s">
        <v>1130</v>
      </c>
      <c r="H224" s="106" t="s">
        <v>706</v>
      </c>
      <c r="I224" s="106" t="s">
        <v>460</v>
      </c>
      <c r="J224" s="106" t="s">
        <v>1007</v>
      </c>
      <c r="K224" s="106"/>
      <c r="L224" s="126"/>
      <c r="M224" s="124" t="str">
        <f t="shared" si="13"/>
        <v>||RACE841013CR3|AAOL860322NW8|10|30001000000500010951|Petición firmada por el Receptor||</v>
      </c>
      <c r="N224" s="131" t="str">
        <f t="shared" si="12"/>
        <v>||SPR190613I52|10-03-2026 18:00:00|30001000000500003456|Petición firmada por el Receptor||</v>
      </c>
      <c r="O224" s="132" t="str">
        <f t="shared" si="11"/>
        <v>||RACE841013CR3|AAOL860322NW8|10|30001000000500010951|Petición firmada por el Receptor||
||SPR190613I52|10-03-2026 18:00:00|30001000000500003456|Petición firmada por el Receptor||</v>
      </c>
    </row>
    <row r="225" spans="1:15" ht="29" x14ac:dyDescent="0.35">
      <c r="A225" s="129" t="s">
        <v>1136</v>
      </c>
      <c r="B225" s="130" t="s">
        <v>1135</v>
      </c>
      <c r="C225" s="106">
        <v>10</v>
      </c>
      <c r="D225" s="106" t="s">
        <v>850</v>
      </c>
      <c r="E225" s="72" t="s">
        <v>1026</v>
      </c>
      <c r="F225" s="106">
        <v>626</v>
      </c>
      <c r="G225" s="125" t="s">
        <v>1130</v>
      </c>
      <c r="H225" s="106" t="s">
        <v>706</v>
      </c>
      <c r="I225" s="106">
        <v>300155</v>
      </c>
      <c r="J225" s="106">
        <v>632</v>
      </c>
      <c r="K225" s="106"/>
      <c r="L225" s="105"/>
      <c r="M225" s="124" t="str">
        <f t="shared" si="13"/>
        <v>||GOHK9511044X8|AAOL860322NW8|10|30001000000500010951|Petición firmada por el Receptor||</v>
      </c>
      <c r="N225" s="131" t="str">
        <f t="shared" si="12"/>
        <v>||SPR190613I52|10-03-2026 18:00:00|30001000000500003456|Petición firmada por el Receptor||</v>
      </c>
      <c r="O225" s="132" t="str">
        <f t="shared" si="11"/>
        <v>||GOHK9511044X8|AAOL860322NW8|10|30001000000500010951|Petición firmada por el Receptor||
||SPR190613I52|10-03-2026 18:00:00|30001000000500003456|Petición firmada por el Receptor||</v>
      </c>
    </row>
    <row r="226" spans="1:15" ht="72.5" x14ac:dyDescent="0.35">
      <c r="A226" s="129" t="s">
        <v>1136</v>
      </c>
      <c r="B226" s="130" t="s">
        <v>1135</v>
      </c>
      <c r="C226" s="106">
        <v>10</v>
      </c>
      <c r="D226" s="72" t="s">
        <v>956</v>
      </c>
      <c r="E226" s="72" t="s">
        <v>1026</v>
      </c>
      <c r="F226" s="72">
        <v>626</v>
      </c>
      <c r="G226" s="125" t="s">
        <v>1130</v>
      </c>
      <c r="H226" s="106" t="s">
        <v>706</v>
      </c>
      <c r="I226" s="106" t="s">
        <v>460</v>
      </c>
      <c r="J226" s="106" t="s">
        <v>1002</v>
      </c>
      <c r="K226" s="109"/>
      <c r="M226" s="124" t="str">
        <f t="shared" si="13"/>
        <v>||CAUI830917RA5|AAOL860322NW8|10|30001000000500010951|Petición firmada por el Receptor||</v>
      </c>
      <c r="N226" s="131" t="str">
        <f t="shared" si="12"/>
        <v>||SPR190613I52|10-03-2026 18:00:00|30001000000500003456|Petición firmada por el Receptor||</v>
      </c>
      <c r="O226" s="132" t="str">
        <f t="shared" si="11"/>
        <v>||CAUI830917RA5|AAOL860322NW8|10|30001000000500010951|Petición firmada por el Receptor||
||SPR190613I52|10-03-2026 18:00:00|30001000000500003456|Petición firmada por el Receptor||</v>
      </c>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796B2-3DD1-4053-853F-781E56DF6034}">
  <dimension ref="B1:C42"/>
  <sheetViews>
    <sheetView zoomScale="90" zoomScaleNormal="90" workbookViewId="0">
      <selection activeCell="E8" sqref="E8"/>
    </sheetView>
  </sheetViews>
  <sheetFormatPr baseColWidth="10" defaultRowHeight="14.5" x14ac:dyDescent="0.35"/>
  <cols>
    <col min="2" max="2" width="41.08984375" customWidth="1"/>
    <col min="3" max="3" width="48" customWidth="1"/>
  </cols>
  <sheetData>
    <row r="1" spans="2:3" ht="15" thickBot="1" x14ac:dyDescent="0.4"/>
    <row r="2" spans="2:3" ht="17" thickBot="1" x14ac:dyDescent="0.4">
      <c r="B2" s="38" t="s">
        <v>0</v>
      </c>
      <c r="C2" s="39" t="s">
        <v>530</v>
      </c>
    </row>
    <row r="3" spans="2:3" ht="16.5" x14ac:dyDescent="0.35">
      <c r="B3" s="40" t="s">
        <v>531</v>
      </c>
      <c r="C3" s="42" t="s">
        <v>37</v>
      </c>
    </row>
    <row r="4" spans="2:3" ht="16.5" x14ac:dyDescent="0.35">
      <c r="B4" s="40" t="s">
        <v>532</v>
      </c>
      <c r="C4" s="43"/>
    </row>
    <row r="5" spans="2:3" ht="17" thickBot="1" x14ac:dyDescent="0.4">
      <c r="B5" s="41"/>
      <c r="C5" s="44" t="s">
        <v>533</v>
      </c>
    </row>
    <row r="6" spans="2:3" ht="16.5" x14ac:dyDescent="0.35">
      <c r="B6" s="40" t="s">
        <v>534</v>
      </c>
      <c r="C6" s="42" t="s">
        <v>41</v>
      </c>
    </row>
    <row r="7" spans="2:3" ht="17" thickBot="1" x14ac:dyDescent="0.4">
      <c r="B7" s="45" t="s">
        <v>535</v>
      </c>
      <c r="C7" s="44" t="s">
        <v>536</v>
      </c>
    </row>
    <row r="8" spans="2:3" ht="16.5" x14ac:dyDescent="0.35">
      <c r="B8" s="40" t="s">
        <v>537</v>
      </c>
      <c r="C8" s="42" t="s">
        <v>37</v>
      </c>
    </row>
    <row r="9" spans="2:3" ht="17" thickBot="1" x14ac:dyDescent="0.4">
      <c r="B9" s="45" t="s">
        <v>538</v>
      </c>
      <c r="C9" s="44" t="s">
        <v>539</v>
      </c>
    </row>
    <row r="10" spans="2:3" ht="16.5" x14ac:dyDescent="0.35">
      <c r="B10" s="40" t="s">
        <v>540</v>
      </c>
      <c r="C10" s="42" t="s">
        <v>43</v>
      </c>
    </row>
    <row r="11" spans="2:3" ht="17" thickBot="1" x14ac:dyDescent="0.4">
      <c r="B11" s="45" t="s">
        <v>541</v>
      </c>
      <c r="C11" s="44" t="s">
        <v>542</v>
      </c>
    </row>
    <row r="13" spans="2:3" x14ac:dyDescent="0.35">
      <c r="B13" t="s">
        <v>543</v>
      </c>
    </row>
    <row r="16" spans="2:3" x14ac:dyDescent="0.35">
      <c r="B16" s="46" t="s">
        <v>544</v>
      </c>
    </row>
    <row r="17" spans="2:2" x14ac:dyDescent="0.35">
      <c r="B17" s="46"/>
    </row>
    <row r="18" spans="2:2" x14ac:dyDescent="0.35">
      <c r="B18" s="46" t="s">
        <v>545</v>
      </c>
    </row>
    <row r="19" spans="2:2" x14ac:dyDescent="0.35">
      <c r="B19" s="46"/>
    </row>
    <row r="20" spans="2:2" x14ac:dyDescent="0.35">
      <c r="B20" s="46" t="s">
        <v>546</v>
      </c>
    </row>
    <row r="21" spans="2:2" x14ac:dyDescent="0.35">
      <c r="B21" s="46" t="s">
        <v>40</v>
      </c>
    </row>
    <row r="22" spans="2:2" x14ac:dyDescent="0.35">
      <c r="B22" s="46" t="s">
        <v>42</v>
      </c>
    </row>
    <row r="23" spans="2:2" ht="16.5" x14ac:dyDescent="0.35">
      <c r="B23" s="47" t="s">
        <v>9</v>
      </c>
    </row>
    <row r="24" spans="2:2" ht="16.5" x14ac:dyDescent="0.35">
      <c r="B24" s="47" t="s">
        <v>10</v>
      </c>
    </row>
    <row r="25" spans="2:2" x14ac:dyDescent="0.35">
      <c r="B25" s="46"/>
    </row>
    <row r="26" spans="2:2" x14ac:dyDescent="0.35">
      <c r="B26" s="46" t="s">
        <v>547</v>
      </c>
    </row>
    <row r="27" spans="2:2" x14ac:dyDescent="0.35">
      <c r="B27" s="46" t="s">
        <v>38</v>
      </c>
    </row>
    <row r="28" spans="2:2" x14ac:dyDescent="0.35">
      <c r="B28" s="46" t="s">
        <v>548</v>
      </c>
    </row>
    <row r="29" spans="2:2" ht="16.5" x14ac:dyDescent="0.35">
      <c r="B29" s="47" t="s">
        <v>2</v>
      </c>
    </row>
    <row r="30" spans="2:2" ht="16.5" x14ac:dyDescent="0.35">
      <c r="B30" s="47" t="s">
        <v>549</v>
      </c>
    </row>
    <row r="31" spans="2:2" ht="16.5" x14ac:dyDescent="0.35">
      <c r="B31" s="47" t="s">
        <v>13</v>
      </c>
    </row>
    <row r="32" spans="2:2" ht="16.5" x14ac:dyDescent="0.35">
      <c r="B32" s="47" t="s">
        <v>14</v>
      </c>
    </row>
    <row r="33" spans="2:2" x14ac:dyDescent="0.35">
      <c r="B33" s="46"/>
    </row>
    <row r="34" spans="2:2" x14ac:dyDescent="0.35">
      <c r="B34" s="46" t="s">
        <v>550</v>
      </c>
    </row>
    <row r="35" spans="2:2" x14ac:dyDescent="0.35">
      <c r="B35" s="46" t="s">
        <v>45</v>
      </c>
    </row>
    <row r="36" spans="2:2" x14ac:dyDescent="0.35">
      <c r="B36" s="46" t="s">
        <v>46</v>
      </c>
    </row>
    <row r="37" spans="2:2" ht="16.5" x14ac:dyDescent="0.35">
      <c r="B37" s="47" t="s">
        <v>551</v>
      </c>
    </row>
    <row r="38" spans="2:2" ht="16.5" x14ac:dyDescent="0.35">
      <c r="B38" s="47" t="s">
        <v>552</v>
      </c>
    </row>
    <row r="39" spans="2:2" x14ac:dyDescent="0.35">
      <c r="B39" s="46"/>
    </row>
    <row r="40" spans="2:2" x14ac:dyDescent="0.35">
      <c r="B40" s="46" t="s">
        <v>553</v>
      </c>
    </row>
    <row r="41" spans="2:2" x14ac:dyDescent="0.35">
      <c r="B41" s="46"/>
    </row>
    <row r="42" spans="2:2" x14ac:dyDescent="0.35">
      <c r="B42" s="46" t="s">
        <v>554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B6192-9FB8-48AD-8036-BC7F23D865F4}">
  <dimension ref="A6:N103"/>
  <sheetViews>
    <sheetView topLeftCell="A9" zoomScale="80" zoomScaleNormal="80" workbookViewId="0">
      <pane xSplit="4" ySplit="4" topLeftCell="F39" activePane="bottomRight" state="frozen"/>
      <selection activeCell="E8" sqref="E8"/>
      <selection pane="topRight" activeCell="E8" sqref="E8"/>
      <selection pane="bottomLeft" activeCell="E8" sqref="E8"/>
      <selection pane="bottomRight" activeCell="E8" sqref="E8"/>
    </sheetView>
  </sheetViews>
  <sheetFormatPr baseColWidth="10" defaultRowHeight="14.5" x14ac:dyDescent="0.35"/>
  <cols>
    <col min="1" max="1" width="4.90625" style="51" customWidth="1"/>
    <col min="2" max="2" width="21.1796875" style="16" customWidth="1"/>
    <col min="3" max="3" width="2.81640625" bestFit="1" customWidth="1"/>
    <col min="4" max="4" width="19.6328125" customWidth="1"/>
    <col min="5" max="5" width="6.453125" style="56" customWidth="1"/>
    <col min="6" max="6" width="12.6328125" customWidth="1"/>
    <col min="7" max="7" width="15.26953125" customWidth="1"/>
    <col min="8" max="8" width="15.1796875" bestFit="1" customWidth="1"/>
    <col min="9" max="9" width="7.90625" bestFit="1" customWidth="1"/>
    <col min="10" max="10" width="18.90625" style="63" customWidth="1"/>
    <col min="11" max="11" width="6.90625" style="63" customWidth="1"/>
    <col min="12" max="12" width="10.90625" style="63"/>
    <col min="13" max="13" width="42" style="64" customWidth="1"/>
    <col min="14" max="14" width="38.90625" style="64" customWidth="1"/>
  </cols>
  <sheetData>
    <row r="6" spans="1:14" x14ac:dyDescent="0.35">
      <c r="B6" s="58" t="s">
        <v>570</v>
      </c>
    </row>
    <row r="7" spans="1:14" ht="21" customHeight="1" x14ac:dyDescent="0.35">
      <c r="B7" s="115" t="s">
        <v>568</v>
      </c>
      <c r="C7" s="115"/>
      <c r="D7" s="115"/>
      <c r="E7" s="115"/>
      <c r="F7" s="115"/>
      <c r="G7" s="115"/>
      <c r="H7" s="115"/>
    </row>
    <row r="8" spans="1:14" x14ac:dyDescent="0.35">
      <c r="B8" s="58"/>
    </row>
    <row r="9" spans="1:14" x14ac:dyDescent="0.35">
      <c r="B9" s="58" t="s">
        <v>569</v>
      </c>
    </row>
    <row r="10" spans="1:14" ht="21" customHeight="1" x14ac:dyDescent="0.35">
      <c r="B10" s="115" t="s">
        <v>88</v>
      </c>
      <c r="C10" s="115"/>
      <c r="D10" s="115"/>
      <c r="E10" s="115"/>
      <c r="F10" s="115"/>
      <c r="G10" s="115"/>
      <c r="H10" s="115"/>
    </row>
    <row r="12" spans="1:14" x14ac:dyDescent="0.35">
      <c r="A12" s="52"/>
      <c r="B12" s="59" t="s">
        <v>559</v>
      </c>
      <c r="C12" s="49" t="s">
        <v>560</v>
      </c>
      <c r="D12" s="48" t="s">
        <v>561</v>
      </c>
      <c r="E12" s="54" t="s">
        <v>571</v>
      </c>
      <c r="F12" s="48" t="s">
        <v>586</v>
      </c>
      <c r="G12" s="48" t="s">
        <v>587</v>
      </c>
      <c r="H12" s="48" t="s">
        <v>578</v>
      </c>
      <c r="I12" s="48" t="s">
        <v>577</v>
      </c>
      <c r="J12" s="48" t="s">
        <v>562</v>
      </c>
      <c r="K12" s="48" t="s">
        <v>563</v>
      </c>
      <c r="L12" s="48"/>
      <c r="M12" s="62" t="s">
        <v>564</v>
      </c>
      <c r="N12" s="62" t="s">
        <v>599</v>
      </c>
    </row>
    <row r="13" spans="1:14" ht="312" x14ac:dyDescent="0.35">
      <c r="A13" s="51">
        <v>1</v>
      </c>
      <c r="B13" s="55" t="s">
        <v>575</v>
      </c>
      <c r="C13" s="53">
        <v>1</v>
      </c>
      <c r="D13" s="28" t="s">
        <v>60</v>
      </c>
      <c r="E13" s="30" t="s">
        <v>36</v>
      </c>
      <c r="F13" s="34">
        <v>612</v>
      </c>
      <c r="G13" s="34" t="s">
        <v>418</v>
      </c>
      <c r="H13" s="34" t="s">
        <v>417</v>
      </c>
      <c r="I13" s="34">
        <v>632</v>
      </c>
      <c r="J13" s="65" t="s">
        <v>4</v>
      </c>
      <c r="K13" s="65" t="s">
        <v>566</v>
      </c>
      <c r="L13" s="65" t="s">
        <v>567</v>
      </c>
      <c r="M13" s="66" t="s">
        <v>600</v>
      </c>
      <c r="N13" s="67" t="s">
        <v>601</v>
      </c>
    </row>
    <row r="14" spans="1:14" ht="168" x14ac:dyDescent="0.35">
      <c r="A14" s="51">
        <v>2</v>
      </c>
      <c r="B14" s="55" t="s">
        <v>575</v>
      </c>
      <c r="C14" s="53">
        <v>1</v>
      </c>
      <c r="D14" s="28" t="s">
        <v>6</v>
      </c>
      <c r="E14" s="30" t="s">
        <v>36</v>
      </c>
      <c r="F14" s="34" t="s">
        <v>147</v>
      </c>
      <c r="G14" s="34" t="s">
        <v>471</v>
      </c>
      <c r="H14" s="34" t="s">
        <v>470</v>
      </c>
      <c r="I14" s="34" t="s">
        <v>555</v>
      </c>
      <c r="J14" s="65" t="s">
        <v>4</v>
      </c>
      <c r="K14" s="65" t="s">
        <v>566</v>
      </c>
      <c r="L14" s="65" t="s">
        <v>567</v>
      </c>
      <c r="M14" s="68"/>
      <c r="N14" s="66" t="s">
        <v>602</v>
      </c>
    </row>
    <row r="15" spans="1:14" ht="168" x14ac:dyDescent="0.35">
      <c r="A15" s="51">
        <v>3</v>
      </c>
      <c r="B15" s="55" t="s">
        <v>575</v>
      </c>
      <c r="C15" s="53">
        <v>1</v>
      </c>
      <c r="D15" s="28" t="s">
        <v>94</v>
      </c>
      <c r="E15" s="30" t="s">
        <v>36</v>
      </c>
      <c r="F15" s="34">
        <v>621</v>
      </c>
      <c r="G15" s="34" t="s">
        <v>402</v>
      </c>
      <c r="H15" s="34"/>
      <c r="I15" s="34">
        <v>909</v>
      </c>
      <c r="J15" s="65" t="s">
        <v>4</v>
      </c>
      <c r="K15" s="65" t="s">
        <v>566</v>
      </c>
      <c r="L15" s="65" t="s">
        <v>567</v>
      </c>
      <c r="M15" s="68"/>
      <c r="N15" s="66" t="s">
        <v>603</v>
      </c>
    </row>
    <row r="16" spans="1:14" ht="168" x14ac:dyDescent="0.35">
      <c r="A16" s="51">
        <v>4</v>
      </c>
      <c r="B16" s="55" t="s">
        <v>575</v>
      </c>
      <c r="C16" s="53">
        <v>1</v>
      </c>
      <c r="D16" s="28" t="s">
        <v>87</v>
      </c>
      <c r="E16" s="30" t="s">
        <v>36</v>
      </c>
      <c r="F16" s="34">
        <v>626</v>
      </c>
      <c r="G16" s="34" t="s">
        <v>467</v>
      </c>
      <c r="H16" s="34" t="s">
        <v>466</v>
      </c>
      <c r="I16" s="34" t="s">
        <v>143</v>
      </c>
      <c r="J16" s="65" t="s">
        <v>4</v>
      </c>
      <c r="K16" s="65" t="s">
        <v>566</v>
      </c>
      <c r="L16" s="65" t="s">
        <v>567</v>
      </c>
      <c r="M16" s="68"/>
      <c r="N16" s="66" t="s">
        <v>604</v>
      </c>
    </row>
    <row r="17" spans="1:14" ht="152" x14ac:dyDescent="0.35">
      <c r="A17" s="51">
        <v>5</v>
      </c>
      <c r="B17" s="55" t="s">
        <v>575</v>
      </c>
      <c r="C17" s="53">
        <v>1</v>
      </c>
      <c r="D17" s="28" t="s">
        <v>93</v>
      </c>
      <c r="E17" s="30" t="s">
        <v>36</v>
      </c>
      <c r="F17" s="34">
        <v>612</v>
      </c>
      <c r="G17" s="34" t="s">
        <v>396</v>
      </c>
      <c r="H17" s="34">
        <v>3</v>
      </c>
      <c r="I17" s="34">
        <v>1</v>
      </c>
      <c r="J17" s="65" t="s">
        <v>4</v>
      </c>
      <c r="K17" s="65" t="s">
        <v>576</v>
      </c>
      <c r="L17" s="65" t="s">
        <v>567</v>
      </c>
      <c r="M17" s="68"/>
      <c r="N17" s="66" t="s">
        <v>605</v>
      </c>
    </row>
    <row r="18" spans="1:14" ht="152" x14ac:dyDescent="0.35">
      <c r="A18" s="51">
        <v>6</v>
      </c>
      <c r="B18" s="55" t="s">
        <v>575</v>
      </c>
      <c r="C18" s="53">
        <v>1</v>
      </c>
      <c r="D18" s="28" t="s">
        <v>103</v>
      </c>
      <c r="E18" s="30" t="s">
        <v>36</v>
      </c>
      <c r="F18" s="34" t="s">
        <v>104</v>
      </c>
      <c r="G18" s="34" t="s">
        <v>407</v>
      </c>
      <c r="H18" s="34"/>
      <c r="I18" s="34">
        <v>1</v>
      </c>
      <c r="J18" s="65" t="s">
        <v>4</v>
      </c>
      <c r="K18" s="65" t="s">
        <v>576</v>
      </c>
      <c r="L18" s="65" t="s">
        <v>567</v>
      </c>
      <c r="M18" s="68"/>
      <c r="N18" s="66" t="s">
        <v>606</v>
      </c>
    </row>
    <row r="19" spans="1:14" ht="312" x14ac:dyDescent="0.35">
      <c r="A19" s="51">
        <v>7</v>
      </c>
      <c r="B19" s="55" t="s">
        <v>579</v>
      </c>
      <c r="C19" s="53">
        <v>2</v>
      </c>
      <c r="D19" s="28" t="s">
        <v>76</v>
      </c>
      <c r="E19" s="30" t="s">
        <v>36</v>
      </c>
      <c r="F19" s="34">
        <v>606</v>
      </c>
      <c r="G19" s="34" t="s">
        <v>419</v>
      </c>
      <c r="H19" s="34"/>
      <c r="I19" s="34">
        <v>122</v>
      </c>
      <c r="J19" s="65" t="s">
        <v>4</v>
      </c>
      <c r="K19" s="65" t="s">
        <v>576</v>
      </c>
      <c r="L19" s="65" t="s">
        <v>567</v>
      </c>
      <c r="M19" s="66" t="s">
        <v>608</v>
      </c>
      <c r="N19" s="66" t="s">
        <v>607</v>
      </c>
    </row>
    <row r="20" spans="1:14" ht="168" x14ac:dyDescent="0.35">
      <c r="A20" s="51">
        <v>8</v>
      </c>
      <c r="B20" s="55" t="s">
        <v>579</v>
      </c>
      <c r="C20" s="53">
        <v>2</v>
      </c>
      <c r="D20" s="28" t="s">
        <v>96</v>
      </c>
      <c r="E20" s="30" t="s">
        <v>36</v>
      </c>
      <c r="F20" s="34">
        <v>605</v>
      </c>
      <c r="G20" s="34" t="s">
        <v>403</v>
      </c>
      <c r="H20" s="34"/>
      <c r="I20" s="34">
        <v>898</v>
      </c>
      <c r="J20" s="65" t="s">
        <v>4</v>
      </c>
      <c r="K20" s="65" t="s">
        <v>566</v>
      </c>
      <c r="L20" s="65" t="s">
        <v>567</v>
      </c>
      <c r="M20" s="68"/>
      <c r="N20" s="66" t="s">
        <v>609</v>
      </c>
    </row>
    <row r="21" spans="1:14" ht="152" x14ac:dyDescent="0.35">
      <c r="A21" s="51">
        <v>9</v>
      </c>
      <c r="B21" s="55" t="s">
        <v>579</v>
      </c>
      <c r="C21" s="53">
        <v>2</v>
      </c>
      <c r="D21" s="28" t="s">
        <v>141</v>
      </c>
      <c r="E21" s="30" t="s">
        <v>36</v>
      </c>
      <c r="F21" s="34">
        <v>626</v>
      </c>
      <c r="G21" s="34" t="s">
        <v>464</v>
      </c>
      <c r="H21" s="34"/>
      <c r="I21" s="34">
        <v>117</v>
      </c>
      <c r="J21" s="65" t="s">
        <v>4</v>
      </c>
      <c r="K21" s="65" t="s">
        <v>576</v>
      </c>
      <c r="L21" s="65" t="s">
        <v>567</v>
      </c>
      <c r="M21" s="68"/>
      <c r="N21" s="66" t="s">
        <v>610</v>
      </c>
    </row>
    <row r="22" spans="1:14" ht="152" x14ac:dyDescent="0.35">
      <c r="A22" s="51">
        <v>10</v>
      </c>
      <c r="B22" s="55" t="s">
        <v>579</v>
      </c>
      <c r="C22" s="53">
        <v>2</v>
      </c>
      <c r="D22" s="28" t="s">
        <v>87</v>
      </c>
      <c r="E22" s="30" t="s">
        <v>36</v>
      </c>
      <c r="F22" s="34">
        <v>626</v>
      </c>
      <c r="G22" s="34" t="s">
        <v>467</v>
      </c>
      <c r="H22" s="34" t="s">
        <v>466</v>
      </c>
      <c r="I22" s="34" t="s">
        <v>143</v>
      </c>
      <c r="J22" s="65" t="s">
        <v>4</v>
      </c>
      <c r="K22" s="65" t="s">
        <v>576</v>
      </c>
      <c r="L22" s="65" t="s">
        <v>567</v>
      </c>
      <c r="M22" s="68"/>
      <c r="N22" s="66" t="s">
        <v>611</v>
      </c>
    </row>
    <row r="23" spans="1:14" ht="312" x14ac:dyDescent="0.35">
      <c r="A23" s="51">
        <v>11</v>
      </c>
      <c r="B23" s="55" t="s">
        <v>580</v>
      </c>
      <c r="C23" s="53">
        <v>3</v>
      </c>
      <c r="D23" s="28" t="s">
        <v>101</v>
      </c>
      <c r="E23" s="30" t="s">
        <v>48</v>
      </c>
      <c r="F23" s="35" t="s">
        <v>102</v>
      </c>
      <c r="G23" s="34" t="s">
        <v>406</v>
      </c>
      <c r="H23" s="34" t="s">
        <v>405</v>
      </c>
      <c r="I23" s="34" t="s">
        <v>556</v>
      </c>
      <c r="J23" s="65" t="s">
        <v>4</v>
      </c>
      <c r="K23" s="65" t="s">
        <v>566</v>
      </c>
      <c r="L23" s="65" t="s">
        <v>567</v>
      </c>
      <c r="M23" s="66" t="s">
        <v>612</v>
      </c>
      <c r="N23" s="66" t="s">
        <v>613</v>
      </c>
    </row>
    <row r="24" spans="1:14" ht="152" x14ac:dyDescent="0.35">
      <c r="A24" s="51">
        <v>12</v>
      </c>
      <c r="B24" s="55" t="s">
        <v>580</v>
      </c>
      <c r="C24" s="53">
        <v>3</v>
      </c>
      <c r="D24" s="28" t="s">
        <v>85</v>
      </c>
      <c r="E24" s="30" t="s">
        <v>36</v>
      </c>
      <c r="F24" s="34">
        <v>621</v>
      </c>
      <c r="G24" s="34" t="s">
        <v>399</v>
      </c>
      <c r="H24" s="34" t="s">
        <v>398</v>
      </c>
      <c r="I24" s="34">
        <v>90</v>
      </c>
      <c r="J24" s="65" t="s">
        <v>4</v>
      </c>
      <c r="K24" s="65" t="s">
        <v>576</v>
      </c>
      <c r="L24" s="65" t="s">
        <v>567</v>
      </c>
      <c r="M24" s="68"/>
      <c r="N24" s="66" t="s">
        <v>614</v>
      </c>
    </row>
    <row r="25" spans="1:14" ht="152" x14ac:dyDescent="0.35">
      <c r="A25" s="51">
        <v>13</v>
      </c>
      <c r="B25" s="55" t="s">
        <v>580</v>
      </c>
      <c r="C25" s="53">
        <v>3</v>
      </c>
      <c r="D25" s="28" t="s">
        <v>141</v>
      </c>
      <c r="E25" s="30" t="s">
        <v>36</v>
      </c>
      <c r="F25" s="34">
        <v>626</v>
      </c>
      <c r="G25" s="34" t="s">
        <v>464</v>
      </c>
      <c r="H25" s="34"/>
      <c r="I25" s="34">
        <v>117</v>
      </c>
      <c r="J25" s="65" t="s">
        <v>4</v>
      </c>
      <c r="K25" s="65" t="s">
        <v>576</v>
      </c>
      <c r="L25" s="65" t="s">
        <v>567</v>
      </c>
      <c r="M25" s="68"/>
      <c r="N25" s="66" t="s">
        <v>615</v>
      </c>
    </row>
    <row r="26" spans="1:14" ht="168" x14ac:dyDescent="0.35">
      <c r="A26" s="51">
        <v>14</v>
      </c>
      <c r="B26" s="55" t="s">
        <v>580</v>
      </c>
      <c r="C26" s="53">
        <v>3</v>
      </c>
      <c r="D26" s="28" t="s">
        <v>146</v>
      </c>
      <c r="E26" s="30" t="s">
        <v>36</v>
      </c>
      <c r="F26" s="34">
        <v>626</v>
      </c>
      <c r="G26" s="34" t="s">
        <v>469</v>
      </c>
      <c r="H26" s="34">
        <v>3</v>
      </c>
      <c r="I26" s="34">
        <v>632</v>
      </c>
      <c r="J26" s="65" t="s">
        <v>4</v>
      </c>
      <c r="K26" s="65" t="s">
        <v>576</v>
      </c>
      <c r="L26" s="65" t="s">
        <v>567</v>
      </c>
      <c r="M26" s="68"/>
      <c r="N26" s="66" t="s">
        <v>616</v>
      </c>
    </row>
    <row r="27" spans="1:14" ht="312" x14ac:dyDescent="0.35">
      <c r="A27" s="51">
        <v>15</v>
      </c>
      <c r="B27" s="55" t="s">
        <v>573</v>
      </c>
      <c r="C27" s="53">
        <v>4</v>
      </c>
      <c r="D27" s="28" t="s">
        <v>55</v>
      </c>
      <c r="E27" s="30" t="s">
        <v>36</v>
      </c>
      <c r="F27" s="34">
        <v>605</v>
      </c>
      <c r="G27" s="34" t="s">
        <v>409</v>
      </c>
      <c r="H27" s="34"/>
      <c r="I27" s="34">
        <v>258</v>
      </c>
      <c r="J27" s="65" t="s">
        <v>4</v>
      </c>
      <c r="K27" s="65" t="s">
        <v>576</v>
      </c>
      <c r="L27" s="65" t="s">
        <v>567</v>
      </c>
      <c r="M27" s="66" t="s">
        <v>617</v>
      </c>
      <c r="N27" s="66" t="s">
        <v>618</v>
      </c>
    </row>
    <row r="28" spans="1:14" ht="152" x14ac:dyDescent="0.35">
      <c r="A28" s="51">
        <v>16</v>
      </c>
      <c r="B28" s="55" t="s">
        <v>573</v>
      </c>
      <c r="C28" s="53">
        <v>4</v>
      </c>
      <c r="D28" s="28" t="s">
        <v>76</v>
      </c>
      <c r="E28" s="30" t="s">
        <v>36</v>
      </c>
      <c r="F28" s="34">
        <v>606</v>
      </c>
      <c r="G28" s="34" t="s">
        <v>419</v>
      </c>
      <c r="H28" s="34"/>
      <c r="I28" s="34">
        <v>122</v>
      </c>
      <c r="J28" s="65" t="s">
        <v>4</v>
      </c>
      <c r="K28" s="65" t="s">
        <v>576</v>
      </c>
      <c r="L28" s="65" t="s">
        <v>567</v>
      </c>
      <c r="M28" s="68"/>
      <c r="N28" s="66" t="s">
        <v>619</v>
      </c>
    </row>
    <row r="29" spans="1:14" ht="152" x14ac:dyDescent="0.35">
      <c r="A29" s="51">
        <v>17</v>
      </c>
      <c r="B29" s="55" t="s">
        <v>573</v>
      </c>
      <c r="C29" s="53">
        <v>4</v>
      </c>
      <c r="D29" s="28" t="s">
        <v>56</v>
      </c>
      <c r="E29" s="30" t="s">
        <v>36</v>
      </c>
      <c r="F29" s="34">
        <v>608</v>
      </c>
      <c r="G29" s="34" t="s">
        <v>412</v>
      </c>
      <c r="H29" s="34"/>
      <c r="I29" s="34"/>
      <c r="J29" s="65" t="s">
        <v>4</v>
      </c>
      <c r="K29" s="65" t="s">
        <v>576</v>
      </c>
      <c r="L29" s="65" t="s">
        <v>567</v>
      </c>
      <c r="M29" s="68"/>
      <c r="N29" s="66" t="s">
        <v>620</v>
      </c>
    </row>
    <row r="30" spans="1:14" ht="152" x14ac:dyDescent="0.35">
      <c r="A30" s="51">
        <v>18</v>
      </c>
      <c r="B30" s="55" t="s">
        <v>573</v>
      </c>
      <c r="C30" s="53">
        <v>4</v>
      </c>
      <c r="D30" s="28" t="s">
        <v>518</v>
      </c>
      <c r="E30" s="30" t="s">
        <v>36</v>
      </c>
      <c r="F30" s="34" t="s">
        <v>111</v>
      </c>
      <c r="G30" s="34" t="s">
        <v>421</v>
      </c>
      <c r="H30" s="34"/>
      <c r="I30" s="34" t="s">
        <v>112</v>
      </c>
      <c r="J30" s="65" t="s">
        <v>4</v>
      </c>
      <c r="K30" s="65" t="s">
        <v>576</v>
      </c>
      <c r="L30" s="65" t="s">
        <v>567</v>
      </c>
      <c r="M30" s="68"/>
      <c r="N30" s="66" t="s">
        <v>621</v>
      </c>
    </row>
    <row r="31" spans="1:14" ht="152" x14ac:dyDescent="0.35">
      <c r="A31" s="51">
        <v>19</v>
      </c>
      <c r="B31" s="55" t="s">
        <v>573</v>
      </c>
      <c r="C31" s="53">
        <v>4</v>
      </c>
      <c r="D31" s="28" t="s">
        <v>124</v>
      </c>
      <c r="E31" s="30" t="s">
        <v>36</v>
      </c>
      <c r="F31" s="34">
        <v>614</v>
      </c>
      <c r="G31" s="34" t="s">
        <v>455</v>
      </c>
      <c r="H31" s="34"/>
      <c r="I31" s="34" t="s">
        <v>125</v>
      </c>
      <c r="J31" s="65" t="s">
        <v>4</v>
      </c>
      <c r="K31" s="65" t="s">
        <v>576</v>
      </c>
      <c r="L31" s="65" t="s">
        <v>567</v>
      </c>
      <c r="M31" s="68"/>
      <c r="N31" s="66" t="s">
        <v>622</v>
      </c>
    </row>
    <row r="32" spans="1:14" ht="152" x14ac:dyDescent="0.35">
      <c r="A32" s="51">
        <v>20</v>
      </c>
      <c r="B32" s="55" t="s">
        <v>573</v>
      </c>
      <c r="C32" s="53">
        <v>4</v>
      </c>
      <c r="D32" s="28" t="s">
        <v>57</v>
      </c>
      <c r="E32" s="30" t="s">
        <v>36</v>
      </c>
      <c r="F32" s="34">
        <v>616</v>
      </c>
      <c r="G32" s="34" t="s">
        <v>413</v>
      </c>
      <c r="H32" s="34"/>
      <c r="I32" s="34"/>
      <c r="J32" s="65" t="s">
        <v>4</v>
      </c>
      <c r="K32" s="65" t="s">
        <v>576</v>
      </c>
      <c r="L32" s="65" t="s">
        <v>567</v>
      </c>
      <c r="M32" s="68"/>
      <c r="N32" s="66" t="s">
        <v>623</v>
      </c>
    </row>
    <row r="33" spans="1:14" ht="152" x14ac:dyDescent="0.35">
      <c r="A33" s="51">
        <v>21</v>
      </c>
      <c r="B33" s="55" t="s">
        <v>573</v>
      </c>
      <c r="C33" s="53">
        <v>4</v>
      </c>
      <c r="D33" s="28" t="s">
        <v>129</v>
      </c>
      <c r="E33" s="30" t="s">
        <v>36</v>
      </c>
      <c r="F33" s="34" t="s">
        <v>130</v>
      </c>
      <c r="G33" s="34" t="s">
        <v>460</v>
      </c>
      <c r="H33" s="34"/>
      <c r="I33" s="34" t="s">
        <v>131</v>
      </c>
      <c r="J33" s="65" t="s">
        <v>4</v>
      </c>
      <c r="K33" s="65" t="s">
        <v>576</v>
      </c>
      <c r="L33" s="65" t="s">
        <v>567</v>
      </c>
      <c r="M33" s="68"/>
      <c r="N33" s="66" t="s">
        <v>624</v>
      </c>
    </row>
    <row r="34" spans="1:14" ht="152" x14ac:dyDescent="0.35">
      <c r="A34" s="51">
        <v>22</v>
      </c>
      <c r="B34" s="55" t="s">
        <v>573</v>
      </c>
      <c r="C34" s="53">
        <v>4</v>
      </c>
      <c r="D34" s="28" t="s">
        <v>83</v>
      </c>
      <c r="E34" s="30" t="s">
        <v>36</v>
      </c>
      <c r="F34" s="34">
        <v>607</v>
      </c>
      <c r="G34" s="34" t="s">
        <v>461</v>
      </c>
      <c r="H34" s="34">
        <v>203</v>
      </c>
      <c r="I34" s="34" t="s">
        <v>136</v>
      </c>
      <c r="J34" s="65" t="s">
        <v>4</v>
      </c>
      <c r="K34" s="65" t="s">
        <v>576</v>
      </c>
      <c r="L34" s="65" t="s">
        <v>567</v>
      </c>
      <c r="M34" s="68"/>
      <c r="N34" s="66" t="s">
        <v>625</v>
      </c>
    </row>
    <row r="35" spans="1:14" ht="168" x14ac:dyDescent="0.35">
      <c r="A35" s="51">
        <v>23</v>
      </c>
      <c r="B35" s="55" t="s">
        <v>573</v>
      </c>
      <c r="C35" s="53">
        <v>4</v>
      </c>
      <c r="D35" s="28" t="s">
        <v>519</v>
      </c>
      <c r="E35" s="30" t="s">
        <v>36</v>
      </c>
      <c r="F35" s="34">
        <v>621</v>
      </c>
      <c r="G35" s="34" t="s">
        <v>422</v>
      </c>
      <c r="H35" s="35">
        <v>738735</v>
      </c>
      <c r="I35" s="34">
        <v>632</v>
      </c>
      <c r="J35" s="65" t="s">
        <v>4</v>
      </c>
      <c r="K35" s="65" t="s">
        <v>566</v>
      </c>
      <c r="L35" s="65" t="s">
        <v>567</v>
      </c>
      <c r="N35" s="66" t="s">
        <v>626</v>
      </c>
    </row>
    <row r="36" spans="1:14" ht="312" x14ac:dyDescent="0.35">
      <c r="A36" s="51">
        <v>24</v>
      </c>
      <c r="B36" s="55" t="s">
        <v>581</v>
      </c>
      <c r="C36" s="53">
        <v>5</v>
      </c>
      <c r="D36" s="28" t="s">
        <v>515</v>
      </c>
      <c r="E36" s="30" t="s">
        <v>36</v>
      </c>
      <c r="F36" s="34">
        <v>612</v>
      </c>
      <c r="G36" s="34" t="s">
        <v>520</v>
      </c>
      <c r="H36" s="34"/>
      <c r="I36" s="34" t="s">
        <v>107</v>
      </c>
      <c r="J36" s="65" t="s">
        <v>4</v>
      </c>
      <c r="K36" s="65" t="s">
        <v>576</v>
      </c>
      <c r="L36" s="65" t="s">
        <v>567</v>
      </c>
      <c r="M36" s="66" t="s">
        <v>627</v>
      </c>
      <c r="N36" s="66" t="s">
        <v>628</v>
      </c>
    </row>
    <row r="37" spans="1:14" ht="168" x14ac:dyDescent="0.35">
      <c r="A37" s="51">
        <v>25</v>
      </c>
      <c r="B37" s="55" t="s">
        <v>581</v>
      </c>
      <c r="C37" s="53">
        <v>5</v>
      </c>
      <c r="D37" s="28" t="s">
        <v>21</v>
      </c>
      <c r="E37" s="30" t="s">
        <v>36</v>
      </c>
      <c r="F37" s="34" t="s">
        <v>110</v>
      </c>
      <c r="G37" s="34" t="s">
        <v>510</v>
      </c>
      <c r="H37" s="34" t="s">
        <v>509</v>
      </c>
      <c r="I37" s="34" t="s">
        <v>557</v>
      </c>
      <c r="J37" s="65" t="s">
        <v>4</v>
      </c>
      <c r="K37" s="65" t="s">
        <v>566</v>
      </c>
      <c r="L37" s="65" t="s">
        <v>567</v>
      </c>
      <c r="M37" s="68"/>
      <c r="N37" s="66" t="s">
        <v>629</v>
      </c>
    </row>
    <row r="38" spans="1:14" ht="152" x14ac:dyDescent="0.35">
      <c r="A38" s="51">
        <v>26</v>
      </c>
      <c r="B38" s="55" t="s">
        <v>581</v>
      </c>
      <c r="C38" s="53">
        <v>5</v>
      </c>
      <c r="D38" s="28" t="s">
        <v>74</v>
      </c>
      <c r="E38" s="30" t="s">
        <v>36</v>
      </c>
      <c r="F38" s="34">
        <v>626</v>
      </c>
      <c r="G38" s="34" t="s">
        <v>397</v>
      </c>
      <c r="H38" s="34"/>
      <c r="I38" s="34">
        <v>884</v>
      </c>
      <c r="J38" s="65" t="s">
        <v>4</v>
      </c>
      <c r="K38" s="65" t="s">
        <v>576</v>
      </c>
      <c r="L38" s="65" t="s">
        <v>567</v>
      </c>
      <c r="M38" s="68"/>
      <c r="N38" s="66" t="s">
        <v>630</v>
      </c>
    </row>
    <row r="39" spans="1:14" ht="168" x14ac:dyDescent="0.35">
      <c r="A39" s="51">
        <v>27</v>
      </c>
      <c r="B39" s="55" t="s">
        <v>581</v>
      </c>
      <c r="C39" s="53">
        <v>5</v>
      </c>
      <c r="D39" s="28" t="s">
        <v>54</v>
      </c>
      <c r="E39" s="30" t="s">
        <v>36</v>
      </c>
      <c r="F39" s="34">
        <v>605</v>
      </c>
      <c r="G39" s="34" t="s">
        <v>512</v>
      </c>
      <c r="H39" s="34"/>
      <c r="I39" s="34" t="s">
        <v>513</v>
      </c>
      <c r="J39" s="65" t="s">
        <v>4</v>
      </c>
      <c r="K39" s="65" t="s">
        <v>566</v>
      </c>
      <c r="L39" s="65" t="s">
        <v>567</v>
      </c>
      <c r="M39" s="68"/>
      <c r="N39" s="66" t="s">
        <v>631</v>
      </c>
    </row>
    <row r="40" spans="1:14" ht="312" x14ac:dyDescent="0.35">
      <c r="A40" s="51">
        <v>28</v>
      </c>
      <c r="B40" s="55" t="s">
        <v>572</v>
      </c>
      <c r="C40" s="53">
        <v>6</v>
      </c>
      <c r="D40" s="28" t="s">
        <v>55</v>
      </c>
      <c r="E40" s="30" t="s">
        <v>36</v>
      </c>
      <c r="F40" s="34">
        <v>605</v>
      </c>
      <c r="G40" s="34" t="s">
        <v>409</v>
      </c>
      <c r="H40" s="34"/>
      <c r="I40" s="34">
        <v>258</v>
      </c>
      <c r="J40" s="65" t="s">
        <v>4</v>
      </c>
      <c r="K40" s="65" t="s">
        <v>576</v>
      </c>
      <c r="L40" s="65" t="s">
        <v>567</v>
      </c>
      <c r="M40" s="66" t="s">
        <v>632</v>
      </c>
      <c r="N40" s="66" t="s">
        <v>633</v>
      </c>
    </row>
    <row r="41" spans="1:14" ht="152" x14ac:dyDescent="0.35">
      <c r="A41" s="51">
        <v>29</v>
      </c>
      <c r="B41" s="55" t="s">
        <v>572</v>
      </c>
      <c r="C41" s="53">
        <v>6</v>
      </c>
      <c r="D41" s="28" t="s">
        <v>75</v>
      </c>
      <c r="E41" s="30" t="s">
        <v>36</v>
      </c>
      <c r="F41" s="34" t="s">
        <v>105</v>
      </c>
      <c r="G41" s="34" t="s">
        <v>408</v>
      </c>
      <c r="H41" s="34">
        <v>3</v>
      </c>
      <c r="I41" s="34">
        <v>797</v>
      </c>
      <c r="J41" s="65" t="s">
        <v>4</v>
      </c>
      <c r="K41" s="65" t="s">
        <v>576</v>
      </c>
      <c r="L41" s="65" t="s">
        <v>567</v>
      </c>
      <c r="M41" s="68"/>
      <c r="N41" s="66" t="s">
        <v>634</v>
      </c>
    </row>
    <row r="42" spans="1:14" ht="152" x14ac:dyDescent="0.35">
      <c r="A42" s="51">
        <v>30</v>
      </c>
      <c r="B42" s="55" t="s">
        <v>572</v>
      </c>
      <c r="C42" s="53">
        <v>6</v>
      </c>
      <c r="D42" s="28" t="s">
        <v>56</v>
      </c>
      <c r="E42" s="30" t="s">
        <v>36</v>
      </c>
      <c r="F42" s="34">
        <v>608</v>
      </c>
      <c r="G42" s="34" t="s">
        <v>412</v>
      </c>
      <c r="H42" s="34"/>
      <c r="I42" s="34"/>
      <c r="J42" s="65" t="s">
        <v>4</v>
      </c>
      <c r="K42" s="65" t="s">
        <v>576</v>
      </c>
      <c r="L42" s="65" t="s">
        <v>567</v>
      </c>
      <c r="M42" s="68"/>
      <c r="N42" s="66" t="s">
        <v>635</v>
      </c>
    </row>
    <row r="43" spans="1:14" ht="152" x14ac:dyDescent="0.35">
      <c r="A43" s="51">
        <v>31</v>
      </c>
      <c r="B43" s="55" t="s">
        <v>572</v>
      </c>
      <c r="C43" s="53">
        <v>6</v>
      </c>
      <c r="D43" s="28" t="s">
        <v>518</v>
      </c>
      <c r="E43" s="30" t="s">
        <v>36</v>
      </c>
      <c r="F43" s="34" t="s">
        <v>111</v>
      </c>
      <c r="G43" s="34" t="s">
        <v>421</v>
      </c>
      <c r="H43" s="34"/>
      <c r="I43" s="34" t="s">
        <v>112</v>
      </c>
      <c r="J43" s="65" t="s">
        <v>4</v>
      </c>
      <c r="K43" s="65" t="s">
        <v>576</v>
      </c>
      <c r="L43" s="65" t="s">
        <v>567</v>
      </c>
      <c r="M43" s="68"/>
      <c r="N43" s="66" t="s">
        <v>636</v>
      </c>
    </row>
    <row r="44" spans="1:14" ht="152" x14ac:dyDescent="0.35">
      <c r="A44" s="51">
        <v>32</v>
      </c>
      <c r="B44" s="55" t="s">
        <v>572</v>
      </c>
      <c r="C44" s="53">
        <v>6</v>
      </c>
      <c r="D44" s="28" t="s">
        <v>60</v>
      </c>
      <c r="E44" s="30" t="s">
        <v>36</v>
      </c>
      <c r="F44" s="34">
        <v>612</v>
      </c>
      <c r="G44" s="34" t="s">
        <v>418</v>
      </c>
      <c r="H44" s="34" t="s">
        <v>417</v>
      </c>
      <c r="I44" s="34">
        <v>632</v>
      </c>
      <c r="J44" s="65" t="s">
        <v>4</v>
      </c>
      <c r="K44" s="65" t="s">
        <v>576</v>
      </c>
      <c r="L44" s="65" t="s">
        <v>567</v>
      </c>
      <c r="M44" s="68"/>
      <c r="N44" s="66" t="s">
        <v>637</v>
      </c>
    </row>
    <row r="45" spans="1:14" ht="152" x14ac:dyDescent="0.35">
      <c r="A45" s="51">
        <v>33</v>
      </c>
      <c r="B45" s="55" t="s">
        <v>572</v>
      </c>
      <c r="C45" s="53">
        <v>6</v>
      </c>
      <c r="D45" s="28" t="s">
        <v>124</v>
      </c>
      <c r="E45" s="30" t="s">
        <v>36</v>
      </c>
      <c r="F45" s="34">
        <v>614</v>
      </c>
      <c r="G45" s="34" t="s">
        <v>455</v>
      </c>
      <c r="H45" s="34"/>
      <c r="I45" s="34" t="s">
        <v>125</v>
      </c>
      <c r="J45" s="65" t="s">
        <v>4</v>
      </c>
      <c r="K45" s="65" t="s">
        <v>576</v>
      </c>
      <c r="L45" s="65" t="s">
        <v>567</v>
      </c>
      <c r="M45" s="68"/>
      <c r="N45" s="66" t="s">
        <v>638</v>
      </c>
    </row>
    <row r="46" spans="1:14" ht="152" x14ac:dyDescent="0.35">
      <c r="A46" s="51">
        <v>34</v>
      </c>
      <c r="B46" s="55" t="s">
        <v>572</v>
      </c>
      <c r="C46" s="53">
        <v>6</v>
      </c>
      <c r="D46" s="28" t="s">
        <v>132</v>
      </c>
      <c r="E46" s="30" t="s">
        <v>36</v>
      </c>
      <c r="F46" s="34">
        <v>615</v>
      </c>
      <c r="G46" s="34"/>
      <c r="H46" s="34"/>
      <c r="I46" s="34" t="s">
        <v>117</v>
      </c>
      <c r="J46" s="65" t="s">
        <v>4</v>
      </c>
      <c r="K46" s="65" t="s">
        <v>576</v>
      </c>
      <c r="L46" s="65" t="s">
        <v>567</v>
      </c>
      <c r="M46" s="68"/>
      <c r="N46" s="66" t="s">
        <v>639</v>
      </c>
    </row>
    <row r="47" spans="1:14" ht="152" x14ac:dyDescent="0.35">
      <c r="A47" s="51">
        <v>35</v>
      </c>
      <c r="B47" s="55" t="s">
        <v>572</v>
      </c>
      <c r="C47" s="53">
        <v>6</v>
      </c>
      <c r="D47" s="28" t="s">
        <v>58</v>
      </c>
      <c r="E47" s="30" t="s">
        <v>36</v>
      </c>
      <c r="F47" s="34" t="s">
        <v>108</v>
      </c>
      <c r="G47" s="34" t="s">
        <v>414</v>
      </c>
      <c r="H47" s="34"/>
      <c r="I47" s="34"/>
      <c r="J47" s="65" t="s">
        <v>4</v>
      </c>
      <c r="K47" s="65" t="s">
        <v>576</v>
      </c>
      <c r="L47" s="65" t="s">
        <v>567</v>
      </c>
      <c r="M47" s="68"/>
      <c r="N47" s="66" t="s">
        <v>640</v>
      </c>
    </row>
    <row r="48" spans="1:14" s="50" customFormat="1" ht="152" x14ac:dyDescent="0.35">
      <c r="A48" s="51">
        <v>36</v>
      </c>
      <c r="B48" s="55" t="s">
        <v>572</v>
      </c>
      <c r="C48" s="53">
        <v>6</v>
      </c>
      <c r="D48" s="28" t="s">
        <v>519</v>
      </c>
      <c r="E48" s="30" t="s">
        <v>524</v>
      </c>
      <c r="F48" s="34" t="s">
        <v>139</v>
      </c>
      <c r="G48" s="34" t="s">
        <v>526</v>
      </c>
      <c r="H48" s="34" t="s">
        <v>525</v>
      </c>
      <c r="I48" s="34" t="s">
        <v>143</v>
      </c>
      <c r="J48" s="65" t="s">
        <v>4</v>
      </c>
      <c r="K48" s="65" t="s">
        <v>576</v>
      </c>
      <c r="L48" s="65" t="s">
        <v>567</v>
      </c>
      <c r="M48" s="68"/>
      <c r="N48" s="66" t="s">
        <v>641</v>
      </c>
    </row>
    <row r="49" spans="1:14" ht="168" x14ac:dyDescent="0.35">
      <c r="A49" s="51">
        <v>37</v>
      </c>
      <c r="B49" s="55" t="s">
        <v>572</v>
      </c>
      <c r="C49" s="53">
        <v>6</v>
      </c>
      <c r="D49" s="28" t="s">
        <v>53</v>
      </c>
      <c r="E49" s="30" t="s">
        <v>36</v>
      </c>
      <c r="F49" s="34" t="s">
        <v>496</v>
      </c>
      <c r="G49" s="34" t="s">
        <v>501</v>
      </c>
      <c r="H49" s="34">
        <v>203</v>
      </c>
      <c r="I49" s="34" t="s">
        <v>502</v>
      </c>
      <c r="J49" s="65" t="s">
        <v>4</v>
      </c>
      <c r="K49" s="65" t="s">
        <v>594</v>
      </c>
      <c r="L49" s="65" t="s">
        <v>567</v>
      </c>
      <c r="M49" s="68"/>
      <c r="N49" s="66" t="s">
        <v>642</v>
      </c>
    </row>
    <row r="50" spans="1:14" ht="312" x14ac:dyDescent="0.35">
      <c r="A50" s="51">
        <v>38</v>
      </c>
      <c r="B50" s="55" t="s">
        <v>574</v>
      </c>
      <c r="C50" s="53">
        <v>7</v>
      </c>
      <c r="D50" s="28" t="s">
        <v>518</v>
      </c>
      <c r="E50" s="30" t="s">
        <v>36</v>
      </c>
      <c r="F50" s="34" t="s">
        <v>111</v>
      </c>
      <c r="G50" s="34" t="s">
        <v>421</v>
      </c>
      <c r="H50" s="34"/>
      <c r="I50" s="34" t="s">
        <v>112</v>
      </c>
      <c r="J50" s="65" t="s">
        <v>4</v>
      </c>
      <c r="K50" s="65" t="s">
        <v>576</v>
      </c>
      <c r="L50" s="65" t="s">
        <v>567</v>
      </c>
      <c r="M50" s="66" t="s">
        <v>643</v>
      </c>
      <c r="N50" s="66" t="s">
        <v>644</v>
      </c>
    </row>
    <row r="51" spans="1:14" ht="152" x14ac:dyDescent="0.35">
      <c r="A51" s="51">
        <v>39</v>
      </c>
      <c r="B51" s="55" t="s">
        <v>574</v>
      </c>
      <c r="C51" s="53">
        <v>7</v>
      </c>
      <c r="D51" s="28" t="s">
        <v>76</v>
      </c>
      <c r="E51" s="30" t="s">
        <v>36</v>
      </c>
      <c r="F51" s="34">
        <v>606</v>
      </c>
      <c r="G51" s="34" t="s">
        <v>419</v>
      </c>
      <c r="H51" s="34"/>
      <c r="I51" s="34">
        <v>122</v>
      </c>
      <c r="J51" s="65" t="s">
        <v>4</v>
      </c>
      <c r="K51" s="65" t="s">
        <v>576</v>
      </c>
      <c r="L51" s="65" t="s">
        <v>567</v>
      </c>
      <c r="M51" s="68"/>
      <c r="N51" s="66" t="s">
        <v>645</v>
      </c>
    </row>
    <row r="52" spans="1:14" ht="152" x14ac:dyDescent="0.35">
      <c r="A52" s="51">
        <v>40</v>
      </c>
      <c r="B52" s="55" t="s">
        <v>574</v>
      </c>
      <c r="C52" s="53">
        <v>7</v>
      </c>
      <c r="D52" s="28" t="s">
        <v>56</v>
      </c>
      <c r="E52" s="30" t="s">
        <v>36</v>
      </c>
      <c r="F52" s="34">
        <v>608</v>
      </c>
      <c r="G52" s="34" t="s">
        <v>412</v>
      </c>
      <c r="H52" s="34"/>
      <c r="I52" s="34"/>
      <c r="J52" s="65" t="s">
        <v>4</v>
      </c>
      <c r="K52" s="65" t="s">
        <v>576</v>
      </c>
      <c r="L52" s="65" t="s">
        <v>567</v>
      </c>
      <c r="M52" s="68"/>
      <c r="N52" s="66" t="s">
        <v>646</v>
      </c>
    </row>
    <row r="53" spans="1:14" ht="152" x14ac:dyDescent="0.35">
      <c r="A53" s="51">
        <v>41</v>
      </c>
      <c r="B53" s="55" t="s">
        <v>574</v>
      </c>
      <c r="C53" s="53">
        <v>7</v>
      </c>
      <c r="D53" s="28" t="s">
        <v>518</v>
      </c>
      <c r="E53" s="30" t="s">
        <v>36</v>
      </c>
      <c r="F53" s="34" t="s">
        <v>595</v>
      </c>
      <c r="G53" s="34" t="s">
        <v>421</v>
      </c>
      <c r="H53" s="34"/>
      <c r="I53" s="34" t="s">
        <v>112</v>
      </c>
      <c r="J53" s="65" t="s">
        <v>4</v>
      </c>
      <c r="K53" s="65" t="s">
        <v>576</v>
      </c>
      <c r="L53" s="65" t="s">
        <v>567</v>
      </c>
      <c r="M53" s="68"/>
      <c r="N53" s="66" t="s">
        <v>647</v>
      </c>
    </row>
    <row r="54" spans="1:14" ht="152" x14ac:dyDescent="0.35">
      <c r="A54" s="51">
        <v>42</v>
      </c>
      <c r="B54" s="55" t="s">
        <v>574</v>
      </c>
      <c r="C54" s="53">
        <v>7</v>
      </c>
      <c r="D54" s="28" t="s">
        <v>59</v>
      </c>
      <c r="E54" s="30" t="s">
        <v>36</v>
      </c>
      <c r="F54" s="34">
        <v>612</v>
      </c>
      <c r="G54" s="34" t="s">
        <v>416</v>
      </c>
      <c r="H54" s="34" t="s">
        <v>415</v>
      </c>
      <c r="I54" s="34">
        <v>632</v>
      </c>
      <c r="J54" s="65" t="s">
        <v>4</v>
      </c>
      <c r="K54" s="65" t="s">
        <v>576</v>
      </c>
      <c r="L54" s="65" t="s">
        <v>567</v>
      </c>
      <c r="M54" s="68"/>
      <c r="N54" s="66" t="s">
        <v>648</v>
      </c>
    </row>
    <row r="55" spans="1:14" ht="152" x14ac:dyDescent="0.35">
      <c r="A55" s="51">
        <v>43</v>
      </c>
      <c r="B55" s="55" t="s">
        <v>574</v>
      </c>
      <c r="C55" s="53">
        <v>7</v>
      </c>
      <c r="D55" s="28" t="s">
        <v>124</v>
      </c>
      <c r="E55" s="30" t="s">
        <v>36</v>
      </c>
      <c r="F55" s="34">
        <v>614</v>
      </c>
      <c r="G55" s="34" t="s">
        <v>455</v>
      </c>
      <c r="H55" s="34"/>
      <c r="I55" s="34" t="s">
        <v>125</v>
      </c>
      <c r="J55" s="65" t="s">
        <v>4</v>
      </c>
      <c r="K55" s="65" t="s">
        <v>576</v>
      </c>
      <c r="L55" s="65" t="s">
        <v>567</v>
      </c>
      <c r="M55" s="68"/>
      <c r="N55" s="66" t="s">
        <v>649</v>
      </c>
    </row>
    <row r="56" spans="1:14" ht="152" x14ac:dyDescent="0.35">
      <c r="A56" s="51">
        <v>44</v>
      </c>
      <c r="B56" s="55" t="s">
        <v>574</v>
      </c>
      <c r="C56" s="53">
        <v>7</v>
      </c>
      <c r="D56" s="28" t="s">
        <v>57</v>
      </c>
      <c r="E56" s="30" t="s">
        <v>36</v>
      </c>
      <c r="F56" s="34">
        <v>616</v>
      </c>
      <c r="G56" s="34" t="s">
        <v>413</v>
      </c>
      <c r="H56" s="34"/>
      <c r="I56" s="34"/>
      <c r="J56" s="65" t="s">
        <v>4</v>
      </c>
      <c r="K56" s="65" t="s">
        <v>576</v>
      </c>
      <c r="L56" s="65" t="s">
        <v>567</v>
      </c>
      <c r="M56" s="68"/>
      <c r="N56" s="66" t="s">
        <v>650</v>
      </c>
    </row>
    <row r="57" spans="1:14" ht="152" x14ac:dyDescent="0.35">
      <c r="A57" s="51">
        <v>45</v>
      </c>
      <c r="B57" s="55" t="s">
        <v>574</v>
      </c>
      <c r="C57" s="53">
        <v>7</v>
      </c>
      <c r="D57" s="28" t="s">
        <v>85</v>
      </c>
      <c r="E57" s="30" t="s">
        <v>36</v>
      </c>
      <c r="F57" s="34">
        <v>621</v>
      </c>
      <c r="G57" s="34" t="s">
        <v>399</v>
      </c>
      <c r="H57" s="34" t="s">
        <v>398</v>
      </c>
      <c r="I57" s="34">
        <v>90</v>
      </c>
      <c r="J57" s="65" t="s">
        <v>4</v>
      </c>
      <c r="K57" s="65" t="s">
        <v>576</v>
      </c>
      <c r="L57" s="65" t="s">
        <v>567</v>
      </c>
      <c r="M57" s="68"/>
      <c r="N57" s="66" t="s">
        <v>651</v>
      </c>
    </row>
    <row r="58" spans="1:14" ht="152" x14ac:dyDescent="0.35">
      <c r="A58" s="51">
        <v>46</v>
      </c>
      <c r="B58" s="55" t="s">
        <v>574</v>
      </c>
      <c r="C58" s="53">
        <v>7</v>
      </c>
      <c r="D58" s="28" t="s">
        <v>132</v>
      </c>
      <c r="E58" s="30" t="s">
        <v>36</v>
      </c>
      <c r="F58" s="34">
        <v>615</v>
      </c>
      <c r="G58" s="34"/>
      <c r="H58" s="34"/>
      <c r="I58" s="34" t="s">
        <v>117</v>
      </c>
      <c r="J58" s="65" t="s">
        <v>4</v>
      </c>
      <c r="K58" s="65" t="s">
        <v>576</v>
      </c>
      <c r="L58" s="65" t="s">
        <v>567</v>
      </c>
      <c r="M58" s="68"/>
      <c r="N58" s="66" t="s">
        <v>652</v>
      </c>
    </row>
    <row r="59" spans="1:14" ht="152" x14ac:dyDescent="0.35">
      <c r="A59" s="51">
        <v>47</v>
      </c>
      <c r="B59" s="55" t="s">
        <v>574</v>
      </c>
      <c r="C59" s="53">
        <v>7</v>
      </c>
      <c r="D59" s="28" t="s">
        <v>65</v>
      </c>
      <c r="E59" s="30" t="s">
        <v>36</v>
      </c>
      <c r="F59" s="34">
        <v>626</v>
      </c>
      <c r="G59" s="34" t="s">
        <v>424</v>
      </c>
      <c r="H59" s="34"/>
      <c r="I59" s="34">
        <v>1</v>
      </c>
      <c r="J59" s="65" t="s">
        <v>4</v>
      </c>
      <c r="K59" s="65" t="s">
        <v>576</v>
      </c>
      <c r="L59" s="65" t="s">
        <v>567</v>
      </c>
      <c r="M59" s="68"/>
      <c r="N59" s="66" t="s">
        <v>653</v>
      </c>
    </row>
    <row r="60" spans="1:14" ht="168" x14ac:dyDescent="0.35">
      <c r="A60" s="51">
        <v>48</v>
      </c>
      <c r="B60" s="55" t="s">
        <v>574</v>
      </c>
      <c r="C60" s="53">
        <v>7</v>
      </c>
      <c r="D60" s="28" t="s">
        <v>5</v>
      </c>
      <c r="E60" s="30" t="s">
        <v>36</v>
      </c>
      <c r="F60" s="34">
        <v>623</v>
      </c>
      <c r="G60" s="34"/>
      <c r="H60" s="34"/>
      <c r="I60" s="34"/>
      <c r="J60" s="65" t="s">
        <v>4</v>
      </c>
      <c r="K60" s="65" t="s">
        <v>594</v>
      </c>
      <c r="L60" s="65" t="s">
        <v>567</v>
      </c>
      <c r="M60" s="68"/>
      <c r="N60" s="66" t="s">
        <v>654</v>
      </c>
    </row>
    <row r="61" spans="1:14" ht="152" x14ac:dyDescent="0.35">
      <c r="A61" s="51">
        <v>49</v>
      </c>
      <c r="B61" s="55" t="s">
        <v>582</v>
      </c>
      <c r="C61" s="53">
        <v>8</v>
      </c>
      <c r="D61" s="28" t="s">
        <v>16</v>
      </c>
      <c r="E61" s="30" t="s">
        <v>36</v>
      </c>
      <c r="F61" s="34">
        <v>605</v>
      </c>
      <c r="G61" s="34" t="s">
        <v>453</v>
      </c>
      <c r="H61" s="34"/>
      <c r="I61" s="34" t="s">
        <v>503</v>
      </c>
      <c r="J61" s="65" t="s">
        <v>4</v>
      </c>
      <c r="K61" s="65" t="s">
        <v>576</v>
      </c>
      <c r="L61" s="65" t="s">
        <v>567</v>
      </c>
      <c r="M61" s="68"/>
      <c r="N61" s="66" t="s">
        <v>655</v>
      </c>
    </row>
    <row r="62" spans="1:14" ht="152" x14ac:dyDescent="0.35">
      <c r="A62" s="51">
        <v>50</v>
      </c>
      <c r="B62" s="55" t="s">
        <v>582</v>
      </c>
      <c r="C62" s="53">
        <v>8</v>
      </c>
      <c r="D62" s="28" t="s">
        <v>50</v>
      </c>
      <c r="E62" s="30" t="s">
        <v>48</v>
      </c>
      <c r="F62" s="34">
        <v>606</v>
      </c>
      <c r="G62" s="34" t="s">
        <v>431</v>
      </c>
      <c r="H62" s="34"/>
      <c r="I62" s="34">
        <v>664</v>
      </c>
      <c r="J62" s="65" t="s">
        <v>4</v>
      </c>
      <c r="K62" s="65" t="s">
        <v>576</v>
      </c>
      <c r="L62" s="65" t="s">
        <v>567</v>
      </c>
      <c r="M62" s="68"/>
      <c r="N62" s="66" t="s">
        <v>656</v>
      </c>
    </row>
    <row r="63" spans="1:14" ht="152" x14ac:dyDescent="0.35">
      <c r="A63" s="51">
        <v>51</v>
      </c>
      <c r="B63" s="55" t="s">
        <v>582</v>
      </c>
      <c r="C63" s="53">
        <v>8</v>
      </c>
      <c r="D63" s="28" t="s">
        <v>56</v>
      </c>
      <c r="E63" s="30" t="s">
        <v>36</v>
      </c>
      <c r="F63" s="34">
        <v>608</v>
      </c>
      <c r="G63" s="34" t="s">
        <v>412</v>
      </c>
      <c r="H63" s="34"/>
      <c r="I63" s="34"/>
      <c r="J63" s="65" t="s">
        <v>4</v>
      </c>
      <c r="K63" s="65" t="s">
        <v>576</v>
      </c>
      <c r="L63" s="65" t="s">
        <v>567</v>
      </c>
      <c r="M63" s="68"/>
      <c r="N63" s="66" t="s">
        <v>657</v>
      </c>
    </row>
    <row r="64" spans="1:14" ht="152" x14ac:dyDescent="0.35">
      <c r="A64" s="51">
        <v>52</v>
      </c>
      <c r="B64" s="55" t="s">
        <v>582</v>
      </c>
      <c r="C64" s="53">
        <v>8</v>
      </c>
      <c r="D64" s="28" t="s">
        <v>518</v>
      </c>
      <c r="E64" s="30" t="s">
        <v>36</v>
      </c>
      <c r="F64" s="34" t="s">
        <v>111</v>
      </c>
      <c r="G64" s="34" t="s">
        <v>421</v>
      </c>
      <c r="H64" s="34"/>
      <c r="I64" s="34" t="s">
        <v>112</v>
      </c>
      <c r="J64" s="65" t="s">
        <v>4</v>
      </c>
      <c r="K64" s="65" t="s">
        <v>576</v>
      </c>
      <c r="L64" s="65" t="s">
        <v>567</v>
      </c>
      <c r="M64" s="68"/>
      <c r="N64" s="66" t="s">
        <v>658</v>
      </c>
    </row>
    <row r="65" spans="1:14" ht="152" x14ac:dyDescent="0.35">
      <c r="A65" s="51">
        <v>53</v>
      </c>
      <c r="B65" s="55" t="s">
        <v>582</v>
      </c>
      <c r="C65" s="53">
        <v>8</v>
      </c>
      <c r="D65" s="28" t="s">
        <v>126</v>
      </c>
      <c r="E65" s="30" t="s">
        <v>36</v>
      </c>
      <c r="F65" s="34">
        <v>614</v>
      </c>
      <c r="G65" s="34" t="s">
        <v>456</v>
      </c>
      <c r="H65" s="34"/>
      <c r="I65" s="34">
        <v>876</v>
      </c>
      <c r="J65" s="65" t="s">
        <v>4</v>
      </c>
      <c r="K65" s="65" t="s">
        <v>576</v>
      </c>
      <c r="L65" s="65" t="s">
        <v>567</v>
      </c>
      <c r="M65" s="68"/>
      <c r="N65" s="66" t="s">
        <v>659</v>
      </c>
    </row>
    <row r="66" spans="1:14" ht="152" x14ac:dyDescent="0.35">
      <c r="A66" s="51">
        <v>54</v>
      </c>
      <c r="B66" s="55" t="s">
        <v>582</v>
      </c>
      <c r="C66" s="53">
        <v>8</v>
      </c>
      <c r="D66" s="28" t="s">
        <v>58</v>
      </c>
      <c r="E66" s="30" t="s">
        <v>36</v>
      </c>
      <c r="F66" s="34" t="s">
        <v>108</v>
      </c>
      <c r="G66" s="34" t="s">
        <v>414</v>
      </c>
      <c r="H66" s="34"/>
      <c r="I66" s="34"/>
      <c r="J66" s="65" t="s">
        <v>4</v>
      </c>
      <c r="K66" s="65" t="s">
        <v>576</v>
      </c>
      <c r="L66" s="65" t="s">
        <v>567</v>
      </c>
      <c r="M66" s="68"/>
      <c r="N66" s="66" t="s">
        <v>660</v>
      </c>
    </row>
    <row r="67" spans="1:14" ht="152" x14ac:dyDescent="0.35">
      <c r="A67" s="51">
        <v>55</v>
      </c>
      <c r="B67" s="55" t="s">
        <v>582</v>
      </c>
      <c r="C67" s="53">
        <v>8</v>
      </c>
      <c r="D67" s="28" t="s">
        <v>135</v>
      </c>
      <c r="E67" s="30" t="s">
        <v>36</v>
      </c>
      <c r="F67" s="34">
        <v>615</v>
      </c>
      <c r="G67" s="34">
        <v>300155</v>
      </c>
      <c r="H67" s="34"/>
      <c r="I67" s="34" t="s">
        <v>134</v>
      </c>
      <c r="J67" s="65" t="s">
        <v>4</v>
      </c>
      <c r="K67" s="65" t="s">
        <v>576</v>
      </c>
      <c r="L67" s="65" t="s">
        <v>567</v>
      </c>
      <c r="M67" s="68"/>
      <c r="N67" s="66" t="s">
        <v>661</v>
      </c>
    </row>
    <row r="68" spans="1:14" ht="168" x14ac:dyDescent="0.35">
      <c r="A68" s="51">
        <v>56</v>
      </c>
      <c r="B68" s="55" t="s">
        <v>582</v>
      </c>
      <c r="C68" s="53">
        <v>8</v>
      </c>
      <c r="D68" s="28" t="s">
        <v>5</v>
      </c>
      <c r="E68" s="30" t="s">
        <v>36</v>
      </c>
      <c r="F68" s="34">
        <v>603</v>
      </c>
      <c r="G68" s="34" t="s">
        <v>450</v>
      </c>
      <c r="H68" s="35" t="s">
        <v>449</v>
      </c>
      <c r="I68" s="34">
        <v>632</v>
      </c>
      <c r="J68" s="65" t="s">
        <v>4</v>
      </c>
      <c r="K68" s="65" t="s">
        <v>594</v>
      </c>
      <c r="L68" s="65" t="s">
        <v>567</v>
      </c>
      <c r="M68" s="68"/>
      <c r="N68" s="66" t="s">
        <v>662</v>
      </c>
    </row>
    <row r="69" spans="1:14" ht="312" x14ac:dyDescent="0.35">
      <c r="A69" s="51">
        <v>57</v>
      </c>
      <c r="B69" s="55" t="s">
        <v>583</v>
      </c>
      <c r="C69" s="53">
        <v>9</v>
      </c>
      <c r="D69" s="28" t="s">
        <v>99</v>
      </c>
      <c r="E69" s="30" t="s">
        <v>36</v>
      </c>
      <c r="F69" s="34">
        <v>612</v>
      </c>
      <c r="G69" s="34" t="s">
        <v>95</v>
      </c>
      <c r="H69" s="34"/>
      <c r="I69" s="34">
        <v>632</v>
      </c>
      <c r="J69" s="65" t="s">
        <v>4</v>
      </c>
      <c r="K69" s="65" t="s">
        <v>576</v>
      </c>
      <c r="L69" s="65" t="s">
        <v>567</v>
      </c>
      <c r="M69" s="66" t="s">
        <v>664</v>
      </c>
      <c r="N69" s="66" t="s">
        <v>663</v>
      </c>
    </row>
    <row r="70" spans="1:14" ht="152" x14ac:dyDescent="0.35">
      <c r="A70" s="51">
        <v>58</v>
      </c>
      <c r="B70" s="55" t="s">
        <v>583</v>
      </c>
      <c r="C70" s="53">
        <v>9</v>
      </c>
      <c r="D70" s="28" t="s">
        <v>73</v>
      </c>
      <c r="E70" s="30" t="s">
        <v>36</v>
      </c>
      <c r="F70" s="34">
        <v>621</v>
      </c>
      <c r="G70" s="34" t="s">
        <v>433</v>
      </c>
      <c r="H70" s="34"/>
      <c r="I70" s="34">
        <v>632</v>
      </c>
      <c r="J70" s="65" t="s">
        <v>4</v>
      </c>
      <c r="K70" s="65" t="s">
        <v>576</v>
      </c>
      <c r="L70" s="65" t="s">
        <v>567</v>
      </c>
      <c r="M70" s="68"/>
      <c r="N70" s="66" t="s">
        <v>665</v>
      </c>
    </row>
    <row r="71" spans="1:14" ht="152" x14ac:dyDescent="0.35">
      <c r="A71" s="51">
        <v>59</v>
      </c>
      <c r="B71" s="55" t="s">
        <v>583</v>
      </c>
      <c r="C71" s="53">
        <v>9</v>
      </c>
      <c r="D71" s="28" t="s">
        <v>145</v>
      </c>
      <c r="E71" s="30" t="s">
        <v>36</v>
      </c>
      <c r="F71" s="34">
        <v>626</v>
      </c>
      <c r="G71" s="34" t="s">
        <v>468</v>
      </c>
      <c r="H71" s="34"/>
      <c r="I71" s="34">
        <v>632</v>
      </c>
      <c r="J71" s="65" t="s">
        <v>4</v>
      </c>
      <c r="K71" s="65" t="s">
        <v>576</v>
      </c>
      <c r="L71" s="65" t="s">
        <v>567</v>
      </c>
      <c r="M71" s="68"/>
      <c r="N71" s="66" t="s">
        <v>666</v>
      </c>
    </row>
    <row r="72" spans="1:14" ht="168" x14ac:dyDescent="0.35">
      <c r="A72" s="51">
        <v>60</v>
      </c>
      <c r="B72" s="55" t="s">
        <v>583</v>
      </c>
      <c r="C72" s="53">
        <v>9</v>
      </c>
      <c r="D72" s="28" t="s">
        <v>55</v>
      </c>
      <c r="E72" s="30" t="s">
        <v>36</v>
      </c>
      <c r="F72" s="34">
        <v>605</v>
      </c>
      <c r="G72" s="34" t="s">
        <v>409</v>
      </c>
      <c r="H72" s="34"/>
      <c r="I72" s="34">
        <v>258</v>
      </c>
      <c r="J72" s="65" t="s">
        <v>4</v>
      </c>
      <c r="K72" s="65" t="s">
        <v>594</v>
      </c>
      <c r="L72" s="65" t="s">
        <v>567</v>
      </c>
      <c r="M72" s="68"/>
      <c r="N72" s="66" t="s">
        <v>667</v>
      </c>
    </row>
    <row r="73" spans="1:14" ht="312" x14ac:dyDescent="0.35">
      <c r="A73" s="51">
        <v>61</v>
      </c>
      <c r="B73" s="55" t="s">
        <v>584</v>
      </c>
      <c r="C73" s="53">
        <v>10</v>
      </c>
      <c r="D73" s="28" t="s">
        <v>99</v>
      </c>
      <c r="E73" s="30" t="s">
        <v>36</v>
      </c>
      <c r="F73" s="34">
        <v>612</v>
      </c>
      <c r="G73" s="34" t="s">
        <v>95</v>
      </c>
      <c r="H73" s="34"/>
      <c r="I73" s="34">
        <v>632</v>
      </c>
      <c r="J73" s="65" t="s">
        <v>4</v>
      </c>
      <c r="K73" s="65" t="s">
        <v>576</v>
      </c>
      <c r="L73" s="65" t="s">
        <v>567</v>
      </c>
      <c r="M73" s="66" t="s">
        <v>669</v>
      </c>
      <c r="N73" s="66" t="s">
        <v>668</v>
      </c>
    </row>
    <row r="74" spans="1:14" ht="168" x14ac:dyDescent="0.35">
      <c r="A74" s="51">
        <v>62</v>
      </c>
      <c r="B74" s="55" t="s">
        <v>584</v>
      </c>
      <c r="C74" s="53">
        <v>10</v>
      </c>
      <c r="D74" s="28" t="s">
        <v>24</v>
      </c>
      <c r="E74" s="30" t="s">
        <v>36</v>
      </c>
      <c r="F74" s="61" t="s">
        <v>110</v>
      </c>
      <c r="G74" s="34" t="s">
        <v>512</v>
      </c>
      <c r="H74" s="34"/>
      <c r="I74" s="34" t="s">
        <v>558</v>
      </c>
      <c r="J74" s="65" t="s">
        <v>4</v>
      </c>
      <c r="K74" s="65" t="s">
        <v>594</v>
      </c>
      <c r="L74" s="65" t="s">
        <v>567</v>
      </c>
      <c r="M74" s="68"/>
      <c r="N74" s="66" t="s">
        <v>670</v>
      </c>
    </row>
    <row r="75" spans="1:14" ht="152" x14ac:dyDescent="0.35">
      <c r="A75" s="51">
        <v>63</v>
      </c>
      <c r="B75" s="55" t="s">
        <v>584</v>
      </c>
      <c r="C75" s="53">
        <v>10</v>
      </c>
      <c r="D75" s="28" t="s">
        <v>145</v>
      </c>
      <c r="E75" s="30" t="s">
        <v>36</v>
      </c>
      <c r="F75" s="34">
        <v>626</v>
      </c>
      <c r="G75" s="34" t="s">
        <v>468</v>
      </c>
      <c r="H75" s="34"/>
      <c r="I75" s="34">
        <v>632</v>
      </c>
      <c r="J75" s="65" t="s">
        <v>4</v>
      </c>
      <c r="K75" s="65" t="s">
        <v>576</v>
      </c>
      <c r="L75" s="65" t="s">
        <v>567</v>
      </c>
      <c r="M75" s="68"/>
      <c r="N75" s="66" t="s">
        <v>671</v>
      </c>
    </row>
    <row r="76" spans="1:14" ht="168" x14ac:dyDescent="0.35">
      <c r="A76" s="51">
        <v>64</v>
      </c>
      <c r="B76" s="55" t="s">
        <v>584</v>
      </c>
      <c r="C76" s="53">
        <v>10</v>
      </c>
      <c r="D76" s="28" t="s">
        <v>96</v>
      </c>
      <c r="E76" s="30" t="s">
        <v>36</v>
      </c>
      <c r="F76" s="61">
        <v>605</v>
      </c>
      <c r="G76" s="34" t="s">
        <v>403</v>
      </c>
      <c r="H76" s="34"/>
      <c r="I76" s="34">
        <v>898</v>
      </c>
      <c r="J76" s="65" t="s">
        <v>4</v>
      </c>
      <c r="K76" s="65" t="s">
        <v>594</v>
      </c>
      <c r="L76" s="65" t="s">
        <v>567</v>
      </c>
      <c r="M76" s="68"/>
      <c r="N76" s="66" t="s">
        <v>672</v>
      </c>
    </row>
    <row r="77" spans="1:14" ht="168" x14ac:dyDescent="0.35">
      <c r="A77" s="51">
        <v>65</v>
      </c>
      <c r="B77" s="55" t="s">
        <v>565</v>
      </c>
      <c r="C77" s="53">
        <v>7</v>
      </c>
      <c r="D77" s="28" t="s">
        <v>2</v>
      </c>
      <c r="E77" s="30" t="s">
        <v>36</v>
      </c>
      <c r="F77" s="34">
        <v>622</v>
      </c>
      <c r="G77" s="34">
        <v>300155</v>
      </c>
      <c r="H77" s="34"/>
      <c r="I77" s="34">
        <v>83</v>
      </c>
      <c r="J77" s="65" t="s">
        <v>4</v>
      </c>
      <c r="K77" s="65" t="s">
        <v>594</v>
      </c>
      <c r="L77" s="65" t="s">
        <v>567</v>
      </c>
      <c r="M77" s="68"/>
      <c r="N77" s="66" t="s">
        <v>673</v>
      </c>
    </row>
    <row r="78" spans="1:14" ht="152" x14ac:dyDescent="0.35">
      <c r="A78" s="51">
        <v>66</v>
      </c>
      <c r="B78" s="55" t="s">
        <v>565</v>
      </c>
      <c r="C78" s="53">
        <v>7</v>
      </c>
      <c r="D78" s="28" t="s">
        <v>7</v>
      </c>
      <c r="E78" s="30" t="s">
        <v>36</v>
      </c>
      <c r="F78" s="34" t="s">
        <v>477</v>
      </c>
      <c r="G78" s="34" t="s">
        <v>478</v>
      </c>
      <c r="H78" s="34"/>
      <c r="I78" s="34">
        <v>2307</v>
      </c>
      <c r="J78" s="65" t="s">
        <v>4</v>
      </c>
      <c r="K78" s="65" t="s">
        <v>594</v>
      </c>
      <c r="L78" s="65" t="s">
        <v>567</v>
      </c>
      <c r="M78" s="68"/>
      <c r="N78" s="66" t="s">
        <v>674</v>
      </c>
    </row>
    <row r="79" spans="1:14" ht="152" x14ac:dyDescent="0.35">
      <c r="A79" s="51">
        <v>67</v>
      </c>
      <c r="B79" s="55" t="s">
        <v>565</v>
      </c>
      <c r="C79" s="53">
        <v>7</v>
      </c>
      <c r="D79" s="28" t="s">
        <v>13</v>
      </c>
      <c r="E79" s="30" t="s">
        <v>36</v>
      </c>
      <c r="F79" s="34" t="s">
        <v>110</v>
      </c>
      <c r="G79" s="34" t="s">
        <v>479</v>
      </c>
      <c r="H79" s="34"/>
      <c r="I79" s="34">
        <v>491</v>
      </c>
      <c r="J79" s="65" t="s">
        <v>4</v>
      </c>
      <c r="K79" s="65" t="s">
        <v>594</v>
      </c>
      <c r="L79" s="65" t="s">
        <v>567</v>
      </c>
      <c r="M79" s="68"/>
      <c r="N79" s="66" t="s">
        <v>675</v>
      </c>
    </row>
    <row r="80" spans="1:14" ht="152" x14ac:dyDescent="0.35">
      <c r="A80" s="51">
        <v>68</v>
      </c>
      <c r="B80" s="55" t="s">
        <v>565</v>
      </c>
      <c r="C80" s="53">
        <v>7</v>
      </c>
      <c r="D80" s="28" t="s">
        <v>14</v>
      </c>
      <c r="E80" s="30" t="s">
        <v>36</v>
      </c>
      <c r="F80" s="34">
        <v>605</v>
      </c>
      <c r="G80" s="34" t="s">
        <v>479</v>
      </c>
      <c r="H80" s="34"/>
      <c r="I80" s="34">
        <v>907</v>
      </c>
      <c r="J80" s="65" t="s">
        <v>4</v>
      </c>
      <c r="K80" s="65" t="s">
        <v>594</v>
      </c>
      <c r="L80" s="65" t="s">
        <v>567</v>
      </c>
      <c r="M80" s="68"/>
      <c r="N80" s="66" t="s">
        <v>676</v>
      </c>
    </row>
    <row r="81" spans="1:14" ht="152" x14ac:dyDescent="0.35">
      <c r="A81" s="51">
        <v>69</v>
      </c>
      <c r="B81" s="55" t="s">
        <v>565</v>
      </c>
      <c r="C81" s="53">
        <v>7</v>
      </c>
      <c r="D81" s="28" t="s">
        <v>38</v>
      </c>
      <c r="E81" s="30" t="s">
        <v>36</v>
      </c>
      <c r="F81" s="34" t="s">
        <v>110</v>
      </c>
      <c r="G81" s="34" t="s">
        <v>479</v>
      </c>
      <c r="H81" s="34"/>
      <c r="I81" s="34">
        <v>405</v>
      </c>
      <c r="J81" s="65" t="s">
        <v>4</v>
      </c>
      <c r="K81" s="65" t="s">
        <v>594</v>
      </c>
      <c r="L81" s="65" t="s">
        <v>567</v>
      </c>
      <c r="M81" s="68"/>
      <c r="N81" s="66" t="s">
        <v>677</v>
      </c>
    </row>
    <row r="82" spans="1:14" ht="152" x14ac:dyDescent="0.35">
      <c r="A82" s="51">
        <v>70</v>
      </c>
      <c r="B82" s="55" t="s">
        <v>565</v>
      </c>
      <c r="C82" s="53">
        <v>7</v>
      </c>
      <c r="D82" s="28" t="s">
        <v>39</v>
      </c>
      <c r="E82" s="30" t="s">
        <v>36</v>
      </c>
      <c r="F82" s="34" t="s">
        <v>114</v>
      </c>
      <c r="G82" s="34" t="s">
        <v>480</v>
      </c>
      <c r="H82" s="34"/>
      <c r="I82" s="34" t="s">
        <v>481</v>
      </c>
      <c r="J82" s="65" t="s">
        <v>4</v>
      </c>
      <c r="K82" s="65" t="s">
        <v>594</v>
      </c>
      <c r="L82" s="65" t="s">
        <v>567</v>
      </c>
      <c r="M82" s="68"/>
      <c r="N82" s="66" t="s">
        <v>678</v>
      </c>
    </row>
    <row r="83" spans="1:14" ht="152" x14ac:dyDescent="0.35">
      <c r="A83" s="51">
        <v>71</v>
      </c>
      <c r="B83" s="55" t="s">
        <v>565</v>
      </c>
      <c r="C83" s="53">
        <v>7</v>
      </c>
      <c r="D83" s="28" t="s">
        <v>4</v>
      </c>
      <c r="E83" s="30" t="s">
        <v>36</v>
      </c>
      <c r="F83" s="34" t="s">
        <v>139</v>
      </c>
      <c r="G83" s="34" t="s">
        <v>495</v>
      </c>
      <c r="H83" s="34" t="s">
        <v>494</v>
      </c>
      <c r="I83" s="34">
        <v>695</v>
      </c>
      <c r="J83" s="69" t="s">
        <v>39</v>
      </c>
      <c r="K83" s="65" t="s">
        <v>598</v>
      </c>
      <c r="L83" s="65" t="s">
        <v>567</v>
      </c>
      <c r="M83" s="68"/>
      <c r="N83" s="66" t="s">
        <v>679</v>
      </c>
    </row>
    <row r="84" spans="1:14" ht="152" x14ac:dyDescent="0.35">
      <c r="A84" s="51">
        <v>72</v>
      </c>
      <c r="B84" s="55" t="s">
        <v>585</v>
      </c>
      <c r="C84" s="53">
        <v>7</v>
      </c>
      <c r="D84" s="28" t="s">
        <v>40</v>
      </c>
      <c r="E84" s="30" t="s">
        <v>36</v>
      </c>
      <c r="F84" s="34" t="s">
        <v>110</v>
      </c>
      <c r="G84" s="34" t="s">
        <v>482</v>
      </c>
      <c r="H84" s="34"/>
      <c r="I84" s="34">
        <v>907</v>
      </c>
      <c r="J84" s="65" t="s">
        <v>4</v>
      </c>
      <c r="K84" s="65" t="s">
        <v>594</v>
      </c>
      <c r="L84" s="65" t="s">
        <v>567</v>
      </c>
      <c r="M84" s="68"/>
      <c r="N84" s="66" t="s">
        <v>680</v>
      </c>
    </row>
    <row r="85" spans="1:14" ht="168" x14ac:dyDescent="0.35">
      <c r="A85" s="51">
        <v>73</v>
      </c>
      <c r="B85" s="55" t="s">
        <v>585</v>
      </c>
      <c r="C85" s="53">
        <v>7</v>
      </c>
      <c r="D85" s="28" t="s">
        <v>42</v>
      </c>
      <c r="E85" s="30" t="s">
        <v>483</v>
      </c>
      <c r="F85" s="34" t="s">
        <v>484</v>
      </c>
      <c r="G85" s="34" t="s">
        <v>486</v>
      </c>
      <c r="H85" s="34" t="s">
        <v>485</v>
      </c>
      <c r="I85" s="34" t="s">
        <v>487</v>
      </c>
      <c r="J85" s="65" t="s">
        <v>4</v>
      </c>
      <c r="K85" s="65" t="s">
        <v>594</v>
      </c>
      <c r="L85" s="65" t="s">
        <v>567</v>
      </c>
      <c r="M85" s="68"/>
      <c r="N85" s="66" t="s">
        <v>681</v>
      </c>
    </row>
    <row r="86" spans="1:14" ht="152" x14ac:dyDescent="0.35">
      <c r="A86" s="51">
        <v>74</v>
      </c>
      <c r="B86" s="55" t="s">
        <v>585</v>
      </c>
      <c r="C86" s="53">
        <v>7</v>
      </c>
      <c r="D86" s="28" t="s">
        <v>9</v>
      </c>
      <c r="E86" s="30" t="s">
        <v>36</v>
      </c>
      <c r="F86" s="34">
        <v>605</v>
      </c>
      <c r="G86" s="34" t="s">
        <v>488</v>
      </c>
      <c r="H86" s="34"/>
      <c r="I86" s="34">
        <v>525</v>
      </c>
      <c r="J86" s="65" t="s">
        <v>4</v>
      </c>
      <c r="K86" s="65" t="s">
        <v>594</v>
      </c>
      <c r="L86" s="65" t="s">
        <v>567</v>
      </c>
      <c r="M86" s="68"/>
      <c r="N86" s="66" t="s">
        <v>682</v>
      </c>
    </row>
    <row r="87" spans="1:14" ht="152" x14ac:dyDescent="0.35">
      <c r="A87" s="51">
        <v>75</v>
      </c>
      <c r="B87" s="55" t="s">
        <v>585</v>
      </c>
      <c r="C87" s="53">
        <v>7</v>
      </c>
      <c r="D87" s="28" t="s">
        <v>10</v>
      </c>
      <c r="E87" s="30" t="s">
        <v>36</v>
      </c>
      <c r="F87" s="34" t="s">
        <v>110</v>
      </c>
      <c r="G87" s="34" t="s">
        <v>425</v>
      </c>
      <c r="H87" s="34"/>
      <c r="I87" s="34">
        <v>131</v>
      </c>
      <c r="J87" s="65" t="s">
        <v>4</v>
      </c>
      <c r="K87" s="65" t="s">
        <v>594</v>
      </c>
      <c r="L87" s="65" t="s">
        <v>567</v>
      </c>
      <c r="M87" s="68"/>
      <c r="N87" s="66" t="s">
        <v>683</v>
      </c>
    </row>
    <row r="88" spans="1:14" ht="152" x14ac:dyDescent="0.35">
      <c r="A88" s="51">
        <v>76</v>
      </c>
      <c r="B88" s="60" t="s">
        <v>588</v>
      </c>
      <c r="C88" s="53">
        <v>6</v>
      </c>
      <c r="D88" s="28" t="s">
        <v>146</v>
      </c>
      <c r="E88" s="30" t="s">
        <v>36</v>
      </c>
      <c r="F88" s="34">
        <v>626</v>
      </c>
      <c r="G88" s="34" t="s">
        <v>469</v>
      </c>
      <c r="H88" s="34">
        <v>3</v>
      </c>
      <c r="I88" s="34">
        <v>632</v>
      </c>
      <c r="J88" s="65" t="s">
        <v>4</v>
      </c>
      <c r="K88" s="65" t="s">
        <v>576</v>
      </c>
      <c r="L88" s="65" t="s">
        <v>567</v>
      </c>
      <c r="M88" s="68"/>
      <c r="N88" s="66" t="s">
        <v>684</v>
      </c>
    </row>
    <row r="89" spans="1:14" ht="152" x14ac:dyDescent="0.35">
      <c r="A89" s="51">
        <v>77</v>
      </c>
      <c r="B89" s="60" t="s">
        <v>588</v>
      </c>
      <c r="C89" s="53">
        <v>6</v>
      </c>
      <c r="D89" s="28" t="s">
        <v>74</v>
      </c>
      <c r="E89" s="30" t="s">
        <v>36</v>
      </c>
      <c r="F89" s="34">
        <v>626</v>
      </c>
      <c r="G89" s="34" t="s">
        <v>397</v>
      </c>
      <c r="H89" s="34"/>
      <c r="I89" s="34">
        <v>884</v>
      </c>
      <c r="J89" s="65" t="s">
        <v>4</v>
      </c>
      <c r="K89" s="65" t="s">
        <v>576</v>
      </c>
      <c r="L89" s="65" t="s">
        <v>567</v>
      </c>
      <c r="M89" s="68"/>
      <c r="N89" s="66" t="s">
        <v>685</v>
      </c>
    </row>
    <row r="90" spans="1:14" ht="152" x14ac:dyDescent="0.35">
      <c r="A90" s="51">
        <v>78</v>
      </c>
      <c r="B90" s="60" t="s">
        <v>588</v>
      </c>
      <c r="C90" s="53">
        <v>6</v>
      </c>
      <c r="D90" s="28" t="s">
        <v>55</v>
      </c>
      <c r="E90" s="30" t="s">
        <v>36</v>
      </c>
      <c r="F90" s="34">
        <v>605</v>
      </c>
      <c r="G90" s="34" t="s">
        <v>409</v>
      </c>
      <c r="H90" s="34"/>
      <c r="I90" s="34">
        <v>258</v>
      </c>
      <c r="J90" s="65" t="s">
        <v>4</v>
      </c>
      <c r="K90" s="65" t="s">
        <v>576</v>
      </c>
      <c r="L90" s="65" t="s">
        <v>567</v>
      </c>
      <c r="M90" s="68"/>
      <c r="N90" s="66" t="s">
        <v>686</v>
      </c>
    </row>
    <row r="91" spans="1:14" ht="152" x14ac:dyDescent="0.35">
      <c r="A91" s="51">
        <v>79</v>
      </c>
      <c r="B91" s="60" t="s">
        <v>588</v>
      </c>
      <c r="C91" s="53">
        <v>6</v>
      </c>
      <c r="D91" s="28" t="s">
        <v>74</v>
      </c>
      <c r="E91" s="30" t="s">
        <v>36</v>
      </c>
      <c r="F91" s="34">
        <v>626</v>
      </c>
      <c r="G91" s="34" t="s">
        <v>397</v>
      </c>
      <c r="H91" s="34"/>
      <c r="I91" s="34">
        <v>884</v>
      </c>
      <c r="J91" s="65" t="s">
        <v>4</v>
      </c>
      <c r="K91" s="65" t="s">
        <v>576</v>
      </c>
      <c r="L91" s="65" t="s">
        <v>567</v>
      </c>
      <c r="M91" s="68"/>
      <c r="N91" s="66" t="s">
        <v>687</v>
      </c>
    </row>
    <row r="92" spans="1:14" ht="152" x14ac:dyDescent="0.35">
      <c r="A92" s="51">
        <v>81</v>
      </c>
      <c r="B92" s="60" t="s">
        <v>588</v>
      </c>
      <c r="C92" s="53">
        <v>6</v>
      </c>
      <c r="D92" s="28" t="s">
        <v>518</v>
      </c>
      <c r="E92" s="30" t="s">
        <v>36</v>
      </c>
      <c r="F92" s="34" t="s">
        <v>111</v>
      </c>
      <c r="G92" s="34" t="s">
        <v>421</v>
      </c>
      <c r="H92" s="34"/>
      <c r="I92" s="34" t="s">
        <v>112</v>
      </c>
      <c r="J92" s="65" t="s">
        <v>4</v>
      </c>
      <c r="K92" s="65" t="s">
        <v>576</v>
      </c>
      <c r="L92" s="65" t="s">
        <v>567</v>
      </c>
      <c r="M92" s="68"/>
      <c r="N92" s="66" t="s">
        <v>688</v>
      </c>
    </row>
    <row r="93" spans="1:14" ht="152" x14ac:dyDescent="0.35">
      <c r="A93" s="57">
        <v>82</v>
      </c>
      <c r="B93" s="60" t="s">
        <v>589</v>
      </c>
      <c r="C93" s="53">
        <v>7</v>
      </c>
      <c r="D93" s="28" t="s">
        <v>4</v>
      </c>
      <c r="E93" s="30" t="s">
        <v>36</v>
      </c>
      <c r="F93" s="34" t="s">
        <v>139</v>
      </c>
      <c r="G93" s="34" t="s">
        <v>495</v>
      </c>
      <c r="H93" s="34" t="s">
        <v>494</v>
      </c>
      <c r="I93" s="34">
        <v>695</v>
      </c>
      <c r="J93" s="70" t="s">
        <v>25</v>
      </c>
      <c r="K93" s="65" t="s">
        <v>566</v>
      </c>
      <c r="L93" s="65" t="s">
        <v>567</v>
      </c>
      <c r="M93" s="68"/>
      <c r="N93" s="66" t="s">
        <v>689</v>
      </c>
    </row>
    <row r="94" spans="1:14" ht="152" x14ac:dyDescent="0.35">
      <c r="A94" s="57">
        <v>83</v>
      </c>
      <c r="B94" s="60" t="s">
        <v>589</v>
      </c>
      <c r="C94" s="53">
        <v>7</v>
      </c>
      <c r="D94" s="28" t="s">
        <v>4</v>
      </c>
      <c r="E94" s="30" t="s">
        <v>36</v>
      </c>
      <c r="F94" s="34" t="s">
        <v>139</v>
      </c>
      <c r="G94" s="34" t="s">
        <v>495</v>
      </c>
      <c r="H94" s="34" t="s">
        <v>494</v>
      </c>
      <c r="I94" s="34">
        <v>695</v>
      </c>
      <c r="J94" s="70" t="s">
        <v>26</v>
      </c>
      <c r="K94" s="65" t="s">
        <v>566</v>
      </c>
      <c r="L94" s="65" t="s">
        <v>567</v>
      </c>
      <c r="M94" s="68"/>
      <c r="N94" s="66" t="s">
        <v>690</v>
      </c>
    </row>
    <row r="95" spans="1:14" ht="152" x14ac:dyDescent="0.35">
      <c r="A95" s="57">
        <v>84</v>
      </c>
      <c r="B95" s="60" t="s">
        <v>589</v>
      </c>
      <c r="C95" s="53">
        <v>7</v>
      </c>
      <c r="D95" s="28" t="s">
        <v>4</v>
      </c>
      <c r="E95" s="30" t="s">
        <v>36</v>
      </c>
      <c r="F95" s="34" t="s">
        <v>139</v>
      </c>
      <c r="G95" s="34" t="s">
        <v>495</v>
      </c>
      <c r="H95" s="34" t="s">
        <v>494</v>
      </c>
      <c r="I95" s="34">
        <v>695</v>
      </c>
      <c r="J95" s="70" t="s">
        <v>45</v>
      </c>
      <c r="K95" s="65" t="s">
        <v>566</v>
      </c>
      <c r="L95" s="65" t="s">
        <v>567</v>
      </c>
      <c r="M95" s="68"/>
      <c r="N95" s="66" t="s">
        <v>691</v>
      </c>
    </row>
    <row r="96" spans="1:14" ht="152" x14ac:dyDescent="0.35">
      <c r="A96" s="57">
        <v>84</v>
      </c>
      <c r="B96" s="60" t="s">
        <v>589</v>
      </c>
      <c r="C96" s="53">
        <v>7</v>
      </c>
      <c r="D96" s="28" t="s">
        <v>4</v>
      </c>
      <c r="E96" s="30" t="s">
        <v>36</v>
      </c>
      <c r="F96" s="34" t="s">
        <v>139</v>
      </c>
      <c r="G96" s="34" t="s">
        <v>495</v>
      </c>
      <c r="H96" s="34" t="s">
        <v>494</v>
      </c>
      <c r="I96" s="34">
        <v>695</v>
      </c>
      <c r="J96" s="70" t="s">
        <v>46</v>
      </c>
      <c r="K96" s="65" t="s">
        <v>566</v>
      </c>
      <c r="L96" s="65" t="s">
        <v>567</v>
      </c>
      <c r="M96" s="68"/>
      <c r="N96" s="66" t="s">
        <v>692</v>
      </c>
    </row>
    <row r="97" spans="1:14" ht="152" x14ac:dyDescent="0.35">
      <c r="A97" s="51">
        <v>86</v>
      </c>
      <c r="B97" s="60" t="s">
        <v>590</v>
      </c>
      <c r="C97" s="53">
        <v>7</v>
      </c>
      <c r="D97" s="28" t="s">
        <v>47</v>
      </c>
      <c r="E97" s="30" t="s">
        <v>106</v>
      </c>
      <c r="F97" s="34">
        <v>621</v>
      </c>
      <c r="G97" s="34" t="s">
        <v>411</v>
      </c>
      <c r="H97" s="34" t="s">
        <v>410</v>
      </c>
      <c r="I97" s="34" t="s">
        <v>107</v>
      </c>
      <c r="J97" s="65" t="s">
        <v>4</v>
      </c>
      <c r="K97" s="65" t="s">
        <v>576</v>
      </c>
      <c r="L97" s="65" t="s">
        <v>567</v>
      </c>
      <c r="M97" s="68"/>
      <c r="N97" s="66" t="s">
        <v>693</v>
      </c>
    </row>
    <row r="98" spans="1:14" ht="152" x14ac:dyDescent="0.35">
      <c r="A98" s="51">
        <v>87</v>
      </c>
      <c r="B98" s="60" t="s">
        <v>590</v>
      </c>
      <c r="C98" s="53">
        <v>7</v>
      </c>
      <c r="D98" s="28" t="s">
        <v>49</v>
      </c>
      <c r="E98" s="30" t="s">
        <v>48</v>
      </c>
      <c r="F98" s="34">
        <v>612</v>
      </c>
      <c r="G98" s="35" t="s">
        <v>423</v>
      </c>
      <c r="H98" s="34"/>
      <c r="I98" s="34">
        <v>632</v>
      </c>
      <c r="J98" s="65" t="s">
        <v>4</v>
      </c>
      <c r="K98" s="65" t="s">
        <v>576</v>
      </c>
      <c r="L98" s="65" t="s">
        <v>567</v>
      </c>
      <c r="M98" s="68"/>
      <c r="N98" s="66" t="s">
        <v>694</v>
      </c>
    </row>
    <row r="99" spans="1:14" ht="152" x14ac:dyDescent="0.35">
      <c r="A99" s="51">
        <v>88</v>
      </c>
      <c r="B99" s="60" t="s">
        <v>590</v>
      </c>
      <c r="C99" s="53">
        <v>7</v>
      </c>
      <c r="D99" s="28" t="s">
        <v>50</v>
      </c>
      <c r="E99" s="30" t="s">
        <v>48</v>
      </c>
      <c r="F99" s="34">
        <v>606</v>
      </c>
      <c r="G99" s="34" t="s">
        <v>431</v>
      </c>
      <c r="H99" s="34"/>
      <c r="I99" s="34">
        <v>664</v>
      </c>
      <c r="J99" s="65" t="s">
        <v>4</v>
      </c>
      <c r="K99" s="65" t="s">
        <v>576</v>
      </c>
      <c r="L99" s="65" t="s">
        <v>567</v>
      </c>
      <c r="M99" s="68"/>
      <c r="N99" s="66" t="s">
        <v>695</v>
      </c>
    </row>
    <row r="100" spans="1:14" ht="152" x14ac:dyDescent="0.35">
      <c r="A100" s="51">
        <v>89</v>
      </c>
      <c r="B100" s="55" t="s">
        <v>591</v>
      </c>
      <c r="C100" s="53"/>
      <c r="D100" s="28" t="s">
        <v>4</v>
      </c>
      <c r="E100" s="30" t="s">
        <v>36</v>
      </c>
      <c r="F100" s="34" t="s">
        <v>139</v>
      </c>
      <c r="G100" s="34" t="s">
        <v>495</v>
      </c>
      <c r="H100" s="34" t="s">
        <v>494</v>
      </c>
      <c r="I100" s="34">
        <v>695</v>
      </c>
      <c r="J100" s="70" t="s">
        <v>42</v>
      </c>
      <c r="K100" s="65" t="s">
        <v>566</v>
      </c>
      <c r="L100" s="65" t="s">
        <v>567</v>
      </c>
      <c r="M100" s="68"/>
      <c r="N100" s="66" t="s">
        <v>696</v>
      </c>
    </row>
    <row r="101" spans="1:14" ht="120" x14ac:dyDescent="0.35">
      <c r="A101" s="51">
        <v>90</v>
      </c>
      <c r="B101" s="60" t="s">
        <v>592</v>
      </c>
      <c r="C101" s="53"/>
      <c r="D101" s="28" t="s">
        <v>35</v>
      </c>
      <c r="E101" s="30" t="s">
        <v>492</v>
      </c>
      <c r="F101" s="34"/>
      <c r="G101" s="34"/>
      <c r="H101" s="34"/>
      <c r="I101" s="34"/>
      <c r="J101" s="65" t="s">
        <v>4</v>
      </c>
      <c r="K101" s="65" t="s">
        <v>596</v>
      </c>
      <c r="L101" s="65" t="s">
        <v>567</v>
      </c>
      <c r="M101" s="68"/>
      <c r="N101" s="66" t="s">
        <v>697</v>
      </c>
    </row>
    <row r="102" spans="1:14" ht="120" x14ac:dyDescent="0.35">
      <c r="A102" s="51">
        <v>91</v>
      </c>
      <c r="B102" s="60" t="s">
        <v>592</v>
      </c>
      <c r="C102" s="53"/>
      <c r="D102" s="28" t="s">
        <v>4</v>
      </c>
      <c r="E102" s="30" t="s">
        <v>36</v>
      </c>
      <c r="F102" s="34" t="s">
        <v>139</v>
      </c>
      <c r="G102" s="34" t="s">
        <v>495</v>
      </c>
      <c r="H102" s="34" t="s">
        <v>494</v>
      </c>
      <c r="I102" s="34">
        <v>695</v>
      </c>
      <c r="J102" s="70" t="s">
        <v>35</v>
      </c>
      <c r="K102" s="71" t="s">
        <v>597</v>
      </c>
      <c r="L102" s="65" t="s">
        <v>567</v>
      </c>
      <c r="M102" s="68"/>
      <c r="N102" s="66" t="s">
        <v>698</v>
      </c>
    </row>
    <row r="103" spans="1:14" ht="168" x14ac:dyDescent="0.35">
      <c r="A103" s="51">
        <v>92</v>
      </c>
      <c r="B103" s="60" t="s">
        <v>593</v>
      </c>
      <c r="C103" s="53"/>
      <c r="D103" s="28" t="s">
        <v>51</v>
      </c>
      <c r="E103" s="30" t="s">
        <v>52</v>
      </c>
      <c r="F103" s="34"/>
      <c r="G103" s="34"/>
      <c r="H103" s="34"/>
      <c r="I103" s="34"/>
      <c r="J103" s="65" t="s">
        <v>4</v>
      </c>
      <c r="K103" s="65" t="s">
        <v>566</v>
      </c>
      <c r="L103" s="65" t="s">
        <v>567</v>
      </c>
      <c r="M103" s="68"/>
      <c r="N103" s="66" t="s">
        <v>699</v>
      </c>
    </row>
  </sheetData>
  <mergeCells count="2">
    <mergeCell ref="B7:H7"/>
    <mergeCell ref="B10:H10"/>
  </mergeCells>
  <phoneticPr fontId="6" type="noConversion"/>
  <hyperlinks>
    <hyperlink ref="B7" r:id="rId1" xr:uid="{3E3F0237-AF16-47DB-8D68-F5B2B0270135}"/>
    <hyperlink ref="B10" r:id="rId2" xr:uid="{17400400-9549-4B65-ADDC-1CD8E03FD5BE}"/>
  </hyperlinks>
  <pageMargins left="0.7" right="0.7" top="0.75" bottom="0.75" header="0.3" footer="0.3"/>
  <pageSetup orientation="portrait" r:id="rId3"/>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6DF33-20B8-488F-B987-1F607097657A}">
  <sheetPr codeName="Hoja5"/>
  <dimension ref="A1:G86"/>
  <sheetViews>
    <sheetView topLeftCell="A42" zoomScale="110" zoomScaleNormal="110" workbookViewId="0">
      <selection activeCell="E69" sqref="E69"/>
    </sheetView>
  </sheetViews>
  <sheetFormatPr baseColWidth="10" defaultColWidth="10.90625" defaultRowHeight="10.5" x14ac:dyDescent="0.25"/>
  <cols>
    <col min="1" max="1" width="14.36328125" style="3" customWidth="1"/>
    <col min="2" max="2" width="1.6328125" style="1" customWidth="1"/>
    <col min="3" max="3" width="15.36328125" style="3" customWidth="1"/>
    <col min="4" max="4" width="36.08984375" style="7" customWidth="1"/>
    <col min="5" max="5" width="46.90625" style="7" customWidth="1"/>
    <col min="6" max="6" width="1.26953125" style="7" customWidth="1"/>
    <col min="7" max="7" width="45.453125" style="16" customWidth="1"/>
    <col min="8" max="16384" width="10.90625" style="1"/>
  </cols>
  <sheetData>
    <row r="1" spans="1:7" ht="12" x14ac:dyDescent="0.3">
      <c r="A1" s="8"/>
      <c r="B1" s="9"/>
      <c r="C1" s="8"/>
      <c r="D1" s="10" t="s">
        <v>165</v>
      </c>
      <c r="E1" s="10" t="s">
        <v>166</v>
      </c>
      <c r="F1" s="10"/>
      <c r="G1" s="11" t="s">
        <v>167</v>
      </c>
    </row>
    <row r="3" spans="1:7" ht="52.5" x14ac:dyDescent="0.25">
      <c r="A3" s="116" t="s">
        <v>168</v>
      </c>
      <c r="B3" s="12"/>
      <c r="C3" s="13" t="s">
        <v>169</v>
      </c>
      <c r="D3" s="14" t="s">
        <v>170</v>
      </c>
      <c r="E3" s="14" t="s">
        <v>153</v>
      </c>
      <c r="F3" s="12"/>
      <c r="G3" s="119" t="s">
        <v>171</v>
      </c>
    </row>
    <row r="4" spans="1:7" x14ac:dyDescent="0.25">
      <c r="A4" s="117"/>
      <c r="C4" s="13" t="s">
        <v>169</v>
      </c>
      <c r="D4" s="14" t="s">
        <v>172</v>
      </c>
      <c r="E4" s="14" t="s">
        <v>173</v>
      </c>
      <c r="G4" s="120"/>
    </row>
    <row r="5" spans="1:7" ht="21" x14ac:dyDescent="0.25">
      <c r="A5" s="117"/>
      <c r="C5" s="13" t="s">
        <v>169</v>
      </c>
      <c r="D5" s="14" t="s">
        <v>174</v>
      </c>
      <c r="E5" s="14" t="s">
        <v>175</v>
      </c>
      <c r="G5" s="120"/>
    </row>
    <row r="6" spans="1:7" ht="21" x14ac:dyDescent="0.25">
      <c r="A6" s="117"/>
      <c r="C6" s="13" t="s">
        <v>169</v>
      </c>
      <c r="D6" s="14" t="s">
        <v>176</v>
      </c>
      <c r="E6" s="14" t="s">
        <v>177</v>
      </c>
      <c r="G6" s="120"/>
    </row>
    <row r="7" spans="1:7" ht="42" x14ac:dyDescent="0.25">
      <c r="A7" s="118"/>
      <c r="B7" s="17"/>
      <c r="C7" s="13" t="s">
        <v>169</v>
      </c>
      <c r="D7" s="14" t="s">
        <v>178</v>
      </c>
      <c r="E7" s="14" t="s">
        <v>179</v>
      </c>
      <c r="F7" s="18"/>
      <c r="G7" s="121"/>
    </row>
    <row r="8" spans="1:7" ht="3" customHeight="1" x14ac:dyDescent="0.25">
      <c r="A8" s="19"/>
      <c r="B8" s="20"/>
      <c r="C8" s="19"/>
      <c r="D8" s="21"/>
      <c r="E8" s="21"/>
      <c r="F8" s="21"/>
      <c r="G8" s="22"/>
    </row>
    <row r="9" spans="1:7" ht="21" customHeight="1" x14ac:dyDescent="0.25">
      <c r="A9" s="116" t="s">
        <v>180</v>
      </c>
      <c r="B9" s="12"/>
      <c r="C9" s="13" t="s">
        <v>181</v>
      </c>
      <c r="D9" s="14" t="s">
        <v>182</v>
      </c>
      <c r="E9" s="14" t="s">
        <v>183</v>
      </c>
      <c r="F9" s="12"/>
      <c r="G9" s="119" t="s">
        <v>184</v>
      </c>
    </row>
    <row r="10" spans="1:7" ht="64" customHeight="1" x14ac:dyDescent="0.25">
      <c r="A10" s="118"/>
      <c r="B10" s="17"/>
      <c r="C10" s="13" t="s">
        <v>181</v>
      </c>
      <c r="D10" s="14" t="s">
        <v>185</v>
      </c>
      <c r="E10" s="14" t="s">
        <v>186</v>
      </c>
      <c r="F10" s="18"/>
      <c r="G10" s="121"/>
    </row>
    <row r="11" spans="1:7" ht="3" customHeight="1" x14ac:dyDescent="0.35">
      <c r="A11" s="21"/>
      <c r="B11" s="21"/>
      <c r="C11" s="19"/>
      <c r="D11" s="23"/>
      <c r="E11" s="21"/>
      <c r="F11" s="21"/>
      <c r="G11" s="22"/>
    </row>
    <row r="12" spans="1:7" ht="31.5" customHeight="1" x14ac:dyDescent="0.25">
      <c r="A12" s="116" t="s">
        <v>187</v>
      </c>
      <c r="B12" s="15"/>
      <c r="C12" s="13" t="s">
        <v>188</v>
      </c>
      <c r="D12" s="14" t="s">
        <v>189</v>
      </c>
      <c r="E12" s="14" t="s">
        <v>190</v>
      </c>
      <c r="F12" s="12"/>
      <c r="G12" s="122" t="s">
        <v>191</v>
      </c>
    </row>
    <row r="13" spans="1:7" ht="21" x14ac:dyDescent="0.25">
      <c r="A13" s="118"/>
      <c r="B13" s="17"/>
      <c r="C13" s="13"/>
      <c r="D13" s="14" t="s">
        <v>192</v>
      </c>
      <c r="E13" s="14" t="s">
        <v>193</v>
      </c>
      <c r="F13" s="18"/>
      <c r="G13" s="123"/>
    </row>
    <row r="14" spans="1:7" ht="3" customHeight="1" x14ac:dyDescent="0.25">
      <c r="A14" s="19"/>
      <c r="B14" s="20"/>
      <c r="C14" s="19"/>
      <c r="D14" s="21"/>
      <c r="E14" s="21"/>
      <c r="F14" s="21"/>
      <c r="G14" s="24"/>
    </row>
    <row r="15" spans="1:7" ht="42" customHeight="1" x14ac:dyDescent="0.25">
      <c r="A15" s="116" t="s">
        <v>194</v>
      </c>
      <c r="B15" s="15"/>
      <c r="C15" s="13" t="s">
        <v>195</v>
      </c>
      <c r="D15" s="14" t="s">
        <v>196</v>
      </c>
      <c r="E15" s="14" t="s">
        <v>197</v>
      </c>
      <c r="F15" s="12"/>
      <c r="G15" s="116" t="s">
        <v>198</v>
      </c>
    </row>
    <row r="16" spans="1:7" ht="31.5" x14ac:dyDescent="0.25">
      <c r="A16" s="117"/>
      <c r="C16" s="13"/>
      <c r="D16" s="14" t="s">
        <v>196</v>
      </c>
      <c r="E16" s="14" t="s">
        <v>199</v>
      </c>
      <c r="G16" s="117"/>
    </row>
    <row r="17" spans="1:7" ht="31.5" x14ac:dyDescent="0.25">
      <c r="A17" s="117"/>
      <c r="C17" s="13"/>
      <c r="D17" s="14" t="s">
        <v>196</v>
      </c>
      <c r="E17" s="14" t="s">
        <v>200</v>
      </c>
      <c r="G17" s="117"/>
    </row>
    <row r="18" spans="1:7" ht="21" x14ac:dyDescent="0.25">
      <c r="A18" s="118"/>
      <c r="B18" s="17"/>
      <c r="C18" s="13"/>
      <c r="D18" s="14" t="s">
        <v>201</v>
      </c>
      <c r="E18" s="14" t="s">
        <v>202</v>
      </c>
      <c r="F18" s="18"/>
      <c r="G18" s="118"/>
    </row>
    <row r="19" spans="1:7" ht="3" customHeight="1" x14ac:dyDescent="0.25">
      <c r="A19" s="19"/>
      <c r="B19" s="20"/>
      <c r="C19" s="19"/>
      <c r="D19" s="21"/>
      <c r="E19" s="21"/>
      <c r="F19" s="21"/>
      <c r="G19" s="22"/>
    </row>
    <row r="20" spans="1:7" x14ac:dyDescent="0.25">
      <c r="A20" s="116" t="s">
        <v>203</v>
      </c>
      <c r="B20" s="15"/>
      <c r="C20" s="13" t="s">
        <v>204</v>
      </c>
      <c r="D20" s="14" t="s">
        <v>196</v>
      </c>
      <c r="E20" s="14" t="s">
        <v>155</v>
      </c>
      <c r="F20" s="12"/>
      <c r="G20" s="116" t="s">
        <v>198</v>
      </c>
    </row>
    <row r="21" spans="1:7" ht="21" x14ac:dyDescent="0.25">
      <c r="A21" s="117"/>
      <c r="C21" s="13"/>
      <c r="D21" s="14" t="s">
        <v>196</v>
      </c>
      <c r="E21" s="14" t="s">
        <v>205</v>
      </c>
      <c r="G21" s="117"/>
    </row>
    <row r="22" spans="1:7" ht="21" x14ac:dyDescent="0.25">
      <c r="A22" s="118"/>
      <c r="B22" s="17"/>
      <c r="C22" s="13"/>
      <c r="D22" s="14" t="s">
        <v>201</v>
      </c>
      <c r="E22" s="14" t="s">
        <v>202</v>
      </c>
      <c r="F22" s="18"/>
      <c r="G22" s="118"/>
    </row>
    <row r="23" spans="1:7" ht="3" customHeight="1" x14ac:dyDescent="0.25">
      <c r="A23" s="19"/>
      <c r="B23" s="20"/>
      <c r="C23" s="19"/>
      <c r="D23" s="21"/>
      <c r="E23" s="21"/>
      <c r="F23" s="21"/>
      <c r="G23" s="22"/>
    </row>
    <row r="24" spans="1:7" ht="42" x14ac:dyDescent="0.25">
      <c r="A24" s="116" t="s">
        <v>206</v>
      </c>
      <c r="B24" s="15"/>
      <c r="C24" s="13" t="s">
        <v>207</v>
      </c>
      <c r="D24" s="14" t="s">
        <v>196</v>
      </c>
      <c r="E24" s="14" t="s">
        <v>208</v>
      </c>
      <c r="F24" s="12"/>
      <c r="G24" s="116" t="s">
        <v>209</v>
      </c>
    </row>
    <row r="25" spans="1:7" ht="42" x14ac:dyDescent="0.25">
      <c r="A25" s="117"/>
      <c r="C25" s="13"/>
      <c r="D25" s="14" t="s">
        <v>196</v>
      </c>
      <c r="E25" s="14" t="s">
        <v>210</v>
      </c>
      <c r="G25" s="117"/>
    </row>
    <row r="26" spans="1:7" ht="42" x14ac:dyDescent="0.25">
      <c r="A26" s="117"/>
      <c r="C26" s="13"/>
      <c r="D26" s="14" t="s">
        <v>196</v>
      </c>
      <c r="E26" s="14" t="s">
        <v>211</v>
      </c>
      <c r="G26" s="117"/>
    </row>
    <row r="27" spans="1:7" ht="21" x14ac:dyDescent="0.25">
      <c r="A27" s="118"/>
      <c r="B27" s="17"/>
      <c r="C27" s="13"/>
      <c r="D27" s="14" t="s">
        <v>201</v>
      </c>
      <c r="E27" s="14" t="s">
        <v>202</v>
      </c>
      <c r="F27" s="18"/>
      <c r="G27" s="118"/>
    </row>
    <row r="28" spans="1:7" ht="3" customHeight="1" x14ac:dyDescent="0.25">
      <c r="A28" s="19"/>
      <c r="B28" s="20"/>
      <c r="C28" s="19"/>
      <c r="D28" s="21"/>
      <c r="E28" s="21"/>
      <c r="F28" s="21"/>
      <c r="G28" s="22"/>
    </row>
    <row r="29" spans="1:7" ht="42" customHeight="1" x14ac:dyDescent="0.25">
      <c r="A29" s="116" t="s">
        <v>212</v>
      </c>
      <c r="B29" s="15"/>
      <c r="C29" s="13" t="s">
        <v>213</v>
      </c>
      <c r="D29" s="14" t="s">
        <v>196</v>
      </c>
      <c r="E29" s="14" t="s">
        <v>154</v>
      </c>
      <c r="F29" s="12"/>
      <c r="G29" s="116" t="s">
        <v>209</v>
      </c>
    </row>
    <row r="30" spans="1:7" x14ac:dyDescent="0.25">
      <c r="A30" s="117"/>
      <c r="C30" s="13"/>
      <c r="D30" s="14" t="s">
        <v>196</v>
      </c>
      <c r="E30" s="14" t="s">
        <v>155</v>
      </c>
      <c r="G30" s="117"/>
    </row>
    <row r="31" spans="1:7" x14ac:dyDescent="0.25">
      <c r="A31" s="117"/>
      <c r="C31" s="13"/>
      <c r="D31" s="14" t="s">
        <v>196</v>
      </c>
      <c r="E31" s="14" t="s">
        <v>156</v>
      </c>
      <c r="G31" s="117"/>
    </row>
    <row r="32" spans="1:7" x14ac:dyDescent="0.25">
      <c r="A32" s="117"/>
      <c r="C32" s="13"/>
      <c r="D32" s="14" t="s">
        <v>196</v>
      </c>
      <c r="E32" s="14" t="s">
        <v>157</v>
      </c>
      <c r="G32" s="117"/>
    </row>
    <row r="33" spans="1:7" x14ac:dyDescent="0.25">
      <c r="A33" s="117"/>
      <c r="C33" s="13"/>
      <c r="D33" s="14" t="s">
        <v>196</v>
      </c>
      <c r="E33" s="14" t="s">
        <v>159</v>
      </c>
      <c r="G33" s="117"/>
    </row>
    <row r="34" spans="1:7" x14ac:dyDescent="0.25">
      <c r="A34" s="117"/>
      <c r="C34" s="13"/>
      <c r="D34" s="14" t="s">
        <v>196</v>
      </c>
      <c r="E34" s="14" t="s">
        <v>161</v>
      </c>
      <c r="G34" s="117"/>
    </row>
    <row r="35" spans="1:7" x14ac:dyDescent="0.25">
      <c r="A35" s="117"/>
      <c r="C35" s="13"/>
      <c r="D35" s="14" t="s">
        <v>196</v>
      </c>
      <c r="E35" s="14" t="s">
        <v>160</v>
      </c>
      <c r="G35" s="117"/>
    </row>
    <row r="36" spans="1:7" x14ac:dyDescent="0.25">
      <c r="A36" s="117"/>
      <c r="C36" s="13"/>
      <c r="D36" s="14" t="s">
        <v>196</v>
      </c>
      <c r="E36" s="1" t="s">
        <v>162</v>
      </c>
      <c r="G36" s="117"/>
    </row>
    <row r="37" spans="1:7" ht="21" x14ac:dyDescent="0.25">
      <c r="A37" s="117"/>
      <c r="C37" s="13"/>
      <c r="D37" s="14" t="s">
        <v>196</v>
      </c>
      <c r="E37" s="14" t="s">
        <v>164</v>
      </c>
      <c r="G37" s="117"/>
    </row>
    <row r="38" spans="1:7" ht="21" x14ac:dyDescent="0.25">
      <c r="A38" s="118"/>
      <c r="B38" s="17"/>
      <c r="C38" s="13"/>
      <c r="D38" s="14" t="s">
        <v>201</v>
      </c>
      <c r="E38" s="14" t="s">
        <v>202</v>
      </c>
      <c r="F38" s="18"/>
      <c r="G38" s="118"/>
    </row>
    <row r="39" spans="1:7" ht="3" customHeight="1" x14ac:dyDescent="0.25">
      <c r="A39" s="19"/>
      <c r="B39" s="20"/>
      <c r="C39" s="19"/>
      <c r="D39" s="21"/>
      <c r="E39" s="21"/>
      <c r="F39" s="21"/>
      <c r="G39" s="22"/>
    </row>
    <row r="40" spans="1:7" ht="54.75" customHeight="1" x14ac:dyDescent="0.25">
      <c r="A40" s="116" t="s">
        <v>214</v>
      </c>
      <c r="B40" s="25"/>
      <c r="C40" s="13" t="s">
        <v>215</v>
      </c>
      <c r="D40" s="14" t="s">
        <v>196</v>
      </c>
      <c r="E40" s="14" t="s">
        <v>216</v>
      </c>
      <c r="F40" s="12"/>
      <c r="G40" s="116" t="s">
        <v>209</v>
      </c>
    </row>
    <row r="41" spans="1:7" ht="31.5" x14ac:dyDescent="0.25">
      <c r="A41" s="117"/>
      <c r="C41" s="13"/>
      <c r="D41" s="14" t="s">
        <v>196</v>
      </c>
      <c r="E41" s="14" t="s">
        <v>217</v>
      </c>
      <c r="G41" s="117"/>
    </row>
    <row r="42" spans="1:7" ht="31.5" x14ac:dyDescent="0.25">
      <c r="A42" s="117"/>
      <c r="C42" s="13"/>
      <c r="D42" s="14" t="s">
        <v>196</v>
      </c>
      <c r="E42" s="14" t="s">
        <v>218</v>
      </c>
      <c r="G42" s="117"/>
    </row>
    <row r="43" spans="1:7" ht="21" x14ac:dyDescent="0.25">
      <c r="A43" s="118"/>
      <c r="B43" s="17"/>
      <c r="C43" s="13"/>
      <c r="D43" s="14" t="s">
        <v>201</v>
      </c>
      <c r="E43" s="14" t="s">
        <v>202</v>
      </c>
      <c r="F43" s="18"/>
      <c r="G43" s="118"/>
    </row>
    <row r="44" spans="1:7" ht="3" customHeight="1" x14ac:dyDescent="0.25">
      <c r="A44" s="19"/>
      <c r="B44" s="20"/>
      <c r="C44" s="19"/>
      <c r="D44" s="21"/>
      <c r="E44" s="21"/>
      <c r="F44" s="21"/>
      <c r="G44" s="22"/>
    </row>
    <row r="45" spans="1:7" ht="42" customHeight="1" x14ac:dyDescent="0.25">
      <c r="A45" s="116" t="s">
        <v>219</v>
      </c>
      <c r="B45" s="25"/>
      <c r="C45" s="13" t="s">
        <v>220</v>
      </c>
      <c r="D45" s="14" t="s">
        <v>196</v>
      </c>
      <c r="E45" s="14" t="s">
        <v>221</v>
      </c>
      <c r="F45" s="12"/>
      <c r="G45" s="116" t="s">
        <v>209</v>
      </c>
    </row>
    <row r="46" spans="1:7" x14ac:dyDescent="0.25">
      <c r="A46" s="117"/>
      <c r="C46" s="13"/>
      <c r="D46" s="14" t="s">
        <v>196</v>
      </c>
      <c r="E46" s="14" t="s">
        <v>155</v>
      </c>
      <c r="G46" s="117"/>
    </row>
    <row r="47" spans="1:7" x14ac:dyDescent="0.25">
      <c r="A47" s="117"/>
      <c r="C47" s="13"/>
      <c r="D47" s="14" t="s">
        <v>196</v>
      </c>
      <c r="E47" s="14" t="s">
        <v>156</v>
      </c>
      <c r="G47" s="117"/>
    </row>
    <row r="48" spans="1:7" x14ac:dyDescent="0.25">
      <c r="A48" s="117"/>
      <c r="C48" s="13"/>
      <c r="D48" s="14" t="s">
        <v>196</v>
      </c>
      <c r="E48" s="14" t="s">
        <v>157</v>
      </c>
      <c r="G48" s="117"/>
    </row>
    <row r="49" spans="1:7" x14ac:dyDescent="0.25">
      <c r="A49" s="117"/>
      <c r="C49" s="13"/>
      <c r="D49" s="14" t="s">
        <v>196</v>
      </c>
      <c r="E49" s="14" t="s">
        <v>158</v>
      </c>
      <c r="G49" s="117"/>
    </row>
    <row r="50" spans="1:7" x14ac:dyDescent="0.25">
      <c r="A50" s="117"/>
      <c r="C50" s="13"/>
      <c r="D50" s="14" t="s">
        <v>196</v>
      </c>
      <c r="E50" s="14" t="s">
        <v>159</v>
      </c>
      <c r="G50" s="117"/>
    </row>
    <row r="51" spans="1:7" x14ac:dyDescent="0.25">
      <c r="A51" s="117"/>
      <c r="C51" s="13"/>
      <c r="D51" s="14" t="s">
        <v>196</v>
      </c>
      <c r="E51" s="14" t="s">
        <v>160</v>
      </c>
      <c r="G51" s="117"/>
    </row>
    <row r="52" spans="1:7" x14ac:dyDescent="0.25">
      <c r="A52" s="117"/>
      <c r="C52" s="13"/>
      <c r="D52" s="14" t="s">
        <v>196</v>
      </c>
      <c r="E52" s="14" t="s">
        <v>161</v>
      </c>
      <c r="G52" s="117"/>
    </row>
    <row r="53" spans="1:7" x14ac:dyDescent="0.25">
      <c r="A53" s="117"/>
      <c r="C53" s="13"/>
      <c r="D53" s="14" t="s">
        <v>196</v>
      </c>
      <c r="E53" s="14" t="s">
        <v>163</v>
      </c>
      <c r="G53" s="117"/>
    </row>
    <row r="54" spans="1:7" x14ac:dyDescent="0.25">
      <c r="A54" s="117"/>
      <c r="C54" s="13"/>
      <c r="D54" s="14" t="s">
        <v>196</v>
      </c>
      <c r="E54" s="14" t="s">
        <v>222</v>
      </c>
      <c r="G54" s="117"/>
    </row>
    <row r="55" spans="1:7" ht="21" x14ac:dyDescent="0.25">
      <c r="A55" s="118"/>
      <c r="B55" s="17"/>
      <c r="C55" s="13"/>
      <c r="D55" s="14" t="s">
        <v>201</v>
      </c>
      <c r="E55" s="14" t="s">
        <v>202</v>
      </c>
      <c r="F55" s="18"/>
      <c r="G55" s="118"/>
    </row>
    <row r="56" spans="1:7" ht="3" customHeight="1" x14ac:dyDescent="0.25">
      <c r="A56" s="19"/>
      <c r="B56" s="20"/>
      <c r="C56" s="19"/>
      <c r="D56" s="21"/>
      <c r="E56" s="21"/>
      <c r="F56" s="21"/>
      <c r="G56" s="22"/>
    </row>
    <row r="57" spans="1:7" ht="42" customHeight="1" x14ac:dyDescent="0.25">
      <c r="A57" s="116" t="s">
        <v>223</v>
      </c>
      <c r="B57" s="25"/>
      <c r="C57" s="13" t="s">
        <v>224</v>
      </c>
      <c r="D57" s="14" t="s">
        <v>196</v>
      </c>
      <c r="E57" s="14" t="s">
        <v>221</v>
      </c>
      <c r="F57" s="12"/>
      <c r="G57" s="116" t="s">
        <v>209</v>
      </c>
    </row>
    <row r="58" spans="1:7" x14ac:dyDescent="0.25">
      <c r="A58" s="117"/>
      <c r="C58" s="13"/>
      <c r="D58" s="14" t="s">
        <v>196</v>
      </c>
      <c r="E58" s="14" t="s">
        <v>155</v>
      </c>
      <c r="G58" s="117"/>
    </row>
    <row r="59" spans="1:7" x14ac:dyDescent="0.25">
      <c r="A59" s="117"/>
      <c r="C59" s="13"/>
      <c r="D59" s="14" t="s">
        <v>196</v>
      </c>
      <c r="E59" s="14" t="s">
        <v>156</v>
      </c>
      <c r="G59" s="117"/>
    </row>
    <row r="60" spans="1:7" x14ac:dyDescent="0.25">
      <c r="A60" s="117"/>
      <c r="C60" s="13"/>
      <c r="D60" s="14" t="s">
        <v>196</v>
      </c>
      <c r="E60" s="14" t="s">
        <v>157</v>
      </c>
      <c r="G60" s="117"/>
    </row>
    <row r="61" spans="1:7" x14ac:dyDescent="0.25">
      <c r="A61" s="117"/>
      <c r="C61" s="13"/>
      <c r="D61" s="14" t="s">
        <v>196</v>
      </c>
      <c r="E61" s="14" t="s">
        <v>158</v>
      </c>
      <c r="G61" s="117"/>
    </row>
    <row r="62" spans="1:7" x14ac:dyDescent="0.25">
      <c r="A62" s="117"/>
      <c r="C62" s="13"/>
      <c r="D62" s="14" t="s">
        <v>196</v>
      </c>
      <c r="E62" s="14" t="s">
        <v>159</v>
      </c>
      <c r="G62" s="117"/>
    </row>
    <row r="63" spans="1:7" x14ac:dyDescent="0.25">
      <c r="A63" s="117"/>
      <c r="C63" s="13"/>
      <c r="D63" s="14" t="s">
        <v>196</v>
      </c>
      <c r="E63" s="14" t="s">
        <v>161</v>
      </c>
      <c r="G63" s="117"/>
    </row>
    <row r="64" spans="1:7" x14ac:dyDescent="0.25">
      <c r="A64" s="117"/>
      <c r="C64" s="13"/>
      <c r="D64" s="14" t="s">
        <v>196</v>
      </c>
      <c r="E64" s="14" t="s">
        <v>163</v>
      </c>
      <c r="G64" s="117"/>
    </row>
    <row r="65" spans="1:7" x14ac:dyDescent="0.25">
      <c r="A65" s="117"/>
      <c r="C65" s="13"/>
      <c r="D65" s="14" t="s">
        <v>196</v>
      </c>
      <c r="E65" s="14" t="s">
        <v>160</v>
      </c>
      <c r="G65" s="117"/>
    </row>
    <row r="66" spans="1:7" x14ac:dyDescent="0.25">
      <c r="A66" s="117"/>
      <c r="C66" s="13"/>
      <c r="D66" s="14" t="s">
        <v>196</v>
      </c>
      <c r="E66" s="14" t="s">
        <v>222</v>
      </c>
      <c r="G66" s="117"/>
    </row>
    <row r="67" spans="1:7" ht="21" x14ac:dyDescent="0.25">
      <c r="A67" s="118"/>
      <c r="B67" s="17"/>
      <c r="C67" s="13"/>
      <c r="D67" s="14" t="s">
        <v>201</v>
      </c>
      <c r="E67" s="14" t="s">
        <v>202</v>
      </c>
      <c r="F67" s="18"/>
      <c r="G67" s="118"/>
    </row>
    <row r="68" spans="1:7" ht="3" customHeight="1" x14ac:dyDescent="0.25">
      <c r="A68" s="19"/>
      <c r="B68" s="20"/>
      <c r="C68" s="19"/>
      <c r="D68" s="21"/>
      <c r="E68" s="21"/>
      <c r="F68" s="21"/>
      <c r="G68" s="22"/>
    </row>
    <row r="69" spans="1:7" ht="42" customHeight="1" x14ac:dyDescent="0.25">
      <c r="A69" s="116" t="s">
        <v>225</v>
      </c>
      <c r="B69" s="25"/>
      <c r="C69" s="13" t="s">
        <v>226</v>
      </c>
      <c r="D69" s="14" t="s">
        <v>196</v>
      </c>
      <c r="E69" s="14" t="s">
        <v>221</v>
      </c>
      <c r="F69" s="12"/>
      <c r="G69" s="116" t="s">
        <v>209</v>
      </c>
    </row>
    <row r="70" spans="1:7" x14ac:dyDescent="0.25">
      <c r="A70" s="117"/>
      <c r="C70" s="13"/>
      <c r="D70" s="14" t="s">
        <v>196</v>
      </c>
      <c r="E70" s="14" t="s">
        <v>227</v>
      </c>
      <c r="G70" s="117"/>
    </row>
    <row r="71" spans="1:7" x14ac:dyDescent="0.25">
      <c r="A71" s="117"/>
      <c r="C71" s="13"/>
      <c r="D71" s="14" t="s">
        <v>196</v>
      </c>
      <c r="E71" s="14" t="s">
        <v>228</v>
      </c>
      <c r="G71" s="117"/>
    </row>
    <row r="72" spans="1:7" x14ac:dyDescent="0.25">
      <c r="A72" s="117"/>
      <c r="C72" s="13"/>
      <c r="D72" s="14" t="s">
        <v>196</v>
      </c>
      <c r="E72" s="14" t="s">
        <v>229</v>
      </c>
      <c r="G72" s="117"/>
    </row>
    <row r="73" spans="1:7" x14ac:dyDescent="0.25">
      <c r="A73" s="117"/>
      <c r="C73" s="13"/>
      <c r="D73" s="14" t="s">
        <v>196</v>
      </c>
      <c r="E73" s="14" t="s">
        <v>230</v>
      </c>
      <c r="G73" s="117"/>
    </row>
    <row r="74" spans="1:7" x14ac:dyDescent="0.25">
      <c r="A74" s="117"/>
      <c r="C74" s="13"/>
      <c r="D74" s="14" t="s">
        <v>196</v>
      </c>
      <c r="E74" s="14" t="s">
        <v>231</v>
      </c>
      <c r="G74" s="117"/>
    </row>
    <row r="75" spans="1:7" x14ac:dyDescent="0.25">
      <c r="A75" s="117"/>
      <c r="C75" s="13"/>
      <c r="D75" s="14" t="s">
        <v>196</v>
      </c>
      <c r="E75" s="14" t="s">
        <v>232</v>
      </c>
      <c r="G75" s="117"/>
    </row>
    <row r="76" spans="1:7" ht="21" x14ac:dyDescent="0.25">
      <c r="A76" s="118"/>
      <c r="B76" s="17"/>
      <c r="C76" s="13"/>
      <c r="D76" s="14" t="s">
        <v>201</v>
      </c>
      <c r="E76" s="14" t="s">
        <v>202</v>
      </c>
      <c r="F76" s="18"/>
      <c r="G76" s="118"/>
    </row>
    <row r="77" spans="1:7" ht="3" customHeight="1" x14ac:dyDescent="0.25">
      <c r="A77" s="19"/>
      <c r="B77" s="20"/>
      <c r="C77" s="19"/>
      <c r="D77" s="21"/>
      <c r="E77" s="21"/>
      <c r="F77" s="21"/>
      <c r="G77" s="22"/>
    </row>
    <row r="78" spans="1:7" ht="42" customHeight="1" x14ac:dyDescent="0.25">
      <c r="A78" s="116" t="s">
        <v>233</v>
      </c>
      <c r="B78" s="25"/>
      <c r="C78" s="13" t="s">
        <v>234</v>
      </c>
      <c r="D78" s="14" t="s">
        <v>196</v>
      </c>
      <c r="E78" s="14" t="s">
        <v>235</v>
      </c>
      <c r="F78" s="12"/>
      <c r="G78" s="116" t="s">
        <v>209</v>
      </c>
    </row>
    <row r="79" spans="1:7" ht="31.5" x14ac:dyDescent="0.25">
      <c r="A79" s="117"/>
      <c r="C79" s="13"/>
      <c r="D79" s="14" t="s">
        <v>196</v>
      </c>
      <c r="E79" s="14" t="s">
        <v>236</v>
      </c>
      <c r="G79" s="117"/>
    </row>
    <row r="80" spans="1:7" ht="31.5" x14ac:dyDescent="0.25">
      <c r="A80" s="117"/>
      <c r="C80" s="13"/>
      <c r="D80" s="14" t="s">
        <v>196</v>
      </c>
      <c r="E80" s="14" t="s">
        <v>237</v>
      </c>
      <c r="G80" s="117"/>
    </row>
    <row r="81" spans="1:7" ht="21" x14ac:dyDescent="0.25">
      <c r="A81" s="118"/>
      <c r="B81" s="17"/>
      <c r="C81" s="13"/>
      <c r="D81" s="14" t="s">
        <v>201</v>
      </c>
      <c r="E81" s="14" t="s">
        <v>202</v>
      </c>
      <c r="F81" s="18"/>
      <c r="G81" s="118"/>
    </row>
    <row r="82" spans="1:7" ht="3" customHeight="1" x14ac:dyDescent="0.25">
      <c r="A82" s="19"/>
      <c r="B82" s="20"/>
      <c r="C82" s="19"/>
      <c r="D82" s="21"/>
      <c r="E82" s="21"/>
      <c r="F82" s="21"/>
      <c r="G82" s="22"/>
    </row>
    <row r="83" spans="1:7" ht="42" customHeight="1" x14ac:dyDescent="0.25">
      <c r="A83" s="116" t="s">
        <v>238</v>
      </c>
      <c r="B83" s="25"/>
      <c r="C83" s="13" t="s">
        <v>239</v>
      </c>
      <c r="D83" s="14" t="s">
        <v>196</v>
      </c>
      <c r="E83" s="14" t="s">
        <v>235</v>
      </c>
      <c r="F83" s="12"/>
      <c r="G83" s="116" t="s">
        <v>209</v>
      </c>
    </row>
    <row r="84" spans="1:7" ht="31.5" x14ac:dyDescent="0.25">
      <c r="A84" s="117"/>
      <c r="C84" s="13"/>
      <c r="D84" s="14" t="s">
        <v>196</v>
      </c>
      <c r="E84" s="14" t="s">
        <v>236</v>
      </c>
      <c r="G84" s="117"/>
    </row>
    <row r="85" spans="1:7" ht="31.5" x14ac:dyDescent="0.25">
      <c r="A85" s="117"/>
      <c r="C85" s="13"/>
      <c r="D85" s="14" t="s">
        <v>196</v>
      </c>
      <c r="E85" s="14" t="s">
        <v>237</v>
      </c>
      <c r="G85" s="117"/>
    </row>
    <row r="86" spans="1:7" ht="26.25" customHeight="1" x14ac:dyDescent="0.25">
      <c r="A86" s="118"/>
      <c r="B86" s="17"/>
      <c r="C86" s="13"/>
      <c r="D86" s="14" t="s">
        <v>201</v>
      </c>
      <c r="E86" s="14" t="s">
        <v>202</v>
      </c>
      <c r="F86" s="18"/>
      <c r="G86" s="118"/>
    </row>
  </sheetData>
  <mergeCells count="26">
    <mergeCell ref="A3:A7"/>
    <mergeCell ref="G3:G7"/>
    <mergeCell ref="A9:A10"/>
    <mergeCell ref="G9:G10"/>
    <mergeCell ref="A12:A13"/>
    <mergeCell ref="G12:G13"/>
    <mergeCell ref="A15:A18"/>
    <mergeCell ref="G15:G18"/>
    <mergeCell ref="A20:A22"/>
    <mergeCell ref="G20:G22"/>
    <mergeCell ref="A24:A27"/>
    <mergeCell ref="G24:G27"/>
    <mergeCell ref="A29:A38"/>
    <mergeCell ref="G29:G38"/>
    <mergeCell ref="A40:A43"/>
    <mergeCell ref="G40:G43"/>
    <mergeCell ref="A45:A55"/>
    <mergeCell ref="G45:G55"/>
    <mergeCell ref="A83:A86"/>
    <mergeCell ref="G83:G86"/>
    <mergeCell ref="A57:A67"/>
    <mergeCell ref="G57:G67"/>
    <mergeCell ref="A69:A76"/>
    <mergeCell ref="G69:G76"/>
    <mergeCell ref="A78:A81"/>
    <mergeCell ref="G78:G8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36D1D-CEF5-4A5C-8646-104883DA7FC6}">
  <sheetPr codeName="Hoja6"/>
  <dimension ref="A1:B79"/>
  <sheetViews>
    <sheetView topLeftCell="A47" workbookViewId="0">
      <selection activeCell="A38" sqref="A38"/>
    </sheetView>
  </sheetViews>
  <sheetFormatPr baseColWidth="10" defaultRowHeight="14.5" x14ac:dyDescent="0.35"/>
  <cols>
    <col min="1" max="1" width="118.08984375" bestFit="1" customWidth="1"/>
  </cols>
  <sheetData>
    <row r="1" spans="1:2" x14ac:dyDescent="0.35">
      <c r="A1" s="2" t="s">
        <v>240</v>
      </c>
      <c r="B1" s="2" t="s">
        <v>241</v>
      </c>
    </row>
    <row r="2" spans="1:2" x14ac:dyDescent="0.35">
      <c r="A2" s="1" t="s">
        <v>242</v>
      </c>
      <c r="B2" s="1">
        <v>1</v>
      </c>
    </row>
    <row r="3" spans="1:2" x14ac:dyDescent="0.35">
      <c r="A3" s="1" t="s">
        <v>243</v>
      </c>
      <c r="B3" s="1">
        <v>2</v>
      </c>
    </row>
    <row r="4" spans="1:2" x14ac:dyDescent="0.35">
      <c r="A4" s="1" t="s">
        <v>244</v>
      </c>
      <c r="B4" s="1">
        <v>3</v>
      </c>
    </row>
    <row r="5" spans="1:2" x14ac:dyDescent="0.35">
      <c r="A5" s="1" t="s">
        <v>245</v>
      </c>
      <c r="B5" s="1">
        <v>4</v>
      </c>
    </row>
    <row r="6" spans="1:2" x14ac:dyDescent="0.35">
      <c r="A6" s="1" t="s">
        <v>246</v>
      </c>
      <c r="B6" s="1">
        <v>5</v>
      </c>
    </row>
    <row r="7" spans="1:2" x14ac:dyDescent="0.35">
      <c r="A7" s="1" t="s">
        <v>247</v>
      </c>
      <c r="B7" s="1">
        <v>6</v>
      </c>
    </row>
    <row r="8" spans="1:2" x14ac:dyDescent="0.35">
      <c r="A8" s="1" t="s">
        <v>248</v>
      </c>
      <c r="B8" s="1">
        <v>7</v>
      </c>
    </row>
    <row r="9" spans="1:2" x14ac:dyDescent="0.35">
      <c r="A9" s="1" t="s">
        <v>249</v>
      </c>
      <c r="B9" s="1">
        <v>8</v>
      </c>
    </row>
    <row r="10" spans="1:2" x14ac:dyDescent="0.35">
      <c r="A10" s="1" t="s">
        <v>250</v>
      </c>
      <c r="B10" s="1">
        <v>9</v>
      </c>
    </row>
    <row r="11" spans="1:2" x14ac:dyDescent="0.35">
      <c r="A11" s="1" t="s">
        <v>251</v>
      </c>
      <c r="B11" s="1">
        <v>10</v>
      </c>
    </row>
    <row r="12" spans="1:2" x14ac:dyDescent="0.35">
      <c r="A12" s="1" t="s">
        <v>252</v>
      </c>
      <c r="B12" s="1">
        <v>11</v>
      </c>
    </row>
    <row r="13" spans="1:2" x14ac:dyDescent="0.35">
      <c r="A13" s="1" t="s">
        <v>253</v>
      </c>
      <c r="B13" s="1">
        <v>12</v>
      </c>
    </row>
    <row r="14" spans="1:2" x14ac:dyDescent="0.35">
      <c r="A14" s="1" t="s">
        <v>254</v>
      </c>
      <c r="B14" s="1">
        <v>13</v>
      </c>
    </row>
    <row r="15" spans="1:2" x14ac:dyDescent="0.35">
      <c r="A15" s="1" t="s">
        <v>255</v>
      </c>
      <c r="B15" s="1">
        <v>14</v>
      </c>
    </row>
    <row r="16" spans="1:2" x14ac:dyDescent="0.35">
      <c r="A16" s="1" t="s">
        <v>256</v>
      </c>
      <c r="B16" s="1">
        <v>15</v>
      </c>
    </row>
    <row r="17" spans="1:2" x14ac:dyDescent="0.35">
      <c r="A17" s="1" t="s">
        <v>257</v>
      </c>
      <c r="B17" s="1">
        <v>16</v>
      </c>
    </row>
    <row r="18" spans="1:2" x14ac:dyDescent="0.35">
      <c r="A18" s="1" t="s">
        <v>258</v>
      </c>
      <c r="B18" s="1">
        <v>17</v>
      </c>
    </row>
    <row r="19" spans="1:2" x14ac:dyDescent="0.35">
      <c r="A19" s="1" t="s">
        <v>259</v>
      </c>
      <c r="B19" s="1">
        <v>18</v>
      </c>
    </row>
    <row r="20" spans="1:2" x14ac:dyDescent="0.35">
      <c r="A20" s="1" t="s">
        <v>260</v>
      </c>
      <c r="B20" s="1">
        <v>19</v>
      </c>
    </row>
    <row r="21" spans="1:2" x14ac:dyDescent="0.35">
      <c r="A21" s="1" t="s">
        <v>261</v>
      </c>
      <c r="B21" s="1">
        <v>20</v>
      </c>
    </row>
    <row r="22" spans="1:2" x14ac:dyDescent="0.35">
      <c r="A22" s="1" t="s">
        <v>262</v>
      </c>
      <c r="B22" s="1">
        <v>21</v>
      </c>
    </row>
    <row r="23" spans="1:2" x14ac:dyDescent="0.35">
      <c r="A23" s="1" t="s">
        <v>263</v>
      </c>
      <c r="B23" s="1">
        <v>22</v>
      </c>
    </row>
    <row r="24" spans="1:2" x14ac:dyDescent="0.35">
      <c r="A24" s="1" t="s">
        <v>264</v>
      </c>
      <c r="B24" s="1">
        <v>23</v>
      </c>
    </row>
    <row r="25" spans="1:2" x14ac:dyDescent="0.35">
      <c r="A25" s="1" t="s">
        <v>265</v>
      </c>
      <c r="B25" s="1">
        <v>24</v>
      </c>
    </row>
    <row r="26" spans="1:2" x14ac:dyDescent="0.35">
      <c r="A26" s="1" t="s">
        <v>266</v>
      </c>
      <c r="B26" s="1">
        <v>25</v>
      </c>
    </row>
    <row r="27" spans="1:2" x14ac:dyDescent="0.35">
      <c r="A27" s="1" t="s">
        <v>267</v>
      </c>
      <c r="B27" s="1">
        <v>26</v>
      </c>
    </row>
    <row r="28" spans="1:2" x14ac:dyDescent="0.35">
      <c r="A28" s="1" t="s">
        <v>268</v>
      </c>
      <c r="B28" s="1">
        <v>27</v>
      </c>
    </row>
    <row r="29" spans="1:2" x14ac:dyDescent="0.35">
      <c r="A29" s="1" t="s">
        <v>269</v>
      </c>
      <c r="B29" s="1">
        <v>28</v>
      </c>
    </row>
    <row r="30" spans="1:2" x14ac:dyDescent="0.35">
      <c r="A30" s="1" t="s">
        <v>270</v>
      </c>
      <c r="B30" s="1">
        <v>29</v>
      </c>
    </row>
    <row r="31" spans="1:2" x14ac:dyDescent="0.35">
      <c r="A31" s="1" t="s">
        <v>271</v>
      </c>
      <c r="B31" s="1">
        <v>30</v>
      </c>
    </row>
    <row r="32" spans="1:2" x14ac:dyDescent="0.35">
      <c r="A32" s="1" t="s">
        <v>272</v>
      </c>
      <c r="B32" s="1">
        <v>31</v>
      </c>
    </row>
    <row r="33" spans="1:2" x14ac:dyDescent="0.35">
      <c r="A33" s="1" t="s">
        <v>273</v>
      </c>
      <c r="B33" s="1">
        <v>32</v>
      </c>
    </row>
    <row r="34" spans="1:2" x14ac:dyDescent="0.35">
      <c r="A34" s="1" t="s">
        <v>274</v>
      </c>
      <c r="B34" s="1">
        <v>33</v>
      </c>
    </row>
    <row r="35" spans="1:2" x14ac:dyDescent="0.35">
      <c r="A35" s="1" t="s">
        <v>275</v>
      </c>
      <c r="B35" s="1">
        <v>34</v>
      </c>
    </row>
    <row r="36" spans="1:2" x14ac:dyDescent="0.35">
      <c r="A36" s="1" t="s">
        <v>276</v>
      </c>
      <c r="B36" s="1">
        <v>35</v>
      </c>
    </row>
    <row r="37" spans="1:2" x14ac:dyDescent="0.35">
      <c r="A37" s="1" t="s">
        <v>277</v>
      </c>
      <c r="B37" s="1">
        <v>36</v>
      </c>
    </row>
    <row r="38" spans="1:2" x14ac:dyDescent="0.35">
      <c r="A38" s="1" t="s">
        <v>278</v>
      </c>
      <c r="B38" s="1">
        <v>37</v>
      </c>
    </row>
    <row r="39" spans="1:2" x14ac:dyDescent="0.35">
      <c r="A39" s="1" t="s">
        <v>279</v>
      </c>
      <c r="B39" s="1">
        <v>38</v>
      </c>
    </row>
    <row r="40" spans="1:2" x14ac:dyDescent="0.35">
      <c r="A40" s="1" t="s">
        <v>280</v>
      </c>
      <c r="B40" s="1">
        <v>39</v>
      </c>
    </row>
    <row r="41" spans="1:2" x14ac:dyDescent="0.35">
      <c r="A41" s="1" t="s">
        <v>281</v>
      </c>
      <c r="B41" s="111">
        <v>40</v>
      </c>
    </row>
    <row r="42" spans="1:2" x14ac:dyDescent="0.35">
      <c r="A42" s="1" t="s">
        <v>282</v>
      </c>
      <c r="B42" s="111">
        <v>41</v>
      </c>
    </row>
    <row r="43" spans="1:2" x14ac:dyDescent="0.35">
      <c r="A43" s="1" t="s">
        <v>283</v>
      </c>
      <c r="B43" s="111">
        <v>42</v>
      </c>
    </row>
    <row r="44" spans="1:2" x14ac:dyDescent="0.35">
      <c r="A44" s="1" t="s">
        <v>284</v>
      </c>
      <c r="B44" s="111">
        <v>43</v>
      </c>
    </row>
    <row r="45" spans="1:2" x14ac:dyDescent="0.35">
      <c r="A45" s="1" t="s">
        <v>285</v>
      </c>
      <c r="B45" s="111">
        <v>44</v>
      </c>
    </row>
    <row r="46" spans="1:2" x14ac:dyDescent="0.35">
      <c r="A46" s="1" t="s">
        <v>286</v>
      </c>
      <c r="B46" s="111">
        <v>45</v>
      </c>
    </row>
    <row r="47" spans="1:2" x14ac:dyDescent="0.35">
      <c r="A47" s="1" t="s">
        <v>287</v>
      </c>
      <c r="B47" s="111">
        <v>46</v>
      </c>
    </row>
    <row r="48" spans="1:2" x14ac:dyDescent="0.35">
      <c r="A48" s="1" t="s">
        <v>288</v>
      </c>
      <c r="B48" s="111">
        <v>47</v>
      </c>
    </row>
    <row r="49" spans="1:2" x14ac:dyDescent="0.35">
      <c r="A49" s="1" t="s">
        <v>289</v>
      </c>
      <c r="B49" s="111">
        <v>48</v>
      </c>
    </row>
    <row r="50" spans="1:2" x14ac:dyDescent="0.35">
      <c r="A50" s="1" t="s">
        <v>290</v>
      </c>
      <c r="B50" s="111">
        <v>49</v>
      </c>
    </row>
    <row r="51" spans="1:2" x14ac:dyDescent="0.35">
      <c r="A51" s="1" t="s">
        <v>291</v>
      </c>
      <c r="B51" s="111">
        <v>50</v>
      </c>
    </row>
    <row r="52" spans="1:2" x14ac:dyDescent="0.35">
      <c r="A52" s="1" t="s">
        <v>292</v>
      </c>
      <c r="B52" s="111">
        <v>51</v>
      </c>
    </row>
    <row r="53" spans="1:2" x14ac:dyDescent="0.35">
      <c r="A53" s="1" t="s">
        <v>293</v>
      </c>
      <c r="B53" s="111">
        <v>52</v>
      </c>
    </row>
    <row r="54" spans="1:2" x14ac:dyDescent="0.35">
      <c r="A54" s="1" t="s">
        <v>294</v>
      </c>
      <c r="B54" s="111">
        <v>53</v>
      </c>
    </row>
    <row r="55" spans="1:2" x14ac:dyDescent="0.35">
      <c r="A55" s="1" t="s">
        <v>295</v>
      </c>
      <c r="B55" s="111">
        <v>54</v>
      </c>
    </row>
    <row r="56" spans="1:2" x14ac:dyDescent="0.35">
      <c r="A56" s="1" t="s">
        <v>296</v>
      </c>
      <c r="B56" s="111">
        <v>55</v>
      </c>
    </row>
    <row r="57" spans="1:2" x14ac:dyDescent="0.35">
      <c r="A57" s="1" t="s">
        <v>297</v>
      </c>
      <c r="B57" s="111">
        <v>56</v>
      </c>
    </row>
    <row r="58" spans="1:2" x14ac:dyDescent="0.35">
      <c r="A58" s="1" t="s">
        <v>298</v>
      </c>
      <c r="B58" s="111">
        <v>57</v>
      </c>
    </row>
    <row r="59" spans="1:2" x14ac:dyDescent="0.35">
      <c r="A59" s="1" t="s">
        <v>299</v>
      </c>
      <c r="B59" s="111">
        <v>58</v>
      </c>
    </row>
    <row r="60" spans="1:2" x14ac:dyDescent="0.35">
      <c r="A60" s="1" t="s">
        <v>300</v>
      </c>
      <c r="B60" s="111">
        <v>59</v>
      </c>
    </row>
    <row r="61" spans="1:2" x14ac:dyDescent="0.35">
      <c r="A61" s="1" t="s">
        <v>301</v>
      </c>
      <c r="B61" s="111">
        <v>60</v>
      </c>
    </row>
    <row r="62" spans="1:2" x14ac:dyDescent="0.35">
      <c r="A62" s="1" t="s">
        <v>302</v>
      </c>
      <c r="B62" s="111">
        <v>61</v>
      </c>
    </row>
    <row r="63" spans="1:2" x14ac:dyDescent="0.35">
      <c r="A63" s="1" t="s">
        <v>303</v>
      </c>
      <c r="B63" s="111">
        <v>62</v>
      </c>
    </row>
    <row r="64" spans="1:2" x14ac:dyDescent="0.35">
      <c r="A64" s="1" t="s">
        <v>304</v>
      </c>
      <c r="B64" s="111">
        <v>63</v>
      </c>
    </row>
    <row r="65" spans="1:2" x14ac:dyDescent="0.35">
      <c r="A65" s="1" t="s">
        <v>305</v>
      </c>
      <c r="B65" s="111">
        <v>64</v>
      </c>
    </row>
    <row r="66" spans="1:2" x14ac:dyDescent="0.35">
      <c r="A66" s="1" t="s">
        <v>306</v>
      </c>
      <c r="B66" s="111">
        <v>65</v>
      </c>
    </row>
    <row r="67" spans="1:2" x14ac:dyDescent="0.35">
      <c r="A67" s="1" t="s">
        <v>307</v>
      </c>
      <c r="B67" s="111">
        <v>66</v>
      </c>
    </row>
    <row r="68" spans="1:2" x14ac:dyDescent="0.35">
      <c r="A68" s="1" t="s">
        <v>308</v>
      </c>
      <c r="B68" s="111">
        <v>67</v>
      </c>
    </row>
    <row r="69" spans="1:2" x14ac:dyDescent="0.35">
      <c r="A69" s="1" t="s">
        <v>309</v>
      </c>
      <c r="B69" s="111">
        <v>68</v>
      </c>
    </row>
    <row r="70" spans="1:2" x14ac:dyDescent="0.35">
      <c r="A70" s="1" t="s">
        <v>310</v>
      </c>
      <c r="B70" s="111">
        <v>69</v>
      </c>
    </row>
    <row r="71" spans="1:2" x14ac:dyDescent="0.35">
      <c r="A71" s="1" t="s">
        <v>311</v>
      </c>
      <c r="B71" s="111">
        <v>70</v>
      </c>
    </row>
    <row r="72" spans="1:2" x14ac:dyDescent="0.35">
      <c r="A72" s="1" t="s">
        <v>312</v>
      </c>
      <c r="B72" s="111">
        <v>71</v>
      </c>
    </row>
    <row r="73" spans="1:2" x14ac:dyDescent="0.35">
      <c r="A73" s="1" t="s">
        <v>313</v>
      </c>
      <c r="B73" s="111">
        <v>72</v>
      </c>
    </row>
    <row r="74" spans="1:2" x14ac:dyDescent="0.35">
      <c r="A74" s="1" t="s">
        <v>314</v>
      </c>
      <c r="B74" s="111">
        <v>73</v>
      </c>
    </row>
    <row r="75" spans="1:2" x14ac:dyDescent="0.35">
      <c r="A75" s="1" t="s">
        <v>315</v>
      </c>
      <c r="B75" s="111">
        <v>74</v>
      </c>
    </row>
    <row r="76" spans="1:2" x14ac:dyDescent="0.35">
      <c r="A76" s="1" t="s">
        <v>316</v>
      </c>
      <c r="B76" s="111">
        <v>75</v>
      </c>
    </row>
    <row r="77" spans="1:2" x14ac:dyDescent="0.35">
      <c r="A77" s="1" t="s">
        <v>317</v>
      </c>
      <c r="B77" s="111">
        <v>76</v>
      </c>
    </row>
    <row r="78" spans="1:2" x14ac:dyDescent="0.35">
      <c r="A78" s="1" t="s">
        <v>318</v>
      </c>
      <c r="B78" s="111">
        <v>77</v>
      </c>
    </row>
    <row r="79" spans="1:2" x14ac:dyDescent="0.35">
      <c r="A79" s="1" t="s">
        <v>319</v>
      </c>
      <c r="B79" s="111">
        <v>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E3FF4-15A5-4EEE-8ACE-0E70D2F5C66A}">
  <sheetPr codeName="Hoja7"/>
  <dimension ref="A2:B38"/>
  <sheetViews>
    <sheetView workbookViewId="0">
      <selection activeCell="B9" sqref="B9"/>
    </sheetView>
  </sheetViews>
  <sheetFormatPr baseColWidth="10" defaultColWidth="10.90625" defaultRowHeight="10.5" x14ac:dyDescent="0.25"/>
  <cols>
    <col min="1" max="1" width="14.6328125" style="1" bestFit="1" customWidth="1"/>
    <col min="2" max="16384" width="10.90625" style="1"/>
  </cols>
  <sheetData>
    <row r="2" spans="1:2" x14ac:dyDescent="0.25">
      <c r="A2" s="2" t="s">
        <v>320</v>
      </c>
      <c r="B2" s="2" t="s">
        <v>321</v>
      </c>
    </row>
    <row r="3" spans="1:2" x14ac:dyDescent="0.25">
      <c r="A3" s="1">
        <v>1</v>
      </c>
      <c r="B3" s="1" t="s">
        <v>322</v>
      </c>
    </row>
    <row r="4" spans="1:2" x14ac:dyDescent="0.25">
      <c r="A4" s="1">
        <v>2</v>
      </c>
      <c r="B4" s="1" t="s">
        <v>323</v>
      </c>
    </row>
    <row r="5" spans="1:2" x14ac:dyDescent="0.25">
      <c r="A5" s="1">
        <v>7</v>
      </c>
      <c r="B5" s="1" t="s">
        <v>324</v>
      </c>
    </row>
    <row r="6" spans="1:2" x14ac:dyDescent="0.25">
      <c r="A6" s="1">
        <v>9</v>
      </c>
      <c r="B6" s="1" t="s">
        <v>325</v>
      </c>
    </row>
    <row r="7" spans="1:2" x14ac:dyDescent="0.25">
      <c r="A7" s="1">
        <v>10</v>
      </c>
      <c r="B7" s="1" t="s">
        <v>326</v>
      </c>
    </row>
    <row r="8" spans="1:2" x14ac:dyDescent="0.25">
      <c r="A8" s="1">
        <v>25</v>
      </c>
      <c r="B8" s="1" t="s">
        <v>327</v>
      </c>
    </row>
    <row r="9" spans="1:2" x14ac:dyDescent="0.25">
      <c r="A9" s="1">
        <v>31</v>
      </c>
      <c r="B9" s="1" t="s">
        <v>328</v>
      </c>
    </row>
    <row r="10" spans="1:2" x14ac:dyDescent="0.25">
      <c r="A10" s="1">
        <v>32</v>
      </c>
      <c r="B10" s="1" t="s">
        <v>329</v>
      </c>
    </row>
    <row r="11" spans="1:2" x14ac:dyDescent="0.25">
      <c r="A11" s="1">
        <v>33</v>
      </c>
      <c r="B11" s="1" t="s">
        <v>330</v>
      </c>
    </row>
    <row r="12" spans="1:2" x14ac:dyDescent="0.25">
      <c r="A12" s="1">
        <v>34</v>
      </c>
      <c r="B12" s="1" t="s">
        <v>331</v>
      </c>
    </row>
    <row r="13" spans="1:2" x14ac:dyDescent="0.25">
      <c r="A13" s="1">
        <v>58</v>
      </c>
      <c r="B13" s="1" t="s">
        <v>332</v>
      </c>
    </row>
    <row r="14" spans="1:2" x14ac:dyDescent="0.25">
      <c r="A14" s="1">
        <v>60</v>
      </c>
      <c r="B14" s="1" t="s">
        <v>333</v>
      </c>
    </row>
    <row r="15" spans="1:2" x14ac:dyDescent="0.25">
      <c r="A15" s="1">
        <v>262</v>
      </c>
      <c r="B15" s="1" t="s">
        <v>334</v>
      </c>
    </row>
    <row r="16" spans="1:2" x14ac:dyDescent="0.25">
      <c r="A16" s="1">
        <v>264</v>
      </c>
      <c r="B16" s="1" t="s">
        <v>335</v>
      </c>
    </row>
    <row r="17" spans="1:2" x14ac:dyDescent="0.25">
      <c r="A17" s="1">
        <v>270</v>
      </c>
      <c r="B17" s="1" t="s">
        <v>336</v>
      </c>
    </row>
    <row r="18" spans="1:2" x14ac:dyDescent="0.25">
      <c r="A18" s="1">
        <v>405</v>
      </c>
      <c r="B18" s="1" t="s">
        <v>337</v>
      </c>
    </row>
    <row r="19" spans="1:2" x14ac:dyDescent="0.25">
      <c r="A19" s="1">
        <v>406</v>
      </c>
      <c r="B19" s="1" t="s">
        <v>338</v>
      </c>
    </row>
    <row r="20" spans="1:2" x14ac:dyDescent="0.25">
      <c r="A20" s="1">
        <v>408</v>
      </c>
      <c r="B20" s="1" t="s">
        <v>337</v>
      </c>
    </row>
    <row r="21" spans="1:2" x14ac:dyDescent="0.25">
      <c r="A21" s="1">
        <v>409</v>
      </c>
      <c r="B21" s="1" t="s">
        <v>338</v>
      </c>
    </row>
    <row r="22" spans="1:2" x14ac:dyDescent="0.25">
      <c r="A22" s="1">
        <v>518</v>
      </c>
      <c r="B22" s="1" t="s">
        <v>339</v>
      </c>
    </row>
    <row r="23" spans="1:2" x14ac:dyDescent="0.25">
      <c r="A23" s="1">
        <v>569</v>
      </c>
      <c r="B23" s="1" t="s">
        <v>340</v>
      </c>
    </row>
    <row r="24" spans="1:2" x14ac:dyDescent="0.25">
      <c r="A24" s="1">
        <v>570</v>
      </c>
      <c r="B24" s="1" t="s">
        <v>341</v>
      </c>
    </row>
    <row r="25" spans="1:2" x14ac:dyDescent="0.25">
      <c r="A25" s="1">
        <v>571</v>
      </c>
      <c r="B25" s="1" t="s">
        <v>342</v>
      </c>
    </row>
    <row r="26" spans="1:2" x14ac:dyDescent="0.25">
      <c r="A26" s="1">
        <v>572</v>
      </c>
      <c r="B26" s="1" t="s">
        <v>343</v>
      </c>
    </row>
    <row r="27" spans="1:2" x14ac:dyDescent="0.25">
      <c r="A27" s="1">
        <v>713</v>
      </c>
      <c r="B27" s="1" t="s">
        <v>344</v>
      </c>
    </row>
    <row r="28" spans="1:2" x14ac:dyDescent="0.25">
      <c r="A28" s="1">
        <v>734</v>
      </c>
      <c r="B28" s="1" t="s">
        <v>322</v>
      </c>
    </row>
    <row r="29" spans="1:2" x14ac:dyDescent="0.25">
      <c r="A29" s="1">
        <v>735</v>
      </c>
      <c r="B29" s="1" t="s">
        <v>345</v>
      </c>
    </row>
    <row r="30" spans="1:2" x14ac:dyDescent="0.25">
      <c r="A30" s="1">
        <v>738</v>
      </c>
      <c r="B30" s="1" t="s">
        <v>346</v>
      </c>
    </row>
    <row r="31" spans="1:2" x14ac:dyDescent="0.25">
      <c r="A31" s="1">
        <v>740</v>
      </c>
      <c r="B31" s="1" t="s">
        <v>347</v>
      </c>
    </row>
    <row r="32" spans="1:2" x14ac:dyDescent="0.25">
      <c r="A32" s="1">
        <v>763</v>
      </c>
      <c r="B32" s="1" t="s">
        <v>348</v>
      </c>
    </row>
    <row r="33" spans="1:2" x14ac:dyDescent="0.25">
      <c r="A33" s="1">
        <v>774</v>
      </c>
      <c r="B33" s="1" t="s">
        <v>349</v>
      </c>
    </row>
    <row r="34" spans="1:2" x14ac:dyDescent="0.25">
      <c r="A34" s="1">
        <v>781</v>
      </c>
      <c r="B34" s="1" t="s">
        <v>350</v>
      </c>
    </row>
    <row r="35" spans="1:2" x14ac:dyDescent="0.25">
      <c r="A35" s="1">
        <v>791</v>
      </c>
      <c r="B35" s="1" t="s">
        <v>351</v>
      </c>
    </row>
    <row r="36" spans="1:2" x14ac:dyDescent="0.25">
      <c r="A36" s="1">
        <v>792</v>
      </c>
      <c r="B36" s="1" t="s">
        <v>352</v>
      </c>
    </row>
    <row r="37" spans="1:2" x14ac:dyDescent="0.25">
      <c r="A37" s="1">
        <v>819</v>
      </c>
      <c r="B37" s="1" t="s">
        <v>353</v>
      </c>
    </row>
    <row r="38" spans="1:2" x14ac:dyDescent="0.25">
      <c r="A38" s="1">
        <v>820</v>
      </c>
      <c r="B38" s="1" t="s">
        <v>354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AF0C2-5A3C-4CD1-9028-0C4BD30B625D}">
  <sheetPr codeName="Hoja8"/>
  <dimension ref="A1:B25"/>
  <sheetViews>
    <sheetView topLeftCell="A10" workbookViewId="0">
      <selection activeCell="D19" sqref="D19"/>
    </sheetView>
  </sheetViews>
  <sheetFormatPr baseColWidth="10" defaultRowHeight="14.5" x14ac:dyDescent="0.35"/>
  <cols>
    <col min="1" max="1" width="54.453125" bestFit="1" customWidth="1"/>
    <col min="2" max="2" width="14.26953125" bestFit="1" customWidth="1"/>
  </cols>
  <sheetData>
    <row r="1" spans="1:2" x14ac:dyDescent="0.35">
      <c r="A1" s="2" t="s">
        <v>240</v>
      </c>
      <c r="B1" s="2" t="s">
        <v>241</v>
      </c>
    </row>
    <row r="2" spans="1:2" x14ac:dyDescent="0.35">
      <c r="A2" s="1" t="s">
        <v>355</v>
      </c>
      <c r="B2" s="1">
        <v>90</v>
      </c>
    </row>
    <row r="3" spans="1:2" x14ac:dyDescent="0.35">
      <c r="A3" s="1" t="s">
        <v>356</v>
      </c>
      <c r="B3" s="1">
        <v>94</v>
      </c>
    </row>
    <row r="4" spans="1:2" x14ac:dyDescent="0.35">
      <c r="A4" s="1" t="s">
        <v>357</v>
      </c>
      <c r="B4" s="1">
        <v>95</v>
      </c>
    </row>
    <row r="5" spans="1:2" x14ac:dyDescent="0.35">
      <c r="A5" s="1" t="s">
        <v>358</v>
      </c>
      <c r="B5" s="1">
        <v>96</v>
      </c>
    </row>
    <row r="6" spans="1:2" x14ac:dyDescent="0.35">
      <c r="A6" s="1" t="s">
        <v>359</v>
      </c>
      <c r="B6" s="1">
        <v>97</v>
      </c>
    </row>
    <row r="7" spans="1:2" x14ac:dyDescent="0.35">
      <c r="A7" s="1" t="s">
        <v>360</v>
      </c>
      <c r="B7" s="1">
        <v>98</v>
      </c>
    </row>
    <row r="8" spans="1:2" x14ac:dyDescent="0.35">
      <c r="A8" s="1" t="s">
        <v>361</v>
      </c>
      <c r="B8" s="1">
        <v>99</v>
      </c>
    </row>
    <row r="9" spans="1:2" x14ac:dyDescent="0.35">
      <c r="A9" s="1" t="s">
        <v>362</v>
      </c>
      <c r="B9" s="1">
        <v>100</v>
      </c>
    </row>
    <row r="10" spans="1:2" x14ac:dyDescent="0.35">
      <c r="A10" s="1" t="s">
        <v>363</v>
      </c>
      <c r="B10" s="1">
        <v>101</v>
      </c>
    </row>
    <row r="11" spans="1:2" x14ac:dyDescent="0.35">
      <c r="A11" s="1" t="s">
        <v>364</v>
      </c>
      <c r="B11" s="1">
        <v>102</v>
      </c>
    </row>
    <row r="12" spans="1:2" x14ac:dyDescent="0.35">
      <c r="A12" s="1" t="s">
        <v>365</v>
      </c>
      <c r="B12" s="1">
        <v>103</v>
      </c>
    </row>
    <row r="13" spans="1:2" x14ac:dyDescent="0.35">
      <c r="A13" s="1" t="s">
        <v>366</v>
      </c>
      <c r="B13" s="1">
        <v>104</v>
      </c>
    </row>
    <row r="14" spans="1:2" x14ac:dyDescent="0.35">
      <c r="A14" s="1" t="s">
        <v>367</v>
      </c>
      <c r="B14" s="111">
        <v>105</v>
      </c>
    </row>
    <row r="15" spans="1:2" x14ac:dyDescent="0.35">
      <c r="A15" s="1" t="s">
        <v>368</v>
      </c>
      <c r="B15" s="111">
        <v>106</v>
      </c>
    </row>
    <row r="16" spans="1:2" x14ac:dyDescent="0.35">
      <c r="A16" s="1" t="s">
        <v>369</v>
      </c>
      <c r="B16" s="111">
        <v>107</v>
      </c>
    </row>
    <row r="17" spans="1:2" x14ac:dyDescent="0.35">
      <c r="A17" s="1" t="s">
        <v>370</v>
      </c>
      <c r="B17" s="111">
        <v>108</v>
      </c>
    </row>
    <row r="18" spans="1:2" x14ac:dyDescent="0.35">
      <c r="A18" s="1" t="s">
        <v>371</v>
      </c>
      <c r="B18" s="111">
        <v>110</v>
      </c>
    </row>
    <row r="19" spans="1:2" x14ac:dyDescent="0.35">
      <c r="A19" s="1" t="s">
        <v>372</v>
      </c>
      <c r="B19" s="111">
        <v>111</v>
      </c>
    </row>
    <row r="20" spans="1:2" x14ac:dyDescent="0.35">
      <c r="A20" s="1" t="s">
        <v>373</v>
      </c>
      <c r="B20" s="111">
        <v>112</v>
      </c>
    </row>
    <row r="21" spans="1:2" x14ac:dyDescent="0.35">
      <c r="A21" s="1" t="s">
        <v>374</v>
      </c>
      <c r="B21" s="111">
        <v>113</v>
      </c>
    </row>
    <row r="22" spans="1:2" x14ac:dyDescent="0.35">
      <c r="A22" s="1" t="s">
        <v>375</v>
      </c>
      <c r="B22" s="111">
        <v>114</v>
      </c>
    </row>
    <row r="23" spans="1:2" x14ac:dyDescent="0.35">
      <c r="A23" s="1" t="s">
        <v>376</v>
      </c>
      <c r="B23" s="111">
        <v>115</v>
      </c>
    </row>
    <row r="24" spans="1:2" x14ac:dyDescent="0.35">
      <c r="A24" s="1" t="s">
        <v>377</v>
      </c>
      <c r="B24" s="111">
        <v>116</v>
      </c>
    </row>
    <row r="25" spans="1:2" x14ac:dyDescent="0.35">
      <c r="A25" s="1" t="s">
        <v>378</v>
      </c>
      <c r="B25" s="111">
        <v>117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67FCB-3190-43BA-BEBC-BE58CDED3031}">
  <sheetPr codeName="Hoja9"/>
  <dimension ref="A3:B4"/>
  <sheetViews>
    <sheetView workbookViewId="0">
      <selection activeCell="D26" sqref="D26"/>
    </sheetView>
  </sheetViews>
  <sheetFormatPr baseColWidth="10" defaultColWidth="11.453125" defaultRowHeight="10.5" x14ac:dyDescent="0.25"/>
  <cols>
    <col min="1" max="1" width="50.7265625" style="1" bestFit="1" customWidth="1"/>
    <col min="2" max="2" width="14.26953125" style="1" bestFit="1" customWidth="1"/>
    <col min="3" max="16384" width="11.453125" style="1"/>
  </cols>
  <sheetData>
    <row r="3" spans="1:2" x14ac:dyDescent="0.25">
      <c r="A3" s="2" t="s">
        <v>240</v>
      </c>
      <c r="B3" s="2" t="s">
        <v>241</v>
      </c>
    </row>
    <row r="4" spans="1:2" x14ac:dyDescent="0.25">
      <c r="A4" s="1" t="s">
        <v>379</v>
      </c>
      <c r="B4" s="1">
        <v>632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7C2A2-64F2-4263-A463-53696622E8B9}">
  <sheetPr codeName="Hoja10"/>
  <dimension ref="A1:C6"/>
  <sheetViews>
    <sheetView workbookViewId="0">
      <selection activeCell="A2" sqref="A2:A6"/>
    </sheetView>
  </sheetViews>
  <sheetFormatPr baseColWidth="10" defaultColWidth="10.90625" defaultRowHeight="10.5" x14ac:dyDescent="0.25"/>
  <cols>
    <col min="1" max="1" width="5.453125" style="1" bestFit="1" customWidth="1"/>
    <col min="2" max="2" width="36.36328125" style="1" customWidth="1"/>
    <col min="3" max="3" width="63.36328125" style="1" customWidth="1"/>
    <col min="4" max="16384" width="10.90625" style="1"/>
  </cols>
  <sheetData>
    <row r="1" spans="1:3" x14ac:dyDescent="0.25">
      <c r="A1" s="26" t="s">
        <v>380</v>
      </c>
      <c r="B1" s="26" t="s">
        <v>381</v>
      </c>
      <c r="C1" s="26" t="s">
        <v>382</v>
      </c>
    </row>
    <row r="2" spans="1:3" ht="31.5" x14ac:dyDescent="0.25">
      <c r="A2" s="27" t="s">
        <v>383</v>
      </c>
      <c r="B2" s="27" t="s">
        <v>384</v>
      </c>
      <c r="C2" s="27" t="s">
        <v>385</v>
      </c>
    </row>
    <row r="3" spans="1:3" ht="31.5" x14ac:dyDescent="0.25">
      <c r="A3" s="27" t="s">
        <v>386</v>
      </c>
      <c r="B3" s="27" t="s">
        <v>387</v>
      </c>
      <c r="C3" s="27" t="s">
        <v>388</v>
      </c>
    </row>
    <row r="4" spans="1:3" ht="31.5" x14ac:dyDescent="0.25">
      <c r="A4" s="27" t="s">
        <v>389</v>
      </c>
      <c r="B4" s="27" t="s">
        <v>390</v>
      </c>
      <c r="C4" s="27" t="s">
        <v>391</v>
      </c>
    </row>
    <row r="5" spans="1:3" ht="31.5" x14ac:dyDescent="0.25">
      <c r="A5" s="27" t="s">
        <v>392</v>
      </c>
      <c r="B5" s="27" t="s">
        <v>393</v>
      </c>
      <c r="C5" s="27" t="s">
        <v>388</v>
      </c>
    </row>
    <row r="6" spans="1:3" ht="31.5" x14ac:dyDescent="0.25">
      <c r="A6" s="27" t="s">
        <v>394</v>
      </c>
      <c r="B6" s="27" t="s">
        <v>395</v>
      </c>
      <c r="C6" s="27" t="s">
        <v>388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16</vt:i4>
      </vt:variant>
    </vt:vector>
  </HeadingPairs>
  <TitlesOfParts>
    <vt:vector size="27" baseType="lpstr">
      <vt:lpstr>RFCs</vt:lpstr>
      <vt:lpstr>PRUEBAS</vt:lpstr>
      <vt:lpstr>PRUEBAS 2</vt:lpstr>
      <vt:lpstr>Correo</vt:lpstr>
      <vt:lpstr>Res</vt:lpstr>
      <vt:lpstr>Matriz</vt:lpstr>
      <vt:lpstr>Anexo1</vt:lpstr>
      <vt:lpstr>Anexo2</vt:lpstr>
      <vt:lpstr>Anexo3</vt:lpstr>
      <vt:lpstr>Anexo5</vt:lpstr>
      <vt:lpstr>Anexo6</vt:lpstr>
      <vt:lpstr>Res!_Toc194504630</vt:lpstr>
      <vt:lpstr>Res!_Toc194504631</vt:lpstr>
      <vt:lpstr>Res!_Toc207811947</vt:lpstr>
      <vt:lpstr>Res!_Toc207811948</vt:lpstr>
      <vt:lpstr>Res!_Toc207870631</vt:lpstr>
      <vt:lpstr>Res!_Toc207878889</vt:lpstr>
      <vt:lpstr>Res!_Toc207878890</vt:lpstr>
      <vt:lpstr>Res!_Toc207879021</vt:lpstr>
      <vt:lpstr>Res!_Toc207879022</vt:lpstr>
      <vt:lpstr>Res!_Toc207879758</vt:lpstr>
      <vt:lpstr>Res!_Toc207879759</vt:lpstr>
      <vt:lpstr>Res!_Toc207879760</vt:lpstr>
      <vt:lpstr>Res!_Toc207879761</vt:lpstr>
      <vt:lpstr>Res!_Toc207879762</vt:lpstr>
      <vt:lpstr>Res!_Toc207879764</vt:lpstr>
      <vt:lpstr>Res!_Toc207879765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Licencia Office</dc:creator>
  <cp:lastModifiedBy>Licencia Office</cp:lastModifiedBy>
  <dcterms:created xsi:type="dcterms:W3CDTF">2025-07-24T22:39:01Z</dcterms:created>
  <dcterms:modified xsi:type="dcterms:W3CDTF">2026-03-06T16:40:13Z</dcterms:modified>
</cp:coreProperties>
</file>