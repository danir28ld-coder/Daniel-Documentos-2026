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Daniel Robles\Documents\Horas y actividades\Febrero 2026\"/>
    </mc:Choice>
  </mc:AlternateContent>
  <xr:revisionPtr revIDLastSave="0" documentId="8_{21CF4C17-DEDB-4F88-B03F-F8B2975652E2}" xr6:coauthVersionLast="47" xr6:coauthVersionMax="47" xr10:uidLastSave="{00000000-0000-0000-0000-000000000000}"/>
  <bookViews>
    <workbookView xWindow="-110" yWindow="-110" windowWidth="19420" windowHeight="10300" tabRatio="500" activeTab="1" xr2:uid="{00000000-000D-0000-FFFF-FFFF00000000}"/>
  </bookViews>
  <sheets>
    <sheet name="Hoja2" sheetId="1" r:id="rId1"/>
    <sheet name="DS" sheetId="2" r:id="rId2"/>
    <sheet name="perfil" sheetId="3" state="hidden" r:id="rId3"/>
    <sheet name="Hoja3" sheetId="4" r:id="rId4"/>
    <sheet name="Listas" sheetId="5" r:id="rId5"/>
    <sheet name="Hoja1" sheetId="6" r:id="rId6"/>
    <sheet name="DPCache_Listas" sheetId="7" state="hidden" r:id="rId7"/>
  </sheets>
  <calcPr calcId="191029" iterateDelta="1E-4"/>
  <pivotCaches>
    <pivotCache cacheId="12" r:id="rId8"/>
    <pivotCache cacheId="16"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1" i="6" l="1"/>
  <c r="G3" i="5"/>
</calcChain>
</file>

<file path=xl/sharedStrings.xml><?xml version="1.0" encoding="utf-8"?>
<sst xmlns="http://schemas.openxmlformats.org/spreadsheetml/2006/main" count="647" uniqueCount="245">
  <si>
    <t>ID, nombre del requerimiento / Actividad / Proyecto</t>
  </si>
  <si>
    <t>Actividad</t>
  </si>
  <si>
    <t>Horas</t>
  </si>
  <si>
    <t>Otros</t>
  </si>
  <si>
    <t>Elaboración / Modificación / Pruebas / Evidencias</t>
  </si>
  <si>
    <t>POL 8211 - Portal Incidentes</t>
  </si>
  <si>
    <t>POL 8211 - Consulta Central CFDI Retenciones</t>
  </si>
  <si>
    <t xml:space="preserve"> </t>
  </si>
  <si>
    <t>Formato de Actividades para Recursos Especializados SDMA6</t>
  </si>
  <si>
    <t>Datos del recurso especializado</t>
  </si>
  <si>
    <t>Nombre:</t>
  </si>
  <si>
    <t>Daniel Alejandro Robles Rodriguez</t>
  </si>
  <si>
    <t>Perfil:</t>
  </si>
  <si>
    <t>Analista de pruebas DS</t>
  </si>
  <si>
    <t>Periodo  asignado:</t>
  </si>
  <si>
    <t>Del 10/10/2025 al 10/10/2030</t>
  </si>
  <si>
    <t>Periodo reportado:</t>
  </si>
  <si>
    <t>Total de horas devengadas:</t>
  </si>
  <si>
    <t>Datos de la solicitud</t>
  </si>
  <si>
    <t>Solicitante:</t>
  </si>
  <si>
    <t>Responsable:</t>
  </si>
  <si>
    <t>Roberto Benjamín Monroy Vargas</t>
  </si>
  <si>
    <t>Líder AP:</t>
  </si>
  <si>
    <t>Alejandro Granados Lujano</t>
  </si>
  <si>
    <t>Actividades Desarrolladas</t>
  </si>
  <si>
    <t>Fecha Inicial
dd/mm/aaaa</t>
  </si>
  <si>
    <t>Fecha Final
dd/mm/aaaa</t>
  </si>
  <si>
    <t>Horas devengadas por actividad</t>
  </si>
  <si>
    <t>Detalles relevantes / Notas</t>
  </si>
  <si>
    <t>Entregable asociado / Ruta</t>
  </si>
  <si>
    <t>POL 8211 - Consulta Central CFDI</t>
  </si>
  <si>
    <t>Perfil</t>
  </si>
  <si>
    <t>DESARROLLO DE SOFTWARE (DS)</t>
  </si>
  <si>
    <t>Seleccionar el perfil</t>
  </si>
  <si>
    <t>ESPECIALIZADO TIPO A
 - a) Administrador de proyecto.</t>
  </si>
  <si>
    <t>ESPECIALIZADO TIPO A
 - b) Líder de proyecto.</t>
  </si>
  <si>
    <t xml:space="preserve">ESPECIALIZADO TIPO A
 - c) Arquitecto de software.
 </t>
  </si>
  <si>
    <t xml:space="preserve">ESPECIALIZADO TIPO A
 - d) Analista y diseñador de sistemas.
</t>
  </si>
  <si>
    <t>ESPECIALIZADO TIPO A
 - e) Ingeniero de desarrollo.</t>
  </si>
  <si>
    <t xml:space="preserve">ESPECIALIZADO TIPO A
 - f) Diseñador de software.
</t>
  </si>
  <si>
    <t xml:space="preserve">ESPECIALIZADO TIPO A
 - g) Analista de pruebas.
</t>
  </si>
  <si>
    <t xml:space="preserve">ESPECIALIZADO TIPO B
 - a) Administrador de proyecto.
</t>
  </si>
  <si>
    <t xml:space="preserve">ESPECIALIZADO TIPO B
 - b) Arquitecto de software.
</t>
  </si>
  <si>
    <t>ESPECIALIZADO TIPO B
 - c) Analista y diseñador de sistemas.</t>
  </si>
  <si>
    <t>ESPECIALIZADO TIPO B
 - d) Ingeniero de desarrollo.</t>
  </si>
  <si>
    <t>ESPECIALIZADO TIPO B
 - f) Diseñador de software.</t>
  </si>
  <si>
    <t>ESPECIALIZADO TIPO B
 - g) Analista de pruebas.</t>
  </si>
  <si>
    <t>ESPECIALIZADO TIPO C
 - a) Administrador de proyecto.</t>
  </si>
  <si>
    <t xml:space="preserve">ESPECIALIZADO TIPO C
 - b) Líder de proyecto.
</t>
  </si>
  <si>
    <t xml:space="preserve">ESPECIALIZADO TIPO C
 - c) Analista y diseñador de sistemas.
</t>
  </si>
  <si>
    <t>ESPECIALIZADO TIPO C
 - d) Ingeniero de desarrollo.</t>
  </si>
  <si>
    <t xml:space="preserve">ESPECIALIZADO TIPO C
 - e) Diseñador de software.
</t>
  </si>
  <si>
    <t xml:space="preserve">ESPECIALIZADO TIPO C
 - f) Analista de pruebas.
</t>
  </si>
  <si>
    <t xml:space="preserve">ESPECIALIZADO TIPO C
 - g) Operador de soporte.
</t>
  </si>
  <si>
    <t>Proyectos</t>
  </si>
  <si>
    <t>Tipo de actividad</t>
  </si>
  <si>
    <t>Entregable</t>
  </si>
  <si>
    <t xml:space="preserve">DTA / Trámites Aduaneros </t>
  </si>
  <si>
    <t>Elaboración / Modificación (XSD)</t>
  </si>
  <si>
    <t>Notificación de inicio de actividades</t>
  </si>
  <si>
    <t>Puntos a tratar para la sesión</t>
  </si>
  <si>
    <t>Acuerdos</t>
  </si>
  <si>
    <t>Patrón de Datos</t>
  </si>
  <si>
    <t>Elaboración / Modificación Análisis</t>
  </si>
  <si>
    <t>Acuerdos de sesión</t>
  </si>
  <si>
    <t>Acuerdos con Diana V</t>
  </si>
  <si>
    <t>POL 2770 - Portal Estadísticos CFDI</t>
  </si>
  <si>
    <t>Elaboración / Modificación Casos de Prueba(RDP)</t>
  </si>
  <si>
    <t xml:space="preserve">Entendimeinto de manual </t>
  </si>
  <si>
    <t>Acuerdos de seguimineto</t>
  </si>
  <si>
    <t>POL 2770 - Portal Estadísticos Retenciones</t>
  </si>
  <si>
    <t>Elaboración / Modificación Especificación Funcional (NAD)</t>
  </si>
  <si>
    <t>Acuerdos de sesion</t>
  </si>
  <si>
    <t>POL 8211 - Portal Contribuyente - Pruebas Descarga Masiva CFDI</t>
  </si>
  <si>
    <t>Elaboración / Modificación Especificación Funcional (RN)</t>
  </si>
  <si>
    <t>Reagenda de sesión</t>
  </si>
  <si>
    <t>POL 8211 - Portal Contribuyente - Pruebas Descarga Masiva Retenciones</t>
  </si>
  <si>
    <t>Elaboración / Revisión de informes de horas</t>
  </si>
  <si>
    <t>Sin respuesta</t>
  </si>
  <si>
    <t>Agenda de reuniones</t>
  </si>
  <si>
    <t>POL 8211 - Portal Privado de Cancelaciones</t>
  </si>
  <si>
    <t xml:space="preserve">Sesión acopañamiento SN con MS sobre hallazgos encontrados en pruebas. </t>
  </si>
  <si>
    <t>Agenda de sesión</t>
  </si>
  <si>
    <t>POL 8214 - COCEMA</t>
  </si>
  <si>
    <t xml:space="preserve">Sesión de capacitación </t>
  </si>
  <si>
    <t>Agenda de siguiente semana</t>
  </si>
  <si>
    <t>POL 8214 - Complementos RI</t>
  </si>
  <si>
    <t>Sesión de seguimiento de proyecto</t>
  </si>
  <si>
    <t>Entendimiento de expediente</t>
  </si>
  <si>
    <t>Ajustes PDT</t>
  </si>
  <si>
    <t>Elaboración / Modificación (RFC)</t>
  </si>
  <si>
    <t>Comunicación de incidencias</t>
  </si>
  <si>
    <t>Considerar incidencias en sesiones con ACSI</t>
  </si>
  <si>
    <t>POL 8211 - Portal Contribuyente</t>
  </si>
  <si>
    <t xml:space="preserve">Entedimineto de alcance </t>
  </si>
  <si>
    <t>POL 8211 - Portal Contribuyente - Descarga Masiva</t>
  </si>
  <si>
    <t>POL 8214 - Representación Impresa (RI)</t>
  </si>
  <si>
    <t>Entendimeinto de minutas</t>
  </si>
  <si>
    <t>Portal Contribuyente CFDI</t>
  </si>
  <si>
    <t xml:space="preserve">entendimiento de avance </t>
  </si>
  <si>
    <t>Verificador Carta Porte</t>
  </si>
  <si>
    <t xml:space="preserve">Llenado de reporte semanal </t>
  </si>
  <si>
    <t>Entendimiento de PDT</t>
  </si>
  <si>
    <t>MEGAPAC</t>
  </si>
  <si>
    <t>Entendimiento de POL</t>
  </si>
  <si>
    <t>Verificador CFDI</t>
  </si>
  <si>
    <t>entendimiento de proyectos</t>
  </si>
  <si>
    <t>POL 8214 - COCEMA Retenciones</t>
  </si>
  <si>
    <t>Entendimiento de sesión</t>
  </si>
  <si>
    <t>LCO y LRFC</t>
  </si>
  <si>
    <t>Entendimiento de situación</t>
  </si>
  <si>
    <t>POL 8214 - Portal Contribuyente - Retenciones</t>
  </si>
  <si>
    <t>Entendimineto de cambios Jano</t>
  </si>
  <si>
    <t>Validaciones Adicionales - Negocio</t>
  </si>
  <si>
    <t>Entendimineto de estatus POL</t>
  </si>
  <si>
    <t>Validaciones Adicionales - PAC</t>
  </si>
  <si>
    <t>Entendimineto de sesión</t>
  </si>
  <si>
    <t>WS Solicitud Descarga Masiva</t>
  </si>
  <si>
    <t>Entendimineto PDT</t>
  </si>
  <si>
    <t>Configuración</t>
  </si>
  <si>
    <t>Preparativos para sesión semanal</t>
  </si>
  <si>
    <t>Homologación de minuta</t>
  </si>
  <si>
    <t>DPA</t>
  </si>
  <si>
    <t>Portal Contribuyente CFDI Fecha Cancelación</t>
  </si>
  <si>
    <t>Minuta</t>
  </si>
  <si>
    <t>Manual de operaciones en orden</t>
  </si>
  <si>
    <t>Portal Contribuyente CFDI Fecha Cancelación + RI</t>
  </si>
  <si>
    <t>Portal Contribuyente CFDI RI</t>
  </si>
  <si>
    <t>Modificación de PDT</t>
  </si>
  <si>
    <t>Donatarias 2.0</t>
  </si>
  <si>
    <t>Portal Contribuyente Retenciones Fecha Cancelación</t>
  </si>
  <si>
    <t>Preliminar reporte 8234</t>
  </si>
  <si>
    <t>Portal Contribuyente Retenciones Fecha Cancelación + RI</t>
  </si>
  <si>
    <t>Portal Contribuyente Retenciones RI</t>
  </si>
  <si>
    <t>Verifica Retenciones</t>
  </si>
  <si>
    <t>POL 743 - WS - Sector Primario</t>
  </si>
  <si>
    <t>Reporte de actividades semanal</t>
  </si>
  <si>
    <t>POL 8214 - Consulta Central Legado</t>
  </si>
  <si>
    <t>Reporte semanal</t>
  </si>
  <si>
    <t>POL. 8387 DTA y DPA</t>
  </si>
  <si>
    <t>Reporte semanal 8234</t>
  </si>
  <si>
    <t>POL 8214 - Complemento Carta Porte</t>
  </si>
  <si>
    <t>Reporte semanal POL asignados</t>
  </si>
  <si>
    <t>WS Verificador Carta Porte</t>
  </si>
  <si>
    <t>Respuesta confirmada</t>
  </si>
  <si>
    <t>Ajustes por SOW</t>
  </si>
  <si>
    <t>Vobo Jano</t>
  </si>
  <si>
    <t>Retro de minuta</t>
  </si>
  <si>
    <t>Revisión de PDT</t>
  </si>
  <si>
    <t>Solciitud a ER</t>
  </si>
  <si>
    <t>Para Consulta Incidentes Negocio y PAC se Realizaron las pantallas para la integración de tooltips y un check que permite filtrar los incidentes rechazados además se realizaron los cambios en las narrativas y RDP</t>
  </si>
  <si>
    <t>Checkbox Por fecha, Tooltip Folio Fiscal</t>
  </si>
  <si>
    <t>Se hicieron cambios en el RDP de Negocio y PAC con forme a los incidentes detectados, además se realizó pruebas al botón JSON de Consulta incidente Negocio</t>
  </si>
  <si>
    <t>241126-RDP-Consulta_Incidentes - Negocio_Devops_CC95_CC96_CC97 (3), 20241111-NAD-Consulta Incidentes - Negocio (4) (1), 20241111-NAD-Consulta Incidentes - PAC (3), 241126-RDP-Consulta_Incidentes - PAC_Devops_CC95_CC96_CC97 (2)</t>
  </si>
  <si>
    <t xml:space="preserve">Se agregaron y se modificaron algunas pantallas para las pruebas de Consulta Incidentes Negocio </t>
  </si>
  <si>
    <t>260119-POL 8211-Doc-Pru-Consulta Incidentes Negocio (2)</t>
  </si>
  <si>
    <t>Se realizo capacitacion para el usuario en el Web Service de Sector primario, además se dieron tips para que realizaran sus matrices de pruebas</t>
  </si>
  <si>
    <t>Puebas WEB SERVICE(1)</t>
  </si>
  <si>
    <t xml:space="preserve">Se hicieron modificaciones a las narrativas de Consulta Incidentes negocio integrando las pantallas de los tooltips y Check </t>
  </si>
  <si>
    <t xml:space="preserve">Con los insumos necesarios, pudimos realizar las pantallas de los casos de prueba de Consulta Incidentes PAC </t>
  </si>
  <si>
    <t>20241111-NAD-Consulta Incidentes - Negocio (4) (1)</t>
  </si>
  <si>
    <t>260119-POL 8211-Doc-Pru-Consulta Incidentes - PAC</t>
  </si>
  <si>
    <t>Se Finalizaron las pantallas del documento de pruebas en Consulta Incidentes PAC CFDI y Retenciones</t>
  </si>
  <si>
    <t>Se agregaron los casos de prueba de lineamientos en RDP Consulta Incidentes Negocio</t>
  </si>
  <si>
    <t>Se hizo retest del incidente Bug 130243 - CC95_CC96_CC97-PAC-CP27-/Recuperar descargas/FechaExportarJSON</t>
  </si>
  <si>
    <t>Prueba JSON</t>
  </si>
  <si>
    <t>Para el WEB service de Sector primario se tuvo una videoconferencia con el equipo de desarrollo y además se hicieron los insumos para el día siguiente para las pruebas</t>
  </si>
  <si>
    <t>Insumos06022026</t>
  </si>
  <si>
    <t xml:space="preserve">Se realizaron agregaron los casos de prueba al RDP Consulta Incidentes Negocio y PAC para las consultas de más de 100 Registros </t>
  </si>
  <si>
    <t>241126-RDP-Consulta_Incidentes - Negocio_Devops_CC95_CC96_CC97 (3), 241126-RDP-Consulta_Incidentes - PAC_Devops_CC95_CC96_CC97 (2)</t>
  </si>
  <si>
    <t>Se realizaron pruebas de PPE en Consulta Central Retenciones ya que se sigue presentando un bug donde no te muestra resultados de la consulta cuando se ingresa como emisor el RFC AXT</t>
  </si>
  <si>
    <t>Prueba PPE</t>
  </si>
  <si>
    <t>Se realizaron pruebas para el Web Service de Sector Primario, con los insumos que nos mandó el equipo de desarrollo</t>
  </si>
  <si>
    <t>Puebas WEB SERVICE</t>
  </si>
  <si>
    <t>Del 01/02/2026 al 28/02/2026</t>
  </si>
  <si>
    <t>Total general</t>
  </si>
  <si>
    <t>(en blanco)</t>
  </si>
  <si>
    <t>Se crearon los insumos y se enviaron al equipo de desarrollo, necesarios para reanudar las pruebas en Web service de Sector primario</t>
  </si>
  <si>
    <t>Insumos09-02-2026</t>
  </si>
  <si>
    <t xml:space="preserve">Actualización de narrativas y RDP de Consulta Incidentes PAC y Negocio </t>
  </si>
  <si>
    <t>20241111-NAD-Consulta Incidentes - PAC (3), 241126-RDP-Consulta_Incidentes - PAC_Devops_CC95_CC96_CC97 (2), 241126-RDP-Consulta_Incidentes - Negocio_Devops_CC95_CC96_CC97 (3),20241111-NAD-Consulta Incidentes - Negocio (4) (1)</t>
  </si>
  <si>
    <t>En Consulta Central CFDI se actualizaron el RDP y las narrativas con forme a incidentes reportados y conforme al portal</t>
  </si>
  <si>
    <t>250107-RDP ConsultaCentral CFDI _ DevOps_CC120_CC122</t>
  </si>
  <si>
    <t>Se agregaron insumos para darle continuidad a las pruebas del Web service de Sector primario</t>
  </si>
  <si>
    <t>Insumos10-02-2026</t>
  </si>
  <si>
    <t xml:space="preserve">Se reanudaron las pruebas de Web Service de Sector Primario, y se colocaron las evidencias en la matriz de pruebas </t>
  </si>
  <si>
    <t>Se tuvo una sesión con el equipo de desarrollo y el de arquitectura, además se continuaron con las pruebas del Web service Sector primario</t>
  </si>
  <si>
    <t>Se crearon y se enviaron los insumos para las pruebas de Sector Primario para el Web service</t>
  </si>
  <si>
    <t>Insumos11-02-2026</t>
  </si>
  <si>
    <t xml:space="preserve">Se completaron las pantallas Consulta Central CFDI de las pruebas que se realizaron en su momento </t>
  </si>
  <si>
    <t>260121-POL 8211-Doc-Pru-Consulta Central CFDI (1)</t>
  </si>
  <si>
    <t>Se inicio con las pruebas del Web service de Sector Primario con los insumos que nos mandó el equipo de desarrollo</t>
  </si>
  <si>
    <t>Se continuo con las pruebas del Web service de Sector primario, además se registraron nuevos incidentes en el share point</t>
  </si>
  <si>
    <t>Puebas WEB SERVICE ,Listado de Share Point</t>
  </si>
  <si>
    <t xml:space="preserve">Se agregaron nuevos incidentes en Share point para poder darles seguimiento </t>
  </si>
  <si>
    <t>Listado de Share Point</t>
  </si>
  <si>
    <t xml:space="preserve">Se agregaron nuevos insumos para realizar pruebas del dia, en los cuales los RFC tenían estatus SNCF </t>
  </si>
  <si>
    <t>Insumos 12-02-2026</t>
  </si>
  <si>
    <t xml:space="preserve">Se agregaron casos de prueba en Consulta Central CFDI </t>
  </si>
  <si>
    <t>Se realizaron pruebas de Web service de Sector primario con los insumos de los RFC con estatus SNCF</t>
  </si>
  <si>
    <t>Puebas WEB SERVICE, Insumos12-02-2026</t>
  </si>
  <si>
    <t>Se le dio la capacitación al Usuario para que les quedar claro el tema en cuestión a las pruebas del Web Service de Sector Primario</t>
  </si>
  <si>
    <t>Insumos pruebas wssp</t>
  </si>
  <si>
    <t>En Consulta Central se hicieron ajustes y también se crearon nuevos casos de pruebas, para cubrir más escenarios de prueba</t>
  </si>
  <si>
    <t>250623 RDP ConsultaCentral CFDI Ret</t>
  </si>
  <si>
    <t>Se agregaron los insumos para realizar últimas pruebas del web service de sector primario para reportar los incidentes detectados</t>
  </si>
  <si>
    <t>Insumos 13-02-2026, Incidentes en WEB SERVICE Sector Primario ambiente DEV</t>
  </si>
  <si>
    <t xml:space="preserve">Se continuo con las pruebas de Sector primario en el Web services  para reportar incidentes y cubrir otros escenarios de pruebas </t>
  </si>
  <si>
    <t xml:space="preserve">Se realizaron pruebas de los requerimientos funcionales CC064,  REQS00001976928, REQS00001796982, REQS00002309901, REQS00001902355 </t>
  </si>
  <si>
    <t xml:space="preserve">260216-POL 8211-Doc-Pru-CC064 CFDI, REQS00001976928, REQS00001796982, REQS00002309901, REQS00001902355 </t>
  </si>
  <si>
    <t>Se realizaron las pruebas de los casos de prueba de Consulta Central CFDI con evidencias completas</t>
  </si>
  <si>
    <t>260217-POL 8211-Doc-Pru-Consulta Central CFDI(1)</t>
  </si>
  <si>
    <t>En Consulta Central Retenciones se Iniciaron las pruebas del RDP con todos los casos de prueba incluyendo las pantallas como evidencias</t>
  </si>
  <si>
    <t>260217-POL 8211-Doc-Pru-Consulta Central Retenciones(1)</t>
  </si>
  <si>
    <t>Se dio continuacion a las pruebas de Consulta Central Retenciones para poder finalizar con las evidencias</t>
  </si>
  <si>
    <t>En Consulta Incidentes Negocio se inciciaron las pruebas del RDP con todos sus casos de prueba</t>
  </si>
  <si>
    <t>260218-POL 8211-Doc-Pru-Consulta Incidentes Negocio (2)</t>
  </si>
  <si>
    <t>Se dio incio a las pruebas de Consulta Incidentes PAC conforme al RDP y sus casos de pruebas</t>
  </si>
  <si>
    <t>260218-POL 8211-Doc-Pru-Consulta Incidentes - PAC</t>
  </si>
  <si>
    <t>Se tuvo una reunion para atencion a un incidente detectado en Consulta Incidentes PAC sobre la busqueda por folio</t>
  </si>
  <si>
    <t>Incidente Busqueda Folio Fiscal</t>
  </si>
  <si>
    <t>Se mandaron los insumos repondientes al dia 20/02/2026 para realizar pruebas de Web Service SP</t>
  </si>
  <si>
    <t>Insumos 20-02-2026</t>
  </si>
  <si>
    <t>Se realizaron las ultimas pruebas de Consulta Incidentes PAC para verificar que no hubiera otro incidente</t>
  </si>
  <si>
    <t>Se dieron registro el requerimiento REQS00002315883 en el Share point , Se realizo el retest del incidente Bug 130650</t>
  </si>
  <si>
    <t>Bug 130650</t>
  </si>
  <si>
    <t>Se dio atencion al Web Service de Sector primario, ademas se realizaron las pruebas que se mandaron en el dia anterior, tambien se realizaron las modificaciones al EZS del  WS de Sector primario</t>
  </si>
  <si>
    <t>Actualización de la documentación del Web Service de Sector Primario 221206-EZS_WS_SECTOR_PRIMARIO_v4, Se realizaron pruebas en el web services para validar algunos cambios que se realizaron por parte del equipo de desarrollo</t>
  </si>
  <si>
    <t>Puebas WEB SERVICE (Autoguardado), 221206-EZS_WS_SECTOR_PRIMARIO_v4 .1</t>
  </si>
  <si>
    <t xml:space="preserve">Se agregaron insumos para realizar pruebas en Web Service de Sector primario </t>
  </si>
  <si>
    <t>Insumos 23-02-2026</t>
  </si>
  <si>
    <t xml:space="preserve">En el bug 121866 - REQS00001902355 se realizo retest comprobando que todavía no quedaba resuelto el incidente </t>
  </si>
  <si>
    <t>Bug 121866(1)</t>
  </si>
  <si>
    <t>Se continuo con las pruebas en Consulta Incidentes PAC y se detectaron incidentes</t>
  </si>
  <si>
    <t>Se realizaron pruebas en el Web Service de Sector primario para comprobar los cambios que se realizaron por parte del equipo de desarrollo</t>
  </si>
  <si>
    <t>Puebas WEB SERVICE (Autoguardado)</t>
  </si>
  <si>
    <t>Se realizaron pruebas exploratorias en consulta incidentes Negocio y PAC ademas de que se ingreso a una reunion con el equipo de microsoft para tratar algunos incidentes que se detectaron durante las pruebas</t>
  </si>
  <si>
    <t>Bugs para proximas pruebas</t>
  </si>
  <si>
    <t xml:space="preserve">Se inicio la matriz de insumos para las pruebas de Sector primario UAT </t>
  </si>
  <si>
    <t>segunda matriz UAT</t>
  </si>
  <si>
    <t>Ingresamos a una reunión con el equipo de microsoft para aclarar dudas que se tenían sobre incidentes detectados</t>
  </si>
  <si>
    <t>Se iniciaron las pruebas de Sector primario Web service ya con los insumos del día actual</t>
  </si>
  <si>
    <t>Insumos 25-02-2026 Manual, Puebas WEB SERVICE (Autoguardado)</t>
  </si>
  <si>
    <t xml:space="preserve">Se iniciaron las pruebas del Web service Sector primario del día actual </t>
  </si>
  <si>
    <t>Insumos 26-02-2026 Manual, Puebas WEB SERVICE (Autoguardado)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</si>
</sst>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rgb="FF000000"/>
      <name val="Calibri"/>
      <family val="2"/>
      <charset val="1"/>
    </font>
    <font>
      <b/>
      <sz val="11"/>
      <color rgb="FF000000"/>
      <name val="Calibri"/>
      <family val="2"/>
      <charset val="1"/>
    </font>
    <font>
      <sz val="12"/>
      <color rgb="FF000000"/>
      <name val="Montserrat"/>
      <charset val="1"/>
    </font>
    <font>
      <b/>
      <sz val="11"/>
      <color rgb="FFFFFFFF"/>
      <name val="Montserrat"/>
      <charset val="1"/>
    </font>
    <font>
      <b/>
      <sz val="10"/>
      <name val="Montserrat"/>
      <charset val="1"/>
    </font>
    <font>
      <b/>
      <sz val="10"/>
      <color rgb="FF000000"/>
      <name val="Montserrat"/>
      <charset val="1"/>
    </font>
    <font>
      <sz val="10"/>
      <color rgb="FF000000"/>
      <name val="Montserrat"/>
      <charset val="1"/>
    </font>
    <font>
      <u/>
      <sz val="11"/>
      <color rgb="FF0563C1"/>
      <name val="Calibri"/>
      <family val="2"/>
      <charset val="1"/>
    </font>
    <font>
      <u/>
      <sz val="11"/>
      <color rgb="FF000000"/>
      <name val="Calibri"/>
      <family val="2"/>
      <charset val="1"/>
    </font>
    <font>
      <b/>
      <sz val="11"/>
      <color rgb="FF000000"/>
      <name val="Montserrat"/>
      <charset val="1"/>
    </font>
    <font>
      <sz val="11"/>
      <color rgb="FF000000"/>
      <name val="Montserrat"/>
      <charset val="1"/>
    </font>
    <font>
      <sz val="11"/>
      <color rgb="FF000000"/>
      <name val="Calibri"/>
      <family val="2"/>
      <charset val="1"/>
    </font>
  </fonts>
  <fills count="6">
    <fill>
      <patternFill patternType="none"/>
    </fill>
    <fill>
      <patternFill patternType="gray125"/>
    </fill>
    <fill>
      <patternFill patternType="solid">
        <fgColor rgb="FFFFFFFF"/>
        <bgColor rgb="FFFFFFCC"/>
      </patternFill>
    </fill>
    <fill>
      <patternFill patternType="solid">
        <fgColor rgb="FF9D2449"/>
        <bgColor rgb="FF993366"/>
      </patternFill>
    </fill>
    <fill>
      <patternFill patternType="solid">
        <fgColor rgb="FFD4C19C"/>
        <bgColor rgb="FFFFCC99"/>
      </patternFill>
    </fill>
    <fill>
      <patternFill patternType="solid">
        <fgColor rgb="FFFFE699"/>
        <bgColor rgb="FFFFCC99"/>
      </patternFill>
    </fill>
  </fills>
  <borders count="5">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s>
  <cellStyleXfs count="8">
    <xf numFmtId="0" fontId="0" fillId="0" borderId="0"/>
    <xf numFmtId="0" fontId="7" fillId="0" borderId="0" applyBorder="0" applyProtection="0"/>
    <xf numFmtId="0" fontId="11" fillId="0" borderId="0" applyBorder="0" applyProtection="0"/>
    <xf numFmtId="0" fontId="11" fillId="0" borderId="0" applyBorder="0" applyProtection="0">
      <alignment horizontal="left"/>
    </xf>
    <xf numFmtId="0" fontId="11" fillId="0" borderId="0" applyBorder="0" applyProtection="0"/>
    <xf numFmtId="0" fontId="1" fillId="0" borderId="0" applyBorder="0" applyProtection="0"/>
    <xf numFmtId="0" fontId="1" fillId="0" borderId="0" applyBorder="0" applyProtection="0">
      <alignment horizontal="left"/>
    </xf>
    <xf numFmtId="0" fontId="11" fillId="0" borderId="0" applyBorder="0" applyProtection="0"/>
  </cellStyleXfs>
  <cellXfs count="27">
    <xf numFmtId="0" fontId="0" fillId="0" borderId="0" xfId="0"/>
    <xf numFmtId="0" fontId="5" fillId="2" borderId="0" xfId="0" applyFont="1" applyFill="1" applyAlignment="1">
      <alignment horizontal="left" wrapText="1"/>
    </xf>
    <xf numFmtId="0" fontId="2" fillId="2" borderId="0" xfId="0" applyFont="1" applyFill="1"/>
    <xf numFmtId="0" fontId="2" fillId="0" borderId="0" xfId="0" applyFont="1"/>
    <xf numFmtId="0" fontId="4" fillId="2" borderId="0" xfId="0" applyFont="1" applyFill="1"/>
    <xf numFmtId="0" fontId="5" fillId="2" borderId="0" xfId="0" applyFont="1" applyFill="1"/>
    <xf numFmtId="0" fontId="0" fillId="2" borderId="0" xfId="0" applyFill="1"/>
    <xf numFmtId="0" fontId="6" fillId="2" borderId="0" xfId="0" applyFont="1" applyFill="1"/>
    <xf numFmtId="0" fontId="0" fillId="2" borderId="2" xfId="0" applyFill="1" applyBorder="1"/>
    <xf numFmtId="0" fontId="1" fillId="2" borderId="2" xfId="0" applyFont="1" applyFill="1" applyBorder="1" applyAlignment="1">
      <alignment horizontal="center"/>
    </xf>
    <xf numFmtId="0" fontId="4" fillId="4" borderId="3" xfId="0" applyFont="1" applyFill="1" applyBorder="1" applyAlignment="1">
      <alignment horizontal="center" vertical="center" wrapText="1"/>
    </xf>
    <xf numFmtId="0" fontId="4" fillId="4" borderId="4" xfId="0" applyFont="1" applyFill="1" applyBorder="1" applyAlignment="1">
      <alignment horizontal="center" vertical="center"/>
    </xf>
    <xf numFmtId="0" fontId="4" fillId="4" borderId="3" xfId="0" applyFont="1" applyFill="1" applyBorder="1" applyAlignment="1">
      <alignment horizontal="justify" vertical="center"/>
    </xf>
    <xf numFmtId="14" fontId="0" fillId="0" borderId="0" xfId="0" applyNumberFormat="1" applyAlignment="1">
      <alignment horizontal="center"/>
    </xf>
    <xf numFmtId="2" fontId="0" fillId="0" borderId="0" xfId="0" applyNumberFormat="1" applyAlignment="1">
      <alignment horizontal="center"/>
    </xf>
    <xf numFmtId="0" fontId="7" fillId="0" borderId="0" xfId="1" applyBorder="1" applyProtection="1"/>
    <xf numFmtId="0" fontId="8" fillId="0" borderId="0" xfId="0" applyFont="1"/>
    <xf numFmtId="0" fontId="8" fillId="0" borderId="0" xfId="1" applyFont="1" applyBorder="1" applyProtection="1"/>
    <xf numFmtId="0" fontId="1" fillId="5" borderId="0" xfId="0" applyFont="1" applyFill="1"/>
    <xf numFmtId="0" fontId="9" fillId="0" borderId="0" xfId="0" applyFont="1"/>
    <xf numFmtId="0" fontId="10" fillId="0" borderId="0" xfId="0" applyFont="1" applyAlignment="1">
      <alignment wrapText="1"/>
    </xf>
    <xf numFmtId="0" fontId="1" fillId="0" borderId="0" xfId="0" applyFont="1"/>
    <xf numFmtId="0" fontId="0" fillId="0" borderId="0" xfId="0" pivotButton="1"/>
    <xf numFmtId="2" fontId="0" fillId="0" borderId="0" xfId="0" applyNumberFormat="1"/>
    <xf numFmtId="0" fontId="3" fillId="3" borderId="0" xfId="0" applyFont="1" applyFill="1" applyAlignment="1">
      <alignment horizontal="center"/>
    </xf>
    <xf numFmtId="0" fontId="5" fillId="2" borderId="0" xfId="0" applyFont="1" applyFill="1" applyAlignment="1">
      <alignment horizontal="left" wrapText="1"/>
    </xf>
    <xf numFmtId="0" fontId="3" fillId="3" borderId="1" xfId="0" applyFont="1" applyFill="1" applyBorder="1" applyAlignment="1">
      <alignment horizontal="center"/>
    </xf>
  </cellXfs>
  <cellStyles count="8">
    <cellStyle name="Campo de la tabla dinámica" xfId="2" xr:uid="{00000000-0005-0000-0000-000006000000}"/>
    <cellStyle name="Categoría de la tabla dinámica" xfId="3" xr:uid="{00000000-0005-0000-0000-000007000000}"/>
    <cellStyle name="Esquina de la tabla dinámica" xfId="4" xr:uid="{00000000-0005-0000-0000-000008000000}"/>
    <cellStyle name="Hipervínculo" xfId="1" builtinId="8"/>
    <cellStyle name="Normal" xfId="0" builtinId="0"/>
    <cellStyle name="Resultado de la tabla dinámica" xfId="5" xr:uid="{00000000-0005-0000-0000-000009000000}"/>
    <cellStyle name="Título de la tabla dinámica" xfId="6" xr:uid="{00000000-0005-0000-0000-00000A000000}"/>
    <cellStyle name="Valor de la tabla dinámica" xfId="7" xr:uid="{00000000-0005-0000-0000-00000B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4C19C"/>
      <rgbColor rgb="FF808080"/>
      <rgbColor rgb="FF9999FF"/>
      <rgbColor rgb="FF9D2449"/>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81720</xdr:colOff>
      <xdr:row>0</xdr:row>
      <xdr:rowOff>108720</xdr:rowOff>
    </xdr:from>
    <xdr:to>
      <xdr:col>2</xdr:col>
      <xdr:colOff>454680</xdr:colOff>
      <xdr:row>2</xdr:row>
      <xdr:rowOff>130680</xdr:rowOff>
    </xdr:to>
    <xdr:pic>
      <xdr:nvPicPr>
        <xdr:cNvPr id="2" name="Imagen 3">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81720" y="108720"/>
          <a:ext cx="5214240" cy="536400"/>
        </a:xfrm>
        <a:prstGeom prst="rect">
          <a:avLst/>
        </a:prstGeom>
        <a:ln w="0">
          <a:noFill/>
        </a:ln>
      </xdr:spPr>
    </xdr:pic>
    <xdr:clientData/>
  </xdr:twoCellAnchor>
  <xdr:twoCellAnchor>
    <xdr:from>
      <xdr:col>6</xdr:col>
      <xdr:colOff>0</xdr:colOff>
      <xdr:row>36</xdr:row>
      <xdr:rowOff>0</xdr:rowOff>
    </xdr:from>
    <xdr:to>
      <xdr:col>6</xdr:col>
      <xdr:colOff>4680</xdr:colOff>
      <xdr:row>36</xdr:row>
      <xdr:rowOff>4680</xdr:rowOff>
    </xdr:to>
    <xdr:pic>
      <xdr:nvPicPr>
        <xdr:cNvPr id="3" name="Imagen 1">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a:stretch/>
      </xdr:blipFill>
      <xdr:spPr>
        <a:xfrm>
          <a:off x="26213400" y="7448400"/>
          <a:ext cx="4680" cy="4680"/>
        </a:xfrm>
        <a:prstGeom prst="rect">
          <a:avLst/>
        </a:prstGeom>
        <a:ln w="0">
          <a:noFill/>
        </a:ln>
      </xdr:spPr>
    </xdr:pic>
    <xdr:clientData/>
  </xdr:twoCellAnchor>
  <xdr:twoCellAnchor>
    <xdr:from>
      <xdr:col>6</xdr:col>
      <xdr:colOff>0</xdr:colOff>
      <xdr:row>38</xdr:row>
      <xdr:rowOff>0</xdr:rowOff>
    </xdr:from>
    <xdr:to>
      <xdr:col>6</xdr:col>
      <xdr:colOff>4680</xdr:colOff>
      <xdr:row>38</xdr:row>
      <xdr:rowOff>4680</xdr:rowOff>
    </xdr:to>
    <xdr:pic>
      <xdr:nvPicPr>
        <xdr:cNvPr id="4" name="Imagen 2">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2"/>
        <a:stretch/>
      </xdr:blipFill>
      <xdr:spPr>
        <a:xfrm>
          <a:off x="26213400" y="7629480"/>
          <a:ext cx="4680" cy="4680"/>
        </a:xfrm>
        <a:prstGeom prst="rect">
          <a:avLst/>
        </a:prstGeom>
        <a:ln w="0">
          <a:noFill/>
        </a:ln>
      </xdr:spPr>
    </xdr:pic>
    <xdr:clientData/>
  </xdr:twoCellAnchor>
  <xdr:twoCellAnchor>
    <xdr:from>
      <xdr:col>6</xdr:col>
      <xdr:colOff>0</xdr:colOff>
      <xdr:row>49</xdr:row>
      <xdr:rowOff>0</xdr:rowOff>
    </xdr:from>
    <xdr:to>
      <xdr:col>6</xdr:col>
      <xdr:colOff>4680</xdr:colOff>
      <xdr:row>49</xdr:row>
      <xdr:rowOff>4680</xdr:rowOff>
    </xdr:to>
    <xdr:pic>
      <xdr:nvPicPr>
        <xdr:cNvPr id="5" name="Imagen 1">
          <a:extLst>
            <a:ext uri="{FF2B5EF4-FFF2-40B4-BE49-F238E27FC236}">
              <a16:creationId xmlns:a16="http://schemas.microsoft.com/office/drawing/2014/main" id="{C103A1DE-99BB-4103-B1E0-C9BA4DC81199}"/>
            </a:ext>
          </a:extLst>
        </xdr:cNvPr>
        <xdr:cNvPicPr/>
      </xdr:nvPicPr>
      <xdr:blipFill>
        <a:blip xmlns:r="http://schemas.openxmlformats.org/officeDocument/2006/relationships" r:embed="rId2"/>
        <a:stretch/>
      </xdr:blipFill>
      <xdr:spPr>
        <a:xfrm>
          <a:off x="20593050" y="7258050"/>
          <a:ext cx="4680" cy="4680"/>
        </a:xfrm>
        <a:prstGeom prst="rect">
          <a:avLst/>
        </a:prstGeom>
        <a:ln w="0">
          <a:noFill/>
        </a:ln>
      </xdr:spPr>
    </xdr:pic>
    <xdr:clientData/>
  </xdr:twoCellAnchor>
  <xdr:twoCellAnchor>
    <xdr:from>
      <xdr:col>6</xdr:col>
      <xdr:colOff>0</xdr:colOff>
      <xdr:row>51</xdr:row>
      <xdr:rowOff>0</xdr:rowOff>
    </xdr:from>
    <xdr:to>
      <xdr:col>6</xdr:col>
      <xdr:colOff>4680</xdr:colOff>
      <xdr:row>51</xdr:row>
      <xdr:rowOff>4680</xdr:rowOff>
    </xdr:to>
    <xdr:pic>
      <xdr:nvPicPr>
        <xdr:cNvPr id="6" name="Imagen 2">
          <a:extLst>
            <a:ext uri="{FF2B5EF4-FFF2-40B4-BE49-F238E27FC236}">
              <a16:creationId xmlns:a16="http://schemas.microsoft.com/office/drawing/2014/main" id="{94386532-12DE-42C7-89B9-84EAF27DEA16}"/>
            </a:ext>
          </a:extLst>
        </xdr:cNvPr>
        <xdr:cNvPicPr/>
      </xdr:nvPicPr>
      <xdr:blipFill>
        <a:blip xmlns:r="http://schemas.openxmlformats.org/officeDocument/2006/relationships" r:embed="rId2"/>
        <a:stretch/>
      </xdr:blipFill>
      <xdr:spPr>
        <a:xfrm>
          <a:off x="20593050" y="7626350"/>
          <a:ext cx="4680" cy="4680"/>
        </a:xfrm>
        <a:prstGeom prst="rect">
          <a:avLst/>
        </a:prstGeom>
        <a:ln w="0">
          <a:noFill/>
        </a:ln>
      </xdr:spPr>
    </xdr:pic>
    <xdr:clientData/>
  </xdr:twoCellAnchor>
  <xdr:twoCellAnchor>
    <xdr:from>
      <xdr:col>6</xdr:col>
      <xdr:colOff>0</xdr:colOff>
      <xdr:row>67</xdr:row>
      <xdr:rowOff>0</xdr:rowOff>
    </xdr:from>
    <xdr:to>
      <xdr:col>6</xdr:col>
      <xdr:colOff>4680</xdr:colOff>
      <xdr:row>67</xdr:row>
      <xdr:rowOff>4680</xdr:rowOff>
    </xdr:to>
    <xdr:pic>
      <xdr:nvPicPr>
        <xdr:cNvPr id="8" name="Imagen 1">
          <a:extLst>
            <a:ext uri="{FF2B5EF4-FFF2-40B4-BE49-F238E27FC236}">
              <a16:creationId xmlns:a16="http://schemas.microsoft.com/office/drawing/2014/main" id="{B2C8F709-37D6-4766-8FAE-353DFA1E3D43}"/>
            </a:ext>
          </a:extLst>
        </xdr:cNvPr>
        <xdr:cNvPicPr/>
      </xdr:nvPicPr>
      <xdr:blipFill>
        <a:blip xmlns:r="http://schemas.openxmlformats.org/officeDocument/2006/relationships" r:embed="rId2"/>
        <a:stretch/>
      </xdr:blipFill>
      <xdr:spPr>
        <a:xfrm>
          <a:off x="20593050" y="7258050"/>
          <a:ext cx="4680" cy="4680"/>
        </a:xfrm>
        <a:prstGeom prst="rect">
          <a:avLst/>
        </a:prstGeom>
        <a:ln w="0">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bles Rodriguez Daniel Alejandro" refreshedDate="46092.43972696759" createdVersion="3" refreshedVersion="8" recordCount="439" xr:uid="{00000000-000A-0000-FFFF-FFFF01000000}">
  <cacheSource type="worksheet">
    <worksheetSource ref="A26:G465" sheet="DS"/>
  </cacheSource>
  <cacheFields count="7">
    <cacheField name="Fecha Inicial_x000a_dd/mm/aaaa" numFmtId="14">
      <sharedItems containsNonDate="0" containsDate="1" containsString="0" containsBlank="1" minDate="2026-02-03T00:00:00" maxDate="2026-03-28T00:00:00"/>
    </cacheField>
    <cacheField name="Fecha Final_x000a_dd/mm/aaaa" numFmtId="14">
      <sharedItems containsNonDate="0" containsDate="1" containsString="0" containsBlank="1" minDate="2026-02-03T00:00:00" maxDate="2026-03-28T00:00:00"/>
    </cacheField>
    <cacheField name="ID, nombre del requerimiento / Actividad / Proyecto" numFmtId="0">
      <sharedItems containsBlank="1" count="6">
        <s v="POL 8211 - Portal Incidentes"/>
        <s v="POL 743 - WS - Sector Primario"/>
        <s v="POL 8211 - Consulta Central CFDI Retenciones"/>
        <s v="POL 8211 - Consulta Central CFDI"/>
        <s v="Otros"/>
        <m/>
      </sharedItems>
    </cacheField>
    <cacheField name="Actividad" numFmtId="0">
      <sharedItems containsBlank="1" count="2">
        <s v="Elaboración / Modificación / Pruebas / Evidencias"/>
        <m/>
      </sharedItems>
    </cacheField>
    <cacheField name="Horas devengadas por actividad" numFmtId="2">
      <sharedItems containsString="0" containsBlank="1" containsNumber="1" minValue="0.5" maxValue="8"/>
    </cacheField>
    <cacheField name="Detalles relevantes / Notas" numFmtId="0">
      <sharedItems containsBlank="1"/>
    </cacheField>
    <cacheField name="Entregable asociado / Ruta"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bles Rodriguez Daniel Alejandro" refreshedDate="46092.439727314813" createdVersion="3" refreshedVersion="8" recordCount="135" xr:uid="{00000000-000A-0000-FFFF-FFFF02000000}">
  <cacheSource type="worksheet">
    <worksheetSource ref="A1:A136" sheet="DPCache_Listas"/>
  </cacheSource>
  <cacheFields count="1">
    <cacheField name="Entregable" numFmtId="0">
      <sharedItems count="45">
        <s v="Notificación de inicio de actividades"/>
        <s v="Puntos a tratar para la sesión"/>
        <s v="Acuerdos de sesión"/>
        <s v="Entendimeinto de manual "/>
        <s v="Reagenda de sesión"/>
        <s v="Sin respuesta"/>
        <s v="Entendimiento de expediente"/>
        <s v="Agenda de sesión"/>
        <s v="Llenado de reporte semanal "/>
        <s v="Acuerdos con Diana V"/>
        <s v="Preparativos para sesión semanal"/>
        <s v="Minuta"/>
        <s v="Comunicación de incidencias"/>
        <s v="Considerar incidencias en sesiones con ACSI"/>
        <s v="Entendimiento de situación"/>
        <s v="entendimiento de avance "/>
        <s v="Entendimeinto de minutas"/>
        <s v="Reporte semanal 8234"/>
        <s v="Vobo Jano"/>
        <s v="Reporte semanal POL asignados"/>
        <s v="Reporte de actividades semanal"/>
        <s v="Agenda de siguiente semana"/>
        <s v="Homologación de minuta"/>
        <s v="Respuesta confirmada"/>
        <s v="Entendimineto de sesión"/>
        <s v="Entendimiento de PDT"/>
        <s v="Entendimiento de sesión"/>
        <s v="Preliminar reporte 8234"/>
        <s v="Reporte semanal"/>
        <s v="entendimiento de proyectos"/>
        <s v="Agenda de reuniones"/>
        <s v="Entedimineto de alcance "/>
        <s v="Retro de minuta"/>
        <s v="Entendimineto de estatus POL"/>
        <s v="Entendimineto de cambios Jano"/>
        <s v="Entendimineto PDT"/>
        <s v="Acuerdos de seguimineto"/>
        <s v="Acuerdos de sesion"/>
        <s v="Entendimiento de POL"/>
        <s v="Revisión de PDT"/>
        <s v="Acuerdos"/>
        <s v="Solciitud a ER"/>
        <s v="Modificación de PDT"/>
        <s v="Manual de operaciones en orden"/>
        <s v="Ajustes PDT"/>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9">
  <r>
    <d v="2026-02-03T00:00:00"/>
    <d v="2026-02-03T00:00:00"/>
    <x v="0"/>
    <x v="0"/>
    <n v="5"/>
    <s v="Para Consulta Incidentes Negocio y PAC se Realizaron las pantallas para la integración de tooltips y un check que permite filtrar los incidentes rechazados además se realizaron los cambios en las narrativas y RDP"/>
    <s v="Checkbox Por fecha, Tooltip Folio Fiscal"/>
  </r>
  <r>
    <d v="2026-02-03T00:00:00"/>
    <d v="2026-02-03T00:00:00"/>
    <x v="0"/>
    <x v="0"/>
    <n v="3"/>
    <s v="Se hicieron cambios en el RDP de Negocio y PAC con forme a los incidentes detectados, además se realizó pruebas al botón JSON de Consulta incidente Negocio"/>
    <s v="241126-RDP-Consulta_Incidentes - Negocio_Devops_CC95_CC96_CC97 (3), 20241111-NAD-Consulta Incidentes - Negocio (4) (1), 20241111-NAD-Consulta Incidentes - PAC (3), 241126-RDP-Consulta_Incidentes - PAC_Devops_CC95_CC96_CC97 (2)"/>
  </r>
  <r>
    <d v="2026-02-04T00:00:00"/>
    <d v="2026-02-04T00:00:00"/>
    <x v="0"/>
    <x v="0"/>
    <n v="2"/>
    <s v="Se agregaron y se modificaron algunas pantallas para las pruebas de Consulta Incidentes Negocio "/>
    <s v="260119-POL 8211-Doc-Pru-Consulta Incidentes Negocio (2)"/>
  </r>
  <r>
    <d v="2026-02-04T00:00:00"/>
    <d v="2026-02-04T00:00:00"/>
    <x v="1"/>
    <x v="0"/>
    <n v="2"/>
    <s v="Se realizo capacitacion para el usuario en el Web Service de Sector primario, además se dieron tips para que realizaran sus matrices de pruebas"/>
    <s v="Puebas WEB SERVICE(1)"/>
  </r>
  <r>
    <d v="2026-02-04T00:00:00"/>
    <d v="2026-02-04T00:00:00"/>
    <x v="0"/>
    <x v="0"/>
    <n v="1"/>
    <s v="Se hicieron modificaciones a las narrativas de Consulta Incidentes negocio integrando las pantallas de los tooltips y Check "/>
    <s v="20241111-NAD-Consulta Incidentes - Negocio (4) (1)"/>
  </r>
  <r>
    <d v="2026-02-04T00:00:00"/>
    <d v="2026-02-04T00:00:00"/>
    <x v="0"/>
    <x v="0"/>
    <n v="3"/>
    <s v="Con los insumos necesarios, pudimos realizar las pantallas de los casos de prueba de Consulta Incidentes PAC "/>
    <s v="260119-POL 8211-Doc-Pru-Consulta Incidentes - PAC"/>
  </r>
  <r>
    <d v="2026-02-05T00:00:00"/>
    <d v="2026-02-05T00:00:00"/>
    <x v="0"/>
    <x v="0"/>
    <n v="2"/>
    <s v="Se Finalizaron las pantallas del documento de pruebas en Consulta Incidentes PAC CFDI y Retenciones"/>
    <s v="260119-POL 8211-Doc-Pru-Consulta Incidentes - PAC"/>
  </r>
  <r>
    <d v="2026-02-05T00:00:00"/>
    <d v="2026-02-05T00:00:00"/>
    <x v="0"/>
    <x v="0"/>
    <n v="2"/>
    <s v="Se agregaron los casos de prueba de lineamientos en RDP Consulta Incidentes Negocio"/>
    <s v="20241111-NAD-Consulta Incidentes - Negocio (4) (1)"/>
  </r>
  <r>
    <d v="2026-02-05T00:00:00"/>
    <d v="2026-02-05T00:00:00"/>
    <x v="0"/>
    <x v="0"/>
    <n v="1"/>
    <s v="Se hizo retest del incidente Bug 130243 - CC95_CC96_CC97-PAC-CP27-/Recuperar descargas/FechaExportarJSON"/>
    <s v="Prueba JSON"/>
  </r>
  <r>
    <d v="2026-02-05T00:00:00"/>
    <d v="2026-02-05T00:00:00"/>
    <x v="1"/>
    <x v="0"/>
    <n v="1.5"/>
    <s v="Para el WEB service de Sector primario se tuvo una videoconferencia con el equipo de desarrollo y además se hicieron los insumos para el día siguiente para las pruebas"/>
    <s v="Insumos06022026"/>
  </r>
  <r>
    <d v="2026-02-05T00:00:00"/>
    <d v="2026-02-05T00:00:00"/>
    <x v="0"/>
    <x v="0"/>
    <n v="1.5"/>
    <s v="Se realizaron agregaron los casos de prueba al RDP Consulta Incidentes Negocio y PAC para las consultas de más de 100 Registros "/>
    <s v="241126-RDP-Consulta_Incidentes - Negocio_Devops_CC95_CC96_CC97 (3), 241126-RDP-Consulta_Incidentes - PAC_Devops_CC95_CC96_CC97 (2)"/>
  </r>
  <r>
    <d v="2026-02-06T00:00:00"/>
    <d v="2026-02-06T00:00:00"/>
    <x v="2"/>
    <x v="0"/>
    <n v="5"/>
    <s v="Se realizaron pruebas de PPE en Consulta Central Retenciones ya que se sigue presentando un bug donde no te muestra resultados de la consulta cuando se ingresa como emisor el RFC AXT"/>
    <s v="Prueba PPE"/>
  </r>
  <r>
    <d v="2026-02-06T00:00:00"/>
    <d v="2026-02-06T00:00:00"/>
    <x v="1"/>
    <x v="0"/>
    <n v="3"/>
    <s v="Se realizaron pruebas para el Web Service de Sector Primario, con los insumos que nos mandó el equipo de desarrollo"/>
    <s v="Puebas WEB SERVICE"/>
  </r>
  <r>
    <d v="2026-02-09T00:00:00"/>
    <d v="2026-02-09T00:00:00"/>
    <x v="1"/>
    <x v="0"/>
    <n v="1"/>
    <s v="Se crearon los insumos y se enviaron al equipo de desarrollo, necesarios para reanudar las pruebas en Web service de Sector primario"/>
    <s v="Insumos09-02-2026"/>
  </r>
  <r>
    <d v="2026-02-09T00:00:00"/>
    <d v="2026-02-09T00:00:00"/>
    <x v="0"/>
    <x v="0"/>
    <n v="4"/>
    <s v="Actualización de narrativas y RDP de Consulta Incidentes PAC y Negocio "/>
    <s v="20241111-NAD-Consulta Incidentes - PAC (3), 241126-RDP-Consulta_Incidentes - PAC_Devops_CC95_CC96_CC97 (2), 241126-RDP-Consulta_Incidentes - Negocio_Devops_CC95_CC96_CC97 (3),20241111-NAD-Consulta Incidentes - Negocio (4) (1)"/>
  </r>
  <r>
    <d v="2026-02-09T00:00:00"/>
    <d v="2026-02-09T00:00:00"/>
    <x v="3"/>
    <x v="0"/>
    <n v="3"/>
    <s v="En Consulta Central CFDI se actualizaron el RDP y las narrativas con forme a incidentes reportados y conforme al portal"/>
    <s v="250107-RDP ConsultaCentral CFDI _ DevOps_CC120_CC122"/>
  </r>
  <r>
    <d v="2026-02-10T00:00:00"/>
    <d v="2026-02-10T00:00:00"/>
    <x v="1"/>
    <x v="0"/>
    <n v="2"/>
    <s v="Se agregaron insumos para darle continuidad a las pruebas del Web service de Sector primario"/>
    <s v="Insumos10-02-2026"/>
  </r>
  <r>
    <d v="2026-02-10T00:00:00"/>
    <d v="2026-02-10T00:00:00"/>
    <x v="1"/>
    <x v="0"/>
    <n v="3"/>
    <s v="Se reanudaron las pruebas de Web Service de Sector Primario, y se colocaron las evidencias en la matriz de pruebas "/>
    <s v="Puebas WEB SERVICE"/>
  </r>
  <r>
    <d v="2026-02-10T00:00:00"/>
    <d v="2026-02-10T00:00:00"/>
    <x v="1"/>
    <x v="0"/>
    <n v="3"/>
    <s v="Se tuvo una sesión con el equipo de desarrollo y el de arquitectura, además se continuaron con las pruebas del Web service Sector primario"/>
    <s v="Puebas WEB SERVICE"/>
  </r>
  <r>
    <d v="2026-02-11T00:00:00"/>
    <d v="2026-02-11T00:00:00"/>
    <x v="1"/>
    <x v="0"/>
    <n v="2"/>
    <s v="Se crearon y se enviaron los insumos para las pruebas de Sector Primario para el Web service"/>
    <s v="Insumos11-02-2026"/>
  </r>
  <r>
    <d v="2026-02-11T00:00:00"/>
    <d v="2026-02-11T00:00:00"/>
    <x v="3"/>
    <x v="0"/>
    <n v="1"/>
    <s v="Se completaron las pantallas Consulta Central CFDI de las pruebas que se realizaron en su momento "/>
    <s v="260121-POL 8211-Doc-Pru-Consulta Central CFDI (1)"/>
  </r>
  <r>
    <d v="2026-02-11T00:00:00"/>
    <d v="2026-02-11T00:00:00"/>
    <x v="1"/>
    <x v="0"/>
    <n v="2"/>
    <s v="Se inicio con las pruebas del Web service de Sector Primario con los insumos que nos mandó el equipo de desarrollo"/>
    <s v="Puebas WEB SERVICE"/>
  </r>
  <r>
    <d v="2026-02-11T00:00:00"/>
    <d v="2026-02-11T00:00:00"/>
    <x v="1"/>
    <x v="0"/>
    <n v="3"/>
    <s v="Se continuo con las pruebas del Web service de Sector primario, además se registraron nuevos incidentes en el share point"/>
    <s v="Puebas WEB SERVICE ,Listado de Share Point"/>
  </r>
  <r>
    <d v="2026-02-12T00:00:00"/>
    <d v="2026-02-12T00:00:00"/>
    <x v="4"/>
    <x v="0"/>
    <n v="1"/>
    <s v="Se agregaron nuevos incidentes en Share point para poder darles seguimiento "/>
    <s v="Listado de Share Point"/>
  </r>
  <r>
    <d v="2026-02-12T00:00:00"/>
    <d v="2026-02-12T00:00:00"/>
    <x v="1"/>
    <x v="0"/>
    <n v="1"/>
    <s v="Se agregaron nuevos insumos para realizar pruebas del dia, en los cuales los RFC tenían estatus SNCF "/>
    <s v="Insumos 12-02-2026"/>
  </r>
  <r>
    <d v="2026-02-12T00:00:00"/>
    <d v="2026-02-12T00:00:00"/>
    <x v="3"/>
    <x v="0"/>
    <n v="2"/>
    <s v="Se agregaron casos de prueba en Consulta Central CFDI "/>
    <s v="250107-RDP ConsultaCentral CFDI _ DevOps_CC120_CC122"/>
  </r>
  <r>
    <d v="2026-02-12T00:00:00"/>
    <d v="2026-02-12T00:00:00"/>
    <x v="1"/>
    <x v="0"/>
    <n v="2"/>
    <s v="Se realizaron pruebas de Web service de Sector primario con los insumos de los RFC con estatus SNCF"/>
    <s v="Puebas WEB SERVICE, Insumos12-02-2026"/>
  </r>
  <r>
    <d v="2026-02-12T00:00:00"/>
    <d v="2026-02-12T00:00:00"/>
    <x v="1"/>
    <x v="0"/>
    <n v="2"/>
    <s v="Se le dio la capacitación al Usuario para que les quedar claro el tema en cuestión a las pruebas del Web Service de Sector Primario"/>
    <s v="Insumos pruebas wssp"/>
  </r>
  <r>
    <d v="2026-02-13T00:00:00"/>
    <d v="2026-02-13T00:00:00"/>
    <x v="2"/>
    <x v="0"/>
    <n v="3"/>
    <s v="En Consulta Central se hicieron ajustes y también se crearon nuevos casos de pruebas, para cubrir más escenarios de prueba"/>
    <s v="250623 RDP ConsultaCentral CFDI Ret"/>
  </r>
  <r>
    <d v="2026-02-13T00:00:00"/>
    <d v="2026-02-13T00:00:00"/>
    <x v="1"/>
    <x v="0"/>
    <n v="1"/>
    <s v="Se agregaron los insumos para realizar últimas pruebas del web service de sector primario para reportar los incidentes detectados"/>
    <s v="Insumos 13-02-2026, Incidentes en WEB SERVICE Sector Primario ambiente DEV"/>
  </r>
  <r>
    <d v="2026-02-13T00:00:00"/>
    <d v="2026-02-13T00:00:00"/>
    <x v="1"/>
    <x v="0"/>
    <n v="4"/>
    <s v="Se continuo con las pruebas de Sector primario en el Web services  para reportar incidentes y cubrir otros escenarios de pruebas "/>
    <s v="Puebas WEB SERVICE"/>
  </r>
  <r>
    <d v="2026-02-16T00:00:00"/>
    <d v="2026-02-16T00:00:00"/>
    <x v="3"/>
    <x v="0"/>
    <n v="8"/>
    <s v="Se realizaron pruebas de los requerimientos funcionales CC064,  REQS00001976928, REQS00001796982, REQS00002309901, REQS00001902355 "/>
    <s v="260216-POL 8211-Doc-Pru-CC064 CFDI, REQS00001976928, REQS00001796982, REQS00002309901, REQS00001902355 "/>
  </r>
  <r>
    <d v="2026-02-17T00:00:00"/>
    <d v="2026-02-17T00:00:00"/>
    <x v="3"/>
    <x v="0"/>
    <n v="6"/>
    <s v="Se realizaron las pruebas de los casos de prueba de Consulta Central CFDI con evidencias completas"/>
    <s v="260217-POL 8211-Doc-Pru-Consulta Central CFDI(1)"/>
  </r>
  <r>
    <d v="2026-02-17T00:00:00"/>
    <d v="2026-02-17T00:00:00"/>
    <x v="2"/>
    <x v="0"/>
    <n v="2"/>
    <s v="En Consulta Central Retenciones se Iniciaron las pruebas del RDP con todos los casos de prueba incluyendo las pantallas como evidencias"/>
    <s v="260217-POL 8211-Doc-Pru-Consulta Central Retenciones(1)"/>
  </r>
  <r>
    <d v="2026-02-18T00:00:00"/>
    <d v="2026-02-18T00:00:00"/>
    <x v="2"/>
    <x v="0"/>
    <n v="2"/>
    <s v="Se dio continuacion a las pruebas de Consulta Central Retenciones para poder finalizar con las evidencias"/>
    <s v="260217-POL 8211-Doc-Pru-Consulta Central Retenciones(1)"/>
  </r>
  <r>
    <d v="2026-02-18T00:00:00"/>
    <d v="2026-02-18T00:00:00"/>
    <x v="0"/>
    <x v="0"/>
    <n v="6"/>
    <s v="En Consulta Incidentes Negocio se inciciaron las pruebas del RDP con todos sus casos de prueba"/>
    <s v="260218-POL 8211-Doc-Pru-Consulta Incidentes Negocio (2)"/>
  </r>
  <r>
    <d v="2026-02-19T00:00:00"/>
    <d v="2026-02-19T00:00:00"/>
    <x v="0"/>
    <x v="0"/>
    <n v="6"/>
    <s v="Se dio incio a las pruebas de Consulta Incidentes PAC conforme al RDP y sus casos de pruebas"/>
    <s v="260218-POL 8211-Doc-Pru-Consulta Incidentes - PAC"/>
  </r>
  <r>
    <d v="2026-02-19T00:00:00"/>
    <d v="2026-02-19T00:00:00"/>
    <x v="0"/>
    <x v="0"/>
    <n v="1"/>
    <s v="Se tuvo una reunion para atencion a un incidente detectado en Consulta Incidentes PAC sobre la busqueda por folio"/>
    <s v="Incidente Busqueda Folio Fiscal"/>
  </r>
  <r>
    <d v="2026-02-19T00:00:00"/>
    <d v="2026-02-19T00:00:00"/>
    <x v="1"/>
    <x v="0"/>
    <n v="1"/>
    <s v="Se mandaron los insumos repondientes al dia 20/02/2026 para realizar pruebas de Web Service SP"/>
    <s v="Insumos 20-02-2026"/>
  </r>
  <r>
    <d v="2026-02-20T00:00:00"/>
    <d v="2026-02-20T00:00:00"/>
    <x v="0"/>
    <x v="0"/>
    <n v="2"/>
    <s v="Se realizaron las ultimas pruebas de Consulta Incidentes PAC para verificar que no hubiera otro incidente"/>
    <s v="260218-POL 8211-Doc-Pru-Consulta Incidentes - PAC"/>
  </r>
  <r>
    <d v="2026-02-20T00:00:00"/>
    <d v="2026-02-20T00:00:00"/>
    <x v="4"/>
    <x v="0"/>
    <n v="1"/>
    <s v="Se dieron registro el requerimiento REQS00002315883 en el Share point , Se realizo el retest del incidente Bug 130650"/>
    <s v="Bug 130650"/>
  </r>
  <r>
    <d v="2026-02-20T00:00:00"/>
    <d v="2026-02-20T00:00:00"/>
    <x v="1"/>
    <x v="0"/>
    <n v="5"/>
    <s v="Se dio atencion al Web Service de Sector primario, ademas se realizaron las pruebas que se mandaron en el dia anterior, tambien se realizaron las modificaciones al EZS del  WS de Sector primario"/>
    <s v="Puebas WEB SERVICE"/>
  </r>
  <r>
    <d v="2026-03-23T00:00:00"/>
    <d v="2026-03-23T00:00:00"/>
    <x v="1"/>
    <x v="0"/>
    <n v="8"/>
    <s v="Actualización de la documentación del Web Service de Sector Primario 221206-EZS_WS_SECTOR_PRIMARIO_v4, Se realizaron pruebas en el web services para validar algunos cambios que se realizaron por parte del equipo de desarrollo"/>
    <s v="Puebas WEB SERVICE (Autoguardado), 221206-EZS_WS_SECTOR_PRIMARIO_v4 .1"/>
  </r>
  <r>
    <d v="2026-03-24T00:00:00"/>
    <d v="2026-03-24T00:00:00"/>
    <x v="1"/>
    <x v="0"/>
    <n v="1"/>
    <s v="Se agregaron insumos para realizar pruebas en Web Service de Sector primario "/>
    <s v="Insumos 23-02-2026"/>
  </r>
  <r>
    <d v="2026-03-24T00:00:00"/>
    <d v="2026-03-24T00:00:00"/>
    <x v="0"/>
    <x v="0"/>
    <n v="2"/>
    <s v="En el bug 121866 - REQS00001902355 se realizo retest comprobando que todavía no quedaba resuelto el incidente "/>
    <s v="Bug 121866(1)"/>
  </r>
  <r>
    <d v="2026-03-24T00:00:00"/>
    <d v="2026-03-24T00:00:00"/>
    <x v="0"/>
    <x v="0"/>
    <n v="2"/>
    <s v="Se continuo con las pruebas en Consulta Incidentes PAC y se detectaron incidentes"/>
    <s v="260218-POL 8211-Doc-Pru-Consulta Incidentes - PAC"/>
  </r>
  <r>
    <d v="2026-03-24T00:00:00"/>
    <d v="2026-03-24T00:00:00"/>
    <x v="1"/>
    <x v="0"/>
    <n v="3"/>
    <s v="Se realizaron pruebas en el Web Service de Sector primario para comprobar los cambios que se realizaron por parte del equipo de desarrollo"/>
    <s v="Puebas WEB SERVICE (Autoguardado)"/>
  </r>
  <r>
    <d v="2026-03-25T00:00:00"/>
    <d v="2026-03-25T00:00:00"/>
    <x v="0"/>
    <x v="0"/>
    <n v="8"/>
    <s v="Se realizaron pruebas exploratorias en consulta incidentes Negocio y PAC ademas de que se ingreso a una reunion con el equipo de microsoft para tratar algunos incidentes que se detectaron durante las pruebas"/>
    <s v="Bugs para proximas pruebas"/>
  </r>
  <r>
    <d v="2026-03-26T00:00:00"/>
    <d v="2026-03-26T00:00:00"/>
    <x v="1"/>
    <x v="0"/>
    <n v="3"/>
    <s v="Se inicio la matriz de insumos para las pruebas de Sector primario UAT "/>
    <s v="segunda matriz UAT"/>
  </r>
  <r>
    <d v="2026-03-26T00:00:00"/>
    <d v="2026-03-26T00:00:00"/>
    <x v="0"/>
    <x v="0"/>
    <n v="0.5"/>
    <s v="Ingresamos a una reunión con el equipo de microsoft para aclarar dudas que se tenían sobre incidentes detectados"/>
    <m/>
  </r>
  <r>
    <d v="2026-03-26T00:00:00"/>
    <d v="2026-03-26T00:00:00"/>
    <x v="1"/>
    <x v="0"/>
    <n v="4.5"/>
    <s v="Se iniciaron las pruebas de Sector primario Web service ya con los insumos del día actual"/>
    <s v="Insumos 25-02-2026 Manual, Puebas WEB SERVICE (Autoguardado)"/>
  </r>
  <r>
    <d v="2026-03-27T00:00:00"/>
    <d v="2026-03-27T00:00:00"/>
    <x v="1"/>
    <x v="0"/>
    <n v="8"/>
    <s v="Se iniciaron las pruebas del Web service Sector primario del día actual "/>
    <s v="Insumos 26-02-2026 Manual, Puebas WEB SERVICE (Autoguardado)"/>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r>
    <m/>
    <m/>
    <x v="5"/>
    <x v="1"/>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5">
  <r>
    <x v="0"/>
  </r>
  <r>
    <x v="1"/>
  </r>
  <r>
    <x v="2"/>
  </r>
  <r>
    <x v="3"/>
  </r>
  <r>
    <x v="3"/>
  </r>
  <r>
    <x v="4"/>
  </r>
  <r>
    <x v="5"/>
  </r>
  <r>
    <x v="5"/>
  </r>
  <r>
    <x v="5"/>
  </r>
  <r>
    <x v="6"/>
  </r>
  <r>
    <x v="6"/>
  </r>
  <r>
    <x v="0"/>
  </r>
  <r>
    <x v="4"/>
  </r>
  <r>
    <x v="2"/>
  </r>
  <r>
    <x v="7"/>
  </r>
  <r>
    <x v="5"/>
  </r>
  <r>
    <x v="2"/>
  </r>
  <r>
    <x v="8"/>
  </r>
  <r>
    <x v="6"/>
  </r>
  <r>
    <x v="6"/>
  </r>
  <r>
    <x v="9"/>
  </r>
  <r>
    <x v="0"/>
  </r>
  <r>
    <x v="6"/>
  </r>
  <r>
    <x v="6"/>
  </r>
  <r>
    <x v="6"/>
  </r>
  <r>
    <x v="5"/>
  </r>
  <r>
    <x v="10"/>
  </r>
  <r>
    <x v="2"/>
  </r>
  <r>
    <x v="11"/>
  </r>
  <r>
    <x v="0"/>
  </r>
  <r>
    <x v="12"/>
  </r>
  <r>
    <x v="13"/>
  </r>
  <r>
    <x v="2"/>
  </r>
  <r>
    <x v="2"/>
  </r>
  <r>
    <x v="14"/>
  </r>
  <r>
    <x v="15"/>
  </r>
  <r>
    <x v="16"/>
  </r>
  <r>
    <x v="10"/>
  </r>
  <r>
    <x v="2"/>
  </r>
  <r>
    <x v="0"/>
  </r>
  <r>
    <x v="17"/>
  </r>
  <r>
    <x v="18"/>
  </r>
  <r>
    <x v="15"/>
  </r>
  <r>
    <x v="19"/>
  </r>
  <r>
    <x v="20"/>
  </r>
  <r>
    <x v="21"/>
  </r>
  <r>
    <x v="0"/>
  </r>
  <r>
    <x v="15"/>
  </r>
  <r>
    <x v="4"/>
  </r>
  <r>
    <x v="17"/>
  </r>
  <r>
    <x v="2"/>
  </r>
  <r>
    <x v="6"/>
  </r>
  <r>
    <x v="6"/>
  </r>
  <r>
    <x v="22"/>
  </r>
  <r>
    <x v="6"/>
  </r>
  <r>
    <x v="2"/>
  </r>
  <r>
    <x v="6"/>
  </r>
  <r>
    <x v="5"/>
  </r>
  <r>
    <x v="6"/>
  </r>
  <r>
    <x v="5"/>
  </r>
  <r>
    <x v="6"/>
  </r>
  <r>
    <x v="10"/>
  </r>
  <r>
    <x v="2"/>
  </r>
  <r>
    <x v="0"/>
  </r>
  <r>
    <x v="23"/>
  </r>
  <r>
    <x v="23"/>
  </r>
  <r>
    <x v="23"/>
  </r>
  <r>
    <x v="7"/>
  </r>
  <r>
    <x v="2"/>
  </r>
  <r>
    <x v="24"/>
  </r>
  <r>
    <x v="25"/>
  </r>
  <r>
    <x v="10"/>
  </r>
  <r>
    <x v="2"/>
  </r>
  <r>
    <x v="11"/>
  </r>
  <r>
    <x v="2"/>
  </r>
  <r>
    <x v="0"/>
  </r>
  <r>
    <x v="10"/>
  </r>
  <r>
    <x v="2"/>
  </r>
  <r>
    <x v="2"/>
  </r>
  <r>
    <x v="26"/>
  </r>
  <r>
    <x v="27"/>
  </r>
  <r>
    <x v="2"/>
  </r>
  <r>
    <x v="0"/>
  </r>
  <r>
    <x v="18"/>
  </r>
  <r>
    <x v="17"/>
  </r>
  <r>
    <x v="28"/>
  </r>
  <r>
    <x v="29"/>
  </r>
  <r>
    <x v="30"/>
  </r>
  <r>
    <x v="6"/>
  </r>
  <r>
    <x v="20"/>
  </r>
  <r>
    <x v="0"/>
  </r>
  <r>
    <x v="10"/>
  </r>
  <r>
    <x v="2"/>
  </r>
  <r>
    <x v="10"/>
  </r>
  <r>
    <x v="2"/>
  </r>
  <r>
    <x v="2"/>
  </r>
  <r>
    <x v="31"/>
  </r>
  <r>
    <x v="32"/>
  </r>
  <r>
    <x v="18"/>
  </r>
  <r>
    <x v="33"/>
  </r>
  <r>
    <x v="0"/>
  </r>
  <r>
    <x v="34"/>
  </r>
  <r>
    <x v="35"/>
  </r>
  <r>
    <x v="10"/>
  </r>
  <r>
    <x v="2"/>
  </r>
  <r>
    <x v="36"/>
  </r>
  <r>
    <x v="6"/>
  </r>
  <r>
    <x v="10"/>
  </r>
  <r>
    <x v="37"/>
  </r>
  <r>
    <x v="37"/>
  </r>
  <r>
    <x v="0"/>
  </r>
  <r>
    <x v="2"/>
  </r>
  <r>
    <x v="38"/>
  </r>
  <r>
    <x v="6"/>
  </r>
  <r>
    <x v="6"/>
  </r>
  <r>
    <x v="39"/>
  </r>
  <r>
    <x v="2"/>
  </r>
  <r>
    <x v="40"/>
  </r>
  <r>
    <x v="32"/>
  </r>
  <r>
    <x v="11"/>
  </r>
  <r>
    <x v="2"/>
  </r>
  <r>
    <x v="41"/>
  </r>
  <r>
    <x v="0"/>
  </r>
  <r>
    <x v="10"/>
  </r>
  <r>
    <x v="2"/>
  </r>
  <r>
    <x v="42"/>
  </r>
  <r>
    <x v="43"/>
  </r>
  <r>
    <x v="28"/>
  </r>
  <r>
    <x v="37"/>
  </r>
  <r>
    <x v="0"/>
  </r>
  <r>
    <x v="44"/>
  </r>
  <r>
    <x v="18"/>
  </r>
  <r>
    <x v="28"/>
  </r>
  <r>
    <x v="28"/>
  </r>
  <r>
    <x v="2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TablaDinámica2" cacheId="12" applyNumberFormats="0" applyBorderFormats="0" applyFontFormats="0" applyPatternFormats="0" applyAlignmentFormats="0" applyWidthHeightFormats="0" dataCaption="Values" updatedVersion="8" itemPrintTitles="1" indent="0" compact="0" outline="1" outlineData="1" compactData="0">
  <location ref="A3:C16" firstHeaderRow="1" firstDataRow="1" firstDataCol="2"/>
  <pivotFields count="7">
    <pivotField compact="0" showAll="0"/>
    <pivotField compact="0" showAll="0"/>
    <pivotField axis="axisRow" compact="0" showAll="0">
      <items count="7">
        <item x="5"/>
        <item x="4"/>
        <item x="0"/>
        <item x="2"/>
        <item x="1"/>
        <item x="3"/>
        <item t="default"/>
      </items>
    </pivotField>
    <pivotField axis="axisRow" compact="0" showAll="0">
      <items count="3">
        <item x="0"/>
        <item x="1"/>
        <item t="default"/>
      </items>
    </pivotField>
    <pivotField dataField="1" compact="0" showAll="0"/>
    <pivotField compact="0" showAll="0"/>
    <pivotField compact="0" showAll="0"/>
  </pivotFields>
  <rowFields count="2">
    <field x="2"/>
    <field x="3"/>
  </rowFields>
  <rowItems count="13">
    <i>
      <x/>
    </i>
    <i r="1">
      <x v="1"/>
    </i>
    <i>
      <x v="1"/>
    </i>
    <i r="1">
      <x/>
    </i>
    <i>
      <x v="2"/>
    </i>
    <i r="1">
      <x/>
    </i>
    <i>
      <x v="3"/>
    </i>
    <i r="1">
      <x/>
    </i>
    <i>
      <x v="4"/>
    </i>
    <i r="1">
      <x/>
    </i>
    <i>
      <x v="5"/>
    </i>
    <i r="1">
      <x/>
    </i>
    <i t="grand">
      <x/>
    </i>
  </rowItems>
  <colItems count="1">
    <i/>
  </colItems>
  <dataFields count="1">
    <dataField name="Horas" fld="4" baseField="0" baseItem="0" numFmtId="2"/>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400-000001000000}" name="TablaDinámica1" cacheId="16" applyNumberFormats="0" applyBorderFormats="0" applyFontFormats="0" applyPatternFormats="0" applyAlignmentFormats="0" applyWidthHeightFormats="0" dataCaption="Values" updatedVersion="8" itemPrintTitles="1" indent="0" compact="0" outline="1" outlineData="1" compactData="0">
  <location ref="D2:D48" firstHeaderRow="1" firstDataRow="1" firstDataCol="1"/>
  <pivotFields count="1">
    <pivotField axis="axisRow" compact="0" showAll="0">
      <items count="46">
        <item x="40"/>
        <item x="9"/>
        <item x="36"/>
        <item x="37"/>
        <item x="2"/>
        <item x="30"/>
        <item x="7"/>
        <item x="21"/>
        <item x="44"/>
        <item x="12"/>
        <item x="13"/>
        <item x="31"/>
        <item x="3"/>
        <item x="16"/>
        <item x="15"/>
        <item x="6"/>
        <item x="25"/>
        <item x="38"/>
        <item x="29"/>
        <item x="26"/>
        <item x="14"/>
        <item x="34"/>
        <item x="33"/>
        <item x="24"/>
        <item x="35"/>
        <item x="22"/>
        <item x="8"/>
        <item x="43"/>
        <item x="11"/>
        <item x="42"/>
        <item x="0"/>
        <item x="27"/>
        <item x="10"/>
        <item x="1"/>
        <item x="4"/>
        <item x="20"/>
        <item x="28"/>
        <item x="17"/>
        <item x="19"/>
        <item x="23"/>
        <item x="32"/>
        <item x="39"/>
        <item x="5"/>
        <item x="41"/>
        <item x="18"/>
        <item t="default"/>
      </items>
    </pivotField>
  </pivotFields>
  <rowFields count="1">
    <field x="0"/>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Items count="1">
    <i/>
  </colItem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5" displayName="Tabla5" ref="A26:G465" totalsRowShown="0">
  <autoFilter ref="A26:G465" xr:uid="{00000000-0009-0000-0100-000001000000}"/>
  <tableColumns count="7">
    <tableColumn id="1" xr3:uid="{00000000-0010-0000-0000-000001000000}" name="Fecha Inicial_x000a_dd/mm/aaaa"/>
    <tableColumn id="2" xr3:uid="{00000000-0010-0000-0000-000002000000}" name="Fecha Final_x000a_dd/mm/aaaa"/>
    <tableColumn id="3" xr3:uid="{00000000-0010-0000-0000-000003000000}" name="ID, nombre del requerimiento / Actividad / Proyecto"/>
    <tableColumn id="4" xr3:uid="{00000000-0010-0000-0000-000004000000}" name="Actividad"/>
    <tableColumn id="5" xr3:uid="{00000000-0010-0000-0000-000005000000}" name="Horas devengadas por actividad"/>
    <tableColumn id="6" xr3:uid="{00000000-0010-0000-0000-000006000000}" name="Detalles relevantes / Notas"/>
    <tableColumn id="7" xr3:uid="{00000000-0010-0000-0000-000007000000}" name="Entregable asociado / Ruta"/>
  </tableColumns>
  <tableStyleInfo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C62"/>
  <sheetViews>
    <sheetView topLeftCell="A2" zoomScaleNormal="100" workbookViewId="0">
      <selection activeCell="D10" sqref="D10"/>
    </sheetView>
  </sheetViews>
  <sheetFormatPr baseColWidth="10" defaultColWidth="10.54296875" defaultRowHeight="14.5" x14ac:dyDescent="0.35"/>
  <cols>
    <col min="1" max="1" width="54.26953125" customWidth="1"/>
    <col min="2" max="2" width="21.81640625" customWidth="1"/>
  </cols>
  <sheetData>
    <row r="3" spans="1:3" x14ac:dyDescent="0.35">
      <c r="A3" s="22" t="s">
        <v>0</v>
      </c>
      <c r="B3" s="22" t="s">
        <v>1</v>
      </c>
      <c r="C3" t="s">
        <v>2</v>
      </c>
    </row>
    <row r="4" spans="1:3" x14ac:dyDescent="0.35">
      <c r="A4" t="s">
        <v>176</v>
      </c>
      <c r="C4" s="23"/>
    </row>
    <row r="5" spans="1:3" x14ac:dyDescent="0.35">
      <c r="B5" t="s">
        <v>176</v>
      </c>
      <c r="C5" s="23"/>
    </row>
    <row r="6" spans="1:3" x14ac:dyDescent="0.35">
      <c r="A6" t="s">
        <v>3</v>
      </c>
      <c r="C6" s="23">
        <v>2</v>
      </c>
    </row>
    <row r="7" spans="1:3" x14ac:dyDescent="0.35">
      <c r="B7" t="s">
        <v>4</v>
      </c>
      <c r="C7" s="23">
        <v>2</v>
      </c>
    </row>
    <row r="8" spans="1:3" x14ac:dyDescent="0.35">
      <c r="A8" t="s">
        <v>5</v>
      </c>
      <c r="C8" s="23">
        <v>52</v>
      </c>
    </row>
    <row r="9" spans="1:3" x14ac:dyDescent="0.35">
      <c r="B9" t="s">
        <v>4</v>
      </c>
      <c r="C9" s="23">
        <v>52</v>
      </c>
    </row>
    <row r="10" spans="1:3" x14ac:dyDescent="0.35">
      <c r="A10" t="s">
        <v>6</v>
      </c>
      <c r="C10" s="23">
        <v>12</v>
      </c>
    </row>
    <row r="11" spans="1:3" x14ac:dyDescent="0.35">
      <c r="B11" t="s">
        <v>4</v>
      </c>
      <c r="C11" s="23">
        <v>12</v>
      </c>
    </row>
    <row r="12" spans="1:3" x14ac:dyDescent="0.35">
      <c r="A12" t="s">
        <v>135</v>
      </c>
      <c r="C12" s="23">
        <v>66</v>
      </c>
    </row>
    <row r="13" spans="1:3" x14ac:dyDescent="0.35">
      <c r="B13" t="s">
        <v>4</v>
      </c>
      <c r="C13" s="23">
        <v>66</v>
      </c>
    </row>
    <row r="14" spans="1:3" x14ac:dyDescent="0.35">
      <c r="A14" t="s">
        <v>30</v>
      </c>
      <c r="C14" s="23">
        <v>20</v>
      </c>
    </row>
    <row r="15" spans="1:3" x14ac:dyDescent="0.35">
      <c r="B15" t="s">
        <v>4</v>
      </c>
      <c r="C15" s="23">
        <v>20</v>
      </c>
    </row>
    <row r="16" spans="1:3" x14ac:dyDescent="0.35">
      <c r="A16" t="s">
        <v>175</v>
      </c>
      <c r="C16" s="23">
        <v>152</v>
      </c>
    </row>
    <row r="62" ht="8.25" customHeight="1" x14ac:dyDescent="0.35"/>
  </sheetData>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65"/>
  <sheetViews>
    <sheetView tabSelected="1" topLeftCell="A20" zoomScale="70" zoomScaleNormal="70" workbookViewId="0">
      <selection activeCell="E27" sqref="E27:E78"/>
    </sheetView>
  </sheetViews>
  <sheetFormatPr baseColWidth="10" defaultColWidth="10.54296875" defaultRowHeight="14.5" x14ac:dyDescent="0.35"/>
  <cols>
    <col min="1" max="1" width="24.7265625" customWidth="1"/>
    <col min="2" max="2" width="29.7265625" customWidth="1"/>
    <col min="3" max="3" width="67.26953125" customWidth="1"/>
    <col min="4" max="4" width="73.1796875" customWidth="1"/>
    <col min="5" max="5" width="36.7265625" customWidth="1"/>
    <col min="6" max="6" width="63.1796875" customWidth="1"/>
    <col min="7" max="7" width="116" customWidth="1"/>
  </cols>
  <sheetData>
    <row r="1" spans="1:7" s="3" customFormat="1" ht="20.25" customHeight="1" x14ac:dyDescent="0.5">
      <c r="A1" s="2"/>
      <c r="B1" s="2"/>
      <c r="C1" s="2"/>
      <c r="D1" s="2"/>
      <c r="E1" s="2"/>
      <c r="F1" s="2"/>
      <c r="G1" s="2"/>
    </row>
    <row r="2" spans="1:7" s="3" customFormat="1" ht="20.25" customHeight="1" x14ac:dyDescent="0.5">
      <c r="A2" s="2" t="s">
        <v>7</v>
      </c>
      <c r="B2" s="2"/>
      <c r="C2" s="2"/>
      <c r="D2" s="2"/>
      <c r="E2" s="2"/>
      <c r="F2" s="2"/>
      <c r="G2" s="2"/>
    </row>
    <row r="3" spans="1:7" s="3" customFormat="1" ht="20.25" customHeight="1" x14ac:dyDescent="0.5">
      <c r="A3" s="2"/>
      <c r="B3" s="2"/>
      <c r="C3" s="2"/>
      <c r="D3" s="2"/>
      <c r="E3" s="2"/>
      <c r="F3" s="2"/>
      <c r="G3" s="2"/>
    </row>
    <row r="4" spans="1:7" s="3" customFormat="1" ht="20.25" customHeight="1" x14ac:dyDescent="0.5">
      <c r="A4" s="24" t="s">
        <v>8</v>
      </c>
      <c r="B4" s="24"/>
      <c r="C4" s="24"/>
      <c r="D4" s="24"/>
      <c r="E4" s="24"/>
      <c r="F4" s="24"/>
      <c r="G4" s="24"/>
    </row>
    <row r="5" spans="1:7" ht="15" x14ac:dyDescent="0.4">
      <c r="A5" s="4" t="s">
        <v>9</v>
      </c>
      <c r="B5" s="5"/>
      <c r="C5" s="6"/>
      <c r="D5" s="6"/>
      <c r="E5" s="6"/>
      <c r="F5" s="6"/>
      <c r="G5" s="6"/>
    </row>
    <row r="6" spans="1:7" ht="9" customHeight="1" x14ac:dyDescent="0.4">
      <c r="A6" s="5"/>
      <c r="B6" s="5"/>
      <c r="C6" s="6"/>
      <c r="D6" s="6"/>
      <c r="E6" s="6"/>
      <c r="F6" s="6"/>
      <c r="G6" s="6"/>
    </row>
    <row r="7" spans="1:7" ht="20.25" customHeight="1" x14ac:dyDescent="0.4">
      <c r="A7" s="7"/>
      <c r="B7" s="5" t="s">
        <v>10</v>
      </c>
      <c r="C7" s="8" t="s">
        <v>11</v>
      </c>
      <c r="D7" s="6"/>
      <c r="E7" s="6"/>
      <c r="F7" s="6"/>
      <c r="G7" s="6"/>
    </row>
    <row r="8" spans="1:7" ht="9" customHeight="1" x14ac:dyDescent="0.4">
      <c r="A8" s="7"/>
      <c r="B8" s="5"/>
      <c r="C8" s="6"/>
      <c r="D8" s="6"/>
      <c r="E8" s="6"/>
      <c r="F8" s="6"/>
      <c r="G8" s="6"/>
    </row>
    <row r="9" spans="1:7" ht="20.25" customHeight="1" x14ac:dyDescent="0.4">
      <c r="A9" s="7"/>
      <c r="B9" s="5" t="s">
        <v>12</v>
      </c>
      <c r="C9" s="8" t="s">
        <v>13</v>
      </c>
      <c r="D9" s="8"/>
      <c r="E9" s="6"/>
      <c r="F9" s="6"/>
      <c r="G9" s="6"/>
    </row>
    <row r="10" spans="1:7" ht="9" customHeight="1" x14ac:dyDescent="0.4">
      <c r="A10" s="7"/>
      <c r="B10" s="5"/>
      <c r="C10" s="6"/>
      <c r="D10" s="6"/>
      <c r="E10" s="6"/>
      <c r="F10" s="6"/>
      <c r="G10" s="6"/>
    </row>
    <row r="11" spans="1:7" ht="20.25" customHeight="1" x14ac:dyDescent="0.4">
      <c r="A11" s="5"/>
      <c r="B11" s="1" t="s">
        <v>14</v>
      </c>
      <c r="C11" s="8" t="s">
        <v>15</v>
      </c>
      <c r="D11" s="6"/>
      <c r="E11" s="6"/>
      <c r="F11" s="6"/>
      <c r="G11" s="6"/>
    </row>
    <row r="12" spans="1:7" ht="9" customHeight="1" x14ac:dyDescent="0.4">
      <c r="A12" s="7"/>
      <c r="B12" s="7"/>
      <c r="C12" s="6"/>
      <c r="D12" s="6"/>
      <c r="E12" s="6"/>
      <c r="F12" s="6"/>
      <c r="G12" s="6"/>
    </row>
    <row r="13" spans="1:7" ht="20.25" customHeight="1" x14ac:dyDescent="0.4">
      <c r="A13" s="25" t="s">
        <v>16</v>
      </c>
      <c r="B13" s="25"/>
      <c r="C13" s="8" t="s">
        <v>174</v>
      </c>
      <c r="D13" s="6"/>
      <c r="E13" s="6"/>
      <c r="F13" s="6"/>
      <c r="G13" s="6"/>
    </row>
    <row r="14" spans="1:7" ht="9" customHeight="1" x14ac:dyDescent="0.4">
      <c r="A14" s="1"/>
      <c r="B14" s="1"/>
      <c r="C14" s="6"/>
      <c r="D14" s="6"/>
      <c r="E14" s="6"/>
      <c r="F14" s="6"/>
      <c r="G14" s="6"/>
    </row>
    <row r="15" spans="1:7" ht="20.25" customHeight="1" x14ac:dyDescent="0.4">
      <c r="A15" s="25" t="s">
        <v>17</v>
      </c>
      <c r="B15" s="25"/>
      <c r="C15" s="9">
        <v>120</v>
      </c>
      <c r="D15" s="6"/>
      <c r="E15" s="6"/>
      <c r="F15" s="6"/>
      <c r="G15" s="6"/>
    </row>
    <row r="16" spans="1:7" ht="9" customHeight="1" x14ac:dyDescent="0.4">
      <c r="A16" s="1"/>
      <c r="B16" s="1"/>
      <c r="C16" s="6"/>
      <c r="D16" s="6"/>
      <c r="E16" s="6"/>
      <c r="F16" s="6"/>
      <c r="G16" s="6"/>
    </row>
    <row r="17" spans="1:7" ht="15" x14ac:dyDescent="0.4">
      <c r="A17" s="4" t="s">
        <v>18</v>
      </c>
      <c r="B17" s="5"/>
      <c r="C17" s="6"/>
      <c r="D17" s="6"/>
      <c r="E17" s="6"/>
      <c r="F17" s="6"/>
      <c r="G17" s="6"/>
    </row>
    <row r="18" spans="1:7" ht="9" customHeight="1" x14ac:dyDescent="0.4">
      <c r="A18" s="5"/>
      <c r="B18" s="5"/>
      <c r="C18" s="6"/>
      <c r="D18" s="6"/>
      <c r="E18" s="6"/>
      <c r="F18" s="6"/>
      <c r="G18" s="6"/>
    </row>
    <row r="19" spans="1:7" ht="20.25" customHeight="1" x14ac:dyDescent="0.4">
      <c r="A19" s="5"/>
      <c r="B19" s="5" t="s">
        <v>19</v>
      </c>
      <c r="C19" s="8" t="s">
        <v>11</v>
      </c>
      <c r="D19" s="6"/>
      <c r="E19" s="6"/>
      <c r="F19" s="6"/>
      <c r="G19" s="6"/>
    </row>
    <row r="20" spans="1:7" ht="9" customHeight="1" x14ac:dyDescent="0.4">
      <c r="A20" s="5"/>
      <c r="B20" s="5"/>
      <c r="C20" s="6"/>
      <c r="D20" s="6"/>
      <c r="E20" s="6"/>
      <c r="F20" s="6"/>
      <c r="G20" s="6"/>
    </row>
    <row r="21" spans="1:7" ht="20.25" customHeight="1" x14ac:dyDescent="0.4">
      <c r="A21" s="5"/>
      <c r="B21" s="5" t="s">
        <v>20</v>
      </c>
      <c r="C21" s="8" t="s">
        <v>21</v>
      </c>
      <c r="D21" s="6"/>
      <c r="E21" s="6"/>
      <c r="F21" s="6"/>
      <c r="G21" s="6"/>
    </row>
    <row r="22" spans="1:7" ht="9" customHeight="1" x14ac:dyDescent="0.4">
      <c r="A22" s="5"/>
      <c r="B22" s="5"/>
      <c r="C22" s="6"/>
      <c r="D22" s="6"/>
      <c r="E22" s="6"/>
      <c r="F22" s="6"/>
      <c r="G22" s="6"/>
    </row>
    <row r="23" spans="1:7" ht="20.25" customHeight="1" x14ac:dyDescent="0.4">
      <c r="A23" s="5"/>
      <c r="B23" s="5" t="s">
        <v>22</v>
      </c>
      <c r="C23" s="8" t="s">
        <v>23</v>
      </c>
      <c r="D23" s="6"/>
      <c r="E23" s="6"/>
      <c r="F23" s="6"/>
      <c r="G23" s="6"/>
    </row>
    <row r="24" spans="1:7" ht="9" customHeight="1" x14ac:dyDescent="0.35">
      <c r="C24" s="6"/>
      <c r="D24" s="6"/>
      <c r="E24" s="6"/>
      <c r="F24" s="6"/>
      <c r="G24" s="6"/>
    </row>
    <row r="25" spans="1:7" ht="16.5" x14ac:dyDescent="0.45">
      <c r="A25" s="26" t="s">
        <v>24</v>
      </c>
      <c r="B25" s="26"/>
      <c r="C25" s="26"/>
      <c r="D25" s="26"/>
      <c r="E25" s="26"/>
      <c r="F25" s="26"/>
      <c r="G25" s="26"/>
    </row>
    <row r="26" spans="1:7" ht="50.25" customHeight="1" x14ac:dyDescent="0.35">
      <c r="A26" s="10" t="s">
        <v>25</v>
      </c>
      <c r="B26" s="10" t="s">
        <v>26</v>
      </c>
      <c r="C26" s="11" t="s">
        <v>0</v>
      </c>
      <c r="D26" s="11" t="s">
        <v>1</v>
      </c>
      <c r="E26" s="12" t="s">
        <v>27</v>
      </c>
      <c r="F26" s="10" t="s">
        <v>28</v>
      </c>
      <c r="G26" s="10" t="s">
        <v>29</v>
      </c>
    </row>
    <row r="27" spans="1:7" x14ac:dyDescent="0.35">
      <c r="A27" s="13">
        <v>46056</v>
      </c>
      <c r="B27" s="13">
        <v>46056</v>
      </c>
      <c r="C27" t="s">
        <v>5</v>
      </c>
      <c r="D27" t="s">
        <v>4</v>
      </c>
      <c r="E27" s="14">
        <v>5</v>
      </c>
      <c r="F27" t="s">
        <v>150</v>
      </c>
      <c r="G27" s="15" t="s">
        <v>151</v>
      </c>
    </row>
    <row r="28" spans="1:7" x14ac:dyDescent="0.35">
      <c r="A28" s="13">
        <v>46056</v>
      </c>
      <c r="B28" s="13">
        <v>46056</v>
      </c>
      <c r="C28" t="s">
        <v>5</v>
      </c>
      <c r="D28" t="s">
        <v>4</v>
      </c>
      <c r="E28" s="14">
        <v>3</v>
      </c>
      <c r="F28" t="s">
        <v>152</v>
      </c>
      <c r="G28" s="15" t="s">
        <v>153</v>
      </c>
    </row>
    <row r="29" spans="1:7" x14ac:dyDescent="0.35">
      <c r="A29" s="13">
        <v>46057</v>
      </c>
      <c r="B29" s="13">
        <v>46057</v>
      </c>
      <c r="C29" t="s">
        <v>5</v>
      </c>
      <c r="D29" t="s">
        <v>4</v>
      </c>
      <c r="E29" s="14">
        <v>2</v>
      </c>
      <c r="F29" t="s">
        <v>154</v>
      </c>
      <c r="G29" s="15" t="s">
        <v>155</v>
      </c>
    </row>
    <row r="30" spans="1:7" x14ac:dyDescent="0.35">
      <c r="A30" s="13">
        <v>46057</v>
      </c>
      <c r="B30" s="13">
        <v>46057</v>
      </c>
      <c r="C30" t="s">
        <v>135</v>
      </c>
      <c r="D30" t="s">
        <v>4</v>
      </c>
      <c r="E30" s="14">
        <v>2</v>
      </c>
      <c r="F30" t="s">
        <v>156</v>
      </c>
      <c r="G30" s="15" t="s">
        <v>157</v>
      </c>
    </row>
    <row r="31" spans="1:7" x14ac:dyDescent="0.35">
      <c r="A31" s="13">
        <v>46057</v>
      </c>
      <c r="B31" s="13">
        <v>46057</v>
      </c>
      <c r="C31" t="s">
        <v>5</v>
      </c>
      <c r="D31" t="s">
        <v>4</v>
      </c>
      <c r="E31" s="14">
        <v>1</v>
      </c>
      <c r="F31" s="16" t="s">
        <v>158</v>
      </c>
      <c r="G31" s="15" t="s">
        <v>160</v>
      </c>
    </row>
    <row r="32" spans="1:7" x14ac:dyDescent="0.35">
      <c r="A32" s="13">
        <v>46057</v>
      </c>
      <c r="B32" s="13">
        <v>46057</v>
      </c>
      <c r="C32" t="s">
        <v>5</v>
      </c>
      <c r="D32" t="s">
        <v>4</v>
      </c>
      <c r="E32" s="14">
        <v>3</v>
      </c>
      <c r="F32" t="s">
        <v>159</v>
      </c>
      <c r="G32" s="15" t="s">
        <v>161</v>
      </c>
    </row>
    <row r="33" spans="1:7" x14ac:dyDescent="0.35">
      <c r="A33" s="13">
        <v>46058</v>
      </c>
      <c r="B33" s="13">
        <v>46058</v>
      </c>
      <c r="C33" t="s">
        <v>5</v>
      </c>
      <c r="D33" t="s">
        <v>4</v>
      </c>
      <c r="E33" s="14">
        <v>2</v>
      </c>
      <c r="F33" t="s">
        <v>162</v>
      </c>
      <c r="G33" s="15" t="s">
        <v>161</v>
      </c>
    </row>
    <row r="34" spans="1:7" x14ac:dyDescent="0.35">
      <c r="A34" s="13">
        <v>46058</v>
      </c>
      <c r="B34" s="13">
        <v>46058</v>
      </c>
      <c r="C34" t="s">
        <v>5</v>
      </c>
      <c r="D34" t="s">
        <v>4</v>
      </c>
      <c r="E34" s="14">
        <v>2</v>
      </c>
      <c r="F34" t="s">
        <v>163</v>
      </c>
      <c r="G34" s="15" t="s">
        <v>160</v>
      </c>
    </row>
    <row r="35" spans="1:7" x14ac:dyDescent="0.35">
      <c r="A35" s="13">
        <v>46058</v>
      </c>
      <c r="B35" s="13">
        <v>46058</v>
      </c>
      <c r="C35" t="s">
        <v>5</v>
      </c>
      <c r="D35" t="s">
        <v>4</v>
      </c>
      <c r="E35" s="14">
        <v>1</v>
      </c>
      <c r="F35" t="s">
        <v>164</v>
      </c>
      <c r="G35" s="15" t="s">
        <v>165</v>
      </c>
    </row>
    <row r="36" spans="1:7" x14ac:dyDescent="0.35">
      <c r="A36" s="13">
        <v>46058</v>
      </c>
      <c r="B36" s="13">
        <v>46058</v>
      </c>
      <c r="C36" t="s">
        <v>135</v>
      </c>
      <c r="D36" t="s">
        <v>4</v>
      </c>
      <c r="E36" s="14">
        <v>1.5</v>
      </c>
      <c r="F36" t="s">
        <v>166</v>
      </c>
      <c r="G36" s="17" t="s">
        <v>167</v>
      </c>
    </row>
    <row r="37" spans="1:7" x14ac:dyDescent="0.35">
      <c r="A37" s="13">
        <v>46058</v>
      </c>
      <c r="B37" s="13">
        <v>46058</v>
      </c>
      <c r="C37" t="s">
        <v>5</v>
      </c>
      <c r="D37" t="s">
        <v>4</v>
      </c>
      <c r="E37" s="14">
        <v>1.5</v>
      </c>
      <c r="F37" t="s">
        <v>168</v>
      </c>
      <c r="G37" s="15" t="s">
        <v>169</v>
      </c>
    </row>
    <row r="38" spans="1:7" x14ac:dyDescent="0.35">
      <c r="A38" s="13">
        <v>46059</v>
      </c>
      <c r="B38" s="13">
        <v>46059</v>
      </c>
      <c r="C38" t="s">
        <v>6</v>
      </c>
      <c r="D38" t="s">
        <v>4</v>
      </c>
      <c r="E38" s="14">
        <v>5</v>
      </c>
      <c r="F38" t="s">
        <v>170</v>
      </c>
      <c r="G38" t="s">
        <v>171</v>
      </c>
    </row>
    <row r="39" spans="1:7" x14ac:dyDescent="0.35">
      <c r="A39" s="13">
        <v>46059</v>
      </c>
      <c r="B39" s="13">
        <v>46059</v>
      </c>
      <c r="C39" t="s">
        <v>135</v>
      </c>
      <c r="D39" t="s">
        <v>4</v>
      </c>
      <c r="E39" s="14">
        <v>3</v>
      </c>
      <c r="F39" t="s">
        <v>172</v>
      </c>
      <c r="G39" s="15" t="s">
        <v>173</v>
      </c>
    </row>
    <row r="40" spans="1:7" x14ac:dyDescent="0.35">
      <c r="A40" s="13">
        <v>46062</v>
      </c>
      <c r="B40" s="13">
        <v>46062</v>
      </c>
      <c r="C40" t="s">
        <v>135</v>
      </c>
      <c r="D40" t="s">
        <v>4</v>
      </c>
      <c r="E40" s="14">
        <v>1</v>
      </c>
      <c r="F40" t="s">
        <v>177</v>
      </c>
      <c r="G40" s="15" t="s">
        <v>178</v>
      </c>
    </row>
    <row r="41" spans="1:7" x14ac:dyDescent="0.35">
      <c r="A41" s="13">
        <v>46062</v>
      </c>
      <c r="B41" s="13">
        <v>46062</v>
      </c>
      <c r="C41" t="s">
        <v>5</v>
      </c>
      <c r="D41" t="s">
        <v>4</v>
      </c>
      <c r="E41" s="14">
        <v>4</v>
      </c>
      <c r="F41" t="s">
        <v>179</v>
      </c>
      <c r="G41" s="15" t="s">
        <v>180</v>
      </c>
    </row>
    <row r="42" spans="1:7" x14ac:dyDescent="0.35">
      <c r="A42" s="13">
        <v>46062</v>
      </c>
      <c r="B42" s="13">
        <v>46062</v>
      </c>
      <c r="C42" t="s">
        <v>30</v>
      </c>
      <c r="D42" t="s">
        <v>4</v>
      </c>
      <c r="E42" s="14">
        <v>3</v>
      </c>
      <c r="F42" t="s">
        <v>181</v>
      </c>
      <c r="G42" s="15" t="s">
        <v>182</v>
      </c>
    </row>
    <row r="43" spans="1:7" x14ac:dyDescent="0.35">
      <c r="A43" s="13">
        <v>46063</v>
      </c>
      <c r="B43" s="13">
        <v>46063</v>
      </c>
      <c r="C43" t="s">
        <v>135</v>
      </c>
      <c r="D43" t="s">
        <v>4</v>
      </c>
      <c r="E43" s="14">
        <v>2</v>
      </c>
      <c r="F43" t="s">
        <v>183</v>
      </c>
      <c r="G43" s="15" t="s">
        <v>184</v>
      </c>
    </row>
    <row r="44" spans="1:7" x14ac:dyDescent="0.35">
      <c r="A44" s="13">
        <v>46063</v>
      </c>
      <c r="B44" s="13">
        <v>46063</v>
      </c>
      <c r="C44" t="s">
        <v>135</v>
      </c>
      <c r="D44" t="s">
        <v>4</v>
      </c>
      <c r="E44" s="14">
        <v>3</v>
      </c>
      <c r="F44" s="16" t="s">
        <v>185</v>
      </c>
      <c r="G44" s="15" t="s">
        <v>173</v>
      </c>
    </row>
    <row r="45" spans="1:7" x14ac:dyDescent="0.35">
      <c r="A45" s="13">
        <v>46063</v>
      </c>
      <c r="B45" s="13">
        <v>46063</v>
      </c>
      <c r="C45" t="s">
        <v>135</v>
      </c>
      <c r="D45" t="s">
        <v>4</v>
      </c>
      <c r="E45" s="14">
        <v>3</v>
      </c>
      <c r="F45" t="s">
        <v>186</v>
      </c>
      <c r="G45" s="15" t="s">
        <v>173</v>
      </c>
    </row>
    <row r="46" spans="1:7" x14ac:dyDescent="0.35">
      <c r="A46" s="13">
        <v>46064</v>
      </c>
      <c r="B46" s="13">
        <v>46064</v>
      </c>
      <c r="C46" t="s">
        <v>135</v>
      </c>
      <c r="D46" t="s">
        <v>4</v>
      </c>
      <c r="E46" s="14">
        <v>2</v>
      </c>
      <c r="F46" t="s">
        <v>187</v>
      </c>
      <c r="G46" s="15" t="s">
        <v>188</v>
      </c>
    </row>
    <row r="47" spans="1:7" x14ac:dyDescent="0.35">
      <c r="A47" s="13">
        <v>46064</v>
      </c>
      <c r="B47" s="13">
        <v>46064</v>
      </c>
      <c r="C47" t="s">
        <v>30</v>
      </c>
      <c r="D47" t="s">
        <v>4</v>
      </c>
      <c r="E47" s="14">
        <v>1</v>
      </c>
      <c r="F47" t="s">
        <v>189</v>
      </c>
      <c r="G47" s="15" t="s">
        <v>190</v>
      </c>
    </row>
    <row r="48" spans="1:7" x14ac:dyDescent="0.35">
      <c r="A48" s="13">
        <v>46064</v>
      </c>
      <c r="B48" s="13">
        <v>46064</v>
      </c>
      <c r="C48" t="s">
        <v>135</v>
      </c>
      <c r="D48" t="s">
        <v>4</v>
      </c>
      <c r="E48" s="14">
        <v>2</v>
      </c>
      <c r="F48" t="s">
        <v>191</v>
      </c>
      <c r="G48" s="15" t="s">
        <v>173</v>
      </c>
    </row>
    <row r="49" spans="1:7" x14ac:dyDescent="0.35">
      <c r="A49" s="13">
        <v>46064</v>
      </c>
      <c r="B49" s="13">
        <v>46064</v>
      </c>
      <c r="C49" t="s">
        <v>135</v>
      </c>
      <c r="D49" t="s">
        <v>4</v>
      </c>
      <c r="E49" s="14">
        <v>3</v>
      </c>
      <c r="F49" t="s">
        <v>192</v>
      </c>
      <c r="G49" s="15" t="s">
        <v>193</v>
      </c>
    </row>
    <row r="50" spans="1:7" x14ac:dyDescent="0.35">
      <c r="A50" s="13">
        <v>46065</v>
      </c>
      <c r="B50" s="13">
        <v>46065</v>
      </c>
      <c r="C50" t="s">
        <v>3</v>
      </c>
      <c r="D50" t="s">
        <v>4</v>
      </c>
      <c r="E50" s="14">
        <v>1</v>
      </c>
      <c r="F50" t="s">
        <v>194</v>
      </c>
      <c r="G50" s="15" t="s">
        <v>195</v>
      </c>
    </row>
    <row r="51" spans="1:7" x14ac:dyDescent="0.35">
      <c r="A51" s="13">
        <v>46065</v>
      </c>
      <c r="B51" s="13">
        <v>46065</v>
      </c>
      <c r="C51" t="s">
        <v>135</v>
      </c>
      <c r="D51" t="s">
        <v>4</v>
      </c>
      <c r="E51" s="14">
        <v>1</v>
      </c>
      <c r="F51" t="s">
        <v>196</v>
      </c>
      <c r="G51" t="s">
        <v>197</v>
      </c>
    </row>
    <row r="52" spans="1:7" x14ac:dyDescent="0.35">
      <c r="A52" s="13">
        <v>46065</v>
      </c>
      <c r="B52" s="13">
        <v>46065</v>
      </c>
      <c r="C52" t="s">
        <v>30</v>
      </c>
      <c r="D52" t="s">
        <v>4</v>
      </c>
      <c r="E52" s="14">
        <v>2</v>
      </c>
      <c r="F52" t="s">
        <v>198</v>
      </c>
      <c r="G52" s="15" t="s">
        <v>182</v>
      </c>
    </row>
    <row r="53" spans="1:7" x14ac:dyDescent="0.35">
      <c r="A53" s="13">
        <v>46065</v>
      </c>
      <c r="B53" s="13">
        <v>46065</v>
      </c>
      <c r="C53" t="s">
        <v>135</v>
      </c>
      <c r="D53" t="s">
        <v>4</v>
      </c>
      <c r="E53" s="14">
        <v>2</v>
      </c>
      <c r="F53" t="s">
        <v>199</v>
      </c>
      <c r="G53" s="15" t="s">
        <v>200</v>
      </c>
    </row>
    <row r="54" spans="1:7" x14ac:dyDescent="0.35">
      <c r="A54" s="13">
        <v>46065</v>
      </c>
      <c r="B54" s="13">
        <v>46065</v>
      </c>
      <c r="C54" t="s">
        <v>135</v>
      </c>
      <c r="D54" t="s">
        <v>4</v>
      </c>
      <c r="E54" s="14">
        <v>2</v>
      </c>
      <c r="F54" t="s">
        <v>201</v>
      </c>
      <c r="G54" t="s">
        <v>202</v>
      </c>
    </row>
    <row r="55" spans="1:7" x14ac:dyDescent="0.35">
      <c r="A55" s="13">
        <v>46066</v>
      </c>
      <c r="B55" s="13">
        <v>46066</v>
      </c>
      <c r="C55" t="s">
        <v>6</v>
      </c>
      <c r="D55" t="s">
        <v>4</v>
      </c>
      <c r="E55" s="14">
        <v>3</v>
      </c>
      <c r="F55" t="s">
        <v>203</v>
      </c>
      <c r="G55" t="s">
        <v>204</v>
      </c>
    </row>
    <row r="56" spans="1:7" x14ac:dyDescent="0.35">
      <c r="A56" s="13">
        <v>46066</v>
      </c>
      <c r="B56" s="13">
        <v>46066</v>
      </c>
      <c r="C56" t="s">
        <v>135</v>
      </c>
      <c r="D56" t="s">
        <v>4</v>
      </c>
      <c r="E56" s="14">
        <v>1</v>
      </c>
      <c r="F56" t="s">
        <v>205</v>
      </c>
      <c r="G56" t="s">
        <v>206</v>
      </c>
    </row>
    <row r="57" spans="1:7" x14ac:dyDescent="0.35">
      <c r="A57" s="13">
        <v>46066</v>
      </c>
      <c r="B57" s="13">
        <v>46066</v>
      </c>
      <c r="C57" t="s">
        <v>135</v>
      </c>
      <c r="D57" t="s">
        <v>4</v>
      </c>
      <c r="E57" s="14">
        <v>4</v>
      </c>
      <c r="F57" t="s">
        <v>207</v>
      </c>
      <c r="G57" s="15" t="s">
        <v>173</v>
      </c>
    </row>
    <row r="58" spans="1:7" x14ac:dyDescent="0.35">
      <c r="A58" s="13">
        <v>46069</v>
      </c>
      <c r="B58" s="13">
        <v>46069</v>
      </c>
      <c r="C58" t="s">
        <v>30</v>
      </c>
      <c r="D58" t="s">
        <v>4</v>
      </c>
      <c r="E58" s="14">
        <v>8</v>
      </c>
      <c r="F58" t="s">
        <v>208</v>
      </c>
      <c r="G58" s="15" t="s">
        <v>209</v>
      </c>
    </row>
    <row r="59" spans="1:7" x14ac:dyDescent="0.35">
      <c r="A59" s="13">
        <v>46070</v>
      </c>
      <c r="B59" s="13">
        <v>46070</v>
      </c>
      <c r="C59" t="s">
        <v>30</v>
      </c>
      <c r="D59" t="s">
        <v>4</v>
      </c>
      <c r="E59" s="14">
        <v>6</v>
      </c>
      <c r="F59" t="s">
        <v>210</v>
      </c>
      <c r="G59" s="15" t="s">
        <v>211</v>
      </c>
    </row>
    <row r="60" spans="1:7" x14ac:dyDescent="0.35">
      <c r="A60" s="13">
        <v>46070</v>
      </c>
      <c r="B60" s="13">
        <v>46070</v>
      </c>
      <c r="C60" t="s">
        <v>6</v>
      </c>
      <c r="D60" t="s">
        <v>4</v>
      </c>
      <c r="E60" s="14">
        <v>2</v>
      </c>
      <c r="F60" t="s">
        <v>212</v>
      </c>
      <c r="G60" s="15" t="s">
        <v>213</v>
      </c>
    </row>
    <row r="61" spans="1:7" x14ac:dyDescent="0.35">
      <c r="A61" s="13">
        <v>46071</v>
      </c>
      <c r="B61" s="13">
        <v>46071</v>
      </c>
      <c r="C61" t="s">
        <v>6</v>
      </c>
      <c r="D61" t="s">
        <v>4</v>
      </c>
      <c r="E61" s="14">
        <v>2</v>
      </c>
      <c r="F61" t="s">
        <v>214</v>
      </c>
      <c r="G61" s="15" t="s">
        <v>213</v>
      </c>
    </row>
    <row r="62" spans="1:7" x14ac:dyDescent="0.35">
      <c r="A62" s="13">
        <v>46071</v>
      </c>
      <c r="B62" s="13">
        <v>46071</v>
      </c>
      <c r="C62" t="s">
        <v>5</v>
      </c>
      <c r="D62" t="s">
        <v>4</v>
      </c>
      <c r="E62" s="14">
        <v>6</v>
      </c>
      <c r="F62" s="16" t="s">
        <v>215</v>
      </c>
      <c r="G62" s="15" t="s">
        <v>216</v>
      </c>
    </row>
    <row r="63" spans="1:7" x14ac:dyDescent="0.35">
      <c r="A63" s="13">
        <v>46072</v>
      </c>
      <c r="B63" s="13">
        <v>46072</v>
      </c>
      <c r="C63" t="s">
        <v>5</v>
      </c>
      <c r="D63" t="s">
        <v>4</v>
      </c>
      <c r="E63" s="14">
        <v>6</v>
      </c>
      <c r="F63" t="s">
        <v>217</v>
      </c>
      <c r="G63" s="15" t="s">
        <v>218</v>
      </c>
    </row>
    <row r="64" spans="1:7" x14ac:dyDescent="0.35">
      <c r="A64" s="13">
        <v>46072</v>
      </c>
      <c r="B64" s="13">
        <v>46072</v>
      </c>
      <c r="C64" t="s">
        <v>5</v>
      </c>
      <c r="D64" t="s">
        <v>4</v>
      </c>
      <c r="E64" s="14">
        <v>1</v>
      </c>
      <c r="F64" t="s">
        <v>219</v>
      </c>
      <c r="G64" s="15" t="s">
        <v>220</v>
      </c>
    </row>
    <row r="65" spans="1:7" x14ac:dyDescent="0.35">
      <c r="A65" s="13">
        <v>46072</v>
      </c>
      <c r="B65" s="13">
        <v>46072</v>
      </c>
      <c r="C65" t="s">
        <v>135</v>
      </c>
      <c r="D65" t="s">
        <v>4</v>
      </c>
      <c r="E65" s="14">
        <v>1</v>
      </c>
      <c r="F65" t="s">
        <v>221</v>
      </c>
      <c r="G65" s="15" t="s">
        <v>222</v>
      </c>
    </row>
    <row r="66" spans="1:7" x14ac:dyDescent="0.35">
      <c r="A66" s="13">
        <v>46073</v>
      </c>
      <c r="B66" s="13">
        <v>46073</v>
      </c>
      <c r="C66" t="s">
        <v>5</v>
      </c>
      <c r="D66" t="s">
        <v>4</v>
      </c>
      <c r="E66" s="14">
        <v>2</v>
      </c>
      <c r="F66" t="s">
        <v>223</v>
      </c>
      <c r="G66" s="15" t="s">
        <v>218</v>
      </c>
    </row>
    <row r="67" spans="1:7" x14ac:dyDescent="0.35">
      <c r="A67" s="13">
        <v>46073</v>
      </c>
      <c r="B67" s="13">
        <v>46073</v>
      </c>
      <c r="C67" t="s">
        <v>3</v>
      </c>
      <c r="D67" t="s">
        <v>4</v>
      </c>
      <c r="E67" s="14">
        <v>1</v>
      </c>
      <c r="F67" t="s">
        <v>224</v>
      </c>
      <c r="G67" s="15" t="s">
        <v>225</v>
      </c>
    </row>
    <row r="68" spans="1:7" x14ac:dyDescent="0.35">
      <c r="A68" s="13">
        <v>46073</v>
      </c>
      <c r="B68" s="13">
        <v>46073</v>
      </c>
      <c r="C68" t="s">
        <v>135</v>
      </c>
      <c r="D68" t="s">
        <v>4</v>
      </c>
      <c r="E68" s="14">
        <v>5</v>
      </c>
      <c r="F68" t="s">
        <v>226</v>
      </c>
      <c r="G68" s="15" t="s">
        <v>173</v>
      </c>
    </row>
    <row r="69" spans="1:7" x14ac:dyDescent="0.35">
      <c r="A69" s="13">
        <v>46104</v>
      </c>
      <c r="B69" s="13">
        <v>46104</v>
      </c>
      <c r="C69" t="s">
        <v>135</v>
      </c>
      <c r="D69" t="s">
        <v>4</v>
      </c>
      <c r="E69" s="14">
        <v>8</v>
      </c>
      <c r="F69" t="s">
        <v>227</v>
      </c>
      <c r="G69" s="15" t="s">
        <v>228</v>
      </c>
    </row>
    <row r="70" spans="1:7" x14ac:dyDescent="0.35">
      <c r="A70" s="13">
        <v>46105</v>
      </c>
      <c r="B70" s="13">
        <v>46105</v>
      </c>
      <c r="C70" t="s">
        <v>135</v>
      </c>
      <c r="D70" t="s">
        <v>4</v>
      </c>
      <c r="E70" s="14">
        <v>1</v>
      </c>
      <c r="F70" t="s">
        <v>229</v>
      </c>
      <c r="G70" s="15" t="s">
        <v>230</v>
      </c>
    </row>
    <row r="71" spans="1:7" x14ac:dyDescent="0.35">
      <c r="A71" s="13">
        <v>46105</v>
      </c>
      <c r="B71" s="13">
        <v>46105</v>
      </c>
      <c r="C71" t="s">
        <v>5</v>
      </c>
      <c r="D71" t="s">
        <v>4</v>
      </c>
      <c r="E71" s="14">
        <v>2</v>
      </c>
      <c r="F71" t="s">
        <v>231</v>
      </c>
      <c r="G71" s="15" t="s">
        <v>232</v>
      </c>
    </row>
    <row r="72" spans="1:7" x14ac:dyDescent="0.35">
      <c r="A72" s="13">
        <v>46105</v>
      </c>
      <c r="B72" s="13">
        <v>46105</v>
      </c>
      <c r="C72" t="s">
        <v>5</v>
      </c>
      <c r="D72" t="s">
        <v>4</v>
      </c>
      <c r="E72" s="14">
        <v>2</v>
      </c>
      <c r="F72" t="s">
        <v>233</v>
      </c>
      <c r="G72" s="15" t="s">
        <v>218</v>
      </c>
    </row>
    <row r="73" spans="1:7" x14ac:dyDescent="0.35">
      <c r="A73" s="13">
        <v>46105</v>
      </c>
      <c r="B73" s="13">
        <v>46105</v>
      </c>
      <c r="C73" t="s">
        <v>135</v>
      </c>
      <c r="D73" t="s">
        <v>4</v>
      </c>
      <c r="E73" s="14">
        <v>3</v>
      </c>
      <c r="F73" t="s">
        <v>234</v>
      </c>
      <c r="G73" s="15" t="s">
        <v>235</v>
      </c>
    </row>
    <row r="74" spans="1:7" x14ac:dyDescent="0.35">
      <c r="A74" s="13">
        <v>46106</v>
      </c>
      <c r="B74" s="13">
        <v>46106</v>
      </c>
      <c r="C74" t="s">
        <v>5</v>
      </c>
      <c r="D74" t="s">
        <v>4</v>
      </c>
      <c r="E74" s="14">
        <v>8</v>
      </c>
      <c r="F74" t="s">
        <v>236</v>
      </c>
      <c r="G74" s="15" t="s">
        <v>237</v>
      </c>
    </row>
    <row r="75" spans="1:7" x14ac:dyDescent="0.35">
      <c r="A75" s="13">
        <v>46107</v>
      </c>
      <c r="B75" s="13">
        <v>46107</v>
      </c>
      <c r="C75" t="s">
        <v>135</v>
      </c>
      <c r="D75" t="s">
        <v>4</v>
      </c>
      <c r="E75" s="14">
        <v>3</v>
      </c>
      <c r="F75" t="s">
        <v>238</v>
      </c>
      <c r="G75" s="15" t="s">
        <v>239</v>
      </c>
    </row>
    <row r="76" spans="1:7" x14ac:dyDescent="0.35">
      <c r="A76" s="13">
        <v>46107</v>
      </c>
      <c r="B76" s="13">
        <v>46107</v>
      </c>
      <c r="C76" t="s">
        <v>5</v>
      </c>
      <c r="D76" t="s">
        <v>4</v>
      </c>
      <c r="E76" s="14">
        <v>0.5</v>
      </c>
      <c r="F76" t="s">
        <v>240</v>
      </c>
      <c r="G76" s="15"/>
    </row>
    <row r="77" spans="1:7" x14ac:dyDescent="0.35">
      <c r="A77" s="13">
        <v>46107</v>
      </c>
      <c r="B77" s="13">
        <v>46107</v>
      </c>
      <c r="C77" t="s">
        <v>135</v>
      </c>
      <c r="D77" t="s">
        <v>4</v>
      </c>
      <c r="E77" s="14">
        <v>4.5</v>
      </c>
      <c r="F77" t="s">
        <v>241</v>
      </c>
      <c r="G77" s="15" t="s">
        <v>242</v>
      </c>
    </row>
    <row r="78" spans="1:7" x14ac:dyDescent="0.35">
      <c r="A78" s="13">
        <v>46108</v>
      </c>
      <c r="B78" s="13">
        <v>46108</v>
      </c>
      <c r="C78" t="s">
        <v>135</v>
      </c>
      <c r="D78" t="s">
        <v>4</v>
      </c>
      <c r="E78" s="14">
        <v>8</v>
      </c>
      <c r="F78" t="s">
        <v>243</v>
      </c>
      <c r="G78" s="15" t="s">
        <v>244</v>
      </c>
    </row>
    <row r="79" spans="1:7" x14ac:dyDescent="0.35">
      <c r="A79" s="13"/>
      <c r="B79" s="13"/>
      <c r="E79" s="14"/>
    </row>
    <row r="80" spans="1:7" x14ac:dyDescent="0.35">
      <c r="A80" s="13"/>
      <c r="B80" s="13"/>
      <c r="E80" s="14"/>
    </row>
    <row r="81" spans="1:5" x14ac:dyDescent="0.35">
      <c r="A81" s="13"/>
      <c r="B81" s="13"/>
      <c r="E81" s="14"/>
    </row>
    <row r="82" spans="1:5" x14ac:dyDescent="0.35">
      <c r="A82" s="13"/>
      <c r="B82" s="13"/>
      <c r="E82" s="14"/>
    </row>
    <row r="83" spans="1:5" x14ac:dyDescent="0.35">
      <c r="A83" s="13"/>
      <c r="B83" s="13"/>
      <c r="E83" s="14"/>
    </row>
    <row r="84" spans="1:5" x14ac:dyDescent="0.35">
      <c r="A84" s="13"/>
      <c r="B84" s="13"/>
      <c r="E84" s="14"/>
    </row>
    <row r="85" spans="1:5" x14ac:dyDescent="0.35">
      <c r="A85" s="13"/>
      <c r="B85" s="13"/>
      <c r="E85" s="14"/>
    </row>
    <row r="86" spans="1:5" x14ac:dyDescent="0.35">
      <c r="A86" s="13"/>
      <c r="B86" s="13"/>
      <c r="E86" s="14"/>
    </row>
    <row r="87" spans="1:5" x14ac:dyDescent="0.35">
      <c r="A87" s="13"/>
      <c r="B87" s="13"/>
      <c r="E87" s="14"/>
    </row>
    <row r="88" spans="1:5" x14ac:dyDescent="0.35">
      <c r="A88" s="13"/>
      <c r="B88" s="13"/>
      <c r="E88" s="14"/>
    </row>
    <row r="89" spans="1:5" x14ac:dyDescent="0.35">
      <c r="A89" s="13"/>
      <c r="B89" s="13"/>
      <c r="E89" s="14"/>
    </row>
    <row r="90" spans="1:5" x14ac:dyDescent="0.35">
      <c r="A90" s="13"/>
      <c r="B90" s="13"/>
      <c r="E90" s="14"/>
    </row>
    <row r="91" spans="1:5" x14ac:dyDescent="0.35">
      <c r="A91" s="13"/>
      <c r="B91" s="13"/>
      <c r="E91" s="14"/>
    </row>
    <row r="92" spans="1:5" x14ac:dyDescent="0.35">
      <c r="A92" s="13"/>
      <c r="B92" s="13"/>
      <c r="E92" s="14"/>
    </row>
    <row r="93" spans="1:5" x14ac:dyDescent="0.35">
      <c r="A93" s="13"/>
      <c r="B93" s="13"/>
      <c r="E93" s="14"/>
    </row>
    <row r="94" spans="1:5" x14ac:dyDescent="0.35">
      <c r="A94" s="13"/>
      <c r="B94" s="13"/>
      <c r="E94" s="14"/>
    </row>
    <row r="95" spans="1:5" x14ac:dyDescent="0.35">
      <c r="A95" s="13"/>
      <c r="B95" s="13"/>
      <c r="E95" s="14"/>
    </row>
    <row r="96" spans="1:5" x14ac:dyDescent="0.35">
      <c r="A96" s="13"/>
      <c r="B96" s="13"/>
      <c r="E96" s="14"/>
    </row>
    <row r="97" spans="1:5" x14ac:dyDescent="0.35">
      <c r="A97" s="13"/>
      <c r="B97" s="13"/>
      <c r="E97" s="14"/>
    </row>
    <row r="98" spans="1:5" x14ac:dyDescent="0.35">
      <c r="A98" s="13"/>
      <c r="B98" s="13"/>
      <c r="E98" s="14"/>
    </row>
    <row r="99" spans="1:5" x14ac:dyDescent="0.35">
      <c r="A99" s="13"/>
      <c r="B99" s="13"/>
      <c r="E99" s="14"/>
    </row>
    <row r="100" spans="1:5" x14ac:dyDescent="0.35">
      <c r="A100" s="13"/>
      <c r="B100" s="13"/>
      <c r="E100" s="14"/>
    </row>
    <row r="101" spans="1:5" x14ac:dyDescent="0.35">
      <c r="A101" s="13"/>
      <c r="B101" s="13"/>
      <c r="E101" s="14"/>
    </row>
    <row r="102" spans="1:5" x14ac:dyDescent="0.35">
      <c r="A102" s="13"/>
      <c r="B102" s="13"/>
      <c r="E102" s="14"/>
    </row>
    <row r="103" spans="1:5" x14ac:dyDescent="0.35">
      <c r="A103" s="13"/>
      <c r="B103" s="13"/>
      <c r="E103" s="14"/>
    </row>
    <row r="104" spans="1:5" x14ac:dyDescent="0.35">
      <c r="A104" s="13"/>
      <c r="B104" s="13"/>
      <c r="E104" s="14"/>
    </row>
    <row r="105" spans="1:5" x14ac:dyDescent="0.35">
      <c r="A105" s="13"/>
      <c r="B105" s="13"/>
      <c r="E105" s="14"/>
    </row>
    <row r="106" spans="1:5" x14ac:dyDescent="0.35">
      <c r="A106" s="13"/>
      <c r="B106" s="13"/>
      <c r="E106" s="14"/>
    </row>
    <row r="107" spans="1:5" x14ac:dyDescent="0.35">
      <c r="A107" s="13"/>
      <c r="B107" s="13"/>
      <c r="E107" s="14"/>
    </row>
    <row r="108" spans="1:5" x14ac:dyDescent="0.35">
      <c r="A108" s="13"/>
      <c r="B108" s="13"/>
      <c r="E108" s="14"/>
    </row>
    <row r="109" spans="1:5" x14ac:dyDescent="0.35">
      <c r="A109" s="13"/>
      <c r="B109" s="13"/>
      <c r="E109" s="14"/>
    </row>
    <row r="110" spans="1:5" x14ac:dyDescent="0.35">
      <c r="A110" s="13"/>
      <c r="B110" s="13"/>
      <c r="E110" s="14"/>
    </row>
    <row r="111" spans="1:5" x14ac:dyDescent="0.35">
      <c r="A111" s="13"/>
      <c r="B111" s="13"/>
      <c r="E111" s="14"/>
    </row>
    <row r="112" spans="1:5" x14ac:dyDescent="0.35">
      <c r="A112" s="13"/>
      <c r="B112" s="13"/>
      <c r="E112" s="14"/>
    </row>
    <row r="113" spans="1:5" x14ac:dyDescent="0.35">
      <c r="A113" s="13"/>
      <c r="B113" s="13"/>
      <c r="E113" s="14"/>
    </row>
    <row r="114" spans="1:5" x14ac:dyDescent="0.35">
      <c r="A114" s="13"/>
      <c r="B114" s="13"/>
      <c r="E114" s="14"/>
    </row>
    <row r="115" spans="1:5" x14ac:dyDescent="0.35">
      <c r="A115" s="13"/>
      <c r="B115" s="13"/>
      <c r="E115" s="14"/>
    </row>
    <row r="116" spans="1:5" x14ac:dyDescent="0.35">
      <c r="A116" s="13"/>
      <c r="B116" s="13"/>
      <c r="E116" s="14"/>
    </row>
    <row r="117" spans="1:5" x14ac:dyDescent="0.35">
      <c r="A117" s="13"/>
      <c r="B117" s="13"/>
      <c r="E117" s="14"/>
    </row>
    <row r="118" spans="1:5" x14ac:dyDescent="0.35">
      <c r="A118" s="13"/>
      <c r="B118" s="13"/>
      <c r="E118" s="14"/>
    </row>
    <row r="119" spans="1:5" x14ac:dyDescent="0.35">
      <c r="A119" s="13"/>
      <c r="B119" s="13"/>
      <c r="E119" s="14"/>
    </row>
    <row r="120" spans="1:5" x14ac:dyDescent="0.35">
      <c r="A120" s="13"/>
      <c r="B120" s="13"/>
      <c r="E120" s="14"/>
    </row>
    <row r="121" spans="1:5" x14ac:dyDescent="0.35">
      <c r="A121" s="13"/>
      <c r="B121" s="13"/>
      <c r="E121" s="14"/>
    </row>
    <row r="122" spans="1:5" x14ac:dyDescent="0.35">
      <c r="A122" s="13"/>
      <c r="B122" s="13"/>
      <c r="E122" s="14"/>
    </row>
    <row r="123" spans="1:5" x14ac:dyDescent="0.35">
      <c r="A123" s="13"/>
      <c r="B123" s="13"/>
      <c r="E123" s="14"/>
    </row>
    <row r="124" spans="1:5" x14ac:dyDescent="0.35">
      <c r="A124" s="13"/>
      <c r="B124" s="13"/>
      <c r="E124" s="14"/>
    </row>
    <row r="125" spans="1:5" x14ac:dyDescent="0.35">
      <c r="A125" s="13"/>
      <c r="B125" s="13"/>
      <c r="E125" s="14"/>
    </row>
    <row r="126" spans="1:5" x14ac:dyDescent="0.35">
      <c r="A126" s="13"/>
      <c r="B126" s="13"/>
      <c r="E126" s="14"/>
    </row>
    <row r="127" spans="1:5" x14ac:dyDescent="0.35">
      <c r="A127" s="13"/>
      <c r="B127" s="13"/>
      <c r="E127" s="14"/>
    </row>
    <row r="128" spans="1:5" x14ac:dyDescent="0.35">
      <c r="A128" s="13"/>
      <c r="B128" s="13"/>
      <c r="E128" s="14"/>
    </row>
    <row r="129" spans="1:5" x14ac:dyDescent="0.35">
      <c r="A129" s="13"/>
      <c r="B129" s="13"/>
      <c r="E129" s="14"/>
    </row>
    <row r="130" spans="1:5" x14ac:dyDescent="0.35">
      <c r="A130" s="13"/>
      <c r="B130" s="13"/>
      <c r="E130" s="14"/>
    </row>
    <row r="131" spans="1:5" x14ac:dyDescent="0.35">
      <c r="A131" s="13"/>
      <c r="B131" s="13"/>
      <c r="E131" s="14"/>
    </row>
    <row r="132" spans="1:5" x14ac:dyDescent="0.35">
      <c r="A132" s="13"/>
      <c r="B132" s="13"/>
      <c r="E132" s="14"/>
    </row>
    <row r="133" spans="1:5" x14ac:dyDescent="0.35">
      <c r="A133" s="13"/>
      <c r="B133" s="13"/>
      <c r="E133" s="14"/>
    </row>
    <row r="134" spans="1:5" x14ac:dyDescent="0.35">
      <c r="A134" s="13"/>
      <c r="B134" s="13"/>
      <c r="E134" s="14"/>
    </row>
    <row r="135" spans="1:5" x14ac:dyDescent="0.35">
      <c r="A135" s="13"/>
      <c r="B135" s="13"/>
      <c r="E135" s="14"/>
    </row>
    <row r="136" spans="1:5" x14ac:dyDescent="0.35">
      <c r="A136" s="13"/>
      <c r="B136" s="13"/>
      <c r="E136" s="14"/>
    </row>
    <row r="137" spans="1:5" x14ac:dyDescent="0.35">
      <c r="A137" s="13"/>
      <c r="B137" s="13"/>
      <c r="E137" s="14"/>
    </row>
    <row r="138" spans="1:5" x14ac:dyDescent="0.35">
      <c r="A138" s="13"/>
      <c r="B138" s="13"/>
      <c r="E138" s="14"/>
    </row>
    <row r="139" spans="1:5" x14ac:dyDescent="0.35">
      <c r="A139" s="13"/>
      <c r="B139" s="13"/>
      <c r="E139" s="14"/>
    </row>
    <row r="140" spans="1:5" x14ac:dyDescent="0.35">
      <c r="A140" s="13"/>
      <c r="B140" s="13"/>
      <c r="E140" s="14"/>
    </row>
    <row r="141" spans="1:5" x14ac:dyDescent="0.35">
      <c r="A141" s="13"/>
      <c r="B141" s="13"/>
      <c r="E141" s="14"/>
    </row>
    <row r="142" spans="1:5" x14ac:dyDescent="0.35">
      <c r="A142" s="13"/>
      <c r="B142" s="13"/>
      <c r="E142" s="14"/>
    </row>
    <row r="143" spans="1:5" x14ac:dyDescent="0.35">
      <c r="A143" s="13"/>
      <c r="B143" s="13"/>
      <c r="E143" s="14"/>
    </row>
    <row r="144" spans="1:5" x14ac:dyDescent="0.35">
      <c r="A144" s="13"/>
      <c r="B144" s="13"/>
      <c r="E144" s="14"/>
    </row>
    <row r="145" spans="1:5" x14ac:dyDescent="0.35">
      <c r="A145" s="13"/>
      <c r="B145" s="13"/>
      <c r="E145" s="14"/>
    </row>
    <row r="146" spans="1:5" x14ac:dyDescent="0.35">
      <c r="A146" s="13"/>
      <c r="B146" s="13"/>
      <c r="E146" s="14"/>
    </row>
    <row r="147" spans="1:5" x14ac:dyDescent="0.35">
      <c r="A147" s="13"/>
      <c r="B147" s="13"/>
      <c r="E147" s="14"/>
    </row>
    <row r="148" spans="1:5" x14ac:dyDescent="0.35">
      <c r="A148" s="13"/>
      <c r="B148" s="13"/>
      <c r="E148" s="14"/>
    </row>
    <row r="149" spans="1:5" x14ac:dyDescent="0.35">
      <c r="A149" s="13"/>
      <c r="B149" s="13"/>
      <c r="E149" s="14"/>
    </row>
    <row r="150" spans="1:5" x14ac:dyDescent="0.35">
      <c r="A150" s="13"/>
      <c r="B150" s="13"/>
      <c r="E150" s="14"/>
    </row>
    <row r="151" spans="1:5" x14ac:dyDescent="0.35">
      <c r="A151" s="13"/>
      <c r="B151" s="13"/>
      <c r="E151" s="14"/>
    </row>
    <row r="152" spans="1:5" x14ac:dyDescent="0.35">
      <c r="A152" s="13"/>
      <c r="B152" s="13"/>
      <c r="E152" s="14"/>
    </row>
    <row r="153" spans="1:5" x14ac:dyDescent="0.35">
      <c r="A153" s="13"/>
      <c r="B153" s="13"/>
      <c r="E153" s="14"/>
    </row>
    <row r="154" spans="1:5" x14ac:dyDescent="0.35">
      <c r="A154" s="13"/>
      <c r="B154" s="13"/>
      <c r="E154" s="14"/>
    </row>
    <row r="155" spans="1:5" x14ac:dyDescent="0.35">
      <c r="A155" s="13"/>
      <c r="B155" s="13"/>
      <c r="E155" s="14"/>
    </row>
    <row r="156" spans="1:5" x14ac:dyDescent="0.35">
      <c r="A156" s="13"/>
      <c r="B156" s="13"/>
      <c r="E156" s="14"/>
    </row>
    <row r="157" spans="1:5" x14ac:dyDescent="0.35">
      <c r="A157" s="13"/>
      <c r="B157" s="13"/>
      <c r="E157" s="14"/>
    </row>
    <row r="158" spans="1:5" x14ac:dyDescent="0.35">
      <c r="A158" s="13"/>
      <c r="B158" s="13"/>
      <c r="E158" s="14"/>
    </row>
    <row r="159" spans="1:5" x14ac:dyDescent="0.35">
      <c r="A159" s="13"/>
      <c r="B159" s="13"/>
      <c r="E159" s="14"/>
    </row>
    <row r="160" spans="1:5" x14ac:dyDescent="0.35">
      <c r="A160" s="13"/>
      <c r="B160" s="13"/>
      <c r="E160" s="14"/>
    </row>
    <row r="161" spans="1:5" x14ac:dyDescent="0.35">
      <c r="A161" s="13"/>
      <c r="B161" s="13"/>
      <c r="E161" s="14"/>
    </row>
    <row r="162" spans="1:5" x14ac:dyDescent="0.35">
      <c r="A162" s="13"/>
      <c r="B162" s="13"/>
      <c r="E162" s="14"/>
    </row>
    <row r="163" spans="1:5" x14ac:dyDescent="0.35">
      <c r="A163" s="13"/>
      <c r="B163" s="13"/>
      <c r="E163" s="14"/>
    </row>
    <row r="164" spans="1:5" x14ac:dyDescent="0.35">
      <c r="A164" s="13"/>
      <c r="B164" s="13"/>
      <c r="E164" s="14"/>
    </row>
    <row r="165" spans="1:5" x14ac:dyDescent="0.35">
      <c r="A165" s="13"/>
      <c r="B165" s="13"/>
      <c r="E165" s="14"/>
    </row>
    <row r="166" spans="1:5" x14ac:dyDescent="0.35">
      <c r="A166" s="13"/>
      <c r="B166" s="13"/>
      <c r="E166" s="14"/>
    </row>
    <row r="167" spans="1:5" x14ac:dyDescent="0.35">
      <c r="A167" s="13"/>
      <c r="B167" s="13"/>
      <c r="E167" s="14"/>
    </row>
    <row r="168" spans="1:5" x14ac:dyDescent="0.35">
      <c r="A168" s="13"/>
      <c r="B168" s="13"/>
      <c r="E168" s="14"/>
    </row>
    <row r="169" spans="1:5" x14ac:dyDescent="0.35">
      <c r="A169" s="13"/>
      <c r="B169" s="13"/>
      <c r="E169" s="14"/>
    </row>
    <row r="170" spans="1:5" x14ac:dyDescent="0.35">
      <c r="A170" s="13"/>
      <c r="B170" s="13"/>
      <c r="E170" s="14"/>
    </row>
    <row r="171" spans="1:5" x14ac:dyDescent="0.35">
      <c r="A171" s="13"/>
      <c r="B171" s="13"/>
      <c r="E171" s="14"/>
    </row>
    <row r="172" spans="1:5" x14ac:dyDescent="0.35">
      <c r="A172" s="13"/>
      <c r="B172" s="13"/>
      <c r="E172" s="14"/>
    </row>
    <row r="173" spans="1:5" x14ac:dyDescent="0.35">
      <c r="A173" s="13"/>
      <c r="B173" s="13"/>
      <c r="E173" s="14"/>
    </row>
    <row r="174" spans="1:5" x14ac:dyDescent="0.35">
      <c r="A174" s="13"/>
      <c r="B174" s="13"/>
      <c r="E174" s="14"/>
    </row>
    <row r="175" spans="1:5" x14ac:dyDescent="0.35">
      <c r="A175" s="13"/>
      <c r="B175" s="13"/>
      <c r="E175" s="14"/>
    </row>
    <row r="176" spans="1:5" x14ac:dyDescent="0.35">
      <c r="A176" s="13"/>
      <c r="B176" s="13"/>
      <c r="E176" s="14"/>
    </row>
    <row r="177" spans="1:5" x14ac:dyDescent="0.35">
      <c r="A177" s="13"/>
      <c r="B177" s="13"/>
      <c r="E177" s="14"/>
    </row>
    <row r="178" spans="1:5" x14ac:dyDescent="0.35">
      <c r="A178" s="13"/>
      <c r="B178" s="13"/>
      <c r="E178" s="14"/>
    </row>
    <row r="179" spans="1:5" x14ac:dyDescent="0.35">
      <c r="A179" s="13"/>
      <c r="B179" s="13"/>
      <c r="E179" s="14"/>
    </row>
    <row r="180" spans="1:5" x14ac:dyDescent="0.35">
      <c r="A180" s="13"/>
      <c r="B180" s="13"/>
      <c r="E180" s="14"/>
    </row>
    <row r="181" spans="1:5" x14ac:dyDescent="0.35">
      <c r="A181" s="13"/>
      <c r="B181" s="13"/>
      <c r="E181" s="14"/>
    </row>
    <row r="182" spans="1:5" x14ac:dyDescent="0.35">
      <c r="A182" s="13"/>
      <c r="B182" s="13"/>
      <c r="E182" s="14"/>
    </row>
    <row r="183" spans="1:5" x14ac:dyDescent="0.35">
      <c r="A183" s="13"/>
      <c r="B183" s="13"/>
      <c r="E183" s="14"/>
    </row>
    <row r="184" spans="1:5" x14ac:dyDescent="0.35">
      <c r="A184" s="13"/>
      <c r="B184" s="13"/>
      <c r="E184" s="14"/>
    </row>
    <row r="185" spans="1:5" x14ac:dyDescent="0.35">
      <c r="A185" s="13"/>
      <c r="B185" s="13"/>
      <c r="E185" s="14"/>
    </row>
    <row r="186" spans="1:5" x14ac:dyDescent="0.35">
      <c r="A186" s="13"/>
      <c r="B186" s="13"/>
      <c r="E186" s="14"/>
    </row>
    <row r="187" spans="1:5" x14ac:dyDescent="0.35">
      <c r="A187" s="13"/>
      <c r="B187" s="13"/>
      <c r="E187" s="14"/>
    </row>
    <row r="188" spans="1:5" x14ac:dyDescent="0.35">
      <c r="A188" s="13"/>
      <c r="B188" s="13"/>
      <c r="E188" s="14"/>
    </row>
    <row r="189" spans="1:5" x14ac:dyDescent="0.35">
      <c r="A189" s="13"/>
      <c r="B189" s="13"/>
      <c r="E189" s="14"/>
    </row>
    <row r="190" spans="1:5" x14ac:dyDescent="0.35">
      <c r="A190" s="13"/>
      <c r="B190" s="13"/>
      <c r="E190" s="14"/>
    </row>
    <row r="191" spans="1:5" x14ac:dyDescent="0.35">
      <c r="A191" s="13"/>
      <c r="B191" s="13"/>
      <c r="E191" s="14"/>
    </row>
    <row r="192" spans="1:5" x14ac:dyDescent="0.35">
      <c r="A192" s="13"/>
      <c r="B192" s="13"/>
      <c r="E192" s="14"/>
    </row>
    <row r="193" spans="1:5" x14ac:dyDescent="0.35">
      <c r="A193" s="13"/>
      <c r="B193" s="13"/>
      <c r="E193" s="14"/>
    </row>
    <row r="194" spans="1:5" x14ac:dyDescent="0.35">
      <c r="A194" s="13"/>
      <c r="B194" s="13"/>
      <c r="E194" s="14"/>
    </row>
    <row r="195" spans="1:5" x14ac:dyDescent="0.35">
      <c r="A195" s="13"/>
      <c r="B195" s="13"/>
      <c r="E195" s="14"/>
    </row>
    <row r="196" spans="1:5" x14ac:dyDescent="0.35">
      <c r="A196" s="13"/>
      <c r="B196" s="13"/>
      <c r="E196" s="14"/>
    </row>
    <row r="197" spans="1:5" x14ac:dyDescent="0.35">
      <c r="A197" s="13"/>
      <c r="B197" s="13"/>
      <c r="E197" s="14"/>
    </row>
    <row r="198" spans="1:5" x14ac:dyDescent="0.35">
      <c r="A198" s="13"/>
      <c r="B198" s="13"/>
      <c r="E198" s="14"/>
    </row>
    <row r="199" spans="1:5" x14ac:dyDescent="0.35">
      <c r="A199" s="13"/>
      <c r="B199" s="13"/>
      <c r="E199" s="14"/>
    </row>
    <row r="200" spans="1:5" x14ac:dyDescent="0.35">
      <c r="A200" s="13"/>
      <c r="B200" s="13"/>
      <c r="E200" s="14"/>
    </row>
    <row r="201" spans="1:5" x14ac:dyDescent="0.35">
      <c r="A201" s="13"/>
      <c r="B201" s="13"/>
      <c r="E201" s="14"/>
    </row>
    <row r="202" spans="1:5" x14ac:dyDescent="0.35">
      <c r="A202" s="13"/>
      <c r="B202" s="13"/>
      <c r="E202" s="14"/>
    </row>
    <row r="203" spans="1:5" x14ac:dyDescent="0.35">
      <c r="A203" s="13"/>
      <c r="B203" s="13"/>
      <c r="E203" s="14"/>
    </row>
    <row r="204" spans="1:5" x14ac:dyDescent="0.35">
      <c r="A204" s="13"/>
      <c r="B204" s="13"/>
      <c r="E204" s="14"/>
    </row>
    <row r="205" spans="1:5" x14ac:dyDescent="0.35">
      <c r="A205" s="13"/>
      <c r="B205" s="13"/>
      <c r="E205" s="14"/>
    </row>
    <row r="206" spans="1:5" x14ac:dyDescent="0.35">
      <c r="A206" s="13"/>
      <c r="B206" s="13"/>
      <c r="E206" s="14"/>
    </row>
    <row r="207" spans="1:5" x14ac:dyDescent="0.35">
      <c r="A207" s="13"/>
      <c r="B207" s="13"/>
      <c r="E207" s="14"/>
    </row>
    <row r="208" spans="1:5" x14ac:dyDescent="0.35">
      <c r="A208" s="13"/>
      <c r="B208" s="13"/>
      <c r="E208" s="14"/>
    </row>
    <row r="209" spans="1:5" x14ac:dyDescent="0.35">
      <c r="A209" s="13"/>
      <c r="B209" s="13"/>
      <c r="E209" s="14"/>
    </row>
    <row r="210" spans="1:5" x14ac:dyDescent="0.35">
      <c r="A210" s="13"/>
      <c r="B210" s="13"/>
      <c r="E210" s="14"/>
    </row>
    <row r="211" spans="1:5" x14ac:dyDescent="0.35">
      <c r="A211" s="13"/>
      <c r="B211" s="13"/>
      <c r="E211" s="14"/>
    </row>
    <row r="212" spans="1:5" x14ac:dyDescent="0.35">
      <c r="A212" s="13"/>
      <c r="B212" s="13"/>
      <c r="E212" s="14"/>
    </row>
    <row r="213" spans="1:5" x14ac:dyDescent="0.35">
      <c r="A213" s="13"/>
      <c r="B213" s="13"/>
      <c r="E213" s="14"/>
    </row>
    <row r="214" spans="1:5" x14ac:dyDescent="0.35">
      <c r="A214" s="13"/>
      <c r="B214" s="13"/>
      <c r="E214" s="14"/>
    </row>
    <row r="215" spans="1:5" x14ac:dyDescent="0.35">
      <c r="A215" s="13"/>
      <c r="B215" s="13"/>
      <c r="E215" s="14"/>
    </row>
    <row r="216" spans="1:5" x14ac:dyDescent="0.35">
      <c r="A216" s="13"/>
      <c r="B216" s="13"/>
      <c r="E216" s="14"/>
    </row>
    <row r="217" spans="1:5" x14ac:dyDescent="0.35">
      <c r="A217" s="13"/>
      <c r="B217" s="13"/>
      <c r="E217" s="14"/>
    </row>
    <row r="218" spans="1:5" x14ac:dyDescent="0.35">
      <c r="A218" s="13"/>
      <c r="B218" s="13"/>
      <c r="E218" s="14"/>
    </row>
    <row r="219" spans="1:5" x14ac:dyDescent="0.35">
      <c r="A219" s="13"/>
      <c r="B219" s="13"/>
      <c r="E219" s="14"/>
    </row>
    <row r="220" spans="1:5" x14ac:dyDescent="0.35">
      <c r="A220" s="13"/>
      <c r="B220" s="13"/>
      <c r="E220" s="14"/>
    </row>
    <row r="221" spans="1:5" x14ac:dyDescent="0.35">
      <c r="A221" s="13"/>
      <c r="B221" s="13"/>
      <c r="E221" s="14"/>
    </row>
    <row r="222" spans="1:5" x14ac:dyDescent="0.35">
      <c r="A222" s="13"/>
      <c r="B222" s="13"/>
      <c r="E222" s="14"/>
    </row>
    <row r="223" spans="1:5" x14ac:dyDescent="0.35">
      <c r="A223" s="13"/>
      <c r="B223" s="13"/>
      <c r="E223" s="14"/>
    </row>
    <row r="224" spans="1:5" x14ac:dyDescent="0.35">
      <c r="A224" s="13"/>
      <c r="B224" s="13"/>
      <c r="E224" s="14"/>
    </row>
    <row r="225" spans="1:5" x14ac:dyDescent="0.35">
      <c r="A225" s="13"/>
      <c r="B225" s="13"/>
      <c r="E225" s="14"/>
    </row>
    <row r="226" spans="1:5" x14ac:dyDescent="0.35">
      <c r="A226" s="13"/>
      <c r="B226" s="13"/>
      <c r="E226" s="14"/>
    </row>
    <row r="227" spans="1:5" x14ac:dyDescent="0.35">
      <c r="A227" s="13"/>
      <c r="B227" s="13"/>
      <c r="E227" s="14"/>
    </row>
    <row r="228" spans="1:5" x14ac:dyDescent="0.35">
      <c r="A228" s="13"/>
      <c r="B228" s="13"/>
      <c r="E228" s="14"/>
    </row>
    <row r="229" spans="1:5" x14ac:dyDescent="0.35">
      <c r="A229" s="13"/>
      <c r="B229" s="13"/>
      <c r="E229" s="14"/>
    </row>
    <row r="230" spans="1:5" x14ac:dyDescent="0.35">
      <c r="A230" s="13"/>
      <c r="B230" s="13"/>
      <c r="E230" s="14"/>
    </row>
    <row r="231" spans="1:5" x14ac:dyDescent="0.35">
      <c r="A231" s="13"/>
      <c r="B231" s="13"/>
      <c r="E231" s="14"/>
    </row>
    <row r="232" spans="1:5" x14ac:dyDescent="0.35">
      <c r="A232" s="13"/>
      <c r="B232" s="13"/>
      <c r="E232" s="14"/>
    </row>
    <row r="233" spans="1:5" x14ac:dyDescent="0.35">
      <c r="A233" s="13"/>
      <c r="B233" s="13"/>
      <c r="E233" s="14"/>
    </row>
    <row r="234" spans="1:5" x14ac:dyDescent="0.35">
      <c r="A234" s="13"/>
      <c r="B234" s="13"/>
      <c r="E234" s="14"/>
    </row>
    <row r="235" spans="1:5" x14ac:dyDescent="0.35">
      <c r="A235" s="13"/>
      <c r="B235" s="13"/>
      <c r="E235" s="14"/>
    </row>
    <row r="236" spans="1:5" x14ac:dyDescent="0.35">
      <c r="A236" s="13"/>
      <c r="B236" s="13"/>
      <c r="E236" s="14"/>
    </row>
    <row r="237" spans="1:5" x14ac:dyDescent="0.35">
      <c r="A237" s="13"/>
      <c r="B237" s="13"/>
      <c r="E237" s="14"/>
    </row>
    <row r="238" spans="1:5" x14ac:dyDescent="0.35">
      <c r="A238" s="13"/>
      <c r="B238" s="13"/>
      <c r="E238" s="14"/>
    </row>
    <row r="239" spans="1:5" x14ac:dyDescent="0.35">
      <c r="A239" s="13"/>
      <c r="B239" s="13"/>
      <c r="E239" s="14"/>
    </row>
    <row r="240" spans="1:5" x14ac:dyDescent="0.35">
      <c r="A240" s="13"/>
      <c r="B240" s="13"/>
      <c r="E240" s="14"/>
    </row>
    <row r="241" spans="1:5" x14ac:dyDescent="0.35">
      <c r="A241" s="13"/>
      <c r="B241" s="13"/>
      <c r="E241" s="14"/>
    </row>
    <row r="242" spans="1:5" x14ac:dyDescent="0.35">
      <c r="A242" s="13"/>
      <c r="B242" s="13"/>
      <c r="E242" s="14"/>
    </row>
    <row r="243" spans="1:5" x14ac:dyDescent="0.35">
      <c r="A243" s="13"/>
      <c r="B243" s="13"/>
      <c r="E243" s="14"/>
    </row>
    <row r="244" spans="1:5" x14ac:dyDescent="0.35">
      <c r="A244" s="13"/>
      <c r="B244" s="13"/>
      <c r="E244" s="14"/>
    </row>
    <row r="245" spans="1:5" x14ac:dyDescent="0.35">
      <c r="A245" s="13"/>
      <c r="B245" s="13"/>
      <c r="E245" s="14"/>
    </row>
    <row r="246" spans="1:5" x14ac:dyDescent="0.35">
      <c r="A246" s="13"/>
      <c r="B246" s="13"/>
      <c r="E246" s="14"/>
    </row>
    <row r="247" spans="1:5" x14ac:dyDescent="0.35">
      <c r="A247" s="13"/>
      <c r="B247" s="13"/>
      <c r="E247" s="14"/>
    </row>
    <row r="248" spans="1:5" x14ac:dyDescent="0.35">
      <c r="A248" s="13"/>
      <c r="B248" s="13"/>
      <c r="E248" s="14"/>
    </row>
    <row r="249" spans="1:5" x14ac:dyDescent="0.35">
      <c r="A249" s="13"/>
      <c r="B249" s="13"/>
      <c r="E249" s="14"/>
    </row>
    <row r="250" spans="1:5" x14ac:dyDescent="0.35">
      <c r="A250" s="13"/>
      <c r="B250" s="13"/>
      <c r="E250" s="14"/>
    </row>
    <row r="251" spans="1:5" x14ac:dyDescent="0.35">
      <c r="A251" s="13"/>
      <c r="B251" s="13"/>
      <c r="E251" s="14"/>
    </row>
    <row r="252" spans="1:5" x14ac:dyDescent="0.35">
      <c r="A252" s="13"/>
      <c r="B252" s="13"/>
      <c r="E252" s="14"/>
    </row>
    <row r="253" spans="1:5" x14ac:dyDescent="0.35">
      <c r="A253" s="13"/>
      <c r="B253" s="13"/>
      <c r="E253" s="14"/>
    </row>
    <row r="254" spans="1:5" x14ac:dyDescent="0.35">
      <c r="A254" s="13"/>
      <c r="B254" s="13"/>
      <c r="E254" s="14"/>
    </row>
    <row r="255" spans="1:5" x14ac:dyDescent="0.35">
      <c r="A255" s="13"/>
      <c r="B255" s="13"/>
      <c r="E255" s="14"/>
    </row>
    <row r="256" spans="1:5" x14ac:dyDescent="0.35">
      <c r="A256" s="13"/>
      <c r="B256" s="13"/>
      <c r="E256" s="14"/>
    </row>
    <row r="257" spans="1:5" x14ac:dyDescent="0.35">
      <c r="A257" s="13"/>
      <c r="B257" s="13"/>
      <c r="E257" s="14"/>
    </row>
    <row r="258" spans="1:5" x14ac:dyDescent="0.35">
      <c r="A258" s="13"/>
      <c r="B258" s="13"/>
      <c r="E258" s="14"/>
    </row>
    <row r="259" spans="1:5" x14ac:dyDescent="0.35">
      <c r="A259" s="13"/>
      <c r="B259" s="13"/>
      <c r="E259" s="14"/>
    </row>
    <row r="260" spans="1:5" x14ac:dyDescent="0.35">
      <c r="A260" s="13"/>
      <c r="B260" s="13"/>
      <c r="E260" s="14"/>
    </row>
    <row r="261" spans="1:5" x14ac:dyDescent="0.35">
      <c r="A261" s="13"/>
      <c r="B261" s="13"/>
      <c r="E261" s="14"/>
    </row>
    <row r="262" spans="1:5" x14ac:dyDescent="0.35">
      <c r="A262" s="13"/>
      <c r="B262" s="13"/>
      <c r="E262" s="14"/>
    </row>
    <row r="263" spans="1:5" x14ac:dyDescent="0.35">
      <c r="A263" s="13"/>
      <c r="B263" s="13"/>
      <c r="E263" s="14"/>
    </row>
    <row r="264" spans="1:5" x14ac:dyDescent="0.35">
      <c r="A264" s="13"/>
      <c r="B264" s="13"/>
      <c r="E264" s="14"/>
    </row>
    <row r="265" spans="1:5" x14ac:dyDescent="0.35">
      <c r="A265" s="13"/>
      <c r="B265" s="13"/>
      <c r="E265" s="14"/>
    </row>
    <row r="266" spans="1:5" x14ac:dyDescent="0.35">
      <c r="A266" s="13"/>
      <c r="B266" s="13"/>
      <c r="E266" s="14"/>
    </row>
    <row r="267" spans="1:5" x14ac:dyDescent="0.35">
      <c r="A267" s="13"/>
      <c r="B267" s="13"/>
      <c r="E267" s="14"/>
    </row>
    <row r="268" spans="1:5" x14ac:dyDescent="0.35">
      <c r="A268" s="13"/>
      <c r="B268" s="13"/>
      <c r="E268" s="14"/>
    </row>
    <row r="269" spans="1:5" x14ac:dyDescent="0.35">
      <c r="A269" s="13"/>
      <c r="B269" s="13"/>
      <c r="E269" s="14"/>
    </row>
    <row r="270" spans="1:5" x14ac:dyDescent="0.35">
      <c r="A270" s="13"/>
      <c r="B270" s="13"/>
      <c r="E270" s="14"/>
    </row>
    <row r="271" spans="1:5" x14ac:dyDescent="0.35">
      <c r="A271" s="13"/>
      <c r="B271" s="13"/>
      <c r="E271" s="14"/>
    </row>
    <row r="272" spans="1:5" x14ac:dyDescent="0.35">
      <c r="A272" s="13"/>
      <c r="B272" s="13"/>
      <c r="E272" s="14"/>
    </row>
    <row r="273" spans="1:5" x14ac:dyDescent="0.35">
      <c r="A273" s="13"/>
      <c r="B273" s="13"/>
      <c r="E273" s="14"/>
    </row>
    <row r="274" spans="1:5" x14ac:dyDescent="0.35">
      <c r="A274" s="13"/>
      <c r="B274" s="13"/>
      <c r="E274" s="14"/>
    </row>
    <row r="275" spans="1:5" x14ac:dyDescent="0.35">
      <c r="A275" s="13"/>
      <c r="B275" s="13"/>
      <c r="E275" s="14"/>
    </row>
    <row r="276" spans="1:5" x14ac:dyDescent="0.35">
      <c r="A276" s="13"/>
      <c r="B276" s="13"/>
      <c r="E276" s="14"/>
    </row>
    <row r="277" spans="1:5" x14ac:dyDescent="0.35">
      <c r="A277" s="13"/>
      <c r="B277" s="13"/>
      <c r="E277" s="14"/>
    </row>
    <row r="278" spans="1:5" x14ac:dyDescent="0.35">
      <c r="A278" s="13"/>
      <c r="B278" s="13"/>
      <c r="E278" s="14"/>
    </row>
    <row r="279" spans="1:5" x14ac:dyDescent="0.35">
      <c r="A279" s="13"/>
      <c r="B279" s="13"/>
      <c r="E279" s="14"/>
    </row>
    <row r="280" spans="1:5" x14ac:dyDescent="0.35">
      <c r="A280" s="13"/>
      <c r="B280" s="13"/>
      <c r="E280" s="14"/>
    </row>
    <row r="281" spans="1:5" x14ac:dyDescent="0.35">
      <c r="A281" s="13"/>
      <c r="B281" s="13"/>
      <c r="E281" s="14"/>
    </row>
    <row r="282" spans="1:5" x14ac:dyDescent="0.35">
      <c r="A282" s="13"/>
      <c r="B282" s="13"/>
      <c r="E282" s="14"/>
    </row>
    <row r="283" spans="1:5" x14ac:dyDescent="0.35">
      <c r="A283" s="13"/>
      <c r="B283" s="13"/>
      <c r="E283" s="14"/>
    </row>
    <row r="284" spans="1:5" x14ac:dyDescent="0.35">
      <c r="A284" s="13"/>
      <c r="B284" s="13"/>
      <c r="E284" s="14"/>
    </row>
    <row r="285" spans="1:5" x14ac:dyDescent="0.35">
      <c r="A285" s="13"/>
      <c r="B285" s="13"/>
      <c r="E285" s="14"/>
    </row>
    <row r="286" spans="1:5" x14ac:dyDescent="0.35">
      <c r="A286" s="13"/>
      <c r="B286" s="13"/>
      <c r="E286" s="14"/>
    </row>
    <row r="287" spans="1:5" x14ac:dyDescent="0.35">
      <c r="A287" s="13"/>
      <c r="B287" s="13"/>
      <c r="E287" s="14"/>
    </row>
    <row r="288" spans="1:5" x14ac:dyDescent="0.35">
      <c r="A288" s="13"/>
      <c r="B288" s="13"/>
      <c r="E288" s="14"/>
    </row>
    <row r="289" spans="1:5" x14ac:dyDescent="0.35">
      <c r="A289" s="13"/>
      <c r="B289" s="13"/>
      <c r="E289" s="14"/>
    </row>
    <row r="290" spans="1:5" x14ac:dyDescent="0.35">
      <c r="A290" s="13"/>
      <c r="B290" s="13"/>
      <c r="E290" s="14"/>
    </row>
    <row r="291" spans="1:5" x14ac:dyDescent="0.35">
      <c r="A291" s="13"/>
      <c r="B291" s="13"/>
      <c r="E291" s="14"/>
    </row>
    <row r="292" spans="1:5" x14ac:dyDescent="0.35">
      <c r="A292" s="13"/>
      <c r="B292" s="13"/>
      <c r="E292" s="14"/>
    </row>
    <row r="293" spans="1:5" x14ac:dyDescent="0.35">
      <c r="A293" s="13"/>
      <c r="B293" s="13"/>
      <c r="E293" s="14"/>
    </row>
    <row r="294" spans="1:5" x14ac:dyDescent="0.35">
      <c r="A294" s="13"/>
      <c r="B294" s="13"/>
      <c r="E294" s="14"/>
    </row>
    <row r="295" spans="1:5" x14ac:dyDescent="0.35">
      <c r="A295" s="13"/>
      <c r="B295" s="13"/>
      <c r="E295" s="14"/>
    </row>
    <row r="296" spans="1:5" x14ac:dyDescent="0.35">
      <c r="A296" s="13"/>
      <c r="B296" s="13"/>
      <c r="E296" s="14"/>
    </row>
    <row r="297" spans="1:5" x14ac:dyDescent="0.35">
      <c r="A297" s="13"/>
      <c r="B297" s="13"/>
      <c r="E297" s="14"/>
    </row>
    <row r="298" spans="1:5" x14ac:dyDescent="0.35">
      <c r="A298" s="13"/>
      <c r="B298" s="13"/>
      <c r="E298" s="14"/>
    </row>
    <row r="299" spans="1:5" x14ac:dyDescent="0.35">
      <c r="A299" s="13"/>
      <c r="B299" s="13"/>
      <c r="E299" s="14"/>
    </row>
    <row r="300" spans="1:5" x14ac:dyDescent="0.35">
      <c r="A300" s="13"/>
      <c r="B300" s="13"/>
      <c r="E300" s="14"/>
    </row>
    <row r="301" spans="1:5" x14ac:dyDescent="0.35">
      <c r="A301" s="13"/>
      <c r="B301" s="13"/>
      <c r="E301" s="14"/>
    </row>
    <row r="302" spans="1:5" x14ac:dyDescent="0.35">
      <c r="A302" s="13"/>
      <c r="B302" s="13"/>
      <c r="E302" s="14"/>
    </row>
    <row r="303" spans="1:5" x14ac:dyDescent="0.35">
      <c r="A303" s="13"/>
      <c r="B303" s="13"/>
      <c r="E303" s="14"/>
    </row>
    <row r="304" spans="1:5" x14ac:dyDescent="0.35">
      <c r="A304" s="13"/>
      <c r="B304" s="13"/>
      <c r="E304" s="14"/>
    </row>
    <row r="305" spans="1:5" x14ac:dyDescent="0.35">
      <c r="A305" s="13"/>
      <c r="B305" s="13"/>
      <c r="E305" s="14"/>
    </row>
    <row r="306" spans="1:5" x14ac:dyDescent="0.35">
      <c r="A306" s="13"/>
      <c r="B306" s="13"/>
      <c r="E306" s="14"/>
    </row>
    <row r="307" spans="1:5" x14ac:dyDescent="0.35">
      <c r="A307" s="13"/>
      <c r="B307" s="13"/>
      <c r="E307" s="14"/>
    </row>
    <row r="308" spans="1:5" x14ac:dyDescent="0.35">
      <c r="A308" s="13"/>
      <c r="B308" s="13"/>
      <c r="E308" s="14"/>
    </row>
    <row r="309" spans="1:5" x14ac:dyDescent="0.35">
      <c r="A309" s="13"/>
      <c r="B309" s="13"/>
      <c r="E309" s="14"/>
    </row>
    <row r="310" spans="1:5" x14ac:dyDescent="0.35">
      <c r="A310" s="13"/>
      <c r="B310" s="13"/>
      <c r="E310" s="14"/>
    </row>
    <row r="311" spans="1:5" x14ac:dyDescent="0.35">
      <c r="A311" s="13"/>
      <c r="B311" s="13"/>
      <c r="E311" s="14"/>
    </row>
    <row r="312" spans="1:5" x14ac:dyDescent="0.35">
      <c r="A312" s="13"/>
      <c r="B312" s="13"/>
      <c r="E312" s="14"/>
    </row>
    <row r="313" spans="1:5" x14ac:dyDescent="0.35">
      <c r="A313" s="13"/>
      <c r="B313" s="13"/>
      <c r="E313" s="14"/>
    </row>
    <row r="314" spans="1:5" x14ac:dyDescent="0.35">
      <c r="A314" s="13"/>
      <c r="B314" s="13"/>
      <c r="E314" s="14"/>
    </row>
    <row r="315" spans="1:5" x14ac:dyDescent="0.35">
      <c r="A315" s="13"/>
      <c r="B315" s="13"/>
      <c r="E315" s="14"/>
    </row>
    <row r="316" spans="1:5" x14ac:dyDescent="0.35">
      <c r="A316" s="13"/>
      <c r="B316" s="13"/>
      <c r="E316" s="14"/>
    </row>
    <row r="317" spans="1:5" x14ac:dyDescent="0.35">
      <c r="A317" s="13"/>
      <c r="B317" s="13"/>
      <c r="E317" s="14"/>
    </row>
    <row r="318" spans="1:5" x14ac:dyDescent="0.35">
      <c r="A318" s="13"/>
      <c r="B318" s="13"/>
      <c r="E318" s="14"/>
    </row>
    <row r="319" spans="1:5" x14ac:dyDescent="0.35">
      <c r="A319" s="13"/>
      <c r="B319" s="13"/>
      <c r="E319" s="14"/>
    </row>
    <row r="320" spans="1:5" x14ac:dyDescent="0.35">
      <c r="A320" s="13"/>
      <c r="B320" s="13"/>
      <c r="E320" s="14"/>
    </row>
    <row r="321" spans="1:5" x14ac:dyDescent="0.35">
      <c r="A321" s="13"/>
      <c r="B321" s="13"/>
      <c r="E321" s="14"/>
    </row>
    <row r="322" spans="1:5" x14ac:dyDescent="0.35">
      <c r="A322" s="13"/>
      <c r="B322" s="13"/>
      <c r="E322" s="14"/>
    </row>
    <row r="323" spans="1:5" x14ac:dyDescent="0.35">
      <c r="A323" s="13"/>
      <c r="B323" s="13"/>
      <c r="E323" s="14"/>
    </row>
    <row r="324" spans="1:5" x14ac:dyDescent="0.35">
      <c r="A324" s="13"/>
      <c r="B324" s="13"/>
      <c r="E324" s="14"/>
    </row>
    <row r="325" spans="1:5" x14ac:dyDescent="0.35">
      <c r="A325" s="13"/>
      <c r="B325" s="13"/>
      <c r="E325" s="14"/>
    </row>
    <row r="326" spans="1:5" x14ac:dyDescent="0.35">
      <c r="A326" s="13"/>
      <c r="B326" s="13"/>
      <c r="E326" s="14"/>
    </row>
    <row r="327" spans="1:5" x14ac:dyDescent="0.35">
      <c r="A327" s="13"/>
      <c r="B327" s="13"/>
      <c r="E327" s="14"/>
    </row>
    <row r="328" spans="1:5" x14ac:dyDescent="0.35">
      <c r="A328" s="13"/>
      <c r="B328" s="13"/>
      <c r="E328" s="14"/>
    </row>
    <row r="329" spans="1:5" x14ac:dyDescent="0.35">
      <c r="A329" s="13"/>
      <c r="B329" s="13"/>
      <c r="E329" s="14"/>
    </row>
    <row r="330" spans="1:5" x14ac:dyDescent="0.35">
      <c r="A330" s="13"/>
      <c r="B330" s="13"/>
      <c r="E330" s="14"/>
    </row>
    <row r="331" spans="1:5" x14ac:dyDescent="0.35">
      <c r="A331" s="13"/>
      <c r="B331" s="13"/>
      <c r="E331" s="14"/>
    </row>
    <row r="332" spans="1:5" x14ac:dyDescent="0.35">
      <c r="A332" s="13"/>
      <c r="B332" s="13"/>
      <c r="E332" s="14"/>
    </row>
    <row r="333" spans="1:5" x14ac:dyDescent="0.35">
      <c r="A333" s="13"/>
      <c r="B333" s="13"/>
      <c r="E333" s="14"/>
    </row>
    <row r="334" spans="1:5" x14ac:dyDescent="0.35">
      <c r="A334" s="13"/>
      <c r="B334" s="13"/>
      <c r="E334" s="14"/>
    </row>
    <row r="335" spans="1:5" x14ac:dyDescent="0.35">
      <c r="A335" s="13"/>
      <c r="B335" s="13"/>
      <c r="E335" s="14"/>
    </row>
    <row r="336" spans="1:5" x14ac:dyDescent="0.35">
      <c r="A336" s="13"/>
      <c r="B336" s="13"/>
      <c r="E336" s="14"/>
    </row>
    <row r="337" spans="1:5" x14ac:dyDescent="0.35">
      <c r="A337" s="13"/>
      <c r="B337" s="13"/>
      <c r="E337" s="14"/>
    </row>
    <row r="338" spans="1:5" x14ac:dyDescent="0.35">
      <c r="A338" s="13"/>
      <c r="B338" s="13"/>
      <c r="E338" s="14"/>
    </row>
    <row r="339" spans="1:5" x14ac:dyDescent="0.35">
      <c r="A339" s="13"/>
      <c r="B339" s="13"/>
      <c r="E339" s="14"/>
    </row>
    <row r="340" spans="1:5" x14ac:dyDescent="0.35">
      <c r="A340" s="13"/>
      <c r="B340" s="13"/>
      <c r="E340" s="14"/>
    </row>
    <row r="341" spans="1:5" x14ac:dyDescent="0.35">
      <c r="A341" s="13"/>
      <c r="B341" s="13"/>
      <c r="E341" s="14"/>
    </row>
    <row r="342" spans="1:5" x14ac:dyDescent="0.35">
      <c r="A342" s="13"/>
      <c r="B342" s="13"/>
      <c r="E342" s="14"/>
    </row>
    <row r="343" spans="1:5" x14ac:dyDescent="0.35">
      <c r="A343" s="13"/>
      <c r="B343" s="13"/>
      <c r="E343" s="14"/>
    </row>
    <row r="344" spans="1:5" x14ac:dyDescent="0.35">
      <c r="A344" s="13"/>
      <c r="B344" s="13"/>
      <c r="E344" s="14"/>
    </row>
    <row r="345" spans="1:5" x14ac:dyDescent="0.35">
      <c r="A345" s="13"/>
      <c r="B345" s="13"/>
      <c r="E345" s="14"/>
    </row>
    <row r="346" spans="1:5" x14ac:dyDescent="0.35">
      <c r="A346" s="13"/>
      <c r="B346" s="13"/>
      <c r="E346" s="14"/>
    </row>
    <row r="347" spans="1:5" x14ac:dyDescent="0.35">
      <c r="A347" s="13"/>
      <c r="B347" s="13"/>
      <c r="E347" s="14"/>
    </row>
    <row r="348" spans="1:5" x14ac:dyDescent="0.35">
      <c r="A348" s="13"/>
      <c r="B348" s="13"/>
      <c r="E348" s="14"/>
    </row>
    <row r="349" spans="1:5" x14ac:dyDescent="0.35">
      <c r="A349" s="13"/>
      <c r="B349" s="13"/>
      <c r="E349" s="14"/>
    </row>
    <row r="350" spans="1:5" x14ac:dyDescent="0.35">
      <c r="A350" s="13"/>
      <c r="B350" s="13"/>
      <c r="E350" s="14"/>
    </row>
    <row r="351" spans="1:5" x14ac:dyDescent="0.35">
      <c r="A351" s="13"/>
      <c r="B351" s="13"/>
      <c r="E351" s="14"/>
    </row>
    <row r="352" spans="1:5" x14ac:dyDescent="0.35">
      <c r="A352" s="13"/>
      <c r="B352" s="13"/>
      <c r="E352" s="14"/>
    </row>
    <row r="353" spans="1:5" x14ac:dyDescent="0.35">
      <c r="A353" s="13"/>
      <c r="B353" s="13"/>
      <c r="E353" s="14"/>
    </row>
    <row r="354" spans="1:5" x14ac:dyDescent="0.35">
      <c r="A354" s="13"/>
      <c r="B354" s="13"/>
      <c r="E354" s="14"/>
    </row>
    <row r="355" spans="1:5" x14ac:dyDescent="0.35">
      <c r="A355" s="13"/>
      <c r="B355" s="13"/>
      <c r="E355" s="14"/>
    </row>
    <row r="356" spans="1:5" x14ac:dyDescent="0.35">
      <c r="A356" s="13"/>
      <c r="B356" s="13"/>
      <c r="E356" s="14"/>
    </row>
    <row r="357" spans="1:5" x14ac:dyDescent="0.35">
      <c r="A357" s="13"/>
      <c r="B357" s="13"/>
      <c r="E357" s="14"/>
    </row>
    <row r="358" spans="1:5" x14ac:dyDescent="0.35">
      <c r="A358" s="13"/>
      <c r="B358" s="13"/>
      <c r="E358" s="14"/>
    </row>
    <row r="359" spans="1:5" x14ac:dyDescent="0.35">
      <c r="A359" s="13"/>
      <c r="B359" s="13"/>
      <c r="E359" s="14"/>
    </row>
    <row r="360" spans="1:5" x14ac:dyDescent="0.35">
      <c r="A360" s="13"/>
      <c r="B360" s="13"/>
      <c r="E360" s="14"/>
    </row>
    <row r="361" spans="1:5" x14ac:dyDescent="0.35">
      <c r="A361" s="13"/>
      <c r="B361" s="13"/>
      <c r="E361" s="14"/>
    </row>
    <row r="362" spans="1:5" x14ac:dyDescent="0.35">
      <c r="A362" s="13"/>
      <c r="B362" s="13"/>
      <c r="E362" s="14"/>
    </row>
    <row r="363" spans="1:5" x14ac:dyDescent="0.35">
      <c r="A363" s="13"/>
      <c r="B363" s="13"/>
      <c r="E363" s="14"/>
    </row>
    <row r="364" spans="1:5" x14ac:dyDescent="0.35">
      <c r="A364" s="13"/>
      <c r="B364" s="13"/>
      <c r="E364" s="14"/>
    </row>
    <row r="365" spans="1:5" x14ac:dyDescent="0.35">
      <c r="A365" s="13"/>
      <c r="B365" s="13"/>
      <c r="E365" s="14"/>
    </row>
    <row r="366" spans="1:5" x14ac:dyDescent="0.35">
      <c r="A366" s="13"/>
      <c r="B366" s="13"/>
      <c r="E366" s="14"/>
    </row>
    <row r="367" spans="1:5" x14ac:dyDescent="0.35">
      <c r="A367" s="13"/>
      <c r="B367" s="13"/>
      <c r="E367" s="14"/>
    </row>
    <row r="368" spans="1:5" x14ac:dyDescent="0.35">
      <c r="A368" s="13"/>
      <c r="B368" s="13"/>
      <c r="E368" s="14"/>
    </row>
    <row r="369" spans="1:5" x14ac:dyDescent="0.35">
      <c r="A369" s="13"/>
      <c r="B369" s="13"/>
      <c r="E369" s="14"/>
    </row>
    <row r="370" spans="1:5" x14ac:dyDescent="0.35">
      <c r="A370" s="13"/>
      <c r="B370" s="13"/>
      <c r="E370" s="14"/>
    </row>
    <row r="371" spans="1:5" x14ac:dyDescent="0.35">
      <c r="A371" s="13"/>
      <c r="B371" s="13"/>
      <c r="E371" s="14"/>
    </row>
    <row r="372" spans="1:5" x14ac:dyDescent="0.35">
      <c r="A372" s="13"/>
      <c r="B372" s="13"/>
      <c r="E372" s="14"/>
    </row>
    <row r="373" spans="1:5" x14ac:dyDescent="0.35">
      <c r="A373" s="13"/>
      <c r="B373" s="13"/>
      <c r="E373" s="14"/>
    </row>
    <row r="374" spans="1:5" x14ac:dyDescent="0.35">
      <c r="A374" s="13"/>
      <c r="B374" s="13"/>
      <c r="E374" s="14"/>
    </row>
    <row r="375" spans="1:5" x14ac:dyDescent="0.35">
      <c r="A375" s="13"/>
      <c r="B375" s="13"/>
      <c r="E375" s="14"/>
    </row>
    <row r="376" spans="1:5" x14ac:dyDescent="0.35">
      <c r="A376" s="13"/>
      <c r="B376" s="13"/>
      <c r="E376" s="14"/>
    </row>
    <row r="377" spans="1:5" x14ac:dyDescent="0.35">
      <c r="A377" s="13"/>
      <c r="B377" s="13"/>
      <c r="E377" s="14"/>
    </row>
    <row r="378" spans="1:5" x14ac:dyDescent="0.35">
      <c r="A378" s="13"/>
      <c r="B378" s="13"/>
      <c r="E378" s="14"/>
    </row>
    <row r="379" spans="1:5" x14ac:dyDescent="0.35">
      <c r="A379" s="13"/>
      <c r="B379" s="13"/>
      <c r="E379" s="14"/>
    </row>
    <row r="380" spans="1:5" x14ac:dyDescent="0.35">
      <c r="A380" s="13"/>
      <c r="B380" s="13"/>
      <c r="E380" s="14"/>
    </row>
    <row r="381" spans="1:5" x14ac:dyDescent="0.35">
      <c r="A381" s="13"/>
      <c r="B381" s="13"/>
      <c r="E381" s="14"/>
    </row>
    <row r="382" spans="1:5" x14ac:dyDescent="0.35">
      <c r="A382" s="13"/>
      <c r="B382" s="13"/>
      <c r="E382" s="14"/>
    </row>
    <row r="383" spans="1:5" x14ac:dyDescent="0.35">
      <c r="A383" s="13"/>
      <c r="B383" s="13"/>
      <c r="E383" s="14"/>
    </row>
    <row r="384" spans="1:5" x14ac:dyDescent="0.35">
      <c r="A384" s="13"/>
      <c r="B384" s="13"/>
      <c r="E384" s="14"/>
    </row>
    <row r="385" spans="1:5" x14ac:dyDescent="0.35">
      <c r="A385" s="13"/>
      <c r="B385" s="13"/>
      <c r="E385" s="14"/>
    </row>
    <row r="386" spans="1:5" x14ac:dyDescent="0.35">
      <c r="A386" s="13"/>
      <c r="B386" s="13"/>
      <c r="E386" s="14"/>
    </row>
    <row r="387" spans="1:5" x14ac:dyDescent="0.35">
      <c r="A387" s="13"/>
      <c r="B387" s="13"/>
      <c r="E387" s="14"/>
    </row>
    <row r="388" spans="1:5" x14ac:dyDescent="0.35">
      <c r="A388" s="13"/>
      <c r="B388" s="13"/>
      <c r="E388" s="14"/>
    </row>
    <row r="389" spans="1:5" x14ac:dyDescent="0.35">
      <c r="A389" s="13"/>
      <c r="B389" s="13"/>
      <c r="E389" s="14"/>
    </row>
    <row r="390" spans="1:5" x14ac:dyDescent="0.35">
      <c r="A390" s="13"/>
      <c r="B390" s="13"/>
      <c r="E390" s="14"/>
    </row>
    <row r="391" spans="1:5" x14ac:dyDescent="0.35">
      <c r="A391" s="13"/>
      <c r="B391" s="13"/>
      <c r="E391" s="14"/>
    </row>
    <row r="392" spans="1:5" x14ac:dyDescent="0.35">
      <c r="A392" s="13"/>
      <c r="B392" s="13"/>
      <c r="E392" s="14"/>
    </row>
    <row r="393" spans="1:5" x14ac:dyDescent="0.35">
      <c r="A393" s="13"/>
      <c r="B393" s="13"/>
      <c r="E393" s="14"/>
    </row>
    <row r="394" spans="1:5" x14ac:dyDescent="0.35">
      <c r="A394" s="13"/>
      <c r="B394" s="13"/>
      <c r="E394" s="14"/>
    </row>
    <row r="395" spans="1:5" x14ac:dyDescent="0.35">
      <c r="A395" s="13"/>
      <c r="B395" s="13"/>
      <c r="E395" s="14"/>
    </row>
    <row r="396" spans="1:5" x14ac:dyDescent="0.35">
      <c r="A396" s="13"/>
      <c r="B396" s="13"/>
      <c r="E396" s="14"/>
    </row>
    <row r="397" spans="1:5" x14ac:dyDescent="0.35">
      <c r="A397" s="13"/>
      <c r="B397" s="13"/>
      <c r="E397" s="14"/>
    </row>
    <row r="398" spans="1:5" x14ac:dyDescent="0.35">
      <c r="A398" s="13"/>
      <c r="B398" s="13"/>
      <c r="E398" s="14"/>
    </row>
    <row r="399" spans="1:5" x14ac:dyDescent="0.35">
      <c r="A399" s="13"/>
      <c r="B399" s="13"/>
      <c r="E399" s="14"/>
    </row>
    <row r="400" spans="1:5" x14ac:dyDescent="0.35">
      <c r="A400" s="13"/>
      <c r="B400" s="13"/>
      <c r="E400" s="14"/>
    </row>
    <row r="401" spans="1:5" x14ac:dyDescent="0.35">
      <c r="A401" s="13"/>
      <c r="B401" s="13"/>
      <c r="E401" s="14"/>
    </row>
    <row r="402" spans="1:5" x14ac:dyDescent="0.35">
      <c r="A402" s="13"/>
      <c r="B402" s="13"/>
      <c r="E402" s="14"/>
    </row>
    <row r="403" spans="1:5" x14ac:dyDescent="0.35">
      <c r="A403" s="13"/>
      <c r="B403" s="13"/>
      <c r="E403" s="14"/>
    </row>
    <row r="404" spans="1:5" x14ac:dyDescent="0.35">
      <c r="A404" s="13"/>
      <c r="B404" s="13"/>
      <c r="E404" s="14"/>
    </row>
    <row r="405" spans="1:5" x14ac:dyDescent="0.35">
      <c r="A405" s="13"/>
      <c r="B405" s="13"/>
      <c r="E405" s="14"/>
    </row>
    <row r="406" spans="1:5" x14ac:dyDescent="0.35">
      <c r="A406" s="13"/>
      <c r="B406" s="13"/>
      <c r="E406" s="14"/>
    </row>
    <row r="407" spans="1:5" x14ac:dyDescent="0.35">
      <c r="A407" s="13"/>
      <c r="B407" s="13"/>
      <c r="E407" s="14"/>
    </row>
    <row r="408" spans="1:5" x14ac:dyDescent="0.35">
      <c r="A408" s="13"/>
      <c r="B408" s="13"/>
      <c r="E408" s="14"/>
    </row>
    <row r="409" spans="1:5" x14ac:dyDescent="0.35">
      <c r="A409" s="13"/>
      <c r="B409" s="13"/>
      <c r="E409" s="14"/>
    </row>
    <row r="410" spans="1:5" x14ac:dyDescent="0.35">
      <c r="A410" s="13"/>
      <c r="B410" s="13"/>
      <c r="E410" s="14"/>
    </row>
    <row r="411" spans="1:5" x14ac:dyDescent="0.35">
      <c r="A411" s="13"/>
      <c r="B411" s="13"/>
      <c r="E411" s="14"/>
    </row>
    <row r="412" spans="1:5" x14ac:dyDescent="0.35">
      <c r="A412" s="13"/>
      <c r="B412" s="13"/>
      <c r="E412" s="14"/>
    </row>
    <row r="413" spans="1:5" x14ac:dyDescent="0.35">
      <c r="A413" s="13"/>
      <c r="B413" s="13"/>
      <c r="E413" s="14"/>
    </row>
    <row r="414" spans="1:5" x14ac:dyDescent="0.35">
      <c r="A414" s="13"/>
      <c r="B414" s="13"/>
      <c r="E414" s="14"/>
    </row>
    <row r="415" spans="1:5" x14ac:dyDescent="0.35">
      <c r="A415" s="13"/>
      <c r="B415" s="13"/>
      <c r="E415" s="14"/>
    </row>
    <row r="416" spans="1:5" x14ac:dyDescent="0.35">
      <c r="A416" s="13"/>
      <c r="B416" s="13"/>
      <c r="E416" s="14"/>
    </row>
    <row r="417" spans="1:5" x14ac:dyDescent="0.35">
      <c r="A417" s="13"/>
      <c r="B417" s="13"/>
      <c r="E417" s="14"/>
    </row>
    <row r="418" spans="1:5" x14ac:dyDescent="0.35">
      <c r="A418" s="13"/>
      <c r="B418" s="13"/>
      <c r="E418" s="14"/>
    </row>
    <row r="419" spans="1:5" x14ac:dyDescent="0.35">
      <c r="A419" s="13"/>
      <c r="B419" s="13"/>
      <c r="E419" s="14"/>
    </row>
    <row r="420" spans="1:5" x14ac:dyDescent="0.35">
      <c r="A420" s="13"/>
      <c r="B420" s="13"/>
      <c r="E420" s="14"/>
    </row>
    <row r="421" spans="1:5" x14ac:dyDescent="0.35">
      <c r="A421" s="13"/>
      <c r="B421" s="13"/>
      <c r="E421" s="14"/>
    </row>
    <row r="422" spans="1:5" x14ac:dyDescent="0.35">
      <c r="A422" s="13"/>
      <c r="B422" s="13"/>
      <c r="E422" s="14"/>
    </row>
    <row r="423" spans="1:5" x14ac:dyDescent="0.35">
      <c r="A423" s="13"/>
      <c r="B423" s="13"/>
      <c r="E423" s="14"/>
    </row>
    <row r="424" spans="1:5" x14ac:dyDescent="0.35">
      <c r="A424" s="13"/>
      <c r="B424" s="13"/>
      <c r="E424" s="14"/>
    </row>
    <row r="425" spans="1:5" x14ac:dyDescent="0.35">
      <c r="A425" s="13"/>
      <c r="B425" s="13"/>
      <c r="E425" s="14"/>
    </row>
    <row r="426" spans="1:5" x14ac:dyDescent="0.35">
      <c r="A426" s="13"/>
      <c r="B426" s="13"/>
      <c r="E426" s="14"/>
    </row>
    <row r="427" spans="1:5" x14ac:dyDescent="0.35">
      <c r="A427" s="13"/>
      <c r="B427" s="13"/>
      <c r="E427" s="14"/>
    </row>
    <row r="428" spans="1:5" x14ac:dyDescent="0.35">
      <c r="A428" s="13"/>
      <c r="B428" s="13"/>
      <c r="E428" s="14"/>
    </row>
    <row r="429" spans="1:5" x14ac:dyDescent="0.35">
      <c r="A429" s="13"/>
      <c r="B429" s="13"/>
      <c r="E429" s="14"/>
    </row>
    <row r="430" spans="1:5" x14ac:dyDescent="0.35">
      <c r="A430" s="13"/>
      <c r="B430" s="13"/>
      <c r="E430" s="14"/>
    </row>
    <row r="431" spans="1:5" x14ac:dyDescent="0.35">
      <c r="A431" s="13"/>
      <c r="B431" s="13"/>
      <c r="E431" s="14"/>
    </row>
    <row r="432" spans="1:5" x14ac:dyDescent="0.35">
      <c r="A432" s="13"/>
      <c r="B432" s="13"/>
      <c r="E432" s="14"/>
    </row>
    <row r="433" spans="1:5" x14ac:dyDescent="0.35">
      <c r="A433" s="13"/>
      <c r="B433" s="13"/>
      <c r="E433" s="14"/>
    </row>
    <row r="434" spans="1:5" x14ac:dyDescent="0.35">
      <c r="A434" s="13"/>
      <c r="B434" s="13"/>
      <c r="E434" s="14"/>
    </row>
    <row r="435" spans="1:5" x14ac:dyDescent="0.35">
      <c r="A435" s="13"/>
      <c r="B435" s="13"/>
      <c r="E435" s="14"/>
    </row>
    <row r="436" spans="1:5" x14ac:dyDescent="0.35">
      <c r="A436" s="13"/>
      <c r="B436" s="13"/>
      <c r="E436" s="14"/>
    </row>
    <row r="437" spans="1:5" x14ac:dyDescent="0.35">
      <c r="A437" s="13"/>
      <c r="B437" s="13"/>
      <c r="E437" s="14"/>
    </row>
    <row r="438" spans="1:5" x14ac:dyDescent="0.35">
      <c r="A438" s="13"/>
      <c r="B438" s="13"/>
      <c r="E438" s="14"/>
    </row>
    <row r="439" spans="1:5" x14ac:dyDescent="0.35">
      <c r="A439" s="13"/>
      <c r="B439" s="13"/>
      <c r="E439" s="14"/>
    </row>
    <row r="440" spans="1:5" x14ac:dyDescent="0.35">
      <c r="A440" s="13"/>
      <c r="B440" s="13"/>
      <c r="E440" s="14"/>
    </row>
    <row r="441" spans="1:5" x14ac:dyDescent="0.35">
      <c r="A441" s="13"/>
      <c r="B441" s="13"/>
      <c r="E441" s="14"/>
    </row>
    <row r="442" spans="1:5" x14ac:dyDescent="0.35">
      <c r="A442" s="13"/>
      <c r="B442" s="13"/>
      <c r="E442" s="14"/>
    </row>
    <row r="443" spans="1:5" x14ac:dyDescent="0.35">
      <c r="A443" s="13"/>
      <c r="B443" s="13"/>
      <c r="E443" s="14"/>
    </row>
    <row r="444" spans="1:5" x14ac:dyDescent="0.35">
      <c r="A444" s="13"/>
      <c r="B444" s="13"/>
      <c r="E444" s="14"/>
    </row>
    <row r="445" spans="1:5" x14ac:dyDescent="0.35">
      <c r="A445" s="13"/>
      <c r="B445" s="13"/>
      <c r="E445" s="14"/>
    </row>
    <row r="446" spans="1:5" x14ac:dyDescent="0.35">
      <c r="A446" s="13"/>
      <c r="B446" s="13"/>
      <c r="E446" s="14"/>
    </row>
    <row r="447" spans="1:5" x14ac:dyDescent="0.35">
      <c r="A447" s="13"/>
      <c r="B447" s="13"/>
      <c r="E447" s="14"/>
    </row>
    <row r="448" spans="1:5" x14ac:dyDescent="0.35">
      <c r="A448" s="13"/>
      <c r="B448" s="13"/>
      <c r="E448" s="14"/>
    </row>
    <row r="449" spans="1:5" x14ac:dyDescent="0.35">
      <c r="A449" s="13"/>
      <c r="B449" s="13"/>
      <c r="E449" s="14"/>
    </row>
    <row r="450" spans="1:5" x14ac:dyDescent="0.35">
      <c r="A450" s="13"/>
      <c r="B450" s="13"/>
      <c r="E450" s="14"/>
    </row>
    <row r="451" spans="1:5" x14ac:dyDescent="0.35">
      <c r="A451" s="13"/>
      <c r="B451" s="13"/>
      <c r="E451" s="14"/>
    </row>
    <row r="452" spans="1:5" x14ac:dyDescent="0.35">
      <c r="A452" s="13"/>
      <c r="B452" s="13"/>
      <c r="E452" s="14"/>
    </row>
    <row r="453" spans="1:5" x14ac:dyDescent="0.35">
      <c r="A453" s="13"/>
      <c r="B453" s="13"/>
      <c r="E453" s="14"/>
    </row>
    <row r="454" spans="1:5" x14ac:dyDescent="0.35">
      <c r="A454" s="13"/>
      <c r="B454" s="13"/>
      <c r="E454" s="14"/>
    </row>
    <row r="455" spans="1:5" x14ac:dyDescent="0.35">
      <c r="A455" s="13"/>
      <c r="B455" s="13"/>
      <c r="E455" s="14"/>
    </row>
    <row r="456" spans="1:5" x14ac:dyDescent="0.35">
      <c r="A456" s="13"/>
      <c r="B456" s="13"/>
      <c r="E456" s="14"/>
    </row>
    <row r="457" spans="1:5" x14ac:dyDescent="0.35">
      <c r="A457" s="13"/>
      <c r="B457" s="13"/>
      <c r="E457" s="14"/>
    </row>
    <row r="458" spans="1:5" x14ac:dyDescent="0.35">
      <c r="A458" s="13"/>
      <c r="B458" s="13"/>
      <c r="E458" s="14"/>
    </row>
    <row r="459" spans="1:5" x14ac:dyDescent="0.35">
      <c r="A459" s="13"/>
      <c r="B459" s="13"/>
      <c r="E459" s="14"/>
    </row>
    <row r="460" spans="1:5" x14ac:dyDescent="0.35">
      <c r="A460" s="13"/>
      <c r="B460" s="13"/>
      <c r="E460" s="14"/>
    </row>
    <row r="461" spans="1:5" x14ac:dyDescent="0.35">
      <c r="A461" s="13"/>
      <c r="B461" s="13"/>
      <c r="E461" s="14"/>
    </row>
    <row r="462" spans="1:5" x14ac:dyDescent="0.35">
      <c r="A462" s="13"/>
      <c r="B462" s="13"/>
      <c r="E462" s="14"/>
    </row>
    <row r="463" spans="1:5" x14ac:dyDescent="0.35">
      <c r="A463" s="13"/>
      <c r="B463" s="13"/>
      <c r="E463" s="14"/>
    </row>
    <row r="464" spans="1:5" x14ac:dyDescent="0.35">
      <c r="A464" s="13"/>
      <c r="B464" s="13"/>
      <c r="E464" s="14"/>
    </row>
    <row r="465" spans="1:5" x14ac:dyDescent="0.35">
      <c r="A465" s="13"/>
      <c r="B465" s="13"/>
      <c r="E465" s="14"/>
    </row>
  </sheetData>
  <mergeCells count="4">
    <mergeCell ref="A4:G4"/>
    <mergeCell ref="A13:B13"/>
    <mergeCell ref="A15:B15"/>
    <mergeCell ref="A25:G25"/>
  </mergeCells>
  <pageMargins left="0.7" right="0.7" top="0.75" bottom="0.75" header="0.511811023622047" footer="0.511811023622047"/>
  <pageSetup paperSize="9" orientation="portrait" horizontalDpi="300" verticalDpi="300"/>
  <drawing r:id="rId1"/>
  <tableParts count="1">
    <tablePart r:id="rId2"/>
  </tableParts>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100-000000000000}">
          <x14:formula1>
            <xm:f>perfil!$C$2:$C$22</xm:f>
          </x14:formula1>
          <x14:formula2>
            <xm:f>0</xm:f>
          </x14:formula2>
          <xm:sqref>D9</xm:sqref>
        </x14:dataValidation>
        <x14:dataValidation type="list" allowBlank="1" showInputMessage="1" showErrorMessage="1" xr:uid="{00000000-0002-0000-0100-000001000000}">
          <x14:formula1>
            <xm:f>Listas!$B$2:$B$23</xm:f>
          </x14:formula1>
          <x14:formula2>
            <xm:f>0</xm:f>
          </x14:formula2>
          <xm:sqref>D27:D39 D79:D465</xm:sqref>
        </x14:dataValidation>
        <x14:dataValidation type="list" allowBlank="1" showInputMessage="1" showErrorMessage="1" xr:uid="{00000000-0002-0000-0100-000002000000}">
          <x14:formula1>
            <xm:f>Listas!$A$2:$A$40</xm:f>
          </x14:formula1>
          <x14:formula2>
            <xm:f>0</xm:f>
          </x14:formula2>
          <xm:sqref>C38 C79:C465</xm:sqref>
        </x14:dataValidation>
        <x14:dataValidation type="list" allowBlank="1" showInputMessage="1" showErrorMessage="1" xr:uid="{00000000-0002-0000-0100-000003000000}">
          <x14:formula1>
            <xm:f>Listas!$A$2:$A$44</xm:f>
          </x14:formula1>
          <x14:formula2>
            <xm:f>0</xm:f>
          </x14:formula2>
          <xm:sqref>C27:C37 C39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C22"/>
  <sheetViews>
    <sheetView topLeftCell="A6" zoomScaleNormal="100" workbookViewId="0">
      <selection activeCell="C1" sqref="C1"/>
    </sheetView>
  </sheetViews>
  <sheetFormatPr baseColWidth="10" defaultColWidth="10.54296875" defaultRowHeight="14.5" x14ac:dyDescent="0.35"/>
  <cols>
    <col min="2" max="2" width="29.81640625" customWidth="1"/>
    <col min="3" max="3" width="70.81640625" customWidth="1"/>
  </cols>
  <sheetData>
    <row r="1" spans="2:3" x14ac:dyDescent="0.35">
      <c r="B1" s="18"/>
      <c r="C1" s="18" t="s">
        <v>31</v>
      </c>
    </row>
    <row r="2" spans="2:3" ht="16.5" x14ac:dyDescent="0.45">
      <c r="B2" t="s">
        <v>32</v>
      </c>
      <c r="C2" s="19" t="s">
        <v>33</v>
      </c>
    </row>
    <row r="3" spans="2:3" ht="33" x14ac:dyDescent="0.45">
      <c r="C3" s="20" t="s">
        <v>34</v>
      </c>
    </row>
    <row r="4" spans="2:3" ht="33" x14ac:dyDescent="0.45">
      <c r="C4" s="20" t="s">
        <v>35</v>
      </c>
    </row>
    <row r="5" spans="2:3" ht="49.5" x14ac:dyDescent="0.45">
      <c r="C5" s="20" t="s">
        <v>36</v>
      </c>
    </row>
    <row r="6" spans="2:3" ht="49.5" x14ac:dyDescent="0.45">
      <c r="C6" s="20" t="s">
        <v>37</v>
      </c>
    </row>
    <row r="7" spans="2:3" ht="33" x14ac:dyDescent="0.45">
      <c r="C7" s="20" t="s">
        <v>38</v>
      </c>
    </row>
    <row r="8" spans="2:3" ht="49.5" x14ac:dyDescent="0.45">
      <c r="C8" s="20" t="s">
        <v>39</v>
      </c>
    </row>
    <row r="9" spans="2:3" ht="49.5" x14ac:dyDescent="0.45">
      <c r="C9" s="20" t="s">
        <v>40</v>
      </c>
    </row>
    <row r="10" spans="2:3" ht="49.5" x14ac:dyDescent="0.45">
      <c r="C10" s="20" t="s">
        <v>41</v>
      </c>
    </row>
    <row r="11" spans="2:3" ht="49.5" x14ac:dyDescent="0.45">
      <c r="C11" s="20" t="s">
        <v>42</v>
      </c>
    </row>
    <row r="12" spans="2:3" ht="33" x14ac:dyDescent="0.45">
      <c r="C12" s="20" t="s">
        <v>43</v>
      </c>
    </row>
    <row r="13" spans="2:3" ht="33" x14ac:dyDescent="0.45">
      <c r="C13" s="20" t="s">
        <v>44</v>
      </c>
    </row>
    <row r="14" spans="2:3" ht="33" x14ac:dyDescent="0.45">
      <c r="C14" s="20" t="s">
        <v>45</v>
      </c>
    </row>
    <row r="15" spans="2:3" ht="33" x14ac:dyDescent="0.45">
      <c r="C15" s="20" t="s">
        <v>46</v>
      </c>
    </row>
    <row r="16" spans="2:3" ht="33" x14ac:dyDescent="0.45">
      <c r="C16" s="20" t="s">
        <v>47</v>
      </c>
    </row>
    <row r="17" spans="3:3" ht="49.5" x14ac:dyDescent="0.45">
      <c r="C17" s="20" t="s">
        <v>48</v>
      </c>
    </row>
    <row r="18" spans="3:3" ht="49.5" x14ac:dyDescent="0.45">
      <c r="C18" s="20" t="s">
        <v>49</v>
      </c>
    </row>
    <row r="19" spans="3:3" ht="33" x14ac:dyDescent="0.45">
      <c r="C19" s="20" t="s">
        <v>50</v>
      </c>
    </row>
    <row r="20" spans="3:3" ht="49.5" x14ac:dyDescent="0.45">
      <c r="C20" s="20" t="s">
        <v>51</v>
      </c>
    </row>
    <row r="21" spans="3:3" ht="49.5" x14ac:dyDescent="0.45">
      <c r="C21" s="20" t="s">
        <v>52</v>
      </c>
    </row>
    <row r="22" spans="3:3" ht="49.5" x14ac:dyDescent="0.45">
      <c r="C22" s="20" t="s">
        <v>53</v>
      </c>
    </row>
  </sheetData>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zoomScaleNormal="100" workbookViewId="0">
      <selection activeCell="C20" sqref="C20"/>
    </sheetView>
  </sheetViews>
  <sheetFormatPr baseColWidth="10" defaultColWidth="10.54296875" defaultRowHeight="14.5" x14ac:dyDescent="0.35"/>
  <sheetData/>
  <pageMargins left="0.7" right="0.7" top="0.75" bottom="0.75" header="0.511811023622047" footer="0.511811023622047"/>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36"/>
  <sheetViews>
    <sheetView topLeftCell="A7" zoomScaleNormal="100" workbookViewId="0">
      <selection activeCell="A7" sqref="A7"/>
    </sheetView>
  </sheetViews>
  <sheetFormatPr baseColWidth="10" defaultColWidth="10.54296875" defaultRowHeight="14.5" x14ac:dyDescent="0.35"/>
  <cols>
    <col min="1" max="1" width="50" customWidth="1"/>
    <col min="2" max="2" width="66.81640625" customWidth="1"/>
    <col min="3" max="4" width="40.453125" customWidth="1"/>
    <col min="5" max="5" width="20.54296875" customWidth="1"/>
  </cols>
  <sheetData>
    <row r="1" spans="1:7" s="21" customFormat="1" x14ac:dyDescent="0.35">
      <c r="A1" s="21" t="s">
        <v>54</v>
      </c>
      <c r="B1" s="21" t="s">
        <v>55</v>
      </c>
      <c r="C1" s="21" t="s">
        <v>56</v>
      </c>
    </row>
    <row r="2" spans="1:7" x14ac:dyDescent="0.35">
      <c r="A2" t="s">
        <v>57</v>
      </c>
      <c r="B2" t="s">
        <v>58</v>
      </c>
      <c r="C2" t="s">
        <v>59</v>
      </c>
      <c r="D2" s="22" t="s">
        <v>56</v>
      </c>
    </row>
    <row r="3" spans="1:7" x14ac:dyDescent="0.35">
      <c r="A3" t="s">
        <v>3</v>
      </c>
      <c r="B3" t="s">
        <v>4</v>
      </c>
      <c r="C3" t="s">
        <v>60</v>
      </c>
      <c r="D3" t="s">
        <v>61</v>
      </c>
      <c r="G3" t="str">
        <f>TEXT(25,"000")</f>
        <v>025</v>
      </c>
    </row>
    <row r="4" spans="1:7" x14ac:dyDescent="0.35">
      <c r="A4" t="s">
        <v>62</v>
      </c>
      <c r="B4" t="s">
        <v>63</v>
      </c>
      <c r="C4" t="s">
        <v>64</v>
      </c>
      <c r="D4" t="s">
        <v>65</v>
      </c>
    </row>
    <row r="5" spans="1:7" x14ac:dyDescent="0.35">
      <c r="A5" t="s">
        <v>66</v>
      </c>
      <c r="B5" t="s">
        <v>67</v>
      </c>
      <c r="C5" t="s">
        <v>68</v>
      </c>
      <c r="D5" t="s">
        <v>69</v>
      </c>
    </row>
    <row r="6" spans="1:7" x14ac:dyDescent="0.35">
      <c r="A6" t="s">
        <v>70</v>
      </c>
      <c r="B6" t="s">
        <v>71</v>
      </c>
      <c r="C6" t="s">
        <v>68</v>
      </c>
      <c r="D6" t="s">
        <v>72</v>
      </c>
    </row>
    <row r="7" spans="1:7" x14ac:dyDescent="0.35">
      <c r="A7" t="s">
        <v>73</v>
      </c>
      <c r="B7" t="s">
        <v>74</v>
      </c>
      <c r="C7" t="s">
        <v>75</v>
      </c>
      <c r="D7" t="s">
        <v>64</v>
      </c>
    </row>
    <row r="8" spans="1:7" x14ac:dyDescent="0.35">
      <c r="A8" t="s">
        <v>76</v>
      </c>
      <c r="B8" t="s">
        <v>77</v>
      </c>
      <c r="C8" t="s">
        <v>78</v>
      </c>
      <c r="D8" t="s">
        <v>79</v>
      </c>
    </row>
    <row r="9" spans="1:7" x14ac:dyDescent="0.35">
      <c r="A9" t="s">
        <v>80</v>
      </c>
      <c r="B9" t="s">
        <v>81</v>
      </c>
      <c r="C9" t="s">
        <v>78</v>
      </c>
      <c r="D9" t="s">
        <v>82</v>
      </c>
    </row>
    <row r="10" spans="1:7" x14ac:dyDescent="0.35">
      <c r="A10" t="s">
        <v>83</v>
      </c>
      <c r="B10" t="s">
        <v>84</v>
      </c>
      <c r="C10" t="s">
        <v>78</v>
      </c>
      <c r="D10" t="s">
        <v>85</v>
      </c>
    </row>
    <row r="11" spans="1:7" x14ac:dyDescent="0.35">
      <c r="A11" t="s">
        <v>86</v>
      </c>
      <c r="B11" t="s">
        <v>87</v>
      </c>
      <c r="C11" t="s">
        <v>88</v>
      </c>
      <c r="D11" t="s">
        <v>89</v>
      </c>
    </row>
    <row r="12" spans="1:7" x14ac:dyDescent="0.35">
      <c r="A12" t="s">
        <v>30</v>
      </c>
      <c r="B12" t="s">
        <v>90</v>
      </c>
      <c r="C12" t="s">
        <v>88</v>
      </c>
      <c r="D12" t="s">
        <v>91</v>
      </c>
    </row>
    <row r="13" spans="1:7" x14ac:dyDescent="0.35">
      <c r="A13" t="s">
        <v>6</v>
      </c>
      <c r="C13" t="s">
        <v>59</v>
      </c>
      <c r="D13" t="s">
        <v>92</v>
      </c>
    </row>
    <row r="14" spans="1:7" x14ac:dyDescent="0.35">
      <c r="A14" t="s">
        <v>93</v>
      </c>
      <c r="C14" t="s">
        <v>75</v>
      </c>
      <c r="D14" t="s">
        <v>94</v>
      </c>
    </row>
    <row r="15" spans="1:7" x14ac:dyDescent="0.35">
      <c r="A15" t="s">
        <v>95</v>
      </c>
      <c r="C15" t="s">
        <v>64</v>
      </c>
      <c r="D15" t="s">
        <v>68</v>
      </c>
    </row>
    <row r="16" spans="1:7" x14ac:dyDescent="0.35">
      <c r="A16" t="s">
        <v>96</v>
      </c>
      <c r="C16" t="s">
        <v>82</v>
      </c>
      <c r="D16" t="s">
        <v>97</v>
      </c>
    </row>
    <row r="17" spans="1:4" x14ac:dyDescent="0.35">
      <c r="A17" t="s">
        <v>98</v>
      </c>
      <c r="C17" t="s">
        <v>78</v>
      </c>
      <c r="D17" t="s">
        <v>99</v>
      </c>
    </row>
    <row r="18" spans="1:4" x14ac:dyDescent="0.35">
      <c r="A18" t="s">
        <v>5</v>
      </c>
      <c r="C18" t="s">
        <v>64</v>
      </c>
      <c r="D18" t="s">
        <v>88</v>
      </c>
    </row>
    <row r="19" spans="1:4" x14ac:dyDescent="0.35">
      <c r="A19" t="s">
        <v>100</v>
      </c>
      <c r="C19" t="s">
        <v>101</v>
      </c>
      <c r="D19" t="s">
        <v>102</v>
      </c>
    </row>
    <row r="20" spans="1:4" x14ac:dyDescent="0.35">
      <c r="A20" t="s">
        <v>103</v>
      </c>
      <c r="C20" t="s">
        <v>88</v>
      </c>
      <c r="D20" t="s">
        <v>104</v>
      </c>
    </row>
    <row r="21" spans="1:4" x14ac:dyDescent="0.35">
      <c r="A21" t="s">
        <v>105</v>
      </c>
      <c r="C21" t="s">
        <v>88</v>
      </c>
      <c r="D21" t="s">
        <v>106</v>
      </c>
    </row>
    <row r="22" spans="1:4" x14ac:dyDescent="0.35">
      <c r="A22" t="s">
        <v>107</v>
      </c>
      <c r="C22" t="s">
        <v>65</v>
      </c>
      <c r="D22" t="s">
        <v>108</v>
      </c>
    </row>
    <row r="23" spans="1:4" x14ac:dyDescent="0.35">
      <c r="A23" t="s">
        <v>109</v>
      </c>
      <c r="C23" t="s">
        <v>59</v>
      </c>
      <c r="D23" t="s">
        <v>110</v>
      </c>
    </row>
    <row r="24" spans="1:4" x14ac:dyDescent="0.35">
      <c r="A24" t="s">
        <v>111</v>
      </c>
      <c r="C24" t="s">
        <v>88</v>
      </c>
      <c r="D24" t="s">
        <v>112</v>
      </c>
    </row>
    <row r="25" spans="1:4" x14ac:dyDescent="0.35">
      <c r="A25" t="s">
        <v>113</v>
      </c>
      <c r="C25" t="s">
        <v>88</v>
      </c>
      <c r="D25" t="s">
        <v>114</v>
      </c>
    </row>
    <row r="26" spans="1:4" x14ac:dyDescent="0.35">
      <c r="A26" t="s">
        <v>115</v>
      </c>
      <c r="C26" t="s">
        <v>88</v>
      </c>
      <c r="D26" t="s">
        <v>116</v>
      </c>
    </row>
    <row r="27" spans="1:4" x14ac:dyDescent="0.35">
      <c r="A27" t="s">
        <v>117</v>
      </c>
      <c r="C27" t="s">
        <v>78</v>
      </c>
      <c r="D27" t="s">
        <v>118</v>
      </c>
    </row>
    <row r="28" spans="1:4" x14ac:dyDescent="0.35">
      <c r="A28" t="s">
        <v>119</v>
      </c>
      <c r="C28" t="s">
        <v>120</v>
      </c>
      <c r="D28" t="s">
        <v>121</v>
      </c>
    </row>
    <row r="29" spans="1:4" x14ac:dyDescent="0.35">
      <c r="A29" t="s">
        <v>122</v>
      </c>
      <c r="C29" t="s">
        <v>64</v>
      </c>
      <c r="D29" t="s">
        <v>101</v>
      </c>
    </row>
    <row r="30" spans="1:4" x14ac:dyDescent="0.35">
      <c r="A30" t="s">
        <v>123</v>
      </c>
      <c r="C30" t="s">
        <v>124</v>
      </c>
      <c r="D30" t="s">
        <v>125</v>
      </c>
    </row>
    <row r="31" spans="1:4" x14ac:dyDescent="0.35">
      <c r="A31" t="s">
        <v>126</v>
      </c>
      <c r="C31" t="s">
        <v>59</v>
      </c>
      <c r="D31" t="s">
        <v>124</v>
      </c>
    </row>
    <row r="32" spans="1:4" x14ac:dyDescent="0.35">
      <c r="A32" t="s">
        <v>127</v>
      </c>
      <c r="C32" t="s">
        <v>91</v>
      </c>
      <c r="D32" t="s">
        <v>128</v>
      </c>
    </row>
    <row r="33" spans="1:4" x14ac:dyDescent="0.35">
      <c r="A33" t="s">
        <v>129</v>
      </c>
      <c r="C33" t="s">
        <v>92</v>
      </c>
      <c r="D33" t="s">
        <v>59</v>
      </c>
    </row>
    <row r="34" spans="1:4" x14ac:dyDescent="0.35">
      <c r="A34" t="s">
        <v>130</v>
      </c>
      <c r="C34" t="s">
        <v>64</v>
      </c>
      <c r="D34" t="s">
        <v>131</v>
      </c>
    </row>
    <row r="35" spans="1:4" x14ac:dyDescent="0.35">
      <c r="A35" t="s">
        <v>132</v>
      </c>
      <c r="C35" t="s">
        <v>64</v>
      </c>
      <c r="D35" t="s">
        <v>120</v>
      </c>
    </row>
    <row r="36" spans="1:4" x14ac:dyDescent="0.35">
      <c r="A36" t="s">
        <v>133</v>
      </c>
      <c r="C36" t="s">
        <v>110</v>
      </c>
      <c r="D36" t="s">
        <v>60</v>
      </c>
    </row>
    <row r="37" spans="1:4" x14ac:dyDescent="0.35">
      <c r="A37" t="s">
        <v>134</v>
      </c>
      <c r="C37" t="s">
        <v>99</v>
      </c>
      <c r="D37" t="s">
        <v>75</v>
      </c>
    </row>
    <row r="38" spans="1:4" x14ac:dyDescent="0.35">
      <c r="A38" t="s">
        <v>135</v>
      </c>
      <c r="C38" t="s">
        <v>97</v>
      </c>
      <c r="D38" t="s">
        <v>136</v>
      </c>
    </row>
    <row r="39" spans="1:4" x14ac:dyDescent="0.35">
      <c r="A39" t="s">
        <v>137</v>
      </c>
      <c r="C39" t="s">
        <v>120</v>
      </c>
      <c r="D39" t="s">
        <v>138</v>
      </c>
    </row>
    <row r="40" spans="1:4" x14ac:dyDescent="0.35">
      <c r="A40" t="s">
        <v>139</v>
      </c>
      <c r="C40" t="s">
        <v>64</v>
      </c>
      <c r="D40" t="s">
        <v>140</v>
      </c>
    </row>
    <row r="41" spans="1:4" x14ac:dyDescent="0.35">
      <c r="A41" t="s">
        <v>141</v>
      </c>
      <c r="C41" t="s">
        <v>59</v>
      </c>
      <c r="D41" t="s">
        <v>142</v>
      </c>
    </row>
    <row r="42" spans="1:4" x14ac:dyDescent="0.35">
      <c r="A42" t="s">
        <v>143</v>
      </c>
      <c r="C42" t="s">
        <v>140</v>
      </c>
      <c r="D42" t="s">
        <v>144</v>
      </c>
    </row>
    <row r="43" spans="1:4" x14ac:dyDescent="0.35">
      <c r="A43" t="s">
        <v>145</v>
      </c>
      <c r="C43" t="s">
        <v>146</v>
      </c>
      <c r="D43" t="s">
        <v>147</v>
      </c>
    </row>
    <row r="44" spans="1:4" x14ac:dyDescent="0.35">
      <c r="C44" t="s">
        <v>99</v>
      </c>
      <c r="D44" t="s">
        <v>148</v>
      </c>
    </row>
    <row r="45" spans="1:4" x14ac:dyDescent="0.35">
      <c r="C45" t="s">
        <v>142</v>
      </c>
      <c r="D45" t="s">
        <v>78</v>
      </c>
    </row>
    <row r="46" spans="1:4" x14ac:dyDescent="0.35">
      <c r="C46" t="s">
        <v>136</v>
      </c>
      <c r="D46" t="s">
        <v>149</v>
      </c>
    </row>
    <row r="47" spans="1:4" x14ac:dyDescent="0.35">
      <c r="C47" t="s">
        <v>85</v>
      </c>
      <c r="D47" t="s">
        <v>146</v>
      </c>
    </row>
    <row r="48" spans="1:4" x14ac:dyDescent="0.35">
      <c r="C48" t="s">
        <v>59</v>
      </c>
      <c r="D48" t="s">
        <v>175</v>
      </c>
    </row>
    <row r="49" spans="3:3" x14ac:dyDescent="0.35">
      <c r="C49" t="s">
        <v>99</v>
      </c>
    </row>
    <row r="50" spans="3:3" x14ac:dyDescent="0.35">
      <c r="C50" t="s">
        <v>75</v>
      </c>
    </row>
    <row r="51" spans="3:3" x14ac:dyDescent="0.35">
      <c r="C51" t="s">
        <v>140</v>
      </c>
    </row>
    <row r="52" spans="3:3" x14ac:dyDescent="0.35">
      <c r="C52" t="s">
        <v>64</v>
      </c>
    </row>
    <row r="53" spans="3:3" x14ac:dyDescent="0.35">
      <c r="C53" t="s">
        <v>88</v>
      </c>
    </row>
    <row r="54" spans="3:3" x14ac:dyDescent="0.35">
      <c r="C54" t="s">
        <v>88</v>
      </c>
    </row>
    <row r="55" spans="3:3" x14ac:dyDescent="0.35">
      <c r="C55" t="s">
        <v>121</v>
      </c>
    </row>
    <row r="56" spans="3:3" x14ac:dyDescent="0.35">
      <c r="C56" t="s">
        <v>88</v>
      </c>
    </row>
    <row r="57" spans="3:3" x14ac:dyDescent="0.35">
      <c r="C57" t="s">
        <v>64</v>
      </c>
    </row>
    <row r="58" spans="3:3" x14ac:dyDescent="0.35">
      <c r="C58" t="s">
        <v>88</v>
      </c>
    </row>
    <row r="59" spans="3:3" x14ac:dyDescent="0.35">
      <c r="C59" t="s">
        <v>78</v>
      </c>
    </row>
    <row r="60" spans="3:3" x14ac:dyDescent="0.35">
      <c r="C60" t="s">
        <v>88</v>
      </c>
    </row>
    <row r="61" spans="3:3" x14ac:dyDescent="0.35">
      <c r="C61" t="s">
        <v>78</v>
      </c>
    </row>
    <row r="62" spans="3:3" x14ac:dyDescent="0.35">
      <c r="C62" t="s">
        <v>88</v>
      </c>
    </row>
    <row r="63" spans="3:3" x14ac:dyDescent="0.35">
      <c r="C63" t="s">
        <v>120</v>
      </c>
    </row>
    <row r="64" spans="3:3" x14ac:dyDescent="0.35">
      <c r="C64" t="s">
        <v>64</v>
      </c>
    </row>
    <row r="65" spans="3:3" x14ac:dyDescent="0.35">
      <c r="C65" t="s">
        <v>59</v>
      </c>
    </row>
    <row r="66" spans="3:3" x14ac:dyDescent="0.35">
      <c r="C66" t="s">
        <v>144</v>
      </c>
    </row>
    <row r="67" spans="3:3" x14ac:dyDescent="0.35">
      <c r="C67" t="s">
        <v>144</v>
      </c>
    </row>
    <row r="68" spans="3:3" x14ac:dyDescent="0.35">
      <c r="C68" t="s">
        <v>144</v>
      </c>
    </row>
    <row r="69" spans="3:3" x14ac:dyDescent="0.35">
      <c r="C69" t="s">
        <v>82</v>
      </c>
    </row>
    <row r="70" spans="3:3" x14ac:dyDescent="0.35">
      <c r="C70" t="s">
        <v>64</v>
      </c>
    </row>
    <row r="71" spans="3:3" x14ac:dyDescent="0.35">
      <c r="C71" t="s">
        <v>116</v>
      </c>
    </row>
    <row r="72" spans="3:3" x14ac:dyDescent="0.35">
      <c r="C72" t="s">
        <v>102</v>
      </c>
    </row>
    <row r="73" spans="3:3" x14ac:dyDescent="0.35">
      <c r="C73" t="s">
        <v>120</v>
      </c>
    </row>
    <row r="74" spans="3:3" x14ac:dyDescent="0.35">
      <c r="C74" t="s">
        <v>64</v>
      </c>
    </row>
    <row r="75" spans="3:3" x14ac:dyDescent="0.35">
      <c r="C75" t="s">
        <v>124</v>
      </c>
    </row>
    <row r="76" spans="3:3" x14ac:dyDescent="0.35">
      <c r="C76" t="s">
        <v>64</v>
      </c>
    </row>
    <row r="77" spans="3:3" x14ac:dyDescent="0.35">
      <c r="C77" t="s">
        <v>59</v>
      </c>
    </row>
    <row r="78" spans="3:3" x14ac:dyDescent="0.35">
      <c r="C78" t="s">
        <v>120</v>
      </c>
    </row>
    <row r="79" spans="3:3" x14ac:dyDescent="0.35">
      <c r="C79" t="s">
        <v>64</v>
      </c>
    </row>
    <row r="80" spans="3:3" x14ac:dyDescent="0.35">
      <c r="C80" t="s">
        <v>64</v>
      </c>
    </row>
    <row r="81" spans="3:3" x14ac:dyDescent="0.35">
      <c r="C81" t="s">
        <v>108</v>
      </c>
    </row>
    <row r="82" spans="3:3" x14ac:dyDescent="0.35">
      <c r="C82" t="s">
        <v>131</v>
      </c>
    </row>
    <row r="83" spans="3:3" x14ac:dyDescent="0.35">
      <c r="C83" t="s">
        <v>64</v>
      </c>
    </row>
    <row r="84" spans="3:3" x14ac:dyDescent="0.35">
      <c r="C84" t="s">
        <v>59</v>
      </c>
    </row>
    <row r="85" spans="3:3" x14ac:dyDescent="0.35">
      <c r="C85" t="s">
        <v>146</v>
      </c>
    </row>
    <row r="86" spans="3:3" x14ac:dyDescent="0.35">
      <c r="C86" t="s">
        <v>140</v>
      </c>
    </row>
    <row r="87" spans="3:3" x14ac:dyDescent="0.35">
      <c r="C87" t="s">
        <v>138</v>
      </c>
    </row>
    <row r="88" spans="3:3" x14ac:dyDescent="0.35">
      <c r="C88" t="s">
        <v>106</v>
      </c>
    </row>
    <row r="89" spans="3:3" x14ac:dyDescent="0.35">
      <c r="C89" t="s">
        <v>79</v>
      </c>
    </row>
    <row r="90" spans="3:3" x14ac:dyDescent="0.35">
      <c r="C90" t="s">
        <v>88</v>
      </c>
    </row>
    <row r="91" spans="3:3" x14ac:dyDescent="0.35">
      <c r="C91" t="s">
        <v>136</v>
      </c>
    </row>
    <row r="92" spans="3:3" x14ac:dyDescent="0.35">
      <c r="C92" t="s">
        <v>59</v>
      </c>
    </row>
    <row r="93" spans="3:3" x14ac:dyDescent="0.35">
      <c r="C93" t="s">
        <v>120</v>
      </c>
    </row>
    <row r="94" spans="3:3" x14ac:dyDescent="0.35">
      <c r="C94" t="s">
        <v>64</v>
      </c>
    </row>
    <row r="95" spans="3:3" x14ac:dyDescent="0.35">
      <c r="C95" t="s">
        <v>120</v>
      </c>
    </row>
    <row r="96" spans="3:3" x14ac:dyDescent="0.35">
      <c r="C96" t="s">
        <v>64</v>
      </c>
    </row>
    <row r="97" spans="3:3" x14ac:dyDescent="0.35">
      <c r="C97" t="s">
        <v>64</v>
      </c>
    </row>
    <row r="98" spans="3:3" x14ac:dyDescent="0.35">
      <c r="C98" t="s">
        <v>94</v>
      </c>
    </row>
    <row r="99" spans="3:3" x14ac:dyDescent="0.35">
      <c r="C99" t="s">
        <v>147</v>
      </c>
    </row>
    <row r="100" spans="3:3" x14ac:dyDescent="0.35">
      <c r="C100" t="s">
        <v>146</v>
      </c>
    </row>
    <row r="101" spans="3:3" x14ac:dyDescent="0.35">
      <c r="C101" t="s">
        <v>114</v>
      </c>
    </row>
    <row r="102" spans="3:3" x14ac:dyDescent="0.35">
      <c r="C102" t="s">
        <v>59</v>
      </c>
    </row>
    <row r="103" spans="3:3" x14ac:dyDescent="0.35">
      <c r="C103" t="s">
        <v>112</v>
      </c>
    </row>
    <row r="104" spans="3:3" x14ac:dyDescent="0.35">
      <c r="C104" t="s">
        <v>118</v>
      </c>
    </row>
    <row r="105" spans="3:3" x14ac:dyDescent="0.35">
      <c r="C105" t="s">
        <v>120</v>
      </c>
    </row>
    <row r="106" spans="3:3" x14ac:dyDescent="0.35">
      <c r="C106" t="s">
        <v>64</v>
      </c>
    </row>
    <row r="107" spans="3:3" x14ac:dyDescent="0.35">
      <c r="C107" t="s">
        <v>69</v>
      </c>
    </row>
    <row r="108" spans="3:3" x14ac:dyDescent="0.35">
      <c r="C108" t="s">
        <v>88</v>
      </c>
    </row>
    <row r="109" spans="3:3" x14ac:dyDescent="0.35">
      <c r="C109" t="s">
        <v>120</v>
      </c>
    </row>
    <row r="110" spans="3:3" x14ac:dyDescent="0.35">
      <c r="C110" t="s">
        <v>72</v>
      </c>
    </row>
    <row r="111" spans="3:3" x14ac:dyDescent="0.35">
      <c r="C111" t="s">
        <v>72</v>
      </c>
    </row>
    <row r="112" spans="3:3" x14ac:dyDescent="0.35">
      <c r="C112" t="s">
        <v>59</v>
      </c>
    </row>
    <row r="113" spans="3:3" x14ac:dyDescent="0.35">
      <c r="C113" t="s">
        <v>64</v>
      </c>
    </row>
    <row r="114" spans="3:3" x14ac:dyDescent="0.35">
      <c r="C114" t="s">
        <v>104</v>
      </c>
    </row>
    <row r="115" spans="3:3" x14ac:dyDescent="0.35">
      <c r="C115" t="s">
        <v>88</v>
      </c>
    </row>
    <row r="116" spans="3:3" x14ac:dyDescent="0.35">
      <c r="C116" t="s">
        <v>88</v>
      </c>
    </row>
    <row r="117" spans="3:3" x14ac:dyDescent="0.35">
      <c r="C117" t="s">
        <v>148</v>
      </c>
    </row>
    <row r="118" spans="3:3" x14ac:dyDescent="0.35">
      <c r="C118" t="s">
        <v>64</v>
      </c>
    </row>
    <row r="119" spans="3:3" x14ac:dyDescent="0.35">
      <c r="C119" t="s">
        <v>61</v>
      </c>
    </row>
    <row r="120" spans="3:3" x14ac:dyDescent="0.35">
      <c r="C120" t="s">
        <v>147</v>
      </c>
    </row>
    <row r="121" spans="3:3" x14ac:dyDescent="0.35">
      <c r="C121" t="s">
        <v>124</v>
      </c>
    </row>
    <row r="122" spans="3:3" x14ac:dyDescent="0.35">
      <c r="C122" t="s">
        <v>64</v>
      </c>
    </row>
    <row r="123" spans="3:3" x14ac:dyDescent="0.35">
      <c r="C123" t="s">
        <v>149</v>
      </c>
    </row>
    <row r="124" spans="3:3" x14ac:dyDescent="0.35">
      <c r="C124" t="s">
        <v>59</v>
      </c>
    </row>
    <row r="125" spans="3:3" x14ac:dyDescent="0.35">
      <c r="C125" t="s">
        <v>120</v>
      </c>
    </row>
    <row r="126" spans="3:3" x14ac:dyDescent="0.35">
      <c r="C126" t="s">
        <v>64</v>
      </c>
    </row>
    <row r="127" spans="3:3" x14ac:dyDescent="0.35">
      <c r="C127" t="s">
        <v>128</v>
      </c>
    </row>
    <row r="128" spans="3:3" x14ac:dyDescent="0.35">
      <c r="C128" t="s">
        <v>125</v>
      </c>
    </row>
    <row r="129" spans="3:3" x14ac:dyDescent="0.35">
      <c r="C129" t="s">
        <v>138</v>
      </c>
    </row>
    <row r="130" spans="3:3" x14ac:dyDescent="0.35">
      <c r="C130" t="s">
        <v>72</v>
      </c>
    </row>
    <row r="131" spans="3:3" x14ac:dyDescent="0.35">
      <c r="C131" t="s">
        <v>59</v>
      </c>
    </row>
    <row r="132" spans="3:3" x14ac:dyDescent="0.35">
      <c r="C132" t="s">
        <v>89</v>
      </c>
    </row>
    <row r="133" spans="3:3" x14ac:dyDescent="0.35">
      <c r="C133" t="s">
        <v>146</v>
      </c>
    </row>
    <row r="134" spans="3:3" x14ac:dyDescent="0.35">
      <c r="C134" t="s">
        <v>138</v>
      </c>
    </row>
    <row r="135" spans="3:3" x14ac:dyDescent="0.35">
      <c r="C135" t="s">
        <v>138</v>
      </c>
    </row>
    <row r="136" spans="3:3" x14ac:dyDescent="0.35">
      <c r="C136" t="s">
        <v>138</v>
      </c>
    </row>
  </sheetData>
  <pageMargins left="0.7" right="0.7" top="0.75" bottom="0.75" header="0.511811023622047" footer="0.511811023622047"/>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
  <sheetViews>
    <sheetView zoomScaleNormal="100" workbookViewId="0">
      <selection activeCell="F5" sqref="F5"/>
    </sheetView>
  </sheetViews>
  <sheetFormatPr baseColWidth="10" defaultColWidth="10.54296875" defaultRowHeight="14.5" x14ac:dyDescent="0.35"/>
  <sheetData>
    <row r="1" spans="2:2" x14ac:dyDescent="0.35">
      <c r="B1">
        <f ca="1">RANDBETWEEN(1,5)</f>
        <v>5</v>
      </c>
    </row>
  </sheetData>
  <pageMargins left="0.7" right="0.7" top="0.75" bottom="0.75" header="0.511811023622047" footer="0.511811023622047"/>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136"/>
  <sheetViews>
    <sheetView zoomScaleNormal="100" workbookViewId="0"/>
  </sheetViews>
  <sheetFormatPr baseColWidth="10" defaultColWidth="9.1796875" defaultRowHeight="14.5" x14ac:dyDescent="0.35"/>
  <sheetData>
    <row r="1" spans="1:1" x14ac:dyDescent="0.35">
      <c r="A1" t="s">
        <v>56</v>
      </c>
    </row>
    <row r="2" spans="1:1" x14ac:dyDescent="0.35">
      <c r="A2" t="s">
        <v>59</v>
      </c>
    </row>
    <row r="3" spans="1:1" x14ac:dyDescent="0.35">
      <c r="A3" t="s">
        <v>60</v>
      </c>
    </row>
    <row r="4" spans="1:1" x14ac:dyDescent="0.35">
      <c r="A4" t="s">
        <v>64</v>
      </c>
    </row>
    <row r="5" spans="1:1" x14ac:dyDescent="0.35">
      <c r="A5" t="s">
        <v>68</v>
      </c>
    </row>
    <row r="6" spans="1:1" x14ac:dyDescent="0.35">
      <c r="A6" t="s">
        <v>68</v>
      </c>
    </row>
    <row r="7" spans="1:1" x14ac:dyDescent="0.35">
      <c r="A7" t="s">
        <v>75</v>
      </c>
    </row>
    <row r="8" spans="1:1" x14ac:dyDescent="0.35">
      <c r="A8" t="s">
        <v>78</v>
      </c>
    </row>
    <row r="9" spans="1:1" x14ac:dyDescent="0.35">
      <c r="A9" t="s">
        <v>78</v>
      </c>
    </row>
    <row r="10" spans="1:1" x14ac:dyDescent="0.35">
      <c r="A10" t="s">
        <v>78</v>
      </c>
    </row>
    <row r="11" spans="1:1" x14ac:dyDescent="0.35">
      <c r="A11" t="s">
        <v>88</v>
      </c>
    </row>
    <row r="12" spans="1:1" x14ac:dyDescent="0.35">
      <c r="A12" t="s">
        <v>88</v>
      </c>
    </row>
    <row r="13" spans="1:1" x14ac:dyDescent="0.35">
      <c r="A13" t="s">
        <v>59</v>
      </c>
    </row>
    <row r="14" spans="1:1" x14ac:dyDescent="0.35">
      <c r="A14" t="s">
        <v>75</v>
      </c>
    </row>
    <row r="15" spans="1:1" x14ac:dyDescent="0.35">
      <c r="A15" t="s">
        <v>64</v>
      </c>
    </row>
    <row r="16" spans="1:1" x14ac:dyDescent="0.35">
      <c r="A16" t="s">
        <v>82</v>
      </c>
    </row>
    <row r="17" spans="1:1" x14ac:dyDescent="0.35">
      <c r="A17" t="s">
        <v>78</v>
      </c>
    </row>
    <row r="18" spans="1:1" x14ac:dyDescent="0.35">
      <c r="A18" t="s">
        <v>64</v>
      </c>
    </row>
    <row r="19" spans="1:1" x14ac:dyDescent="0.35">
      <c r="A19" t="s">
        <v>101</v>
      </c>
    </row>
    <row r="20" spans="1:1" x14ac:dyDescent="0.35">
      <c r="A20" t="s">
        <v>88</v>
      </c>
    </row>
    <row r="21" spans="1:1" x14ac:dyDescent="0.35">
      <c r="A21" t="s">
        <v>88</v>
      </c>
    </row>
    <row r="22" spans="1:1" x14ac:dyDescent="0.35">
      <c r="A22" t="s">
        <v>65</v>
      </c>
    </row>
    <row r="23" spans="1:1" x14ac:dyDescent="0.35">
      <c r="A23" t="s">
        <v>59</v>
      </c>
    </row>
    <row r="24" spans="1:1" x14ac:dyDescent="0.35">
      <c r="A24" t="s">
        <v>88</v>
      </c>
    </row>
    <row r="25" spans="1:1" x14ac:dyDescent="0.35">
      <c r="A25" t="s">
        <v>88</v>
      </c>
    </row>
    <row r="26" spans="1:1" x14ac:dyDescent="0.35">
      <c r="A26" t="s">
        <v>88</v>
      </c>
    </row>
    <row r="27" spans="1:1" x14ac:dyDescent="0.35">
      <c r="A27" t="s">
        <v>78</v>
      </c>
    </row>
    <row r="28" spans="1:1" x14ac:dyDescent="0.35">
      <c r="A28" t="s">
        <v>120</v>
      </c>
    </row>
    <row r="29" spans="1:1" x14ac:dyDescent="0.35">
      <c r="A29" t="s">
        <v>64</v>
      </c>
    </row>
    <row r="30" spans="1:1" x14ac:dyDescent="0.35">
      <c r="A30" t="s">
        <v>124</v>
      </c>
    </row>
    <row r="31" spans="1:1" x14ac:dyDescent="0.35">
      <c r="A31" t="s">
        <v>59</v>
      </c>
    </row>
    <row r="32" spans="1:1" x14ac:dyDescent="0.35">
      <c r="A32" t="s">
        <v>91</v>
      </c>
    </row>
    <row r="33" spans="1:1" x14ac:dyDescent="0.35">
      <c r="A33" t="s">
        <v>92</v>
      </c>
    </row>
    <row r="34" spans="1:1" x14ac:dyDescent="0.35">
      <c r="A34" t="s">
        <v>64</v>
      </c>
    </row>
    <row r="35" spans="1:1" x14ac:dyDescent="0.35">
      <c r="A35" t="s">
        <v>64</v>
      </c>
    </row>
    <row r="36" spans="1:1" x14ac:dyDescent="0.35">
      <c r="A36" t="s">
        <v>110</v>
      </c>
    </row>
    <row r="37" spans="1:1" x14ac:dyDescent="0.35">
      <c r="A37" t="s">
        <v>99</v>
      </c>
    </row>
    <row r="38" spans="1:1" x14ac:dyDescent="0.35">
      <c r="A38" t="s">
        <v>97</v>
      </c>
    </row>
    <row r="39" spans="1:1" x14ac:dyDescent="0.35">
      <c r="A39" t="s">
        <v>120</v>
      </c>
    </row>
    <row r="40" spans="1:1" x14ac:dyDescent="0.35">
      <c r="A40" t="s">
        <v>64</v>
      </c>
    </row>
    <row r="41" spans="1:1" x14ac:dyDescent="0.35">
      <c r="A41" t="s">
        <v>59</v>
      </c>
    </row>
    <row r="42" spans="1:1" x14ac:dyDescent="0.35">
      <c r="A42" t="s">
        <v>140</v>
      </c>
    </row>
    <row r="43" spans="1:1" x14ac:dyDescent="0.35">
      <c r="A43" t="s">
        <v>146</v>
      </c>
    </row>
    <row r="44" spans="1:1" x14ac:dyDescent="0.35">
      <c r="A44" t="s">
        <v>99</v>
      </c>
    </row>
    <row r="45" spans="1:1" x14ac:dyDescent="0.35">
      <c r="A45" t="s">
        <v>142</v>
      </c>
    </row>
    <row r="46" spans="1:1" x14ac:dyDescent="0.35">
      <c r="A46" t="s">
        <v>136</v>
      </c>
    </row>
    <row r="47" spans="1:1" x14ac:dyDescent="0.35">
      <c r="A47" t="s">
        <v>85</v>
      </c>
    </row>
    <row r="48" spans="1:1" x14ac:dyDescent="0.35">
      <c r="A48" t="s">
        <v>59</v>
      </c>
    </row>
    <row r="49" spans="1:1" x14ac:dyDescent="0.35">
      <c r="A49" t="s">
        <v>99</v>
      </c>
    </row>
    <row r="50" spans="1:1" x14ac:dyDescent="0.35">
      <c r="A50" t="s">
        <v>75</v>
      </c>
    </row>
    <row r="51" spans="1:1" x14ac:dyDescent="0.35">
      <c r="A51" t="s">
        <v>140</v>
      </c>
    </row>
    <row r="52" spans="1:1" x14ac:dyDescent="0.35">
      <c r="A52" t="s">
        <v>64</v>
      </c>
    </row>
    <row r="53" spans="1:1" x14ac:dyDescent="0.35">
      <c r="A53" t="s">
        <v>88</v>
      </c>
    </row>
    <row r="54" spans="1:1" x14ac:dyDescent="0.35">
      <c r="A54" t="s">
        <v>88</v>
      </c>
    </row>
    <row r="55" spans="1:1" x14ac:dyDescent="0.35">
      <c r="A55" t="s">
        <v>121</v>
      </c>
    </row>
    <row r="56" spans="1:1" x14ac:dyDescent="0.35">
      <c r="A56" t="s">
        <v>88</v>
      </c>
    </row>
    <row r="57" spans="1:1" x14ac:dyDescent="0.35">
      <c r="A57" t="s">
        <v>64</v>
      </c>
    </row>
    <row r="58" spans="1:1" x14ac:dyDescent="0.35">
      <c r="A58" t="s">
        <v>88</v>
      </c>
    </row>
    <row r="59" spans="1:1" x14ac:dyDescent="0.35">
      <c r="A59" t="s">
        <v>78</v>
      </c>
    </row>
    <row r="60" spans="1:1" x14ac:dyDescent="0.35">
      <c r="A60" t="s">
        <v>88</v>
      </c>
    </row>
    <row r="61" spans="1:1" x14ac:dyDescent="0.35">
      <c r="A61" t="s">
        <v>78</v>
      </c>
    </row>
    <row r="62" spans="1:1" x14ac:dyDescent="0.35">
      <c r="A62" t="s">
        <v>88</v>
      </c>
    </row>
    <row r="63" spans="1:1" x14ac:dyDescent="0.35">
      <c r="A63" t="s">
        <v>120</v>
      </c>
    </row>
    <row r="64" spans="1:1" x14ac:dyDescent="0.35">
      <c r="A64" t="s">
        <v>64</v>
      </c>
    </row>
    <row r="65" spans="1:1" x14ac:dyDescent="0.35">
      <c r="A65" t="s">
        <v>59</v>
      </c>
    </row>
    <row r="66" spans="1:1" x14ac:dyDescent="0.35">
      <c r="A66" t="s">
        <v>144</v>
      </c>
    </row>
    <row r="67" spans="1:1" x14ac:dyDescent="0.35">
      <c r="A67" t="s">
        <v>144</v>
      </c>
    </row>
    <row r="68" spans="1:1" x14ac:dyDescent="0.35">
      <c r="A68" t="s">
        <v>144</v>
      </c>
    </row>
    <row r="69" spans="1:1" x14ac:dyDescent="0.35">
      <c r="A69" t="s">
        <v>82</v>
      </c>
    </row>
    <row r="70" spans="1:1" x14ac:dyDescent="0.35">
      <c r="A70" t="s">
        <v>64</v>
      </c>
    </row>
    <row r="71" spans="1:1" x14ac:dyDescent="0.35">
      <c r="A71" t="s">
        <v>116</v>
      </c>
    </row>
    <row r="72" spans="1:1" x14ac:dyDescent="0.35">
      <c r="A72" t="s">
        <v>102</v>
      </c>
    </row>
    <row r="73" spans="1:1" x14ac:dyDescent="0.35">
      <c r="A73" t="s">
        <v>120</v>
      </c>
    </row>
    <row r="74" spans="1:1" x14ac:dyDescent="0.35">
      <c r="A74" t="s">
        <v>64</v>
      </c>
    </row>
    <row r="75" spans="1:1" x14ac:dyDescent="0.35">
      <c r="A75" t="s">
        <v>124</v>
      </c>
    </row>
    <row r="76" spans="1:1" x14ac:dyDescent="0.35">
      <c r="A76" t="s">
        <v>64</v>
      </c>
    </row>
    <row r="77" spans="1:1" x14ac:dyDescent="0.35">
      <c r="A77" t="s">
        <v>59</v>
      </c>
    </row>
    <row r="78" spans="1:1" x14ac:dyDescent="0.35">
      <c r="A78" t="s">
        <v>120</v>
      </c>
    </row>
    <row r="79" spans="1:1" x14ac:dyDescent="0.35">
      <c r="A79" t="s">
        <v>64</v>
      </c>
    </row>
    <row r="80" spans="1:1" x14ac:dyDescent="0.35">
      <c r="A80" t="s">
        <v>64</v>
      </c>
    </row>
    <row r="81" spans="1:1" x14ac:dyDescent="0.35">
      <c r="A81" t="s">
        <v>108</v>
      </c>
    </row>
    <row r="82" spans="1:1" x14ac:dyDescent="0.35">
      <c r="A82" t="s">
        <v>131</v>
      </c>
    </row>
    <row r="83" spans="1:1" x14ac:dyDescent="0.35">
      <c r="A83" t="s">
        <v>64</v>
      </c>
    </row>
    <row r="84" spans="1:1" x14ac:dyDescent="0.35">
      <c r="A84" t="s">
        <v>59</v>
      </c>
    </row>
    <row r="85" spans="1:1" x14ac:dyDescent="0.35">
      <c r="A85" t="s">
        <v>146</v>
      </c>
    </row>
    <row r="86" spans="1:1" x14ac:dyDescent="0.35">
      <c r="A86" t="s">
        <v>140</v>
      </c>
    </row>
    <row r="87" spans="1:1" x14ac:dyDescent="0.35">
      <c r="A87" t="s">
        <v>138</v>
      </c>
    </row>
    <row r="88" spans="1:1" x14ac:dyDescent="0.35">
      <c r="A88" t="s">
        <v>106</v>
      </c>
    </row>
    <row r="89" spans="1:1" x14ac:dyDescent="0.35">
      <c r="A89" t="s">
        <v>79</v>
      </c>
    </row>
    <row r="90" spans="1:1" x14ac:dyDescent="0.35">
      <c r="A90" t="s">
        <v>88</v>
      </c>
    </row>
    <row r="91" spans="1:1" x14ac:dyDescent="0.35">
      <c r="A91" t="s">
        <v>136</v>
      </c>
    </row>
    <row r="92" spans="1:1" x14ac:dyDescent="0.35">
      <c r="A92" t="s">
        <v>59</v>
      </c>
    </row>
    <row r="93" spans="1:1" x14ac:dyDescent="0.35">
      <c r="A93" t="s">
        <v>120</v>
      </c>
    </row>
    <row r="94" spans="1:1" x14ac:dyDescent="0.35">
      <c r="A94" t="s">
        <v>64</v>
      </c>
    </row>
    <row r="95" spans="1:1" x14ac:dyDescent="0.35">
      <c r="A95" t="s">
        <v>120</v>
      </c>
    </row>
    <row r="96" spans="1:1" x14ac:dyDescent="0.35">
      <c r="A96" t="s">
        <v>64</v>
      </c>
    </row>
    <row r="97" spans="1:1" x14ac:dyDescent="0.35">
      <c r="A97" t="s">
        <v>64</v>
      </c>
    </row>
    <row r="98" spans="1:1" x14ac:dyDescent="0.35">
      <c r="A98" t="s">
        <v>94</v>
      </c>
    </row>
    <row r="99" spans="1:1" x14ac:dyDescent="0.35">
      <c r="A99" t="s">
        <v>147</v>
      </c>
    </row>
    <row r="100" spans="1:1" x14ac:dyDescent="0.35">
      <c r="A100" t="s">
        <v>146</v>
      </c>
    </row>
    <row r="101" spans="1:1" x14ac:dyDescent="0.35">
      <c r="A101" t="s">
        <v>114</v>
      </c>
    </row>
    <row r="102" spans="1:1" x14ac:dyDescent="0.35">
      <c r="A102" t="s">
        <v>59</v>
      </c>
    </row>
    <row r="103" spans="1:1" x14ac:dyDescent="0.35">
      <c r="A103" t="s">
        <v>112</v>
      </c>
    </row>
    <row r="104" spans="1:1" x14ac:dyDescent="0.35">
      <c r="A104" t="s">
        <v>118</v>
      </c>
    </row>
    <row r="105" spans="1:1" x14ac:dyDescent="0.35">
      <c r="A105" t="s">
        <v>120</v>
      </c>
    </row>
    <row r="106" spans="1:1" x14ac:dyDescent="0.35">
      <c r="A106" t="s">
        <v>64</v>
      </c>
    </row>
    <row r="107" spans="1:1" x14ac:dyDescent="0.35">
      <c r="A107" t="s">
        <v>69</v>
      </c>
    </row>
    <row r="108" spans="1:1" x14ac:dyDescent="0.35">
      <c r="A108" t="s">
        <v>88</v>
      </c>
    </row>
    <row r="109" spans="1:1" x14ac:dyDescent="0.35">
      <c r="A109" t="s">
        <v>120</v>
      </c>
    </row>
    <row r="110" spans="1:1" x14ac:dyDescent="0.35">
      <c r="A110" t="s">
        <v>72</v>
      </c>
    </row>
    <row r="111" spans="1:1" x14ac:dyDescent="0.35">
      <c r="A111" t="s">
        <v>72</v>
      </c>
    </row>
    <row r="112" spans="1:1" x14ac:dyDescent="0.35">
      <c r="A112" t="s">
        <v>59</v>
      </c>
    </row>
    <row r="113" spans="1:1" x14ac:dyDescent="0.35">
      <c r="A113" t="s">
        <v>64</v>
      </c>
    </row>
    <row r="114" spans="1:1" x14ac:dyDescent="0.35">
      <c r="A114" t="s">
        <v>104</v>
      </c>
    </row>
    <row r="115" spans="1:1" x14ac:dyDescent="0.35">
      <c r="A115" t="s">
        <v>88</v>
      </c>
    </row>
    <row r="116" spans="1:1" x14ac:dyDescent="0.35">
      <c r="A116" t="s">
        <v>88</v>
      </c>
    </row>
    <row r="117" spans="1:1" x14ac:dyDescent="0.35">
      <c r="A117" t="s">
        <v>148</v>
      </c>
    </row>
    <row r="118" spans="1:1" x14ac:dyDescent="0.35">
      <c r="A118" t="s">
        <v>64</v>
      </c>
    </row>
    <row r="119" spans="1:1" x14ac:dyDescent="0.35">
      <c r="A119" t="s">
        <v>61</v>
      </c>
    </row>
    <row r="120" spans="1:1" x14ac:dyDescent="0.35">
      <c r="A120" t="s">
        <v>147</v>
      </c>
    </row>
    <row r="121" spans="1:1" x14ac:dyDescent="0.35">
      <c r="A121" t="s">
        <v>124</v>
      </c>
    </row>
    <row r="122" spans="1:1" x14ac:dyDescent="0.35">
      <c r="A122" t="s">
        <v>64</v>
      </c>
    </row>
    <row r="123" spans="1:1" x14ac:dyDescent="0.35">
      <c r="A123" t="s">
        <v>149</v>
      </c>
    </row>
    <row r="124" spans="1:1" x14ac:dyDescent="0.35">
      <c r="A124" t="s">
        <v>59</v>
      </c>
    </row>
    <row r="125" spans="1:1" x14ac:dyDescent="0.35">
      <c r="A125" t="s">
        <v>120</v>
      </c>
    </row>
    <row r="126" spans="1:1" x14ac:dyDescent="0.35">
      <c r="A126" t="s">
        <v>64</v>
      </c>
    </row>
    <row r="127" spans="1:1" x14ac:dyDescent="0.35">
      <c r="A127" t="s">
        <v>128</v>
      </c>
    </row>
    <row r="128" spans="1:1" x14ac:dyDescent="0.35">
      <c r="A128" t="s">
        <v>125</v>
      </c>
    </row>
    <row r="129" spans="1:1" x14ac:dyDescent="0.35">
      <c r="A129" t="s">
        <v>138</v>
      </c>
    </row>
    <row r="130" spans="1:1" x14ac:dyDescent="0.35">
      <c r="A130" t="s">
        <v>72</v>
      </c>
    </row>
    <row r="131" spans="1:1" x14ac:dyDescent="0.35">
      <c r="A131" t="s">
        <v>59</v>
      </c>
    </row>
    <row r="132" spans="1:1" x14ac:dyDescent="0.35">
      <c r="A132" t="s">
        <v>89</v>
      </c>
    </row>
    <row r="133" spans="1:1" x14ac:dyDescent="0.35">
      <c r="A133" t="s">
        <v>146</v>
      </c>
    </row>
    <row r="134" spans="1:1" x14ac:dyDescent="0.35">
      <c r="A134" t="s">
        <v>138</v>
      </c>
    </row>
    <row r="135" spans="1:1" x14ac:dyDescent="0.35">
      <c r="A135" t="s">
        <v>138</v>
      </c>
    </row>
    <row r="136" spans="1:1" x14ac:dyDescent="0.35">
      <c r="A136" t="s">
        <v>138</v>
      </c>
    </row>
  </sheetData>
  <pageMargins left="0.78749999999999998" right="0.78749999999999998" top="1.05277777777778" bottom="1.05277777777778" header="0.78749999999999998" footer="0.78749999999999998"/>
  <pageSetup orientation="portrait" horizontalDpi="300" verticalDpi="300"/>
  <headerFooter>
    <oddHeader>&amp;C&amp;"Times New Roman,Normal"&amp;12&amp;Kffffff&amp;A</oddHeader>
    <oddFooter>&amp;C&amp;"Times New Roman,Normal"&amp;12&amp;KffffffPágina &amp;P</oddFooter>
  </headerFooter>
</worksheet>
</file>

<file path=docProps/app.xml><?xml version="1.0" encoding="utf-8"?>
<Properties xmlns="http://schemas.openxmlformats.org/officeDocument/2006/extended-properties" xmlns:vt="http://schemas.openxmlformats.org/officeDocument/2006/docPropsVTypes">
  <Template/>
  <TotalTime>17</TotalTime>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Hoja2</vt:lpstr>
      <vt:lpstr>DS</vt:lpstr>
      <vt:lpstr>perfil</vt:lpstr>
      <vt:lpstr>Hoja3</vt:lpstr>
      <vt:lpstr>Listas</vt:lpstr>
      <vt:lpstr>Hoja1</vt:lpstr>
      <vt:lpstr>DPCache_Listas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Sol de Negocio</dc:creator>
  <dc:description/>
  <cp:lastModifiedBy>Licencia Office</cp:lastModifiedBy>
  <cp:revision>5</cp:revision>
  <cp:lastPrinted>2024-04-01T23:29:24Z</cp:lastPrinted>
  <dcterms:created xsi:type="dcterms:W3CDTF">2024-03-15T00:49:45Z</dcterms:created>
  <dcterms:modified xsi:type="dcterms:W3CDTF">2026-03-11T16:33:55Z</dcterms:modified>
  <dc:language>es-MX</dc:language>
</cp:coreProperties>
</file>