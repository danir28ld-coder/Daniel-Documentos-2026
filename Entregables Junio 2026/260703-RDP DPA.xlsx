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Daniel Robles\Desktop\DTA-DPA\Documentacion  RDP\"/>
    </mc:Choice>
  </mc:AlternateContent>
  <xr:revisionPtr revIDLastSave="0" documentId="13_ncr:1_{343DC47A-A61B-4C73-A7B8-918CF9010618}" xr6:coauthVersionLast="47" xr6:coauthVersionMax="47" xr10:uidLastSave="{00000000-0000-0000-0000-000000000000}"/>
  <bookViews>
    <workbookView xWindow="-110" yWindow="-110" windowWidth="19420" windowHeight="10300" tabRatio="500" firstSheet="2" activeTab="3" xr2:uid="{00000000-000D-0000-FFFF-FFFF00000000}"/>
  </bookViews>
  <sheets>
    <sheet name="Instrucciones" sheetId="1" r:id="rId1"/>
    <sheet name="Versionamiento" sheetId="2" r:id="rId2"/>
    <sheet name="ListadoCP DPA" sheetId="17" r:id="rId3"/>
    <sheet name="Casos de Prueba DPA" sheetId="13" r:id="rId4"/>
    <sheet name="Devops" sheetId="7" r:id="rId5"/>
    <sheet name="Devops_Carga" sheetId="9" r:id="rId6"/>
    <sheet name="Firmas Conformidad" sheetId="5" r:id="rId7"/>
    <sheet name="Encabezado" sheetId="6" r:id="rId8"/>
  </sheets>
  <definedNames>
    <definedName name="_xlnm.Print_Area" localSheetId="0">Instrucciones!$A$13:$N$30</definedName>
    <definedName name="_xlnm.Print_Area" localSheetId="1">Versionamiento!$A$12:$N$12</definedName>
    <definedName name="_xlnm.Print_Titles" localSheetId="3">'Casos de Prueba DPA'!$1:$9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74" i="7" l="1"/>
  <c r="F75" i="7"/>
  <c r="D73" i="7"/>
  <c r="E73" i="7" s="1"/>
  <c r="D74" i="7"/>
  <c r="E74" i="7" s="1"/>
  <c r="D75" i="7"/>
  <c r="E75" i="7" s="1"/>
  <c r="D76" i="7"/>
  <c r="E76" i="7" s="1"/>
  <c r="D77" i="7"/>
  <c r="E77" i="7" s="1"/>
  <c r="D72" i="7"/>
  <c r="E72" i="7" s="1"/>
  <c r="D78" i="7"/>
  <c r="E78" i="7" s="1"/>
  <c r="D67" i="7"/>
  <c r="E67" i="7" s="1"/>
  <c r="D68" i="7"/>
  <c r="E68" i="7" s="1"/>
  <c r="D69" i="7"/>
  <c r="E69" i="7" s="1"/>
  <c r="D70" i="7"/>
  <c r="E70" i="7" s="1"/>
  <c r="D71" i="7"/>
  <c r="E71" i="7" s="1"/>
  <c r="G20" i="7"/>
  <c r="H20" i="7" s="1"/>
  <c r="D19" i="7"/>
  <c r="E19" i="7" s="1"/>
  <c r="F35" i="7"/>
  <c r="D55" i="7"/>
  <c r="E55" i="7" s="1"/>
  <c r="D56" i="7"/>
  <c r="E56" i="7" s="1"/>
  <c r="D57" i="7"/>
  <c r="E57" i="7" s="1"/>
  <c r="D58" i="7"/>
  <c r="E58" i="7" s="1"/>
  <c r="D59" i="7"/>
  <c r="E59" i="7" s="1"/>
  <c r="D60" i="7"/>
  <c r="E60" i="7" s="1"/>
  <c r="D61" i="7"/>
  <c r="E61" i="7" s="1"/>
  <c r="D62" i="7"/>
  <c r="E62" i="7" s="1"/>
  <c r="D63" i="7"/>
  <c r="E63" i="7" s="1"/>
  <c r="D64" i="7"/>
  <c r="E64" i="7" s="1"/>
  <c r="D65" i="7"/>
  <c r="E65" i="7" s="1"/>
  <c r="D66" i="7"/>
  <c r="E66" i="7" s="1"/>
  <c r="D79" i="7"/>
  <c r="E79" i="7" s="1"/>
  <c r="D80" i="7"/>
  <c r="E80" i="7" s="1"/>
  <c r="D81" i="7"/>
  <c r="E81" i="7" s="1"/>
  <c r="D82" i="7"/>
  <c r="E82" i="7" s="1"/>
  <c r="D83" i="7"/>
  <c r="E83" i="7" s="1"/>
  <c r="D84" i="7"/>
  <c r="E84" i="7" s="1"/>
  <c r="D85" i="7"/>
  <c r="E85" i="7" s="1"/>
  <c r="D86" i="7"/>
  <c r="E86" i="7" s="1"/>
  <c r="D87" i="7"/>
  <c r="E87" i="7" s="1"/>
  <c r="D88" i="7"/>
  <c r="E88" i="7" s="1"/>
  <c r="D89" i="7"/>
  <c r="E89" i="7" s="1"/>
  <c r="D90" i="7"/>
  <c r="E90" i="7" s="1"/>
  <c r="D91" i="7"/>
  <c r="E91" i="7" s="1"/>
  <c r="D92" i="7"/>
  <c r="E92" i="7" s="1"/>
  <c r="D93" i="7"/>
  <c r="E93" i="7" s="1"/>
  <c r="D94" i="7"/>
  <c r="E94" i="7" s="1"/>
  <c r="D95" i="7"/>
  <c r="E95" i="7" s="1"/>
  <c r="D96" i="7"/>
  <c r="E96" i="7" s="1"/>
  <c r="D97" i="7"/>
  <c r="E97" i="7" s="1"/>
  <c r="D98" i="7"/>
  <c r="E98" i="7" s="1"/>
  <c r="D99" i="7"/>
  <c r="E99" i="7" s="1"/>
  <c r="D100" i="7"/>
  <c r="E100" i="7" s="1"/>
  <c r="D101" i="7"/>
  <c r="E101" i="7" s="1"/>
  <c r="D102" i="7"/>
  <c r="E102" i="7" s="1"/>
  <c r="D103" i="7"/>
  <c r="E103" i="7" s="1"/>
  <c r="D104" i="7"/>
  <c r="E104" i="7" s="1"/>
  <c r="D105" i="7"/>
  <c r="E105" i="7" s="1"/>
  <c r="D106" i="7"/>
  <c r="E106" i="7" s="1"/>
  <c r="D107" i="7"/>
  <c r="E107" i="7" s="1"/>
  <c r="D108" i="7"/>
  <c r="E108" i="7" s="1"/>
  <c r="D109" i="7"/>
  <c r="E109" i="7" s="1"/>
  <c r="D110" i="7"/>
  <c r="E110" i="7" s="1"/>
  <c r="D111" i="7"/>
  <c r="E111" i="7" s="1"/>
  <c r="D112" i="7"/>
  <c r="E112" i="7" s="1"/>
  <c r="D113" i="7"/>
  <c r="E113" i="7" s="1"/>
  <c r="D114" i="7"/>
  <c r="E114" i="7" s="1"/>
  <c r="D115" i="7"/>
  <c r="E115" i="7" s="1"/>
  <c r="D116" i="7"/>
  <c r="E116" i="7" s="1"/>
  <c r="D117" i="7"/>
  <c r="E117" i="7" s="1"/>
  <c r="D118" i="7"/>
  <c r="E118" i="7" s="1"/>
  <c r="D119" i="7"/>
  <c r="E119" i="7" s="1"/>
  <c r="D120" i="7"/>
  <c r="E120" i="7" s="1"/>
  <c r="D121" i="7"/>
  <c r="E121" i="7" s="1"/>
  <c r="D122" i="7"/>
  <c r="E122" i="7" s="1"/>
  <c r="D123" i="7"/>
  <c r="E123" i="7" s="1"/>
  <c r="D124" i="7"/>
  <c r="E124" i="7" s="1"/>
  <c r="D125" i="7"/>
  <c r="E125" i="7" s="1"/>
  <c r="D126" i="7"/>
  <c r="E126" i="7" s="1"/>
  <c r="D127" i="7"/>
  <c r="E127" i="7" s="1"/>
  <c r="D128" i="7"/>
  <c r="E128" i="7" s="1"/>
  <c r="D129" i="7"/>
  <c r="E129" i="7" s="1"/>
  <c r="D130" i="7"/>
  <c r="E130" i="7" s="1"/>
  <c r="D131" i="7"/>
  <c r="E131" i="7" s="1"/>
  <c r="D132" i="7"/>
  <c r="E132" i="7" s="1"/>
  <c r="D133" i="7"/>
  <c r="E133" i="7" s="1"/>
  <c r="D134" i="7"/>
  <c r="E134" i="7" s="1"/>
  <c r="D135" i="7"/>
  <c r="E135" i="7" s="1"/>
  <c r="D136" i="7"/>
  <c r="E136" i="7" s="1"/>
  <c r="D137" i="7"/>
  <c r="E137" i="7" s="1"/>
  <c r="D138" i="7"/>
  <c r="E138" i="7" s="1"/>
  <c r="D139" i="7"/>
  <c r="E139" i="7" s="1"/>
  <c r="D140" i="7"/>
  <c r="E140" i="7" s="1"/>
  <c r="D141" i="7"/>
  <c r="E141" i="7" s="1"/>
  <c r="D142" i="7"/>
  <c r="E142" i="7" s="1"/>
  <c r="D143" i="7"/>
  <c r="E143" i="7" s="1"/>
  <c r="D144" i="7"/>
  <c r="E144" i="7" s="1"/>
  <c r="D145" i="7"/>
  <c r="E145" i="7" s="1"/>
  <c r="D146" i="7"/>
  <c r="E146" i="7" s="1"/>
  <c r="D147" i="7"/>
  <c r="E147" i="7" s="1"/>
  <c r="D148" i="7"/>
  <c r="E148" i="7" s="1"/>
  <c r="D149" i="7"/>
  <c r="E149" i="7" s="1"/>
  <c r="D150" i="7"/>
  <c r="E150" i="7" s="1"/>
  <c r="D151" i="7"/>
  <c r="E151" i="7" s="1"/>
  <c r="D152" i="7"/>
  <c r="E152" i="7" s="1"/>
  <c r="D153" i="7"/>
  <c r="E153" i="7" s="1"/>
  <c r="D154" i="7"/>
  <c r="E154" i="7" s="1"/>
  <c r="D155" i="7"/>
  <c r="E155" i="7" s="1"/>
  <c r="D156" i="7"/>
  <c r="E156" i="7" s="1"/>
  <c r="D157" i="7"/>
  <c r="E157" i="7" s="1"/>
  <c r="D158" i="7"/>
  <c r="E158" i="7" s="1"/>
  <c r="D159" i="7"/>
  <c r="E159" i="7" s="1"/>
  <c r="D160" i="7"/>
  <c r="E160" i="7" s="1"/>
  <c r="D161" i="7"/>
  <c r="E161" i="7" s="1"/>
  <c r="D162" i="7"/>
  <c r="E162" i="7" s="1"/>
  <c r="D163" i="7"/>
  <c r="E163" i="7" s="1"/>
  <c r="D164" i="7"/>
  <c r="E164" i="7" s="1"/>
  <c r="D165" i="7"/>
  <c r="E165" i="7" s="1"/>
  <c r="D166" i="7"/>
  <c r="E166" i="7" s="1"/>
  <c r="D167" i="7"/>
  <c r="E167" i="7" s="1"/>
  <c r="D168" i="7"/>
  <c r="E168" i="7" s="1"/>
  <c r="D169" i="7"/>
  <c r="E169" i="7" s="1"/>
  <c r="D170" i="7"/>
  <c r="E170" i="7" s="1"/>
  <c r="D171" i="7"/>
  <c r="E171" i="7" s="1"/>
  <c r="D172" i="7"/>
  <c r="E172" i="7" s="1"/>
  <c r="D173" i="7"/>
  <c r="E173" i="7" s="1"/>
  <c r="D174" i="7"/>
  <c r="E174" i="7" s="1"/>
  <c r="D175" i="7"/>
  <c r="E175" i="7" s="1"/>
  <c r="D176" i="7"/>
  <c r="E176" i="7" s="1"/>
  <c r="D177" i="7"/>
  <c r="E177" i="7" s="1"/>
  <c r="D178" i="7"/>
  <c r="E178" i="7" s="1"/>
  <c r="D179" i="7"/>
  <c r="E179" i="7" s="1"/>
  <c r="D180" i="7"/>
  <c r="E180" i="7" s="1"/>
  <c r="D181" i="7"/>
  <c r="E181" i="7" s="1"/>
  <c r="D182" i="7"/>
  <c r="E182" i="7" s="1"/>
  <c r="D183" i="7"/>
  <c r="E183" i="7" s="1"/>
  <c r="D184" i="7"/>
  <c r="E184" i="7" s="1"/>
  <c r="D185" i="7"/>
  <c r="E185" i="7" s="1"/>
  <c r="D186" i="7"/>
  <c r="E186" i="7" s="1"/>
  <c r="D187" i="7"/>
  <c r="E187" i="7" s="1"/>
  <c r="D188" i="7"/>
  <c r="E188" i="7" s="1"/>
  <c r="D189" i="7"/>
  <c r="E189" i="7" s="1"/>
  <c r="D190" i="7"/>
  <c r="E190" i="7" s="1"/>
  <c r="D191" i="7"/>
  <c r="E191" i="7" s="1"/>
  <c r="D192" i="7"/>
  <c r="E192" i="7" s="1"/>
  <c r="D193" i="7"/>
  <c r="E193" i="7" s="1"/>
  <c r="D194" i="7"/>
  <c r="E194" i="7" s="1"/>
  <c r="D195" i="7"/>
  <c r="E195" i="7" s="1"/>
  <c r="D196" i="7"/>
  <c r="E196" i="7" s="1"/>
  <c r="D197" i="7"/>
  <c r="E197" i="7" s="1"/>
  <c r="D198" i="7"/>
  <c r="E198" i="7" s="1"/>
  <c r="D199" i="7"/>
  <c r="E199" i="7" s="1"/>
  <c r="D200" i="7"/>
  <c r="E200" i="7" s="1"/>
  <c r="D201" i="7"/>
  <c r="E201" i="7" s="1"/>
  <c r="D202" i="7"/>
  <c r="E202" i="7" s="1"/>
  <c r="D203" i="7"/>
  <c r="E203" i="7" s="1"/>
  <c r="D204" i="7"/>
  <c r="E204" i="7" s="1"/>
  <c r="D205" i="7"/>
  <c r="E205" i="7" s="1"/>
  <c r="D206" i="7"/>
  <c r="E206" i="7" s="1"/>
  <c r="D207" i="7"/>
  <c r="E207" i="7" s="1"/>
  <c r="D208" i="7"/>
  <c r="E208" i="7" s="1"/>
  <c r="D209" i="7"/>
  <c r="E209" i="7" s="1"/>
  <c r="D210" i="7"/>
  <c r="E210" i="7" s="1"/>
  <c r="D211" i="7"/>
  <c r="E211" i="7" s="1"/>
  <c r="D212" i="7"/>
  <c r="E212" i="7" s="1"/>
  <c r="D213" i="7"/>
  <c r="E213" i="7" s="1"/>
  <c r="D214" i="7"/>
  <c r="E214" i="7" s="1"/>
  <c r="D50" i="7"/>
  <c r="E50" i="7" s="1"/>
  <c r="D51" i="7"/>
  <c r="E51" i="7" s="1"/>
  <c r="D52" i="7"/>
  <c r="E52" i="7" s="1"/>
  <c r="D53" i="7"/>
  <c r="E53" i="7" s="1"/>
  <c r="D54" i="7"/>
  <c r="E54" i="7" s="1"/>
  <c r="D44" i="7"/>
  <c r="E44" i="7" s="1"/>
  <c r="D45" i="7"/>
  <c r="E45" i="7" s="1"/>
  <c r="D46" i="7"/>
  <c r="E46" i="7" s="1"/>
  <c r="D47" i="7"/>
  <c r="E47" i="7" s="1"/>
  <c r="D48" i="7"/>
  <c r="E48" i="7" s="1"/>
  <c r="D49" i="7"/>
  <c r="E49" i="7" s="1"/>
  <c r="D38" i="7"/>
  <c r="E38" i="7" s="1"/>
  <c r="D39" i="7"/>
  <c r="E39" i="7" s="1"/>
  <c r="D40" i="7"/>
  <c r="E40" i="7" s="1"/>
  <c r="D41" i="7"/>
  <c r="E41" i="7" s="1"/>
  <c r="D42" i="7"/>
  <c r="E42" i="7" s="1"/>
  <c r="D43" i="7"/>
  <c r="E43" i="7" s="1"/>
  <c r="D20" i="7"/>
  <c r="D21" i="7"/>
  <c r="E21" i="7" s="1"/>
  <c r="D22" i="7"/>
  <c r="E22" i="7" s="1"/>
  <c r="D23" i="7"/>
  <c r="E23" i="7" s="1"/>
  <c r="D24" i="7"/>
  <c r="E24" i="7" s="1"/>
  <c r="D25" i="7"/>
  <c r="E25" i="7" s="1"/>
  <c r="D26" i="7"/>
  <c r="E26" i="7" s="1"/>
  <c r="D27" i="7"/>
  <c r="E27" i="7" s="1"/>
  <c r="D28" i="7"/>
  <c r="E28" i="7" s="1"/>
  <c r="D29" i="7"/>
  <c r="E29" i="7" s="1"/>
  <c r="D30" i="7"/>
  <c r="E30" i="7" s="1"/>
  <c r="D31" i="7"/>
  <c r="E31" i="7" s="1"/>
  <c r="D32" i="7"/>
  <c r="E32" i="7" s="1"/>
  <c r="D33" i="7"/>
  <c r="E33" i="7" s="1"/>
  <c r="D34" i="7"/>
  <c r="E34" i="7" s="1"/>
  <c r="D35" i="7"/>
  <c r="E35" i="7" s="1"/>
  <c r="D36" i="7"/>
  <c r="E36" i="7" s="1"/>
  <c r="D37" i="7"/>
  <c r="E37" i="7" s="1"/>
  <c r="F171" i="7"/>
  <c r="G100" i="7"/>
  <c r="H100" i="7" s="1"/>
  <c r="G25" i="7"/>
  <c r="H25" i="7" s="1"/>
  <c r="F26" i="7"/>
  <c r="G26" i="7"/>
  <c r="H26" i="7" s="1"/>
  <c r="F27" i="7"/>
  <c r="G27" i="7"/>
  <c r="H27" i="7" s="1"/>
  <c r="F28" i="7"/>
  <c r="G28" i="7"/>
  <c r="H28" i="7" s="1"/>
  <c r="F29" i="7"/>
  <c r="G29" i="7"/>
  <c r="H29" i="7" s="1"/>
  <c r="F30" i="7"/>
  <c r="G30" i="7"/>
  <c r="H30" i="7" s="1"/>
  <c r="G31" i="7"/>
  <c r="H31" i="7" s="1"/>
  <c r="F32" i="7"/>
  <c r="G32" i="7"/>
  <c r="H32" i="7" s="1"/>
  <c r="F33" i="7"/>
  <c r="G33" i="7"/>
  <c r="H33" i="7" s="1"/>
  <c r="F34" i="7"/>
  <c r="G34" i="7"/>
  <c r="H34" i="7" s="1"/>
  <c r="G35" i="7"/>
  <c r="H35" i="7" s="1"/>
  <c r="F36" i="7"/>
  <c r="G36" i="7"/>
  <c r="H36" i="7" s="1"/>
  <c r="G37" i="7"/>
  <c r="H37" i="7" s="1"/>
  <c r="F38" i="7"/>
  <c r="G38" i="7"/>
  <c r="H38" i="7" s="1"/>
  <c r="F39" i="7"/>
  <c r="G39" i="7"/>
  <c r="H39" i="7" s="1"/>
  <c r="F40" i="7"/>
  <c r="G40" i="7"/>
  <c r="H40" i="7" s="1"/>
  <c r="F41" i="7"/>
  <c r="G41" i="7"/>
  <c r="H41" i="7" s="1"/>
  <c r="F42" i="7"/>
  <c r="G42" i="7"/>
  <c r="H42" i="7" s="1"/>
  <c r="G43" i="7"/>
  <c r="H43" i="7" s="1"/>
  <c r="F44" i="7"/>
  <c r="G44" i="7"/>
  <c r="H44" i="7" s="1"/>
  <c r="F45" i="7"/>
  <c r="G45" i="7"/>
  <c r="H45" i="7" s="1"/>
  <c r="G46" i="7"/>
  <c r="H46" i="7" s="1"/>
  <c r="F47" i="7"/>
  <c r="G47" i="7"/>
  <c r="H47" i="7" s="1"/>
  <c r="F48" i="7"/>
  <c r="G48" i="7"/>
  <c r="H48" i="7" s="1"/>
  <c r="F49" i="7"/>
  <c r="G49" i="7"/>
  <c r="H49" i="7" s="1"/>
  <c r="F50" i="7"/>
  <c r="G50" i="7"/>
  <c r="H50" i="7" s="1"/>
  <c r="F51" i="7"/>
  <c r="G51" i="7"/>
  <c r="H51" i="7" s="1"/>
  <c r="G52" i="7"/>
  <c r="H52" i="7" s="1"/>
  <c r="F53" i="7"/>
  <c r="G53" i="7"/>
  <c r="H53" i="7" s="1"/>
  <c r="F54" i="7"/>
  <c r="G54" i="7"/>
  <c r="H54" i="7" s="1"/>
  <c r="F55" i="7"/>
  <c r="G55" i="7"/>
  <c r="H55" i="7" s="1"/>
  <c r="F56" i="7"/>
  <c r="G56" i="7"/>
  <c r="H56" i="7" s="1"/>
  <c r="F57" i="7"/>
  <c r="G57" i="7"/>
  <c r="H57" i="7" s="1"/>
  <c r="F58" i="7"/>
  <c r="G58" i="7"/>
  <c r="H58" i="7" s="1"/>
  <c r="G59" i="7"/>
  <c r="H59" i="7" s="1"/>
  <c r="F60" i="7"/>
  <c r="G60" i="7"/>
  <c r="H60" i="7" s="1"/>
  <c r="F61" i="7"/>
  <c r="G61" i="7"/>
  <c r="H61" i="7" s="1"/>
  <c r="F62" i="7"/>
  <c r="G62" i="7"/>
  <c r="H62" i="7" s="1"/>
  <c r="F63" i="7"/>
  <c r="G63" i="7"/>
  <c r="H63" i="7" s="1"/>
  <c r="F64" i="7"/>
  <c r="G64" i="7"/>
  <c r="H64" i="7" s="1"/>
  <c r="F65" i="7"/>
  <c r="G65" i="7"/>
  <c r="H65" i="7" s="1"/>
  <c r="G66" i="7"/>
  <c r="H66" i="7" s="1"/>
  <c r="F67" i="7"/>
  <c r="G67" i="7"/>
  <c r="H67" i="7" s="1"/>
  <c r="F68" i="7"/>
  <c r="G68" i="7"/>
  <c r="H68" i="7" s="1"/>
  <c r="F69" i="7"/>
  <c r="G69" i="7"/>
  <c r="H69" i="7" s="1"/>
  <c r="F70" i="7"/>
  <c r="G70" i="7"/>
  <c r="H70" i="7" s="1"/>
  <c r="F71" i="7"/>
  <c r="G71" i="7"/>
  <c r="H71" i="7" s="1"/>
  <c r="F72" i="7"/>
  <c r="G72" i="7"/>
  <c r="H72" i="7" s="1"/>
  <c r="G73" i="7"/>
  <c r="H73" i="7" s="1"/>
  <c r="G74" i="7"/>
  <c r="H74" i="7" s="1"/>
  <c r="G75" i="7"/>
  <c r="H75" i="7" s="1"/>
  <c r="F76" i="7"/>
  <c r="G76" i="7"/>
  <c r="H76" i="7" s="1"/>
  <c r="F77" i="7"/>
  <c r="G77" i="7"/>
  <c r="H77" i="7" s="1"/>
  <c r="F78" i="7"/>
  <c r="G78" i="7"/>
  <c r="H78" i="7" s="1"/>
  <c r="F79" i="7"/>
  <c r="G79" i="7"/>
  <c r="H79" i="7" s="1"/>
  <c r="G80" i="7"/>
  <c r="H80" i="7" s="1"/>
  <c r="F81" i="7"/>
  <c r="G81" i="7"/>
  <c r="H81" i="7" s="1"/>
  <c r="F82" i="7"/>
  <c r="G82" i="7"/>
  <c r="H82" i="7" s="1"/>
  <c r="F83" i="7"/>
  <c r="G83" i="7"/>
  <c r="H83" i="7" s="1"/>
  <c r="F84" i="7"/>
  <c r="G84" i="7"/>
  <c r="H84" i="7" s="1"/>
  <c r="F85" i="7"/>
  <c r="G85" i="7"/>
  <c r="H85" i="7" s="1"/>
  <c r="F86" i="7"/>
  <c r="G86" i="7"/>
  <c r="H86" i="7" s="1"/>
  <c r="F87" i="7"/>
  <c r="G87" i="7"/>
  <c r="H87" i="7" s="1"/>
  <c r="G88" i="7"/>
  <c r="H88" i="7" s="1"/>
  <c r="F89" i="7"/>
  <c r="G89" i="7"/>
  <c r="H89" i="7" s="1"/>
  <c r="F90" i="7"/>
  <c r="G90" i="7"/>
  <c r="H90" i="7" s="1"/>
  <c r="F91" i="7"/>
  <c r="G91" i="7"/>
  <c r="H91" i="7" s="1"/>
  <c r="F92" i="7"/>
  <c r="G92" i="7"/>
  <c r="H92" i="7" s="1"/>
  <c r="F93" i="7"/>
  <c r="G93" i="7"/>
  <c r="H93" i="7" s="1"/>
  <c r="F94" i="7"/>
  <c r="G94" i="7"/>
  <c r="H94" i="7" s="1"/>
  <c r="F95" i="7"/>
  <c r="G95" i="7"/>
  <c r="H95" i="7" s="1"/>
  <c r="G96" i="7"/>
  <c r="H96" i="7" s="1"/>
  <c r="F97" i="7"/>
  <c r="G97" i="7"/>
  <c r="H97" i="7" s="1"/>
  <c r="F98" i="7"/>
  <c r="G98" i="7"/>
  <c r="H98" i="7" s="1"/>
  <c r="F99" i="7"/>
  <c r="G99" i="7"/>
  <c r="H99" i="7" s="1"/>
  <c r="F100" i="7"/>
  <c r="F101" i="7"/>
  <c r="G101" i="7"/>
  <c r="H101" i="7" s="1"/>
  <c r="F102" i="7"/>
  <c r="G102" i="7"/>
  <c r="H102" i="7" s="1"/>
  <c r="F103" i="7"/>
  <c r="G103" i="7"/>
  <c r="H103" i="7" s="1"/>
  <c r="G104" i="7"/>
  <c r="H104" i="7" s="1"/>
  <c r="F105" i="7"/>
  <c r="G105" i="7"/>
  <c r="H105" i="7" s="1"/>
  <c r="F106" i="7"/>
  <c r="G106" i="7"/>
  <c r="H106" i="7" s="1"/>
  <c r="F107" i="7"/>
  <c r="G107" i="7"/>
  <c r="H107" i="7" s="1"/>
  <c r="F108" i="7"/>
  <c r="G108" i="7"/>
  <c r="H108" i="7" s="1"/>
  <c r="F109" i="7"/>
  <c r="G109" i="7"/>
  <c r="H109" i="7" s="1"/>
  <c r="F110" i="7"/>
  <c r="G110" i="7"/>
  <c r="H110" i="7" s="1"/>
  <c r="F111" i="7"/>
  <c r="G111" i="7"/>
  <c r="H111" i="7" s="1"/>
  <c r="G112" i="7"/>
  <c r="H112" i="7" s="1"/>
  <c r="F113" i="7"/>
  <c r="G113" i="7"/>
  <c r="H113" i="7" s="1"/>
  <c r="F114" i="7"/>
  <c r="G114" i="7"/>
  <c r="H114" i="7" s="1"/>
  <c r="F115" i="7"/>
  <c r="G115" i="7"/>
  <c r="H115" i="7" s="1"/>
  <c r="F116" i="7"/>
  <c r="G116" i="7"/>
  <c r="H116" i="7" s="1"/>
  <c r="F117" i="7"/>
  <c r="G117" i="7"/>
  <c r="H117" i="7" s="1"/>
  <c r="F118" i="7"/>
  <c r="G118" i="7"/>
  <c r="H118" i="7" s="1"/>
  <c r="G119" i="7"/>
  <c r="H119" i="7" s="1"/>
  <c r="F120" i="7"/>
  <c r="G120" i="7"/>
  <c r="H120" i="7" s="1"/>
  <c r="F121" i="7"/>
  <c r="G121" i="7"/>
  <c r="H121" i="7" s="1"/>
  <c r="F122" i="7"/>
  <c r="G122" i="7"/>
  <c r="H122" i="7" s="1"/>
  <c r="F123" i="7"/>
  <c r="G123" i="7"/>
  <c r="H123" i="7" s="1"/>
  <c r="F124" i="7"/>
  <c r="G124" i="7"/>
  <c r="H124" i="7" s="1"/>
  <c r="F125" i="7"/>
  <c r="G125" i="7"/>
  <c r="H125" i="7" s="1"/>
  <c r="F126" i="7"/>
  <c r="G126" i="7"/>
  <c r="H126" i="7" s="1"/>
  <c r="G127" i="7"/>
  <c r="H127" i="7" s="1"/>
  <c r="F128" i="7"/>
  <c r="G128" i="7"/>
  <c r="H128" i="7" s="1"/>
  <c r="F129" i="7"/>
  <c r="G129" i="7"/>
  <c r="H129" i="7" s="1"/>
  <c r="F130" i="7"/>
  <c r="G130" i="7"/>
  <c r="H130" i="7" s="1"/>
  <c r="F131" i="7"/>
  <c r="G131" i="7"/>
  <c r="H131" i="7" s="1"/>
  <c r="F132" i="7"/>
  <c r="G132" i="7"/>
  <c r="H132" i="7" s="1"/>
  <c r="F133" i="7"/>
  <c r="G133" i="7"/>
  <c r="H133" i="7" s="1"/>
  <c r="F134" i="7"/>
  <c r="G134" i="7"/>
  <c r="H134" i="7" s="1"/>
  <c r="G135" i="7"/>
  <c r="H135" i="7" s="1"/>
  <c r="F136" i="7"/>
  <c r="G136" i="7"/>
  <c r="H136" i="7" s="1"/>
  <c r="F137" i="7"/>
  <c r="G137" i="7"/>
  <c r="H137" i="7" s="1"/>
  <c r="F138" i="7"/>
  <c r="G138" i="7"/>
  <c r="H138" i="7" s="1"/>
  <c r="F139" i="7"/>
  <c r="G139" i="7"/>
  <c r="H139" i="7" s="1"/>
  <c r="F140" i="7"/>
  <c r="G140" i="7"/>
  <c r="H140" i="7" s="1"/>
  <c r="F141" i="7"/>
  <c r="G141" i="7"/>
  <c r="H141" i="7" s="1"/>
  <c r="F142" i="7"/>
  <c r="G142" i="7"/>
  <c r="H142" i="7" s="1"/>
  <c r="G143" i="7"/>
  <c r="H143" i="7" s="1"/>
  <c r="F144" i="7"/>
  <c r="G144" i="7"/>
  <c r="H144" i="7" s="1"/>
  <c r="F145" i="7"/>
  <c r="G145" i="7"/>
  <c r="H145" i="7" s="1"/>
  <c r="F146" i="7"/>
  <c r="G146" i="7"/>
  <c r="H146" i="7" s="1"/>
  <c r="F147" i="7"/>
  <c r="G147" i="7"/>
  <c r="H147" i="7" s="1"/>
  <c r="F148" i="7"/>
  <c r="G148" i="7"/>
  <c r="H148" i="7" s="1"/>
  <c r="F149" i="7"/>
  <c r="G149" i="7"/>
  <c r="H149" i="7" s="1"/>
  <c r="F150" i="7"/>
  <c r="G150" i="7"/>
  <c r="H150" i="7" s="1"/>
  <c r="G151" i="7"/>
  <c r="H151" i="7" s="1"/>
  <c r="F152" i="7"/>
  <c r="G152" i="7"/>
  <c r="H152" i="7" s="1"/>
  <c r="F153" i="7"/>
  <c r="G153" i="7"/>
  <c r="H153" i="7" s="1"/>
  <c r="F154" i="7"/>
  <c r="G154" i="7"/>
  <c r="H154" i="7" s="1"/>
  <c r="G155" i="7"/>
  <c r="H155" i="7" s="1"/>
  <c r="F156" i="7"/>
  <c r="G156" i="7"/>
  <c r="H156" i="7" s="1"/>
  <c r="F157" i="7"/>
  <c r="G157" i="7"/>
  <c r="H157" i="7" s="1"/>
  <c r="F158" i="7"/>
  <c r="G158" i="7"/>
  <c r="H158" i="7" s="1"/>
  <c r="G159" i="7"/>
  <c r="H159" i="7" s="1"/>
  <c r="F160" i="7"/>
  <c r="G160" i="7"/>
  <c r="H160" i="7" s="1"/>
  <c r="F161" i="7"/>
  <c r="G161" i="7"/>
  <c r="H161" i="7" s="1"/>
  <c r="G162" i="7"/>
  <c r="H162" i="7" s="1"/>
  <c r="F163" i="7"/>
  <c r="G163" i="7"/>
  <c r="H163" i="7" s="1"/>
  <c r="F164" i="7"/>
  <c r="G164" i="7"/>
  <c r="H164" i="7" s="1"/>
  <c r="G165" i="7"/>
  <c r="H165" i="7" s="1"/>
  <c r="F166" i="7"/>
  <c r="G166" i="7"/>
  <c r="H166" i="7" s="1"/>
  <c r="F167" i="7"/>
  <c r="G167" i="7"/>
  <c r="H167" i="7" s="1"/>
  <c r="G168" i="7"/>
  <c r="H168" i="7" s="1"/>
  <c r="F169" i="7"/>
  <c r="G169" i="7"/>
  <c r="H169" i="7" s="1"/>
  <c r="F170" i="7"/>
  <c r="G170" i="7"/>
  <c r="H170" i="7" s="1"/>
  <c r="G171" i="7"/>
  <c r="H171" i="7" s="1"/>
  <c r="G172" i="7"/>
  <c r="H172" i="7" s="1"/>
  <c r="F173" i="7"/>
  <c r="G173" i="7"/>
  <c r="H173" i="7" s="1"/>
  <c r="F174" i="7"/>
  <c r="G174" i="7"/>
  <c r="H174" i="7" s="1"/>
  <c r="F175" i="7"/>
  <c r="G175" i="7"/>
  <c r="H175" i="7" s="1"/>
  <c r="F176" i="7"/>
  <c r="G176" i="7"/>
  <c r="H176" i="7" s="1"/>
  <c r="F177" i="7"/>
  <c r="G177" i="7"/>
  <c r="H177" i="7" s="1"/>
  <c r="F178" i="7"/>
  <c r="G178" i="7"/>
  <c r="H178" i="7" s="1"/>
  <c r="G179" i="7"/>
  <c r="H179" i="7" s="1"/>
  <c r="F180" i="7"/>
  <c r="G180" i="7"/>
  <c r="H180" i="7" s="1"/>
  <c r="F181" i="7"/>
  <c r="G181" i="7"/>
  <c r="H181" i="7" s="1"/>
  <c r="F182" i="7"/>
  <c r="G182" i="7"/>
  <c r="H182" i="7" s="1"/>
  <c r="F183" i="7"/>
  <c r="G183" i="7"/>
  <c r="H183" i="7" s="1"/>
  <c r="F184" i="7"/>
  <c r="G184" i="7"/>
  <c r="H184" i="7" s="1"/>
  <c r="F185" i="7"/>
  <c r="G185" i="7"/>
  <c r="H185" i="7" s="1"/>
  <c r="G186" i="7"/>
  <c r="H186" i="7" s="1"/>
  <c r="F187" i="7"/>
  <c r="G187" i="7"/>
  <c r="H187" i="7" s="1"/>
  <c r="F188" i="7"/>
  <c r="G188" i="7"/>
  <c r="H188" i="7" s="1"/>
  <c r="F189" i="7"/>
  <c r="G189" i="7"/>
  <c r="H189" i="7" s="1"/>
  <c r="F190" i="7"/>
  <c r="G190" i="7"/>
  <c r="H190" i="7" s="1"/>
  <c r="G191" i="7"/>
  <c r="H191" i="7" s="1"/>
  <c r="F192" i="7"/>
  <c r="G192" i="7"/>
  <c r="H192" i="7" s="1"/>
  <c r="F193" i="7"/>
  <c r="G193" i="7"/>
  <c r="H193" i="7" s="1"/>
  <c r="F194" i="7"/>
  <c r="G194" i="7"/>
  <c r="H194" i="7" s="1"/>
  <c r="F195" i="7"/>
  <c r="G195" i="7"/>
  <c r="H195" i="7" s="1"/>
  <c r="F196" i="7"/>
  <c r="G196" i="7"/>
  <c r="H196" i="7" s="1"/>
  <c r="F197" i="7"/>
  <c r="G197" i="7"/>
  <c r="H197" i="7" s="1"/>
  <c r="F198" i="7"/>
  <c r="G198" i="7"/>
  <c r="H198" i="7" s="1"/>
  <c r="G199" i="7"/>
  <c r="H199" i="7" s="1"/>
  <c r="F200" i="7"/>
  <c r="G200" i="7"/>
  <c r="H200" i="7" s="1"/>
  <c r="F201" i="7"/>
  <c r="G201" i="7"/>
  <c r="H201" i="7" s="1"/>
  <c r="F202" i="7"/>
  <c r="G202" i="7"/>
  <c r="H202" i="7" s="1"/>
  <c r="F203" i="7"/>
  <c r="G203" i="7"/>
  <c r="H203" i="7" s="1"/>
  <c r="F204" i="7"/>
  <c r="G204" i="7"/>
  <c r="H204" i="7" s="1"/>
  <c r="F205" i="7"/>
  <c r="G205" i="7"/>
  <c r="H205" i="7" s="1"/>
  <c r="F206" i="7"/>
  <c r="G206" i="7"/>
  <c r="H206" i="7" s="1"/>
  <c r="G207" i="7"/>
  <c r="H207" i="7" s="1"/>
  <c r="F208" i="7"/>
  <c r="G208" i="7"/>
  <c r="H208" i="7" s="1"/>
  <c r="F209" i="7"/>
  <c r="G209" i="7"/>
  <c r="H209" i="7" s="1"/>
  <c r="F210" i="7"/>
  <c r="G210" i="7"/>
  <c r="H210" i="7" s="1"/>
  <c r="F211" i="7"/>
  <c r="G211" i="7"/>
  <c r="H211" i="7" s="1"/>
  <c r="F212" i="7"/>
  <c r="G212" i="7"/>
  <c r="H212" i="7" s="1"/>
  <c r="F213" i="7"/>
  <c r="G213" i="7"/>
  <c r="H213" i="7" s="1"/>
  <c r="F214" i="7"/>
  <c r="G214" i="7"/>
  <c r="H214" i="7" s="1"/>
  <c r="G21" i="7"/>
  <c r="H21" i="7" s="1"/>
  <c r="G22" i="7"/>
  <c r="H22" i="7" s="1"/>
  <c r="G23" i="7"/>
  <c r="H23" i="7" s="1"/>
  <c r="G24" i="7"/>
  <c r="H24" i="7" s="1"/>
  <c r="E20" i="7"/>
  <c r="F24" i="7"/>
  <c r="F22" i="7"/>
  <c r="F23" i="7"/>
  <c r="F20" i="7"/>
  <c r="F21" i="7"/>
  <c r="H19" i="7"/>
  <c r="G19" i="7"/>
  <c r="F19" i="7"/>
</calcChain>
</file>

<file path=xl/sharedStrings.xml><?xml version="1.0" encoding="utf-8"?>
<sst xmlns="http://schemas.openxmlformats.org/spreadsheetml/2006/main" count="5069" uniqueCount="1364">
  <si>
    <r>
      <rPr>
        <b/>
        <i/>
        <sz val="10"/>
        <color rgb="FF1403EF"/>
        <rFont val="Noto Sans"/>
        <family val="2"/>
        <charset val="1"/>
      </rPr>
      <t xml:space="preserve">Objetivo: </t>
    </r>
    <r>
      <rPr>
        <i/>
        <sz val="10"/>
        <color rgb="FF1403EF"/>
        <rFont val="Noto Sans"/>
        <family val="2"/>
        <charset val="1"/>
      </rPr>
      <t>Identificar los insumos necesarios para pruebas de aceptación de usuario, a través de los casos de prueba, ambientes requeridos, especificación de los datos, cobertura de escenarios y atributos relacionados, a fin de contar con la integración de datos suficientes para la ejecución de las pruebas de la solución tecnológica con el usuario.</t>
    </r>
  </si>
  <si>
    <r>
      <rPr>
        <b/>
        <i/>
        <sz val="10"/>
        <color rgb="FF0000FF"/>
        <rFont val="Noto Sans"/>
        <family val="2"/>
        <charset val="1"/>
      </rPr>
      <t xml:space="preserve">Guía de Uso:
</t>
    </r>
    <r>
      <rPr>
        <i/>
        <sz val="10"/>
        <color rgb="FF0000FF"/>
        <rFont val="Noto Sans"/>
        <family val="2"/>
        <charset val="1"/>
      </rPr>
      <t xml:space="preserve">
1.- Las pestañas "Casos de Prueba" y "Ambientes Requeridos" serán llenadas por la Administración Central de Soluciones de Negocio (ACSN), en la Fase Análisis, Etapa Especificación Funcional.
2.- Las pestañas "Interfaz de Usuario" y "Cobertura" serán llenadas en la Fase Desarrollo por las áreas ténicas que deban participar.
En la primera también participará la ACSN en la Fase Pruebas, Etapa Pruebas Funcionales (AVL), por tema de Lineamientos Gráficos del SIAT, y para reflejar resultado de dichas pruebas.
3.- El documento está firmado por los responsables del llenado, incluyendo por el negocio cuando participa en la autorización.
4.- Si la pestaña "Casos de Prueba" incluye varias páginas, debe imprimirse sólo la página que contienen las firmas. Una vez firmado, debe digitalizarse y almacenarse en el repositorio como sustento junto con el archivo de Excel que corresponda a todo el documento.
5.- Si fuera necesario </t>
    </r>
    <r>
      <rPr>
        <b/>
        <i/>
        <sz val="10"/>
        <color rgb="FF0000FF"/>
        <rFont val="Noto Sans"/>
        <family val="2"/>
        <charset val="1"/>
      </rPr>
      <t>reservar</t>
    </r>
    <r>
      <rPr>
        <i/>
        <sz val="10"/>
        <color rgb="FF0000FF"/>
        <rFont val="Noto Sans"/>
        <family val="2"/>
        <charset val="1"/>
      </rPr>
      <t xml:space="preserve"> información generada en esta plantilla, se hará bajo lo estipulado en la Ley General de Transparencia y Acceso a la Información Pública vigente (LGTAIP), pudiendo consultar a la ACPPI para su aplicación. (Ver abajo "Nota acerca de Irformación Reservada").
6.- La aplicación de la sección de Firmas es opcional,dependiendo de las necesidades del consumidor, pero al contener temas de usuario de Negocio es importante la firma de éste.</t>
    </r>
  </si>
  <si>
    <r>
      <rPr>
        <b/>
        <i/>
        <sz val="10"/>
        <color rgb="FF0000FF"/>
        <rFont val="Noto Sans"/>
        <family val="2"/>
        <charset val="1"/>
      </rPr>
      <t xml:space="preserve">Nota acerca de Información Reservada
</t>
    </r>
    <r>
      <rPr>
        <i/>
        <sz val="10"/>
        <color rgb="FF0000FF"/>
        <rFont val="Noto Sans"/>
        <family val="2"/>
        <charset val="1"/>
      </rPr>
      <t xml:space="preserve">Es reponsabilidad de cada requisitador la identificación de la información que se genere en este formato y así determinar si se cuenta con causas que originen la reserva de la misma, apegándose estrictamente a lo señalado en los ordenamientos jurídicos vigentes en materia de Transparencia.
En caso de detectar información sensible (Reservada), se tendrá que indicar en la sección u hoja que lo amerite de este documento, en la parte inferior del texto, con la siguiente señalización:
[Área dueña de la Información </t>
    </r>
    <r>
      <rPr>
        <b/>
        <i/>
        <sz val="10"/>
        <color rgb="FF1403EF"/>
        <rFont val="Noto Sans"/>
        <family val="2"/>
        <charset val="1"/>
      </rPr>
      <t>XX</t>
    </r>
    <r>
      <rPr>
        <i/>
        <sz val="10"/>
        <color rgb="FF0000FF"/>
        <rFont val="Noto Sans"/>
        <family val="2"/>
        <charset val="1"/>
      </rPr>
      <t xml:space="preserve">, clasificada como Reservada con Fundamento Legal </t>
    </r>
    <r>
      <rPr>
        <b/>
        <i/>
        <sz val="10"/>
        <color rgb="FF0000FF"/>
        <rFont val="Noto Sans"/>
        <family val="2"/>
        <charset val="1"/>
      </rPr>
      <t>XX</t>
    </r>
    <r>
      <rPr>
        <i/>
        <sz val="10"/>
        <color rgb="FF0000FF"/>
        <rFont val="Noto Sans"/>
        <family val="2"/>
        <charset val="1"/>
      </rPr>
      <t xml:space="preserve">, Motivación </t>
    </r>
    <r>
      <rPr>
        <b/>
        <i/>
        <sz val="10"/>
        <color rgb="FF0000FF"/>
        <rFont val="Noto Sans"/>
        <family val="2"/>
        <charset val="1"/>
      </rPr>
      <t>XX</t>
    </r>
    <r>
      <rPr>
        <i/>
        <sz val="10"/>
        <color rgb="FF0000FF"/>
        <rFont val="Noto Sans"/>
        <family val="2"/>
        <charset val="1"/>
      </rPr>
      <t xml:space="preserve">, Fecha de clasificación </t>
    </r>
    <r>
      <rPr>
        <b/>
        <i/>
        <sz val="10"/>
        <color rgb="FF0000FF"/>
        <rFont val="Noto Sans"/>
        <family val="2"/>
        <charset val="1"/>
      </rPr>
      <t>XX</t>
    </r>
    <r>
      <rPr>
        <i/>
        <sz val="10"/>
        <color rgb="FF0000FF"/>
        <rFont val="Noto Sans"/>
        <family val="2"/>
        <charset val="1"/>
      </rPr>
      <t xml:space="preserve"> y Periodo de la reserva </t>
    </r>
    <r>
      <rPr>
        <b/>
        <i/>
        <sz val="10"/>
        <color rgb="FF0000FF"/>
        <rFont val="Noto Sans"/>
        <family val="2"/>
        <charset val="1"/>
      </rPr>
      <t>XX</t>
    </r>
    <r>
      <rPr>
        <i/>
        <sz val="10"/>
        <color rgb="FF0000FF"/>
        <rFont val="Noto Sans"/>
        <family val="2"/>
        <charset val="1"/>
      </rPr>
      <t xml:space="preserve">].
</t>
    </r>
    <r>
      <rPr>
        <b/>
        <i/>
        <sz val="10"/>
        <color rgb="FF0000FF"/>
        <rFont val="Noto Sans"/>
        <family val="2"/>
        <charset val="1"/>
      </rPr>
      <t>Ejemplo</t>
    </r>
    <r>
      <rPr>
        <i/>
        <sz val="10"/>
        <color rgb="FF0000FF"/>
        <rFont val="Noto Sans"/>
        <family val="2"/>
        <charset val="1"/>
      </rPr>
      <t>: "La información contenida en este documento pertenece a la Administración Central de Soluciones de Negocio, teniendo carácter de Reservada a partir del 01 de abril de 2018, con un periodo de reserva de 5 años, por tratarse de información que de revelarse puede causar un serio perjuicio a la recaudación de las contribuciones. Lo anterior tiene su fundamento en el artículo 113, fracción IV, de la Ley General de Transparencia y Acceso a la Información Pública."</t>
    </r>
  </si>
  <si>
    <t>Hoja</t>
  </si>
  <si>
    <t>Descripción</t>
  </si>
  <si>
    <t>Casos de Prueba</t>
  </si>
  <si>
    <t xml:space="preserve">Esta hoja se utiliza para la documentación detallada de los casos de pruebas que serán utilizados en la ejecución de pruebas. </t>
  </si>
  <si>
    <t>Registra varios casos de prueba, con la finalidad de agrupar en un solo documento una cantidad suficiente de casos que pueda ser aprovechada para la importación de casos de prueba en alguna herramienta automatizada, o bien, para obtener de ella la información de casos de prueba.
También se utiliza para especificar los elementos donde se emplearán los datos (Datos de Prueba)</t>
  </si>
  <si>
    <t>Criterios de Aceptación</t>
  </si>
  <si>
    <r>
      <rPr>
        <i/>
        <sz val="10"/>
        <color rgb="FF0000FF"/>
        <rFont val="Noto Sans"/>
        <family val="2"/>
        <charset val="1"/>
      </rPr>
      <t xml:space="preserve">• El documento es utilizado de acuerdo al formato establecido.
El documento cumple con el Marco Documental vigente.
• El documento no contiene faltas de ortografía.
• Cuando no se llene un renglón-columna, se deberá especificar el motivo por el cual no se registra la información, conteniendo al menos un "N/A". Ningún campo debe estar vacío.
</t>
    </r>
    <r>
      <rPr>
        <sz val="10"/>
        <color rgb="FF0000FF"/>
        <rFont val="Noto Sans"/>
        <family val="2"/>
        <charset val="1"/>
      </rPr>
      <t>●</t>
    </r>
    <r>
      <rPr>
        <i/>
        <sz val="10"/>
        <color rgb="FF0000FF"/>
        <rFont val="Noto Sans"/>
        <family val="2"/>
        <charset val="1"/>
      </rPr>
      <t xml:space="preserve">No se combinan celdas (exceptuando la sección de firmas)
</t>
    </r>
    <r>
      <rPr>
        <sz val="10"/>
        <color rgb="FF0000FF"/>
        <rFont val="Noto Sans"/>
        <family val="2"/>
        <charset val="1"/>
      </rPr>
      <t>●</t>
    </r>
    <r>
      <rPr>
        <i/>
        <sz val="10"/>
        <color rgb="FF0000FF"/>
        <rFont val="Noto Sans"/>
        <family val="2"/>
        <charset val="1"/>
      </rPr>
      <t xml:space="preserve">No incluye fórmulas en ningún renglón-columna
• El documento describe detalladamente paso a paso las actividades a seguir para la validación de requerimientos del sistema.
• El documento describe en cada paso una acción y una respuesta esperada que puede ser evaluada. 
El documento está firmado por los responsables del llenado, incluyendo por el negocio cuando participa en la autorización.
</t>
    </r>
  </si>
  <si>
    <t>Ambientes Requeridos</t>
  </si>
  <si>
    <t>Registra elementos de información sobre repositorios y ambientes necesarios para las pruebas y sus características, relacionadas con criterios que debe cubrir la información que se requiere para las pruebas; cantidad de datos requeridos para la ejecución de la prueba; datos o campos solicitados; condiciones que se deben cubrir para la extracción de datos y comentarios adicionales.</t>
  </si>
  <si>
    <t xml:space="preserve">* El documento es utilizado de acuerdo al formato establecido.
* El documento cumple con el Marco Documental vigente.
* El documento no contiene faltas de ortografía.
* Cuando no se llene un renglón-columna, se deberá especificar el motivo por el cual no se registra la información, conteniendo al menos un "N/A". Ningún campo debe estar vacío.
* El documento está firmado por los responsables del llenado, incluyendo por el negocio cuando participa en la autorización.
</t>
  </si>
  <si>
    <t>Interfaz de Usuario</t>
  </si>
  <si>
    <t>Esta hoja aplica por la naturaleza de la solución tecnológica integrada que haya sido requerida. Se utiliza para validar que se cumplan los criterios definidos para la Interfaz de Usuario, incluyendo la aplicación y verificación de los Lineamientos Gráficos del SIAT, cuando sea el caso.</t>
  </si>
  <si>
    <t>Se detallan los puntos a validar de interfaz de usuario (interfaz gráfica) de las aplicaciones, como encabezados, pie de página, colores, alineación, etiquetas, listas desplegables, áreas de búsqueda, etc, etc.</t>
  </si>
  <si>
    <t>• El documento es utilizado de acuerdo al formato establecido.
• El documento no contiene faltas de ortografía.
• Cuando no se llene un renglón-columna, se deberá especificar el motivo por el cual no se registra la información.
• Cada una de las características consideradas en esta pestaña estarán asociadas al contenido del artefacto "Especificación de Interacción de Usuario", en caso de ajustes o situaciones que expongan desviación al documento en comento, deberá ajustarse.
• Cada defecto detectado deberá registrarse en la herramienta correspondiente para su atención y cierre.</t>
  </si>
  <si>
    <t>Cobertura</t>
  </si>
  <si>
    <t>Esta hoja se utiliza para identificar y detallar la cobertura de la prueba basada en complejidad ciclomática, para asegurar que se diseñen tantos casos de prueba como sean necesarios para que cada condición se ejecute al menos una vez con un valor verdadero, y al menos una vez uno falso.</t>
  </si>
  <si>
    <t>• El documento es utilizado de acuerdo al formato establecido.
• El documento no contiene faltas de ortografía.
• Cuando no se llene un renglón-columna, se deberá especificar el motivo por el cual no se registra la información.
• El documento describe detalladamente los escenarios de prueba necesarios para que cada condición se ejecute al menos una vez con un valor verdadero y al menos una vez uno falso.</t>
  </si>
  <si>
    <t>Encabezado_Imagen</t>
  </si>
  <si>
    <r>
      <rPr>
        <sz val="10"/>
        <rFont val="Noto Sans"/>
        <family val="2"/>
        <charset val="1"/>
      </rPr>
      <t xml:space="preserve">En artefactos </t>
    </r>
    <r>
      <rPr>
        <b/>
        <sz val="10"/>
        <rFont val="Noto Sans"/>
        <family val="2"/>
        <charset val="1"/>
      </rPr>
      <t>tipo Excel</t>
    </r>
    <r>
      <rPr>
        <sz val="10"/>
        <rFont val="Noto Sans"/>
        <family val="2"/>
        <charset val="1"/>
      </rPr>
      <t xml:space="preserve">, la inserción del </t>
    </r>
    <r>
      <rPr>
        <b/>
        <sz val="10"/>
        <rFont val="Noto Sans"/>
        <family val="2"/>
        <charset val="1"/>
      </rPr>
      <t>Encabezado como imagen</t>
    </r>
    <r>
      <rPr>
        <sz val="10"/>
        <rFont val="Noto Sans"/>
        <family val="2"/>
        <charset val="1"/>
      </rPr>
      <t xml:space="preserve"> en el mismo documento, puede hacerse como una alternativa cuando por la naturaleza y cantidad de información registrada en él, se hace necesario ampliar significativamente el tamaño de las celdas, ocasionando con ello distorsión o inadecuada distribución de la estructura del Encabezado del artefacto.
Si ese fuera el caso, en esta hoja puede configurarse el Encabezado del artefacto y después insertarlo como imagen en cualquier otra sección del mismo, siguiendo las instrucciones allí descritas.</t>
    </r>
  </si>
  <si>
    <t>Firmas Conformidad_Imagen</t>
  </si>
  <si>
    <r>
      <rPr>
        <sz val="10"/>
        <rFont val="Noto Sans"/>
        <family val="2"/>
        <charset val="1"/>
      </rPr>
      <t xml:space="preserve">En artefactos </t>
    </r>
    <r>
      <rPr>
        <b/>
        <sz val="10"/>
        <rFont val="Noto Sans"/>
        <family val="2"/>
        <charset val="1"/>
      </rPr>
      <t>tipo</t>
    </r>
    <r>
      <rPr>
        <sz val="10"/>
        <rFont val="Noto Sans"/>
        <family val="2"/>
        <charset val="1"/>
      </rPr>
      <t xml:space="preserve"> </t>
    </r>
    <r>
      <rPr>
        <b/>
        <sz val="10"/>
        <rFont val="Noto Sans"/>
        <family val="2"/>
        <charset val="1"/>
      </rPr>
      <t>Excel</t>
    </r>
    <r>
      <rPr>
        <sz val="10"/>
        <rFont val="Noto Sans"/>
        <family val="2"/>
        <charset val="1"/>
      </rPr>
      <t>, la inserción de la</t>
    </r>
    <r>
      <rPr>
        <b/>
        <sz val="10"/>
        <rFont val="Noto Sans"/>
        <family val="2"/>
        <charset val="1"/>
      </rPr>
      <t xml:space="preserve"> Sección</t>
    </r>
    <r>
      <rPr>
        <sz val="10"/>
        <rFont val="Noto Sans"/>
        <family val="2"/>
        <charset val="1"/>
      </rPr>
      <t xml:space="preserve"> </t>
    </r>
    <r>
      <rPr>
        <b/>
        <sz val="10"/>
        <rFont val="Noto Sans"/>
        <family val="2"/>
        <charset val="1"/>
      </rPr>
      <t>FIRMAS DE CONFORMIDAD como imagen</t>
    </r>
    <r>
      <rPr>
        <sz val="10"/>
        <rFont val="Noto Sans"/>
        <family val="2"/>
        <charset val="1"/>
      </rPr>
      <t xml:space="preserve"> en el mismo documento, puede hacerse como una alternativa cuando por la naturaleza y cantidad de información registrada en él, se hace necesario ampliar significativamente el tamaño de las celdas, ocasionando con ello distorsión o inadecuada distribución de la estructura de la sección de firmas localizada en la parte inferior del artefacto.
Si ese fuera el caso, en esta hoja puede capturarse la información de las personas que participan en la elaboración y aprobación del artefacto, y después insertarla como imagen en cualquier otra sección del documento, siguiendo los pasos que allí se describen.
</t>
    </r>
  </si>
  <si>
    <t>Tabla de Versiones y Modificaciones</t>
  </si>
  <si>
    <t>En la tabla siguiente se deben listar las versiones y descripciones hechas a este documento, desde el momento de su creación y cada vez que se llene y/o actualice alguna de sus pestañas. La descripción debe incluir una síntesis del cambio hecho.</t>
  </si>
  <si>
    <t>Para la Versión, especificar un número entero consecutivo, iniciando con 1 para la creación del documento e incrementar en decimales conforme se actualice (1.1, 1.2, 1.3, Etc.). Al terminarlo, especificar la versión final para firma, en caso necesario.</t>
  </si>
  <si>
    <t>Para futuros proyectos donde este documento se reutilice, el versionamiento reiniciará en versión 2, incrementando las actualizaciones igualmente con decimales (2.1, 2.2, 2.3, etc.). Posteriores reutilizaciones iniciarían entonces con versión 3, 4, etc.</t>
  </si>
  <si>
    <t>Versión</t>
  </si>
  <si>
    <t>Descripción del Cambio</t>
  </si>
  <si>
    <t>Responsable de la Versión</t>
  </si>
  <si>
    <t>Fecha</t>
  </si>
  <si>
    <t>0.1</t>
  </si>
  <si>
    <t xml:space="preserve">Creación del documento. </t>
  </si>
  <si>
    <t>Alma Q. Torres González</t>
  </si>
  <si>
    <t>1.1</t>
  </si>
  <si>
    <r>
      <rPr>
        <sz val="10"/>
        <color rgb="FF000000"/>
        <rFont val="Noto Sans"/>
        <family val="2"/>
        <charset val="1"/>
      </rPr>
      <t xml:space="preserve">Se complementaron los casos de prueba por revisión con el Negocio </t>
    </r>
    <r>
      <rPr>
        <sz val="10"/>
        <color rgb="FF1403EF"/>
        <rFont val="Noto Sans"/>
        <family val="2"/>
        <charset val="1"/>
      </rPr>
      <t>(Ejemplo)</t>
    </r>
  </si>
  <si>
    <t>2</t>
  </si>
  <si>
    <r>
      <rPr>
        <b/>
        <sz val="10"/>
        <color rgb="FF000000"/>
        <rFont val="Noto Sans"/>
        <family val="2"/>
        <charset val="1"/>
      </rPr>
      <t>Se reutiliza</t>
    </r>
    <r>
      <rPr>
        <sz val="10"/>
        <color rgb="FF000000"/>
        <rFont val="Noto Sans"/>
        <family val="2"/>
        <charset val="1"/>
      </rPr>
      <t xml:space="preserve"> el documento para actualizaciones. </t>
    </r>
    <r>
      <rPr>
        <sz val="10"/>
        <color rgb="FF0000FF"/>
        <rFont val="Noto Sans"/>
        <family val="2"/>
        <charset val="1"/>
      </rPr>
      <t>(Ejemplo)</t>
    </r>
  </si>
  <si>
    <t>2.1</t>
  </si>
  <si>
    <t>Versión aprobada para firma.</t>
  </si>
  <si>
    <t>0.2</t>
  </si>
  <si>
    <t>Ajustes:
CC083 Masiva UUID
CC084 Descargar acuse de cancelación</t>
  </si>
  <si>
    <t>Alma Q. Torres González
Nadia Anahí Ortega Nava</t>
  </si>
  <si>
    <t>0.3</t>
  </si>
  <si>
    <t>Ajustes:
Ajustar RDP de acuerdo a los ajustes de la Narrativa</t>
  </si>
  <si>
    <t>0.4</t>
  </si>
  <si>
    <t>Ajustes:
-Se generar CP30 conforme CC120 – Incorporar Folios relacionados
-Se generar CP31 conforme CC121 – Descargar RI Complemento Carta Porte
-Actualizar CP07, CP08, CP09 y CP10 relacionados al Acuse de cancelación</t>
  </si>
  <si>
    <t>1.0</t>
  </si>
  <si>
    <t xml:space="preserve">Versión aprobada para firma </t>
  </si>
  <si>
    <t>Roberto Monroy Vargas
Mario Alberto Huerta Velázquez</t>
  </si>
  <si>
    <t>CP01</t>
  </si>
  <si>
    <t>CP02</t>
  </si>
  <si>
    <t>CP03</t>
  </si>
  <si>
    <t>CP04</t>
  </si>
  <si>
    <t>CP05</t>
  </si>
  <si>
    <t>CP06</t>
  </si>
  <si>
    <t>CP07</t>
  </si>
  <si>
    <t>CP08</t>
  </si>
  <si>
    <t>CP09</t>
  </si>
  <si>
    <t>CP10</t>
  </si>
  <si>
    <t>CP11</t>
  </si>
  <si>
    <t>CP12</t>
  </si>
  <si>
    <t>CP13</t>
  </si>
  <si>
    <t>CP14</t>
  </si>
  <si>
    <t>CP16</t>
  </si>
  <si>
    <t>CP17</t>
  </si>
  <si>
    <t>CP18</t>
  </si>
  <si>
    <t>CP19</t>
  </si>
  <si>
    <t>CP20</t>
  </si>
  <si>
    <t>CP21</t>
  </si>
  <si>
    <t>CP22</t>
  </si>
  <si>
    <t>CP23</t>
  </si>
  <si>
    <t>CP24</t>
  </si>
  <si>
    <t>CP25</t>
  </si>
  <si>
    <t>CP26</t>
  </si>
  <si>
    <t>CP27</t>
  </si>
  <si>
    <t>CP28</t>
  </si>
  <si>
    <t>CP29</t>
  </si>
  <si>
    <t>CP30</t>
  </si>
  <si>
    <t>Código del Aplicativo:</t>
  </si>
  <si>
    <t>ID de Requerimiento:</t>
  </si>
  <si>
    <t>Nombre de Requerimiento:</t>
  </si>
  <si>
    <t>[Fase: Análisis] [Etapa: Especificación Funcional] (ACSN)</t>
  </si>
  <si>
    <t>ID del Caso</t>
  </si>
  <si>
    <t>CP</t>
  </si>
  <si>
    <t xml:space="preserve">Nombre del Caso </t>
  </si>
  <si>
    <t xml:space="preserve">Paso </t>
  </si>
  <si>
    <t>Descripción de Paso</t>
  </si>
  <si>
    <t>Resultado Esperado</t>
  </si>
  <si>
    <t xml:space="preserve">Comentarios </t>
  </si>
  <si>
    <t>Perfil de usuario para su ejecución</t>
  </si>
  <si>
    <t>Datos de Prueba</t>
  </si>
  <si>
    <r>
      <rPr>
        <i/>
        <sz val="10"/>
        <rFont val="Noto Sans"/>
        <family val="2"/>
        <charset val="1"/>
      </rPr>
      <t xml:space="preserve">Identificador del caso de prueba que se integrará en Quality Center (QC).
</t>
    </r>
    <r>
      <rPr>
        <i/>
        <u/>
        <sz val="10"/>
        <rFont val="Noto Sans"/>
        <family val="2"/>
        <charset val="1"/>
      </rPr>
      <t xml:space="preserve">El ID del caso NO debe contener espacios en blanco. La diagonal debe ser “\”. La nomenclatura estándar es: </t>
    </r>
    <r>
      <rPr>
        <b/>
        <i/>
        <sz val="10"/>
        <rFont val="Noto Sans"/>
        <family val="2"/>
        <charset val="1"/>
      </rPr>
      <t>PPMC_Número\Componente Tecnológico o Aplicativo</t>
    </r>
    <r>
      <rPr>
        <i/>
        <sz val="10"/>
        <rFont val="Noto Sans"/>
        <family val="2"/>
        <charset val="1"/>
      </rPr>
      <t xml:space="preserve">(ya que ésta es la estructura o ruta de carpetas para almacenar y agrupar los objetos creados para contener la información de los Casos de Prueba y Escenarios de Pruebas).
</t>
    </r>
    <r>
      <rPr>
        <i/>
        <u/>
        <sz val="10"/>
        <rFont val="Noto Sans"/>
        <family val="2"/>
        <charset val="1"/>
      </rPr>
      <t>(Ejemplo:</t>
    </r>
    <r>
      <rPr>
        <i/>
        <sz val="10"/>
        <rFont val="Noto Sans"/>
        <family val="2"/>
        <charset val="1"/>
      </rPr>
      <t xml:space="preserve"> PPMC_56124\Juicios de Nulidad)</t>
    </r>
  </si>
  <si>
    <t>Nombre completo representativo del Caso asociado a la funcionalidad a probar.
Ejemplo de nombre:
"Validación de la Fecha Notificación de la Demanda"
El Nombre del Caso no debe contener caracteres especiales (\/:%’*?&lt;&gt;|”@,  , etc.) y debe tener longitud máxima de 85 caracteres.
Si son más de un caso de prueba y tienen un orden de ejecución entonces, antes del nombre, debe estar acompañado de un número consecutivo del caso de prueba, anteponiendo las siglas "CP":
CP1_Nombre del Caso
CP2_Nombre del Caso
CP3_Nombre del Caso
Etc.
(Si no se requiere un orden de ejecución, no es necesario ordenarlos de esta forma.)</t>
  </si>
  <si>
    <t>Identificador secuencial de los pasos que sigue el caso de prueba.
La información de todos los pasos de un Caso de Prueba debe ser consistente.</t>
  </si>
  <si>
    <t>Narración detallada del paso a ejecutar. Se deben evitar paréntesis y/o corchetes seguidos "{{..[[..((…))..]]..]]". No dejar en blanco, escribir N/A en caso de que no aplique.</t>
  </si>
  <si>
    <t>Narración detallada del resultado esperado, dada la ejecución del paso. Se deben evitar paréntesis y/o corchetes seguidos "{{..[[..((…))..]]..]]".  No dejar en blanco, escribir N/A en caso de que no aplique.</t>
  </si>
  <si>
    <t>Anotaciones sobre lo que deba considerarse en forma adicional para la ejecución del Caso (descripción de los prerrequisitos que deben ser cubiertos para la ejecución del caso de prueba, identificación de las entradas requeridas del caso de prueba ).  Se deben evitar paréntesis y/o corchetes seguidos "{{..[[..((…))..]]..]]". No dejar en blanco, escribir N/A en caso de que no aplique.</t>
  </si>
  <si>
    <t>Descripción del Perfil de usuario que se utilizará para la ejecución del Caso de Prueba. No dejar en blanco, escribir N/A en caso de que no aplique</t>
  </si>
  <si>
    <r>
      <rPr>
        <i/>
        <sz val="10"/>
        <rFont val="Noto Sans"/>
        <family val="2"/>
        <charset val="1"/>
      </rPr>
      <t xml:space="preserve">Para indicar los casos prueba y descripción de los elementos donde se emplearán los datos.
</t>
    </r>
    <r>
      <rPr>
        <b/>
        <i/>
        <sz val="10"/>
        <rFont val="Noto Sans"/>
        <family val="2"/>
        <charset val="1"/>
      </rPr>
      <t xml:space="preserve">
</t>
    </r>
    <r>
      <rPr>
        <i/>
        <sz val="10"/>
        <rFont val="Noto Sans"/>
        <family val="2"/>
        <charset val="1"/>
      </rPr>
      <t xml:space="preserve">Indicar el nombre del Dato  de Prueba (RFC, Periodo,…)
</t>
    </r>
    <r>
      <rPr>
        <sz val="10"/>
        <rFont val="Noto Sans"/>
        <family val="2"/>
        <charset val="1"/>
      </rPr>
      <t>Ejemplos:
Indicar el contenido del dato (AAAA790909JN6, 2010-01, …)
Indicar el contenido del dato (AAAA790909JN6, 2010-02, …)</t>
    </r>
  </si>
  <si>
    <t>Usuario ingresa al Portal Empleados Consulta Central</t>
  </si>
  <si>
    <t>Selecciona la opción Folio Fiscal</t>
  </si>
  <si>
    <t xml:space="preserve">Ingresa los datos del Folio Fiscal </t>
  </si>
  <si>
    <t>Da clic en el botón buscar CFDI</t>
  </si>
  <si>
    <t>Da clic en cerrar sesión</t>
  </si>
  <si>
    <t>Selecciona la opción Fecha Inicial y Final de Emisión</t>
  </si>
  <si>
    <t>Da clic en el botón buscar</t>
  </si>
  <si>
    <t>Selecciona el archivo(txt) mediante el explorador de Windows.</t>
  </si>
  <si>
    <t>Da clic en el botón Enviar</t>
  </si>
  <si>
    <t>Da clic en Cerrar Sesión</t>
  </si>
  <si>
    <t>El usuario selecciona un folio fiscal (UUID) de la tabla “Resultados” y ubica la columna “Estado del Comprobante” que tenga el valor “Cancelado” y da clic  en el hipervinculo para descargar el acuse de cancelación</t>
  </si>
  <si>
    <t>Selecciona un folio fiscal (UUID) de la tabla “Resultados”</t>
  </si>
  <si>
    <t>Da clic en el la opción Recuperar Representación Impresa</t>
  </si>
  <si>
    <t>Seleccionar el icono para el archivo XML</t>
  </si>
  <si>
    <t>Selecciona los Folios fiscales a descargar</t>
  </si>
  <si>
    <t>Selecciona la opción: Descargar Seleccionados XML</t>
  </si>
  <si>
    <t>Selecciona la opción: Descargar  RI</t>
  </si>
  <si>
    <t xml:space="preserve">Selecciona la opción Descargar Metadata
</t>
  </si>
  <si>
    <t>Da clic en el  botón Exportar resultados a PDF</t>
  </si>
  <si>
    <t>Da clic en el  botón Exportar resultados a CSV</t>
  </si>
  <si>
    <t>Usuario ingresa al Portal Empleados Consulta Central y selecciona la opción "Recuperar descargas de CFDI".</t>
  </si>
  <si>
    <t>En la columna "Descargar", el usuario ubica el registro y da clic en el icono</t>
  </si>
  <si>
    <t xml:space="preserve">Firma Electrónica del Usuario.
El Usuario debe tener asignado cualquiera de los roles
</t>
  </si>
  <si>
    <t xml:space="preserve">Ingresa los datos:
•	Fecha Inicial de Emisión (*).
•	Fecha Final de Emisión (*).
•	RFC Emisor.
•	RFC Receptor.
•	RFC a cuenta de terceros.
•	Tipo de Comprobante.
•	Estado del Comprobante.
•	Tipo de Comprobante (Complemento) (RN17).
•	Estatus Cancelación (Campo condicional).
Campo obligarorio (*)
Nota: Para realizar la búsqueda se debe proporcionar al menos un RFC como parámetro de búsqueda(RFC Emisor, RFC Receptor o RFC a cuenta terceros
</t>
  </si>
  <si>
    <t>El usuario valida los registros en la sección "Resultados"</t>
  </si>
  <si>
    <t>Usuario abre explorador</t>
  </si>
  <si>
    <t>Usuario ingresa a la URL correspondiente a la Consulta Central</t>
  </si>
  <si>
    <t>Se muestran los datos para ingresar:
Certificado (.cer)
Clave privada (.Key)
Contraseña de clave privada: 
Se muestra el campo RFC</t>
  </si>
  <si>
    <t>Usuario da clic en buscar y selecciona el archivo correspondiente a su certificado</t>
  </si>
  <si>
    <t>Usuario da clic en buscar y selecciona el archivo correspondiente a su clave privada</t>
  </si>
  <si>
    <t>Se muestra el dato en el campo clave privada</t>
  </si>
  <si>
    <t>Usuario ingresa su contraseña</t>
  </si>
  <si>
    <t>Se muestra oculto el dato en el campo contraseña</t>
  </si>
  <si>
    <t>Da clic en enviar</t>
  </si>
  <si>
    <t>Usuario deja la sesión abierta sin realizar ninguna acción.</t>
  </si>
  <si>
    <t>El sistema cierra la sesión por inactividad</t>
  </si>
  <si>
    <t>Usuario copia Folio de Error con el detalle de los UUID que no se localizaron o que no cumplen con la estructura</t>
  </si>
  <si>
    <t xml:space="preserve">Usuario da clic en el botón “Archivos solicitados” para realizar la descarga </t>
  </si>
  <si>
    <t xml:space="preserve">Selecciona un folio fiscal (UUID) de la tabla “Resultados” en la columna "Estado del Comprobante" que el valor sea "No Cancelable"  y dar clic en el hipervinculo </t>
  </si>
  <si>
    <t>Usuario ubica su repositorio de descarga y abre el acuse de documentos relacionados</t>
  </si>
  <si>
    <t>Seleccionar el icono para Recuperar Representación Impresa  Complemento Carta Porte
Nota: Para este caso de prueba se requiere un comprobante que cuente con CCP para que el sistema muestre el icono de descarga.</t>
  </si>
  <si>
    <t>El uso de la siguiente Sección de Firmas de Conformidad es opcional, dependiendo de la necesidad del consumidor de la información.</t>
  </si>
  <si>
    <t>Instrucciones:</t>
  </si>
  <si>
    <t>Registrar en la tabla la información de los participantes en la elaboración, revisión, aprobación, etc. del artefacto.</t>
  </si>
  <si>
    <t>FIRMAS DE CONFORMIDAD</t>
  </si>
  <si>
    <t>Autorizó</t>
  </si>
  <si>
    <r>
      <rPr>
        <b/>
        <sz val="10"/>
        <color rgb="FF000000"/>
        <rFont val="Noto Sans"/>
        <family val="2"/>
        <charset val="1"/>
      </rPr>
      <t>Nombre</t>
    </r>
    <r>
      <rPr>
        <sz val="10"/>
        <color rgb="FF000000"/>
        <rFont val="Noto Sans"/>
        <family val="2"/>
        <charset val="1"/>
      </rPr>
      <t>: Pedro López Bernal.</t>
    </r>
  </si>
  <si>
    <r>
      <rPr>
        <b/>
        <sz val="10"/>
        <color rgb="FF000000"/>
        <rFont val="Noto Sans"/>
        <family val="2"/>
        <charset val="1"/>
      </rPr>
      <t>Nombre</t>
    </r>
    <r>
      <rPr>
        <sz val="10"/>
        <color rgb="FF000000"/>
        <rFont val="Noto Sans"/>
        <family val="2"/>
        <charset val="1"/>
      </rPr>
      <t>: Diana Maribel Velazquez Barroso</t>
    </r>
  </si>
  <si>
    <r>
      <rPr>
        <b/>
        <sz val="10"/>
        <color rgb="FF000000"/>
        <rFont val="Noto Sans"/>
        <family val="2"/>
        <charset val="1"/>
      </rPr>
      <t>Puesto</t>
    </r>
    <r>
      <rPr>
        <sz val="10"/>
        <color rgb="FF000000"/>
        <rFont val="Noto Sans"/>
        <family val="2"/>
        <charset val="1"/>
      </rPr>
      <t>: Administrador de Gestión de Servicios y Trámites con Medios Electrónicos 3</t>
    </r>
  </si>
  <si>
    <r>
      <rPr>
        <b/>
        <sz val="10"/>
        <color rgb="FF000000"/>
        <rFont val="Noto Sans"/>
        <family val="2"/>
        <charset val="1"/>
      </rPr>
      <t>Puesto</t>
    </r>
    <r>
      <rPr>
        <sz val="10"/>
        <color rgb="FF000000"/>
        <rFont val="Noto Sans"/>
        <family val="2"/>
        <charset val="1"/>
      </rPr>
      <t xml:space="preserve">: Administradora de Soluciones de Negocio 3 </t>
    </r>
  </si>
  <si>
    <r>
      <rPr>
        <b/>
        <sz val="10"/>
        <color rgb="FF000000"/>
        <rFont val="Noto Sans"/>
        <family val="2"/>
        <charset val="1"/>
      </rPr>
      <t>Fecha</t>
    </r>
    <r>
      <rPr>
        <sz val="10"/>
        <color rgb="FF000000"/>
        <rFont val="Noto Sans"/>
        <family val="2"/>
        <charset val="1"/>
      </rPr>
      <t>:</t>
    </r>
  </si>
  <si>
    <t xml:space="preserve">Fecha: </t>
  </si>
  <si>
    <t>Revisó</t>
  </si>
  <si>
    <r>
      <rPr>
        <b/>
        <sz val="10"/>
        <color rgb="FF000000"/>
        <rFont val="Noto Sans"/>
        <family val="2"/>
        <charset val="1"/>
      </rPr>
      <t>Nombre</t>
    </r>
    <r>
      <rPr>
        <sz val="10"/>
        <color rgb="FF000000"/>
        <rFont val="Noto Sans"/>
        <family val="2"/>
        <charset val="1"/>
      </rPr>
      <t xml:space="preserve">: Mario Alberto Huerta Velazquez </t>
    </r>
  </si>
  <si>
    <r>
      <rPr>
        <b/>
        <sz val="10"/>
        <color rgb="FF000000"/>
        <rFont val="Noto Sans"/>
        <family val="2"/>
        <charset val="1"/>
      </rPr>
      <t xml:space="preserve">Nombre: </t>
    </r>
    <r>
      <rPr>
        <sz val="10"/>
        <color rgb="FF000000"/>
        <rFont val="Noto Sans"/>
        <family val="2"/>
        <charset val="1"/>
      </rPr>
      <t>Roberto Benjamín Monroy Vargas</t>
    </r>
  </si>
  <si>
    <r>
      <rPr>
        <b/>
        <sz val="10"/>
        <color rgb="FF000000"/>
        <rFont val="Noto Sans"/>
        <family val="2"/>
        <charset val="1"/>
      </rPr>
      <t>Puesto</t>
    </r>
    <r>
      <rPr>
        <sz val="10"/>
        <color rgb="FF000000"/>
        <rFont val="Noto Sans"/>
        <family val="2"/>
        <charset val="1"/>
      </rPr>
      <t>: Subadministrador de Gestión de Servicios y Trámites con Medios Electrónicos</t>
    </r>
  </si>
  <si>
    <r>
      <rPr>
        <b/>
        <sz val="10"/>
        <color rgb="FF000000"/>
        <rFont val="Noto Sans"/>
        <family val="2"/>
        <charset val="1"/>
      </rPr>
      <t>Puesto</t>
    </r>
    <r>
      <rPr>
        <sz val="10"/>
        <color rgb="FF000000"/>
        <rFont val="Noto Sans"/>
        <family val="2"/>
        <charset val="1"/>
      </rPr>
      <t>: Subadministrador de Soluciones de Negocio</t>
    </r>
  </si>
  <si>
    <r>
      <rPr>
        <b/>
        <sz val="10"/>
        <color rgb="FF000000"/>
        <rFont val="Noto Sans"/>
        <family val="2"/>
        <charset val="1"/>
      </rPr>
      <t>Fecha</t>
    </r>
    <r>
      <rPr>
        <sz val="10"/>
        <color rgb="FF000000"/>
        <rFont val="Noto Sans"/>
        <family val="2"/>
        <charset val="1"/>
      </rPr>
      <t xml:space="preserve">: </t>
    </r>
  </si>
  <si>
    <t>Elaboró</t>
  </si>
  <si>
    <r>
      <rPr>
        <b/>
        <sz val="10"/>
        <color rgb="FF000000"/>
        <rFont val="Noto Sans"/>
        <family val="2"/>
        <charset val="1"/>
      </rPr>
      <t>Nombre</t>
    </r>
    <r>
      <rPr>
        <sz val="10"/>
        <color rgb="FF000000"/>
        <rFont val="Noto Sans"/>
        <family val="2"/>
        <charset val="1"/>
      </rPr>
      <t>: Nadia Anahí Ortega Nava</t>
    </r>
  </si>
  <si>
    <r>
      <rPr>
        <b/>
        <sz val="10"/>
        <color rgb="FF000000"/>
        <rFont val="Noto Sans"/>
        <family val="2"/>
        <charset val="1"/>
      </rPr>
      <t xml:space="preserve">Nombre: </t>
    </r>
    <r>
      <rPr>
        <sz val="10"/>
        <color rgb="FF000000"/>
        <rFont val="Noto Sans"/>
        <family val="2"/>
        <charset val="1"/>
      </rPr>
      <t>Alma Quetzabeth Torres González</t>
    </r>
    <r>
      <rPr>
        <b/>
        <sz val="10"/>
        <color rgb="FF000000"/>
        <rFont val="Noto Sans"/>
        <family val="2"/>
        <charset val="1"/>
      </rPr>
      <t xml:space="preserve"> </t>
    </r>
  </si>
  <si>
    <r>
      <rPr>
        <b/>
        <sz val="10"/>
        <color rgb="FF000000"/>
        <rFont val="Noto Sans"/>
        <family val="2"/>
        <charset val="1"/>
      </rPr>
      <t>Puesto</t>
    </r>
    <r>
      <rPr>
        <sz val="10"/>
        <color rgb="FF000000"/>
        <rFont val="Noto Sans"/>
        <family val="2"/>
        <charset val="1"/>
      </rPr>
      <t>: Jefe de Departamento de Gestión de Servicios y Trámites con Medios Electrónicos</t>
    </r>
  </si>
  <si>
    <r>
      <rPr>
        <b/>
        <sz val="10"/>
        <color rgb="FF000000"/>
        <rFont val="Noto Sans"/>
        <family val="2"/>
        <charset val="1"/>
      </rPr>
      <t xml:space="preserve">Puesto: </t>
    </r>
    <r>
      <rPr>
        <sz val="10"/>
        <color rgb="FF000000"/>
        <rFont val="Noto Sans"/>
        <family val="2"/>
        <charset val="1"/>
      </rPr>
      <t>Jefe de Departamento de Soluciones de Negocio</t>
    </r>
  </si>
  <si>
    <t>Tomar como referencia el siguiente Encabezado para edición:</t>
  </si>
  <si>
    <t>Administración General de Comunicaciones
y Tecnologías de la Información</t>
  </si>
  <si>
    <t>Marco Documental 7.0</t>
  </si>
  <si>
    <t>Fecha de aprobación
del Template:
01/11/2021</t>
  </si>
  <si>
    <r>
      <rPr>
        <b/>
        <sz val="11"/>
        <color rgb="FF000000"/>
        <rFont val="Noto Sans"/>
        <family val="2"/>
        <charset val="1"/>
      </rPr>
      <t xml:space="preserve">Requerimientos de Pruebas
</t>
    </r>
    <r>
      <rPr>
        <sz val="6"/>
        <color rgb="FF0000FF"/>
        <rFont val="Noto Sans"/>
        <family val="2"/>
        <charset val="1"/>
      </rPr>
      <t xml:space="preserve">Clave del Documento
</t>
    </r>
    <r>
      <rPr>
        <sz val="11"/>
        <color rgb="FF000000"/>
        <rFont val="Noto Sans"/>
        <family val="2"/>
        <charset val="1"/>
      </rPr>
      <t xml:space="preserve">XX_RDP_REQPRUEBAS.xlsx
</t>
    </r>
    <r>
      <rPr>
        <sz val="7"/>
        <color rgb="FF0000FF"/>
        <rFont val="Noto Sans"/>
        <family val="2"/>
        <charset val="1"/>
      </rPr>
      <t xml:space="preserve">[Nomenclatura del artefacto, punto, extensión del archivo actual]
Servicio Administración del Ciclo de Vida de Aplicaciones de TIC
</t>
    </r>
    <r>
      <rPr>
        <b/>
        <sz val="7"/>
        <color rgb="FF0000FF"/>
        <rFont val="Noto Sans"/>
        <family val="2"/>
        <charset val="1"/>
      </rPr>
      <t>Central Dueña</t>
    </r>
    <r>
      <rPr>
        <sz val="7"/>
        <color rgb="FF0000FF"/>
        <rFont val="Noto Sans"/>
        <family val="2"/>
        <charset val="1"/>
      </rPr>
      <t>:</t>
    </r>
    <r>
      <rPr>
        <b/>
        <sz val="7"/>
        <color rgb="FF0000FF"/>
        <rFont val="Noto Sans"/>
        <family val="2"/>
        <charset val="1"/>
      </rPr>
      <t xml:space="preserve"> Administración Central de Soluciones de Negocio (ACSN)
Central que Elabora: ACSN
Central Consumidora: ACDMA</t>
    </r>
  </si>
  <si>
    <t>Versión del template:
7.00</t>
  </si>
  <si>
    <r>
      <rPr>
        <b/>
        <sz val="11"/>
        <color rgb="FF000000"/>
        <rFont val="Noto Sans"/>
        <family val="2"/>
        <charset val="1"/>
      </rPr>
      <t xml:space="preserve">Requerimientos de Pruebas
</t>
    </r>
    <r>
      <rPr>
        <sz val="11"/>
        <color rgb="FF000000"/>
        <rFont val="Noto Sans"/>
        <family val="2"/>
        <charset val="1"/>
      </rPr>
      <t>RDP_ConsultaCentral_CFDI.xlsx</t>
    </r>
  </si>
  <si>
    <t>0.5</t>
  </si>
  <si>
    <t xml:space="preserve">CC120 – (punto 5)
Agregar columnas en acuse de cancelación:
-Motivo de Cancelación
-Número de serie de la e.firma o CSD
-Fecha de solicitud de la cancelación
Actualizar CP07, CP08, CP09 y CP10 </t>
  </si>
  <si>
    <t>Test Case</t>
  </si>
  <si>
    <t>Work Item type</t>
  </si>
  <si>
    <t>Title</t>
  </si>
  <si>
    <t>Step Action</t>
  </si>
  <si>
    <t>Step expected</t>
  </si>
  <si>
    <t>CP01-Busqueda/Folio Fiscal</t>
  </si>
  <si>
    <t/>
  </si>
  <si>
    <t>El sistema muestra las siguientes opciones de búsqueda:
- Folio Fiscal
- Masiva UUID
- Fecha Inicial y Final de Emisión
El Usuario previamente se autenticó  y accedió al portal Empleados-Consulta Central</t>
  </si>
  <si>
    <t xml:space="preserve">El sistema muestra cuadro de texto para incorporar el número de Folio Fiscal que se requiere buscar.
Al seleccionar el botón de folio fiscal se deben deshabilitar los campos de la sección Fecha Inicial y Final de Emisión
(Aplica la Regla de Negocio 01) </t>
  </si>
  <si>
    <t xml:space="preserve">El sistema muestra los datos que se van ingresando del folio fiscal
</t>
  </si>
  <si>
    <t>Si la petición es correcta, el sistema muestra:
A.	Casilla Acciones 
1)	Seleccionar.
2)	Descargar Acuse de cancelación.
3)	Descargar XML.
4)	Recuperar Representación Impresa.
B.	Datos de la Metadata del CFDI.
•	Folio Fiscal
•	RFC Emisor
•	Nombre o Razón Social del Emisor
•	RFC Receptor 
•	Nombre o Razón Social del Receptor
•	Fecha de Emisión
•	Fecha de Certificación
•	Subtotal
•	Total
•	Estado del Comprobante
•	Efecto del Comprobante
•	Fecha de Cancelación
•	PAC que Certificó
•	Estatus Cancelación
•	Estatus Proceso de Cancelación
•	Fecha de Solicitud de la cancelación
•	Motivo
•	Folio de sustitución
•	RFC a cuenta de terceros
C.	Botones: 
1)	Descargar Seleccionados XML.
2)	Descargas RI.
3)	Descargar Metadata.
El aplicativo debe realizar la búsqueda de todas las versiones del CFDI (3.2, 3.3 y 4.0), de acuerdo a los criterios de búsqueda seleccionados previamente.
En caso de no encontrar información ir al Caso de Prueba "Sin Resultados"</t>
  </si>
  <si>
    <t xml:space="preserve">Cierra la aplicación y se direcciona a la pantalla de autenticación.
</t>
  </si>
  <si>
    <t>CP02-Busqueda/RFC Emisor</t>
  </si>
  <si>
    <t xml:space="preserve">
</t>
  </si>
  <si>
    <t xml:space="preserve">El sistema habilita los siguientes campos:
•	Fecha Inicial de Emisión (*).
•	Fecha Final de Emisión (*).
•	RFC Emisor.
•	RFC Receptor.
•	RFC a cuenta de terceros.
•	Tipo de Comprobante.
•	Estado del Comprobante.
•	Tipo de Comprobante (Complemento) (RN17).
•	Estatus Cancelación (Campo condicional).
</t>
  </si>
  <si>
    <t xml:space="preserve">El sistema muestra los datos que se van ingresando .
</t>
  </si>
  <si>
    <t>CP03-Busqueda/RFC Receptor</t>
  </si>
  <si>
    <t>CP04-Busqueda/RFC Tercero</t>
  </si>
  <si>
    <t>CP05-Sin Resultados</t>
  </si>
  <si>
    <t xml:space="preserve">En caso de que no se encuentre información con los parámetros de búsqueda ingresados, el sistema muestra el siguiente mensaje: “No existen registros que cumplan con los criterios de búsqueda ingresados, intentar nuevamente”
Viene de los Casos de Prueba: 
- CP01_ConsultaCentral_CFDI_Búsqueda/Folio Fiscal
- CP02_ConsultaCentral_CFDI_Búsqueda/RFCEmisor
- CP03_ConsultaCentral_CFDI_Búsqueda/RFCReceptor
- CP04_ConsultaCentral_CFDI_Búsqueda/RFCTercero
</t>
  </si>
  <si>
    <t>CP06-Busqueda/Masiva UUID</t>
  </si>
  <si>
    <t>Selecciona la opción Masiva UUID</t>
  </si>
  <si>
    <t>El sistema muestra las siguientes opciones de búsqueda:
- *Seleccionar Archivo
Botón Enviar
En caso de no seleccionar un archivo 
El sistema muetra el siguiente mensaje: "Debe seleccionar un archivo .txt que contenga información para continuar."</t>
  </si>
  <si>
    <t xml:space="preserve">
El  aplicativo ejecuta la consulta y arroja el resultado conforme a los UUID definidos en el archivo.  
Archivo TXT con distintos UUID</t>
  </si>
  <si>
    <t>CP07-Folio Fiscal/Acuse de cancelación</t>
  </si>
  <si>
    <t>Si la petición es correcta, el sistema muestra:
A.	Casilla Acciones 
1)	Seleccionar.
2)	Descargar Acuse de cancelación.
3)	Descargar XML.
4)	Recuperar Representación Impresa.
B.	Datos de la Metadata del CFDI.
•	Folio Fiscal
•	RFC Emisor
•	Nombre o Razón Social del Emisor
•	RFC Receptor 
•	Nombre o Razón Social del Receptor
•	Fecha de Emisión
•	Fecha de Certificación
•	Subtotal
•	Total
•	Estado del Comprobante
•	Efecto del Comprobante
•	Fecha de Cancelación
•	PAC que Certificó
•	Estatus Cancelación
•	Estatus Proceso de Cancelación
•	Fecha de Solicitud de la cancelación
•	Motivo
•	Folio de sustitución
•	RFC a cuenta de terceros
D.	Botones: 
1)	Descargar Seleccionados XML.
2)	Descargas RI.
3)	Descargar Metadata.
El aplicativo debe realizar la búsqueda de todas las versiones del CFDI (3.2, 3.3 y 4.0), de acuerdo a los criterios de búsqueda seleccionados previamente.
En caso de no encontrar información ir al Caso de Prueba "Sin Resultados"</t>
  </si>
  <si>
    <t>El sistema abre una ventana emergente y comienza con la descarga del acuse de cancelación en formato PDF.
-	Datos del Acuse de Cancelación de CFDI
•	Folio Fiscal
•	RFC Receptor
•	RFC Emisor
•	Estado CFDI
•	Estado de Cancelación
•	Motivo de Cancelación
•	Número de serie de la e.firma o CSD
•	Fecha de solicitud de la cancelación
•	Mensaje de Error
•	Fecha
•	Sello digital SAT
Esta opción solo será visible en la columna “Estado del Comprobante, cuando exista una solicitud de la cancelación asociada al CFDI.
Se podrá realizar la descarga del acuse en formato PDF, recuperando el acuse con el estatus final.</t>
  </si>
  <si>
    <t>CP08-RFC Emisor/Acuse de Cancelación</t>
  </si>
  <si>
    <t>CP09-RFC Receptor/Acuse de Cancelación</t>
  </si>
  <si>
    <t>CP10-Masiva UUID/Acuse de Cancelación</t>
  </si>
  <si>
    <t>CP11-Folio Fiscal/Descargar RI</t>
  </si>
  <si>
    <t xml:space="preserve">En la columna de acciones se desplegaran los botones 
•	Descargar XML
•	Recuperar Representación Impresa  
•	Recuperar RI Complemento Carta Porte (Condicional)
</t>
  </si>
  <si>
    <t>El sistema muestra la representación impresa del comprobante
La descarga se realiza uno a uno, contemplando el límite diario establecido para los archivos PDF en su RI.
(Aplica las Reglas de Negocio 07, 08 y 14)</t>
  </si>
  <si>
    <t>CP12-RFC Emisor/Descargar RI</t>
  </si>
  <si>
    <t>CP13-RFC Receptor/Descargar RI</t>
  </si>
  <si>
    <t>CP14-Masiva UUID/Descargar RI</t>
  </si>
  <si>
    <t>CP15-Folio Fiscal/MsjError_RI</t>
  </si>
  <si>
    <t xml:space="preserve">
Selecciona Recuperar Representación Impresa (RI).
Nota: Para este caso de prueba se deberá utilizar un xml mal formado para que aparezca el mensaje.</t>
  </si>
  <si>
    <t>El sistema al detectar un XML mal formado y que no puede generar la representación impresa va a mostrar el siguiente  mensaje.
El Folio Fiscal (XXXXXX) que se desea consultar sólo se puede visualizar el XML y no la Representación Impresa
Al momento de descargar la RI si el sistema detecta que esta mal formado y no puede generar el PDF de manera correcta.  Cuando se descargue la Representación Impresa el aplicativo va a mostrar un mensaje indicando que se encuentra mal formado.</t>
  </si>
  <si>
    <t>CP16-Folio Fiscal/Descargar XML</t>
  </si>
  <si>
    <t>El sistema abre una ventana emergente y comienza a descargar el archivo XML.
Esta descarga se realiza uno a uno, contemplando el límite diario establecido para los archivos XML.
(Aplica las Reglas de Negocio 09 y 14)</t>
  </si>
  <si>
    <t>CP17-RFCEmisor/Descargar XML</t>
  </si>
  <si>
    <t>CP18-RFC Receptor/Descargar XML</t>
  </si>
  <si>
    <t>CP19-Masiva UUID/Descargar XML</t>
  </si>
  <si>
    <t>CP20-Descargar Seleccionados XML</t>
  </si>
  <si>
    <t>El sistema muestra la selección de los CFDI
Viene de los Casos de Prueba: 
- CP01_ConsultaCentral_CFDI_Búsqueda/Folio Fiscal
- CP02_ConsultaCentral_CFDI_Búsqueda/RFCEmisor
- CP03_ConsultaCentral_CFDI_Búsqueda/RFCReceptor
- CP04_ConsultaCentral_CFDI_Búsqueda/RFCTercero
Esta funcionalidad solo estará disponible cuando la consulta se haya realizado por Fecha Inicial y Final de Emisión o cuando tenga más de un registro</t>
  </si>
  <si>
    <t>El sistema descarga de manera masiva los XML de los CFDI seleccionados que se obtuvieron como resultado de la búsqueda. 
Al momento de seleccionar está opción el sistema envía el mensaje: 
¡Descarga realizada con éxito!
La descarga de los CFDI se encuentra en proceso y podrás obtener el resultado con el folio de descarga: XXXXXXXX-XXXX-XXXX-XXXX-XXXXXXXXXXXX, en la opción: Recuperar descargas de CFDI.
Importante: el tiempo máximo para atender la solicitud es de 48 horas a partir de este momento.
Se generará de manera automática un número de folio de descarga, el cual estará compuesto por los parámetros XXXXXXXX, el cual podrá ser consultado desde la opción “Consulta Descarga”. 
ir al CP CP05/ConsultaCentral_CFDI_Consulta Descarga
(Aplica la Regla de Negocio 10) 
El archivo ZIP correspondiente a la descarga masiva, debe contener los archivos XML seleccionados. 
(Aplica las Reglas de Negocio 09, 14 y 16)</t>
  </si>
  <si>
    <t>CP21-Descargar Seleccionar RI</t>
  </si>
  <si>
    <t>CP22-Descarga Metadata</t>
  </si>
  <si>
    <t>CP23-Exportar resultados a PDF</t>
  </si>
  <si>
    <t xml:space="preserve">El aplicativo exporta toda la información de cada uno de los CFDI contenidos en la tabla a un documento pdf.
El sistema utilizar el componente que disponga el explorador de Windows para poder abrir el archivo o en su caso los archivos seleccionados en formato pdf. 
Viene de los Casos de Prueba: 
- CP01_ConsultaCentral_CFDI_Búsqueda/Folio Fiscal
- CP02_ConsultaCentral_CFDI_Búsqueda/RFCEmisor
- CP03_ConsultaCentral_CFDI_Búsqueda/RFCReceptor
- CP04_ConsultaCentral_CFDI_Búsqueda/RFCTercero
- CP06 ConsultaCentral_CFDI_Búsqueda/Masiva UUID
La información que se muestra en el archivo pdf, será toda la relativa a cada CFDI resultado de la consulta, en caso de que en alguna columna no se tenga información no se mostrará.
El archivo PDF debe contener los CFDI que corresponden al resultado de la consulta y que se visualizan en pantalla, como máximo 1,000 registros.
(Aplica las Reglas de Negocio 05 y 16) </t>
  </si>
  <si>
    <t>CP24-Exportar resultados a CSV</t>
  </si>
  <si>
    <t xml:space="preserve">El sistema envía mensaje conforme al explorador de windows para solicitar si la información se requiere “Abrir” o “Guardar”.
En caso de seleccionar la opción Guardar se abrirá el explorador de Windows para que el Usuario seleccione la carpeta en donde se desea guardar el archivo CSV.
En caso de seleccionar la opción Abrir se exporta toda la información contenida en la tabla a un documento Excel.
Viene de los Casos de Prueba: 
- CP01_ConsultaCentral_CFDI_Búsqueda/Folio Fiscal
- CP02_ConsultaCentral_CFDI_Búsqueda/RFCEmisor
- CP03_ConsultaCentral_CFDI_Búsqueda/RFCReceptor
- CP04_ConsultaCentral_CFDI_Búsqueda/RFCTercero
- CP06 ConsultaCentral_CFDI_Búsqueda/Masiva UUID
El archivo CSV debe contener los CFDI que corresponden al resultado de la consulta y que se visualizan en pantalla, como máximo 1,000 registros.
(Aplica las Reglas de Negocio 05 y 16) </t>
  </si>
  <si>
    <t>CP25-Recuperar Descargas de CFDI</t>
  </si>
  <si>
    <t>El sistema muestra en una pantalla adicional en relación a las peticiones solicitadas, exponiendo la nota: “En esta consulta se podrán recuperar solicitudes de descargas de CFDI y metadata de los últimos 3 días”.
La tabla de resultados de peticiones esta compuesta por las sigueintes columnas:
-Descargar
-# Paquete
-Folio de Descarga
-Tipo
-# de Documentos
-Fecha de la solicitud
Viene de los Casos de Prueba: 
ResultadodeConsulta/DescargarRI
ResultadosdeConsulta/DescargaMetadata</t>
  </si>
  <si>
    <t>El sistema procesa la petición y comienza la descarga del archivo.
El tiempo para generar los paquetes es de 48 horas máximo, a partir de la fecha de generación del folio de descarga.</t>
  </si>
  <si>
    <t>CP26-Consulta/PPE</t>
  </si>
  <si>
    <t xml:space="preserve">El sistema valida que el usuario tenga permisos para consultar  PPE.
Si se encuentra en la lista para poder ver los PPE, el sistema muestra los resultados de acuerdo a la consulta, más  los registros RFC PPE.
Si el usuario no cuenta con permisos, muestrea los resultados de acuerdo a una consulta normal no incluyendo los registros RFC PPE 
</t>
  </si>
  <si>
    <t>Si la petición es correcta, el sistema muestra:
A.	Casilla Acciones 
1)	Seleccionar.
2)	Descargar Acuse de cancelación.
3)	Descargar XML.
4)	Recuperar Representación Impresa.
B.	Datos de la Metadata del CFDI.
•	Folio Fiscal
•	RFC Emisor
•	Nombre o Razón Social del Emisor
•	RFC Receptor 
•	Nombre o Razón Social del Receptor
•	Fecha de Emisión
•	Fecha de Certificación
•	Subtotal
•	Total
•	Estado del Comprobante
•	Efecto del Comprobante
•	Fecha de Cancelación
•	PAC que Certificó
•	Estatus Cancelación
•	Estatus Proceso de Cancelación
•	Fecha de Solicitud de la cancelación
•	Motivo
•	Folio de sustitución
•	RFC a cuenta de terceros
C.	Botones: 
1)	Descargar Seleccionados XML.
2)	Descargas RI.
3)	Descargar Metadata.
4)	Exportar Resultados a PDF.
5)	Exportar Resultados a CSV.
D.	Paginador.
El Usuario previamente se autenticó  y accedió al portal Empleados-Consulta Central</t>
  </si>
  <si>
    <t>CP27-Autenticación</t>
  </si>
  <si>
    <t xml:space="preserve">Se muestran los datos para ingresar:
Certificado (.cer)
Clave privada (.Key)
Contraseña de clave privada: 
Se muestra el campo RFC
</t>
  </si>
  <si>
    <t xml:space="preserve">Se muestra el dato en el  campo certificado y en el campo RFC el dato del RFC del contribuyente
</t>
  </si>
  <si>
    <t xml:space="preserve">Se muestra el dato en el campo clave privada
</t>
  </si>
  <si>
    <t xml:space="preserve">Se muestra oculto el dato en el campo contraseña
</t>
  </si>
  <si>
    <t xml:space="preserve">Si la autenticación es correcta, el aplicativo reenvía a la página principal.
</t>
  </si>
  <si>
    <t>CP28-Cierre Sesión Inactividad</t>
  </si>
  <si>
    <t>El sistema muestra las siguientes opciones de búsqueda:
- Folio Fiscal
- Fecha Inicial y Final de Emisión
- Masiva UUID
El Usuario previamente se autenticó  y accedió al portal Empleados-Consulta Central</t>
  </si>
  <si>
    <t xml:space="preserve">Después de 15 minutos de inactividad, se cerrará la sesión en automático.
</t>
  </si>
  <si>
    <t xml:space="preserve">
Para realizar una nueva consulta, el usuario requiere autenticarse de nuevo.</t>
  </si>
  <si>
    <t>CP29-Masiva UUID / Archivo con Errores</t>
  </si>
  <si>
    <t xml:space="preserve">Para el caso de que en la relación de los folios fiscales consultados no se localicen o no cumplan la estructura de UUID de CFDI.
El sistema genera un mensaje
"No se encontraron folios, la lista se encuentra en proceso y podrás obtener el resultado con el folio de descarga: xxxxxxxx-xxxx-xxxx-xxxx-xxxxxxxxxxx"
</t>
  </si>
  <si>
    <t xml:space="preserve">Es sistema comienza la descarga del archivo.
</t>
  </si>
  <si>
    <t>CP30-Folios Relacionados</t>
  </si>
  <si>
    <t xml:space="preserve">El sistema comienza la descarga del Acuse de Documentos Relacionados en formato PDF.
</t>
  </si>
  <si>
    <t>El sistema muestra el Acuse de Documentos Relacionados 
El Acuse Documentos Relacionados, deberá contar con las siguientes características:
-	Logo de la Hacienda
-	Nombre de la Institución: ‘Servicio de Administración Tributaria’ y el nombre del documento “
-	Nombre del documento: “Consulta de Documentos Relacionados”
•	UUID Consultado
Facturas que relacionan al UUID Consultado
Columnas:
•	# 
•	UUID
•	Emisor
•	Receptor</t>
  </si>
  <si>
    <t>CP31-Representación Impresa Complemento Carta Porte</t>
  </si>
  <si>
    <t>El sistema muestra la representación impresa Complemento Carta Porte
La descarga se realiza uno a uno, contemplando el límite diario establecido para los archivos PDF en su RI CCP
(Aplica las Reglas de Negocio 07, 08 y 14)</t>
  </si>
  <si>
    <t xml:space="preserve">Si la petición es correcta, el sistema muestra:
A.	Casilla Acciones 
1)	Seleccionar.
2)	Descargar Acuse de cancelación.
3)	Descargar XML.
4)	Recuperar Representación Impresa.
B.	Datos de la Metadata del CFDI.
•	Folio Fiscal
•	RFC Emisor
•	Nombre o Razón Social del Emisor
•	RFC Receptor 
•	Nombre o Razón Social del Receptor
•	Fecha de Emisión
•	Fecha de Certificación
•	Subtotal
•	Total
•	Estado del Comprobante
•	Efecto del Comprobante
•	Fecha de Cancelación
•	PAC que Certificó
•	Estatus Cancelación
•	Estatus Proceso de Cancelación
•	Fecha de Solicitud de la cancelación
•	Motivo
•	Folio de sustitución
•	RFC a cuenta de terceros
C.	Botones: 
1)	Descargar Seleccionados XML.
2)	Descargas RI.
3)	Descargar Metadata.
4)	Exportar Resultados a PDF.
5)	Exportar Resultados a CSV.
D.	Paginador.
</t>
  </si>
  <si>
    <t xml:space="preserve">Si la petición es correcta, el sistema muestra:
A.	Casilla Acciones 
1)	Seleccionar.
2)	Descargar Acuse de cancelación.
3)	Descargar XML.
4)	Recuperar Representación Impresa.
B.	Datos de la Metadata del CFDI.
•	Folio Fiscal
•	RFC Emisor
•	Nombre o Razón Social del Emisor
•	RFC Receptor 
•	Nombre o Razón Social del Receptor
•	Fecha de Emisión
•	Fecha de Certificación
•	Subtotal
•	Total
•	Estado del Comprobante
•	Efecto del Comprobante
•	Fecha de Cancelación
•	PAC que Certificó
•	Estatus Cancelación
•	Estatus Proceso de Cancelación
•	Fecha de Solicitud de la cancelación
•	Motivo
•	Folio de sustitución
•	RFC a cuenta de terceros
C.	Botones: 
1)	Descargar Seleccionados XML.
2)	Descargas RI.
3)	Descargar Metadata.
4)	Exportar Resultados a PDF.
5)	Exportar Resultados a CSV.
D.	Paginador.
</t>
  </si>
  <si>
    <t xml:space="preserve">El sistema realiza la petición y si contiene folios correctos los muestra en la sección de resultados:
A.	Casilla Acciones 
1)	Seleccionar.
2)	Descargar Acuse de cancelación.
3)	Descargar XML.
4)	Recuperar Representación Impresa.
B.	Datos de la Metadata del CFDI.
•	Folio Fiscal
•	RFC Emisor
•	Nombre o Razón Social del Emisor
•	RFC Receptor 
•	Nombre o Razón Social del Receptor
•	Fecha de Emisión
•	Fecha de Certificación
•	Subtotal
•	Total
•	Estado del Comprobante
•	Efecto del Comprobante
•	Fecha de Cancelación
•	PAC que Certificó
•	Estatus Cancelación
•	Estatus Proceso de Cancelación
•	Fecha de Solicitud de la cancelación
•	Motivo
•	Folio de sustitución
•	RFC a cuenta de terceros
C.	Botones: 
1)	Descargar Seleccionados XML.
2)	Descargas RI.
3)	Descargar Metadata.
•	La consulta masiva esta limitada a 1,000 registros de UUID.
•	El servicio solo permite la consulta a través de archivos de texto plano (.txt)
•	Si el sistema no encuentra folios válidos ver el caso de prueba CP29
</t>
  </si>
  <si>
    <t xml:space="preserve">Si la petición es correcta, el sistema muestra:
A.	Casilla Acciones 
1)	Seleccionar.
2)	Descargar Acuse de cancelación.
3)	Descargar XML.
4)	Recuperar Representación Impresa.
B.	Datos de la Metadata del CFDI.
•	Folio Fiscal
•	RFC Emisor
•	Nombre o Razón Social del Emisor
•	RFC Receptor 
•	Nombre o Razón Social del Receptor
•	Fecha de Emisión
•	Fecha de Certificación
•	Subtotal
•	Total
•	Estado del Comprobante
•	Efecto del Comprobante
•	Fecha de Cancelación
•	PAC que Certificó
•	Estatus Cancelación
•	Estatus Proceso de Cancelación
•	Fecha de Solicitud de la cancelación
•	Motivo
•	Folio de sustitución
•	RFC a cuenta de terceros
D.	Botones: 
1)	Descargar Seleccionados XML.
2)	Descargas RI.
3)	Descargar Metadata.
4)	Exportar Resultados a PDF.
5)	Exportar Resultados a CSV.
E.	Paginador.
</t>
  </si>
  <si>
    <t xml:space="preserve">Si la petición es correcta, el sistema muestra:
A.	Casilla Acciones 
1)	Seleccionar.
2)	Descargar Acuse de cancelación.
3)	Descargar XML.
4)	Recuperar Representación Impresa.
B.	Datos de la Metadata del CFDI.
•	Folio Fiscal
•	RFC Emisor
•	Nombre o Razón Social del Emisor
•	RFC Receptor 
•	Nombre o Razón Social del Receptor
•	Fecha de Emisión
•	Fecha de Certificación
•	Subtotal
•	Total
•	Estado del Comprobante
•	Efecto del Comprobante
•	Fecha de Cancelación
•	PAC que Certificó
•	Estatus Cancelación
•	Estatus Proceso de Cancelación
•	Fecha de Solicitud de la cancelación
•	Motivo
•	Folio de sustitución
•	RFC a cuenta de terceros
D.	Botones: 
1)	Descargar Seleccionados XML.
2)	Descargas RI.
3)	Descargar Metadata.
4)	Exportar Resultados a PDF.
5)	Exportar Resultados a CSV.
E.	Paginador.
</t>
  </si>
  <si>
    <t xml:space="preserve">El sistema descarga de manera masiva la representación impresa de los CFDI seleccionados que se obtuvieron como resultado de la búsqueda. 
Al momento de seleccionar está opción el sistema envía el mensaje: 
¡Descarga realizada con éxito!
“La descarga de las representaciones impresas se encuentra en proceso y podrás obtener el resultado con el folio de descarga: XXXXXXX-XXXX-XXXX-XXXX-XXXXXXXXXXX, en la opción: Recuperar descargas de CFDI
Importante: el tiempo máximo para atender la solicitud es de 48 horas a partir de este momento.
Se generará de manera automática un número de folio de descarga, el cual estará compuesto por los parámetros XXXXXXXX, el cual podrá ser consultado desde la opción “Recuperar descargas de CFDI”.
ir al CP CP05/ConsultaCentral_CFDI_Consulta Descarga
(Aplica la Regla de Negocio 10) 
</t>
  </si>
  <si>
    <t>En caso de no encontrar información ir al Caso de Prueba "Sin Resultados"
El sistema muestra:
A.	Casilla Acciones 
1)	Seleccionar.
2)	Descargar.
3)	Recuperar Representación Impresa.
B.	Datos de la Metadata del CFDI.
•	Folio Fiscal
•	RFC Emisor
•	Nombre o Razón Social del Emisor
•	RFC Receptor 
•	Nombre o Razón Social del Receptor
•	Fecha de Emisión
•	Fecha de Certificación
•	Subtotal
•	Total
•	Estado del Comprobante
•	Efecto del Comprobante
•	Fecha de Cancelación
•	PAC que Certificó
•	Estatus Cancelación
•	Estatus Proceso de Cancelación
•	Fecha de Solicitud de la cancelación
•	Motivo
•	Folio de sustitución
C.	RFC a cuenta de Terceros.
D.	Botones: 
1)	Descargar Seleccionados XML.
2)	Descargas RI.
3)	Descargar Metadata.
4)	Exportar Resultados a PDF.
5)	Exportar Resultados a CSV.
E.	Paginador.
Viene de los Casos de Prueba: 
- CP01_/Folio Fiscal
- CP02_/RFCEmisor
- CP03_/RFCReceptor
- CP04_/RFCTercero
- CP06 /Masiva UUID</t>
  </si>
  <si>
    <t>Al momento de seleccionar está opción el sistema:
Enviara el mensaje: 
La descarga de metadatos se encuentra en proceso y podrás obtener el resultado con el folio de descarga:XXXXXXX-XXXX-XXXX-XXXX-XXXXXXXXXXX, en la opción: Recuperar descargas de CFDI. Importante: el tiempo máximo para atender la solicitud es de 48 horas a partir de este momento
Se generará de manera automática un número de folio de descarga, el cual estará compuesto por los parámetros XXXXXXXX, el cual podrá ser consultado desde la opción “Recuperar descargas de CFDI”.
ir al CP CP05/ConsultaCentral_CFDI_Consulta Descarga
(Aplica la Regla de Negocio 10) 
El archivo de texto plano debe de contener los datos de la metadata para los CFDI que corresponden al resultado de la consulta y que se visualizan en pantalla, como máximo 1,000 registros.
(Aplica las Reglas de Negocio 05 y 16)
Se descarga un archivo txt donde se muestra el detalle de los comprobantes separados por el carácter “~”.</t>
  </si>
  <si>
    <t xml:space="preserve">El sistema realiza la petición y si contiene folios correctos los muestra en la sección de resultados.
A.	Casilla Acciones 
1)	Seleccionar.
2)	Descargar Acuse de cancelación.
3)	Descargar XML.
4)	Recuperar Representación Impresa.
B.	Datos de la Metadata del CFDI.
•	Folio Fiscal
•	RFC Emisor
•	Nombre o Razón Social del Emisor
•	RFC Receptor 
•	Nombre o Razón Social del Receptor
•	Fecha de Emisión
•	Fecha de Certificación
•	Subtotal
•	Total
•	Estado del Comprobante
•	Efecto del Comprobante
•	Fecha de Cancelación
•	PAC que Certificó
•	Estatus Cancelación
•	Estatus Proceso de Cancelación
•	Fecha de Solicitud de la cancelación
•	Motivo
•	Folio de sustitución
•	RFC a cuenta de terceros
C.	Botones: 
1)	Descargar Seleccionados XML.
2)	Descargas RI.
3)	Descargar Metadata.
•	La consulta masiva esta limitada a 1,000 registros de UUID.
•	El servicio solo permite la consulta a través de archivos de texto plano (.txt)
</t>
  </si>
  <si>
    <t xml:space="preserve">Si la petición es correcta, el sistema muestra:
A.	Casilla Acciones 
1)	Seleccionar.
2)	Descargar Acuse de cancelación.
3)	Descargar XML.
4)	Recuperar Representación Impresa.
B.	Datos de la Metadata del CFDI.
•	Folio Fiscal
•	RFC Emisor
•	Nombre o Razón Social del Emisor
•	RFC Receptor 
•	Nombre o Razón Social del Receptor
•	Fecha de Emisión
•	Fecha de Certificación
•	Subtotal
•	Total
•	Estado del Comprobante
•	Efecto del Comprobante
•	Fecha de Cancelación
•	PAC que Certificó
•	Estatus Cancelación
•	Estatus Proceso de Cancelación
•	Fecha de Solicitud de la cancelación
•	Motivo
•	Folio de sustitución
•	RFC a cuenta de terceros
D.	Botones: 
1)	Descargar Seleccionados XML.
2)	Descargas RI.
3)	Descargar Metadata.
4)	Exportar Resultados a PDF.
5)	Exportar Resultados a CSV.
E.	Paginador.
</t>
  </si>
  <si>
    <t>CP15</t>
  </si>
  <si>
    <t>CP31</t>
  </si>
  <si>
    <t>CP32</t>
  </si>
  <si>
    <t>CP33</t>
  </si>
  <si>
    <t>CP34</t>
  </si>
  <si>
    <t>FE Automatizar el proceso para la generación de Facturas Electrónicas de los Pagos realizados por conceptos de DPA y DTA.</t>
  </si>
  <si>
    <t>e.firma vigentes</t>
  </si>
  <si>
    <t xml:space="preserve">Empleado ingresa a la URL del Portal </t>
  </si>
  <si>
    <t>Se requiere que el Empleado al ingresar al aplicativo cuente con una opción que le permita autenticarse mediante su e.firma para lo cual:
•	Se deberá visualizar el componente para el firmado electrónico, el cual debe apegarse a los lineamientos institucionales vigentes por el área de Seguridad del SAT. 
•	Se solicitarán los archivos del certificado, clave privada y contraseña vigentes.
•	Se mostrarán los mensajes de validación de los campos proporcionados por el PAC conforme a los lineamientos institucionales vigentes por el área de Seguridad del SAT. 
El PAC debe tener asignado el rol</t>
  </si>
  <si>
    <t>El empleado da clic en buscar y selecciona el archivo correspondiente a su certificado</t>
  </si>
  <si>
    <t>Se muestra el dato en el  campo certificado y en el campo RFC el dato del RFC del Empleado</t>
  </si>
  <si>
    <t>El empleado da clic en buscar y selecciona el archivo correspondiente a su clave privada</t>
  </si>
  <si>
    <t>Empleado ingresa su contraseña</t>
  </si>
  <si>
    <t>POL_8387 /Portal/Generación de facturas electrónicas de los pagos realizados por conceptos de DPA y DTA</t>
  </si>
  <si>
    <t>El sistema valida que el certificado, la clave privada o la contraseña de clave privada sean correctos y estén relacionados entre sí</t>
  </si>
  <si>
    <t>El sistema valida el rol del usuario para el acceso a DTA, DPA o ambos:
En caso de no tener un rol asignado, el sistema mostrará el mensaje "El usuario (RFC del usuario) no tiene privilegios para acceder al aplicativo"</t>
  </si>
  <si>
    <t>Se muestra el menu principal DPA con las siguientes opciones:
•	Encabezado 
•	Fecha actual del día
•	Título del módulo en el que se encuentra
•	Mensaje “Bienvenido + (Nombre del usuario que accedió al aplicativo)
•	Cerrar sesión.
•	Generación de Facturas electrónicas DPA Línea De captura
•	Generación de Facturas electrónicas DPA e.5cinco</t>
  </si>
  <si>
    <t>/Autenticación</t>
  </si>
  <si>
    <t>/Autenticación_Cer_Key_Incorrecto</t>
  </si>
  <si>
    <t>Usuario ingresa al Portal</t>
  </si>
  <si>
    <t>Para  efectos de este caso de prueba se requiere un archivo .cer o un archivo .Key sean incorrectos.</t>
  </si>
  <si>
    <t>El sistema muestra mensaje: El certificado no corresponde con la llave privada. Y no permite el acceso al Portal de Incidentes</t>
  </si>
  <si>
    <t>/Autenticación_Contraseña_Incorrecto</t>
  </si>
  <si>
    <t>Para  efectos de este caso de prueba se requiere ingresar una contraseña incorrecta.</t>
  </si>
  <si>
    <t>El sistema muestra mensaje: Certificado, clave privada o contraseña de clave privada inválidos, inténtelo nuevamente.</t>
  </si>
  <si>
    <t>Usuario abre explorador
.</t>
  </si>
  <si>
    <t>Usuario ingresa a la URL correspondiente al Portal</t>
  </si>
  <si>
    <t>Se muestra el dato en el  campo certificado y en el campo RFC el dato del RFC del Usuario</t>
  </si>
  <si>
    <r>
      <t xml:space="preserve">El usuario debe tener asignado el rol
</t>
    </r>
    <r>
      <rPr>
        <b/>
        <sz val="10"/>
        <rFont val="Noto Sans"/>
        <family val="2"/>
        <charset val="1"/>
      </rPr>
      <t>Para  efectos de este caso de prueba se requiere un archivo .cer o un archivo .Key sean incorrectos.</t>
    </r>
  </si>
  <si>
    <t xml:space="preserve"> Usuario abre explorador</t>
  </si>
  <si>
    <t>Usuario ingresa su contraseña incorrecta</t>
  </si>
  <si>
    <t xml:space="preserve">Se muestra el dato en el  campo certificado y en el campo RFC el dato del RFC </t>
  </si>
  <si>
    <r>
      <t xml:space="preserve">El RFC debe tener asignado el rol
</t>
    </r>
    <r>
      <rPr>
        <b/>
        <sz val="10"/>
        <rFont val="Noto Sans"/>
        <family val="2"/>
        <charset val="1"/>
      </rPr>
      <t>Para  efectos de este caso de prueba se requiere ingresar una contraseña incorrecta.</t>
    </r>
  </si>
  <si>
    <t>Roles
DPA
DTA-DPA</t>
  </si>
  <si>
    <t>/CerrarSesion</t>
  </si>
  <si>
    <t>Al seleccionar la opción “Generación de Facturas electrónicas DPA Línea De captura” o “Generación de Facturas electrónicas DPA e.5cinco” Se muestra la opción DPA, el cual despliega el Menú DPA, con las siguientes opciones:
•	Generar Facturas Electrónicas
•	Consulta y Modificación de Pago
•	Consultar Información de Proceso  
•	Consultar facturas 
•	Cancelación masiva de facturas
•	Reportes estadísticos.</t>
  </si>
  <si>
    <t>Da clic en Cerrar sesión</t>
  </si>
  <si>
    <t xml:space="preserve">Muestra el mensaje "Está a punto de cerrar su sesión, ¿continuar?"
con las siguientes opciones: 
•	Botón Aceptar
•	Botón Cancelar. </t>
  </si>
  <si>
    <t>Da clic en boton "Aceptar"</t>
  </si>
  <si>
    <t>Cierra el aplicativo en su totalidad.</t>
  </si>
  <si>
    <t>En caso de que seleccione la opción “Cancelar”, continúa en el paso donde fue llamado.</t>
  </si>
  <si>
    <t>LineaCaptura/GenerarFacturasElectronicas</t>
  </si>
  <si>
    <t>El sistema muestra las siguientes opciones: 
•	Generación de Facturas electrónicas DPA Línea De captura.
•	Generación de Facturas electrónicas DPA e.5cinco.</t>
  </si>
  <si>
    <t>El Usuario previamente se autenticó</t>
  </si>
  <si>
    <t xml:space="preserve">Usuario ingresa al portal </t>
  </si>
  <si>
    <t xml:space="preserve">El usuario da clic en el opcion "Generación de Facturas electrónicas DPA Línea De captura" </t>
  </si>
  <si>
    <t>El sistema muestra las siguientes opciones de acuerdo con la (Pantalla 02):
Encabezado:
•	Fecha
•	Título de la sección
Opciones:
•	DPA
•	Cerrar sesión.
Semáforo (Todos en color gris):
(RNA002)
•	Transferir insumo
•	Verificar insumo
•	Carga de insumo
•	Generación XML
•	Enviar a Timbrado</t>
  </si>
  <si>
    <t>El sistema muestra las siguientes opciones de acuerdo con la (Pantalla 02):
Sección: Transferir insumo de información para Facturación Electrónica DPA línea de captura
•	Campo: Archivo ZIP (.txt).
      Opción:
•	Botón “Examinar” 
(RNA003)
•	Botón “Transferir” (Inhabilitado)
•	Botón “Cancelar”.</t>
  </si>
  <si>
    <t xml:space="preserve">El sistema permite mostrar y adjuntar en el navegador de archivos, solo los archivos con extensión .zip. </t>
  </si>
  <si>
    <t>El sistema muestra el explorador de archivos.</t>
  </si>
  <si>
    <t>Selecciona el archivo ZIP (.txt) almacenado en el equipo de cómputo.</t>
  </si>
  <si>
    <t>Selecciona el boton habilitado “Transferir”.</t>
  </si>
  <si>
    <t xml:space="preserve">El sistema habilita el botón “Transferir”. 
</t>
  </si>
  <si>
    <t xml:space="preserve">Selecciona la opción “Examinar” </t>
  </si>
  <si>
    <t xml:space="preserve">Selecciona la opción “Transferir” </t>
  </si>
  <si>
    <t>El sistema válida y muestra el nombre y el tamaño del archivo .zip adjuntado conforme la (Pantalla 03):
Sección: Transferir insumo de información para Facturación Electrónica DPA Línea de captura:
•	Campo: Archivo ZIP (.txt).
•Nombre del insumo 
•Tamaño del archivo
      Opción:
•	Botón “Examinar” 
•	Botón “Transferir” (habilitado)
•	Botón “Cancelar”.</t>
  </si>
  <si>
    <t>Da clic en cerrar sesión y posteriormente en aceptar</t>
  </si>
  <si>
    <t>/LineaCaptura/TransferirInsumo/BotonCancelar</t>
  </si>
  <si>
    <r>
      <t xml:space="preserve">Seccion: Proceso de Transferencia del insumo de informacion DPA Linea de captura
•El sistema muestra el mensaje:  </t>
    </r>
    <r>
      <rPr>
        <b/>
        <sz val="10"/>
        <rFont val="Noto Sans"/>
        <family val="2"/>
      </rPr>
      <t>Transferencia realizada con éxito</t>
    </r>
    <r>
      <rPr>
        <sz val="10"/>
        <rFont val="Noto Sans"/>
        <family val="2"/>
        <charset val="1"/>
      </rPr>
      <t xml:space="preserve"> 
•Se muestra una ventana emergente con el mensaje:
</t>
    </r>
    <r>
      <rPr>
        <b/>
        <sz val="10"/>
        <rFont val="Noto Sans"/>
        <family val="2"/>
      </rPr>
      <t>¿Desea continuar con el proceso de verificación del insumo?</t>
    </r>
    <r>
      <rPr>
        <sz val="10"/>
        <rFont val="Noto Sans"/>
        <family val="2"/>
        <charset val="1"/>
      </rPr>
      <t xml:space="preserve"> 
</t>
    </r>
    <r>
      <rPr>
        <b/>
        <sz val="10"/>
        <rFont val="Noto Sans"/>
        <family val="2"/>
      </rPr>
      <t xml:space="preserve">Estimado usuario, puede retomar el proceso en el módulo de “Consultar Información de Proceso” </t>
    </r>
    <r>
      <rPr>
        <sz val="10"/>
        <rFont val="Noto Sans"/>
        <family val="2"/>
        <charset val="1"/>
      </rPr>
      <t>y con las opciones “Sí” y “No” (Pantalla 09).</t>
    </r>
  </si>
  <si>
    <t>Da clic en el boton "Cancelar" antes de que termine el proceso de transferencia</t>
  </si>
  <si>
    <t xml:space="preserve">Seccion: Proceso de Transferencia del insumo de informacion DPA Linea de captura
•Espere por favor mientras termina de transferir la información necesaria 
•El sistema inicia la transferencia del insumo al aplicativo, mostrando el porcentaje de transferencia en una barra de progreso, así como también el tamaño en megabytes y el nombre del archivo.
•Nombre del insumo:
•Tamaño del archvio
•Boton Cancelar
</t>
  </si>
  <si>
    <t>Dar clic en opcion "Si"</t>
  </si>
  <si>
    <r>
      <t xml:space="preserve">Muestra el mensaje: </t>
    </r>
    <r>
      <rPr>
        <b/>
        <sz val="10"/>
        <rFont val="Noto Sans"/>
        <family val="2"/>
      </rPr>
      <t>Proceso cancelado</t>
    </r>
    <r>
      <rPr>
        <sz val="10"/>
        <rFont val="Noto Sans"/>
        <family val="2"/>
        <charset val="1"/>
      </rPr>
      <t xml:space="preserve">  y el sistema detiene el proceso de transferencia del archivo y elimina del aplicativo el archivo transferido.
</t>
    </r>
  </si>
  <si>
    <t>•	Si la opción seleccionada es “No”, el sistema continúa con la transferencia del archivo .zip y continúa en el paso 6c del Flujo principal.</t>
  </si>
  <si>
    <t xml:space="preserve">
El sistema deberá de mostrar el tamaño del archivo .zip en megabytes, cuando el archivo supere los 1024 megabytes, el sistema muestra la siguiente unidad de medida más grande ( Gigabytes (GB): 1 GB = 1024 
El sistema valida de forma constante que exista conexión y que se esté realizando la transferencia del insumo .zip.
</t>
  </si>
  <si>
    <r>
      <t xml:space="preserve">•	En caso de que no se pueda descomprimir el archivo con extensión .zip, muestra el mensaje de error: </t>
    </r>
    <r>
      <rPr>
        <b/>
        <sz val="10"/>
        <rFont val="Noto Sans"/>
        <family val="2"/>
      </rPr>
      <t>No es posible abrir el archivo (nombre del archivo. zip) Favor de validar.</t>
    </r>
    <r>
      <rPr>
        <sz val="10"/>
        <rFont val="Noto Sans"/>
        <family val="2"/>
        <charset val="1"/>
      </rPr>
      <t xml:space="preserve"> </t>
    </r>
  </si>
  <si>
    <r>
      <t xml:space="preserve">•	En caso de que el archivo .zip no tenga un insumo, muestra el mensaje de error: </t>
    </r>
    <r>
      <rPr>
        <b/>
        <sz val="10"/>
        <rFont val="Noto Sans"/>
        <family val="2"/>
      </rPr>
      <t>El archivo .zip está vacío. Favor de validar.</t>
    </r>
  </si>
  <si>
    <r>
      <t xml:space="preserve">•	En caso de que el archivo con extensión .zip tenga un archivo diferente de .txt, muestra el mensaje de error: </t>
    </r>
    <r>
      <rPr>
        <b/>
        <sz val="10"/>
        <rFont val="Noto Sans"/>
        <family val="2"/>
      </rPr>
      <t>El archivo .zip, tiene archivos no permitidos. Favor de validar.</t>
    </r>
  </si>
  <si>
    <r>
      <t xml:space="preserve">•	En caso de que exista más de un archivo .txt, muestra el mensaje de error: </t>
    </r>
    <r>
      <rPr>
        <b/>
        <sz val="10"/>
        <rFont val="Noto Sans"/>
        <family val="2"/>
      </rPr>
      <t>Existe más de un archivo .txt. Favor de validar.</t>
    </r>
  </si>
  <si>
    <r>
      <t xml:space="preserve">•	En caso de que la nomenclatura no sea correcta, muestra el mensaje de error: </t>
    </r>
    <r>
      <rPr>
        <b/>
        <sz val="10"/>
        <rFont val="Noto Sans"/>
        <family val="2"/>
      </rPr>
      <t>La nomenclatura del título del archivo es incorrecta. Favor de validar.</t>
    </r>
  </si>
  <si>
    <r>
      <t xml:space="preserve">•	En caso de que se haya cargado un archivo .txt con el mismo nombre, el sistema muestra mensaje de error: </t>
    </r>
    <r>
      <rPr>
        <b/>
        <sz val="10"/>
        <rFont val="Noto Sans"/>
        <family val="2"/>
      </rPr>
      <t>El nombre del archivo ya existe en el sistema. Favor de validar.</t>
    </r>
  </si>
  <si>
    <r>
      <t xml:space="preserve">•	En caso de que el archivo .txt no cuente con la codificación UTF-8, muestra el mensaje de error: </t>
    </r>
    <r>
      <rPr>
        <b/>
        <sz val="10"/>
        <rFont val="Noto Sans"/>
        <family val="2"/>
      </rPr>
      <t>El Archivo no es UTF-8. Favor de validar.</t>
    </r>
  </si>
  <si>
    <r>
      <t xml:space="preserve">•	En caso de que el archivo no cuente con encabezado o no sea conforme el Layout, muestra el mensaje de error: </t>
    </r>
    <r>
      <rPr>
        <b/>
        <sz val="10"/>
        <rFont val="Noto Sans"/>
        <family val="2"/>
      </rPr>
      <t>Encabezado o Layout incorrecto. Favor de Validar.</t>
    </r>
  </si>
  <si>
    <r>
      <t xml:space="preserve">•	En caso de que el archivo .txt cuente con registros con caracteres especiales no permitidos, muestra el mensaje de error: </t>
    </r>
    <r>
      <rPr>
        <b/>
        <sz val="10"/>
        <rFont val="Noto Sans"/>
        <family val="2"/>
      </rPr>
      <t>El archivo .txt tiene caracteres no permitidos. Favor de validar.</t>
    </r>
  </si>
  <si>
    <r>
      <t xml:space="preserve">•	En caso de que exista alguna línea en blanco, muestra el mensaje de error: </t>
    </r>
    <r>
      <rPr>
        <b/>
        <sz val="10"/>
        <rFont val="Noto Sans"/>
        <family val="2"/>
      </rPr>
      <t>El archivo tiene líneas en blanco. Favor de validar.</t>
    </r>
  </si>
  <si>
    <r>
      <t xml:space="preserve">•	En caso de que exista algún registro perteneciente a pagos agrupados, muestra el mensaje de error: </t>
    </r>
    <r>
      <rPr>
        <b/>
        <sz val="10"/>
        <rFont val="Noto Sans"/>
        <family val="2"/>
      </rPr>
      <t>Existen errores en registros pertenecientes a datos agrupados. Favor de validar.</t>
    </r>
  </si>
  <si>
    <t>Dar clic en boton "Iniciar carga"</t>
  </si>
  <si>
    <t>Seccion Verificacion del archivo .txt
•Verificando archivo .txt
•Barra de carga con su porcentaje
•Nombre del insumo:
•Tamaño del archvio
Checklist
Lista de verificacion del insumo de informacion:
Leyenda "No se mostraron errores"
Seccion Archivo .zip
oArchivo .zip correcto
oArchivo .zip con insumo
oEl archivo .zip solo contiene un archivo .txt
oEl archivo .txt tiene la nomeclatura correcta
oEl archivo .txt no existe de forma previa 
Seccion Archivo .txt
oCodificacion UTF-8
oEncabezado y layout correcto
oValidacion de caracteres especiales
oNo existen lineas en blanco 
oNo existen errores en datos agrupados
Nombre del insumo:
Tamaño del archivo .txt:
Total de registros leidos:
Total de registros leidos sin errores:
Total de registros leidos con errores:
Opciones: 
•	Iniciar carga
•	Descargar errores (inhabilitado)</t>
  </si>
  <si>
    <t>Sección: Firma para Transferir Insumo de Información.
Encabezado:
•	Fecha
•	Título de la sección
•	DPA
•	DTA
•	Cerrar sesión
•	Certificado (.cer)
•	Clave Privada (.key)
•	Contraseña de Clave Privada
•	RFC
        Opciones: 
•	Buscar
•	Firmar
•	Limpiar
•	Regresar</t>
  </si>
  <si>
    <t>Para efectos de este caso de prueba se requiere un archivo .zip o .txt con cualquiera de los errores del Checklist</t>
  </si>
  <si>
    <r>
      <t>Seccion Verificacion del archivo .txt
•Verificando archivo .txt
•Barra de carga con su porcentaje
•Nombre del insumo:
•Tamaño del archvio
Checklist
Lista de verificacion del insumo de informacion:
Leyenda "Existen lineas en blanco. Favor de validar"
Seccion Archivo .zip
oArchivo .zip correcto
oArchivo .zip con insumo
oEl archivo .zip solo contiene un archivo .txt
x</t>
    </r>
    <r>
      <rPr>
        <b/>
        <sz val="10"/>
        <rFont val="Noto Sans"/>
        <family val="2"/>
      </rPr>
      <t>El archivo .txt tiene la nomeclatura correcta</t>
    </r>
    <r>
      <rPr>
        <sz val="10"/>
        <rFont val="Noto Sans"/>
        <family val="2"/>
        <charset val="1"/>
      </rPr>
      <t xml:space="preserve">
oEl archivo .txt no existe de forma previa 
Seccion Archivo .txt
oCodificacion UTF-8
oEncabezado y layout correcto
oValidacion de caracteres especiales
o</t>
    </r>
    <r>
      <rPr>
        <sz val="10"/>
        <rFont val="Noto Sans"/>
        <family val="2"/>
      </rPr>
      <t>No existen lineas en blanco</t>
    </r>
    <r>
      <rPr>
        <b/>
        <sz val="10"/>
        <rFont val="Noto Sans"/>
        <family val="2"/>
      </rPr>
      <t xml:space="preserve"> </t>
    </r>
    <r>
      <rPr>
        <sz val="10"/>
        <rFont val="Noto Sans"/>
        <family val="2"/>
        <charset val="1"/>
      </rPr>
      <t xml:space="preserve">
oNo existen errores en datos agrupados
Nombre del insumo:
Tamaño del archivo .txt:
Total de registros leidos:
Total de registros leidos sin errores:
Total de registros leidos con errores:
Opciones: 
•	Iniciar carga
•	Descargar errores (Habilitado)</t>
    </r>
  </si>
  <si>
    <t>El Empleado SAT selecciona la opción “Cerrar” (tache de la ventana).</t>
  </si>
  <si>
    <t>El sistema muestra las siguientes opciones:
Encabezado:
•	Fecha
•	Título de la sección
Opciones:
•	DPA
•	Cerrar sesión.
Semáforo (Todos en color gris):
•	Transferir insumo
•	Verificar insumo
•	Carga de insumo
•	Generación XML
•	Enviar a Timbrado.
Sección: Transferir insumo de información para Facturación Electrónica DPA línea de captura
•	Campo: Archivo ZIP (.txt).
      Opción:
•	Botón “Examinar” 
•	Botón “Transferir” (Inhabilitado)
•	Botón “Cancelar”.</t>
  </si>
  <si>
    <t xml:space="preserve">El sistema deberá de mostrar el tamaño del archivo .zip en megabytes, cuando el archivo supere los 1024 megabytes, el sistema muestra la siguiente unidad de medida más grande ( Gigabytes (GB): 1 GB = 1024 
El sistema asigna el estado “En proceso” y lo representa en color amarillo en el semáforo correspondiente a “Transferir insumo"
</t>
  </si>
  <si>
    <t>El sistema deberá de mostrar el tamaño del archivo .zip en megabytes, cuando el archivo supere los 1024 megabytes, el sistema muestra la siguiente unidad de medida más grande ( Gigabytes (GB): 1 GB = 1024 
El sistema asigna el estado “En proceso” y lo representa en color amarillo en el semáforo correspondiente a “Transferir insumo"</t>
  </si>
  <si>
    <t>/LineaCaptura/TransferirInsumo/MsgsError</t>
  </si>
  <si>
    <t>Dar clic en boton "Descargar errores"</t>
  </si>
  <si>
    <t>El sistema genera un archivo .txt indicando la línea, registro completo y una descripción genérica de donde se está presentando un error con respecto a la validación del insumo cargado por el usuario.
El archivo está definido por una cabecera compuesta de ”línea”, “registro” y “error”, todos separados por un “pipe”, donde “línea” indica el número de línea del registro donde se presentan la inconsistencia, el registro completo y “error” muestra una descripción genérica del error</t>
  </si>
  <si>
    <t>En caso de que el sistema muestre algún tipo de error y el Empleado SAT cierre la ventana emergente, el sistema asigna el estado de “No iniciado” y lo representa en color “Gris” en el semáforo
El sistema cierra la ventana de “Lista de verificación del insumo de información” con los errores presentados durante la validación del insumo.</t>
  </si>
  <si>
    <t>Muestra checklist Ver
Lista de verificación del insumo de información.
-	Archivo .zip (todas las validaciones exitosas).
-	Archivo .txt. (todas las validaciones exitosas).
Nombre del insumo:
Tamaño del archivo .txt:
Total de registros leidos:
Total de registros leidos sin errores:
Total de registros leidos con errores:
Opciones: 
•	Iniciar carga
•	Descargar errores (inhabilitado)
Mensaje emergente: ¿Desea continuar con el proceso de carga del insumo?
Opciones 
"Si" y "No"</t>
  </si>
  <si>
    <t xml:space="preserve"> </t>
  </si>
  <si>
    <t xml:space="preserve">El sistema asigna el estado “Terminado” y lo representa en color verde en el semáforo correspondiente a “Verificar insumo”
El sistema valida que se puede Des-comprimir el archivo .zip </t>
  </si>
  <si>
    <t>Para el rol administrador el sistema muestra la (pantalla 07) con las siguientes opciones:
Encabezado 
•	Fecha actual del día
•	Título del módulo en el que se encuentra
•	Opción DPA el cual despliega el Menú DPA con las siguientes opciones:
o	Generar Facturas Electrónicas
o	Consulta y Modificación de Pago
o	Consultar Información de proceso  
o	Consultar Facturas 
o	Consulta de Movimientos
o	Cancelación Masiva de Facturas
o	Reportes Estadísticos
•	Opción DTA
•	Cerrar sesión</t>
  </si>
  <si>
    <t>Previamente se realizaron los casos de prueba:
CP06
CP10</t>
  </si>
  <si>
    <t>El empleado SAT ingresa los datos solicitados por el sistema para la aprobación con e.firma.</t>
  </si>
  <si>
    <t>Válida que el certificado, la clave privada o la contraseña de clave privada sean correctos y estén relacionados entre sí</t>
  </si>
  <si>
    <t>Se muestran los campos llenados:
Certificado (.cer)
Clave privada (.Key)
Contraseña de clave privada: 
Se muestra el campo RFC
Opciones:
•	Buscar
•	Firmar
•	Limpiar
•	Regresar</t>
  </si>
  <si>
    <t>El empleado SAT da clic en boton "Firmar"</t>
  </si>
  <si>
    <t>Válida que el certificado, la clave privada o la contraseña de clave privada sean correctos y estén relacionados entre sí
El sistema asigna el estado “En proceso” y asigna el color amarillo en el semáforo correspondiente a “Carga de insumo” del proceso de verificación de carga de información del insumo (RNA002).</t>
  </si>
  <si>
    <r>
      <t xml:space="preserve">En caso de que se pierda la conexión en su totalidad, se muestra el mensaje: </t>
    </r>
    <r>
      <rPr>
        <b/>
        <sz val="10"/>
        <rFont val="Noto Sans"/>
        <family val="2"/>
      </rPr>
      <t>Red no disponible, compruebe la red e inténtelo nuevamente.</t>
    </r>
    <r>
      <rPr>
        <sz val="10"/>
        <rFont val="Noto Sans"/>
        <family val="2"/>
        <charset val="1"/>
      </rPr>
      <t xml:space="preserve">  con la opción “Aceptar” </t>
    </r>
  </si>
  <si>
    <r>
      <t xml:space="preserve">En caso de que exista alguna inconsistencia, muestra el mensaje: </t>
    </r>
    <r>
      <rPr>
        <b/>
        <sz val="10"/>
        <rFont val="Noto Sans"/>
        <family val="2"/>
      </rPr>
      <t>El layout del insumo no coincide con el layout del aplicativo. Favor de validar.</t>
    </r>
  </si>
  <si>
    <r>
      <t xml:space="preserve">En caso de que el registro se encuentre duplicado, muestra el mensaje: </t>
    </r>
    <r>
      <rPr>
        <b/>
        <sz val="10"/>
        <rFont val="Noto Sans"/>
        <family val="2"/>
      </rPr>
      <t>Registro duplicado.</t>
    </r>
  </si>
  <si>
    <r>
      <t xml:space="preserve">En caso de que el campo “número de operación” contenga datos distintos o esté vacío, muestra el mensaje: </t>
    </r>
    <r>
      <rPr>
        <b/>
        <sz val="10"/>
        <rFont val="Noto Sans"/>
        <family val="2"/>
      </rPr>
      <t>Datos de la “descripción” del concepto de la factura electrónica. Número de operación incorrecto. Favor de validar.</t>
    </r>
  </si>
  <si>
    <r>
      <t xml:space="preserve">En caso de que el campo “fecha” no contenga datos de tipo fecha y esté vacío muestra el mensaje: </t>
    </r>
    <r>
      <rPr>
        <b/>
        <sz val="10"/>
        <rFont val="Noto Sans"/>
        <family val="2"/>
      </rPr>
      <t>Datos de la “descripción” del concepto de la factura electrónica. Fecha incorrecta. Favor de validar.</t>
    </r>
  </si>
  <si>
    <r>
      <t xml:space="preserve">
El sistema muestra el proceso de la carga completada, muestra “Lista de verificación de la carga del insumo de información al aplicativo”. (Pantalla 06).
 Sección: Proceso de Carga del Insumo de Información.
Semáforo:
•	Transferir insumo
•	Verificar insumo
•	Carga de insumo
•	Generación XML
•	Enviar a Timbrado
Proceso de Carga (avance %)
Avance de carga
Lista de verificación de la carga del insumo de información al aplicativo
Mensaje: No se encontraron errores
Todas validaciones exitosas
        Opciones:
•	Generar XML 
•	Descargar errores (inhabilitado)
•	Fechas diferentes (inhabilitado)
•	Descargar Pagos Excluidos </t>
    </r>
    <r>
      <rPr>
        <b/>
        <sz val="10"/>
        <rFont val="Noto Sans"/>
        <family val="2"/>
      </rPr>
      <t xml:space="preserve">
</t>
    </r>
  </si>
  <si>
    <t>El empleado SAT da clic “Descargar Pagos Excluidos”</t>
  </si>
  <si>
    <t>El empleado SAT da clic “Generar XML”</t>
  </si>
  <si>
    <t>Al seleccionar Generar XML se muestra el mensaje emergente (MSG011) con las opciones
¿Desea continuar con el proceso de generar XML?
-	Sí
-	No</t>
  </si>
  <si>
    <t xml:space="preserve">El sistema muestra el proceso de la carga completada, muestra “Lista de verificación de la carga del insumo de información al aplicativo”. (Pantalla 05).
 Sección: Proceso de Carga del Insumo de Información
Semáforo:
•	Transferir insumo
•	Verificar insumo
•	Carga de insumo
•	Generación XML
•	Enviar a Timbrado
Proceso de Carga (avance %)
Avance de carga
Lista de verificación de la carga del insumo de información al aplicativo
Error: Mensaje correspondiente a la validación 
Checklist marcado X
Habilita el botón “Descargar errores” y/o “Fechas diferentes” y permite descargar un archivo .txt con los detalles de los registros con errores conforme la (RNA056) Continúa en (FA07).
        Opciones: 
•	Generar XML 
•	Descargar errores
•	Fechas diferentes
•	Descargar Pagos Excluidos 
</t>
  </si>
  <si>
    <t>El empleado SAT da clic “Descargar Errores”</t>
  </si>
  <si>
    <t xml:space="preserve">El sistema permite descargar archivo .txt con detalle de columna y renglón que provoca error en la línea de registro. </t>
  </si>
  <si>
    <t>El sistema permite descargar archivo .txt con detalle de las líneas de registro que se guardan en el sistema, pero de los cuales no se van a generar archivos xml conforme las reglas (RNA045) para los casos de DPA e.5cinco y (RNA043) para DPA Línea de Captura y la (RNA058), para su identificación y modificación.</t>
  </si>
  <si>
    <t>/LineaCaptura/CargaInsumoCorrecto/DescargarErrores</t>
  </si>
  <si>
    <t>/LineaCaptura/CargaInsumo/DescargarPagosExcluidos</t>
  </si>
  <si>
    <t>/LineaCaptura/CargaInsumo/FechasDiferentes</t>
  </si>
  <si>
    <t xml:space="preserve">El sistema muestra el proceso de la carga completada, muestra “Lista de verificación de la carga del insumo de información al aplicativo”. (Pantalla 05).
 Sección: Proceso de Carga del Insumo de Información
Proceso de Carga (avance %)
Avance de carga
Lista de verificación de la carga del insumo de información al aplicativo
Error: Mensaje correspondiente a la validación 
Checklist marcado X
Habilita el botón “Descargar errores” y/o “Fechas diferentes” y permite descargar un archivo .txt con los detalles de los registros con errores conforme la (RNA056) Continúa en (FA07).
        Opciones: 
•	Generar XML 
•	Descargar errores
•	Fechas diferentes
•	Descargar Pagos Excluidos 
</t>
  </si>
  <si>
    <r>
      <t xml:space="preserve">En caso de que el campo “hora de presentación” contenga datos distintos o esté vacío, muestra el mensaje: </t>
    </r>
    <r>
      <rPr>
        <b/>
        <sz val="10"/>
        <rFont val="Noto Sans"/>
        <family val="2"/>
      </rPr>
      <t>Datos de la “descripción” del concepto de la factura electrónica. Hora de presentación incorrecta. Favor de validar.</t>
    </r>
  </si>
  <si>
    <r>
      <t xml:space="preserve">En caso de que el campo “clave concepto del pago” contenga datos distintos o esté vacío muestra el mensaje: </t>
    </r>
    <r>
      <rPr>
        <b/>
        <sz val="10"/>
        <rFont val="Noto Sans"/>
        <family val="2"/>
      </rPr>
      <t>Datos de la “descripción” del concepto de la factura electrónica. Clave concepto del pago incorrecta. Favor de validar.</t>
    </r>
  </si>
  <si>
    <r>
      <t xml:space="preserve">En caso de que algún registro pertenece a pagos agrupados, muestra el mensaje de error: </t>
    </r>
    <r>
      <rPr>
        <b/>
        <sz val="10"/>
        <rFont val="Noto Sans"/>
        <family val="2"/>
      </rPr>
      <t>Existen errores en registros pertenecientes a datos agrupados. Favor de validar.</t>
    </r>
  </si>
  <si>
    <r>
      <t xml:space="preserve">En caso de que el registro tenga una fecha diferente de la fecha del periodo de procesamiento, muestra el mensaje: </t>
    </r>
    <r>
      <rPr>
        <b/>
        <sz val="10"/>
        <rFont val="Noto Sans"/>
        <family val="2"/>
      </rPr>
      <t>Existen registros con fechas diferentes al periodo de procesamiento. Favor de validar.</t>
    </r>
  </si>
  <si>
    <t>Previamente se realizaron los casos de prueba:
CP06
CP10
CP13</t>
  </si>
  <si>
    <t>Empleado SAT da clic en "Generar XML"</t>
  </si>
  <si>
    <t>Sección: Firma para generar XML del Insumo de Información
Encabezado:
•	Fecha
•	Título de la sección
•	DPA
•	DTA
•	Cerrar sesión
•	Certificado (.cer)
•	Clave Privada (.key)
•	Contraseña de Clave Privada
•	RFC.
        Opciones: 
•	Buscar
•	Firmar
•	Limpiar
•	Regresar.</t>
  </si>
  <si>
    <t>Se muestra el dato en el  campo certificado y en el campo RFC el dato del RFC del Empleado
Se muestra el dato en el campo clave privada
Se muestra oculto el dato en el campo contraseña</t>
  </si>
  <si>
    <t xml:space="preserve">Asigna el estado “En proceso” y lo representa en color amarillo en el semáforo correspondiente a “Generación XML” del proceso de generación de XML </t>
  </si>
  <si>
    <r>
      <t xml:space="preserve">Pantalla emergente 
Seccion Proceso de generacion de XML DPA Linea de captura
</t>
    </r>
    <r>
      <rPr>
        <b/>
        <sz val="10"/>
        <rFont val="Noto Sans"/>
        <family val="2"/>
      </rPr>
      <t>-El proceso de generacion de XML del insumo: "MAT66_09_2024_1"
-Se ha iniciado correctamente, puede consultar el proceso en el modulo "Consultar Informacion de Proceso"</t>
    </r>
  </si>
  <si>
    <t>Empleado SAT  selecciona la opción “Cerrar”.</t>
  </si>
  <si>
    <t>Cierra la ventana emergente.</t>
  </si>
  <si>
    <t>El sistema muestra las siguientes opciones de acuerdo con la (Pantalla 02):
Encabezado:
•	Fecha
•	Título de la sección
Opciones:
•	DPA
•	Cerrar sesión.
Semáforo
(RNA002)
•	Transferir insumo
•	Verificar insumo
•	Carga de insumo
•	Generación XML
•	Enviar a Timbrado</t>
  </si>
  <si>
    <t>/LineaCaptura/GenerarXML</t>
  </si>
  <si>
    <t xml:space="preserve">Empleado SAT da clic en el opcion "Generación de Facturas electrónicas DPA Línea De captura" </t>
  </si>
  <si>
    <t xml:space="preserve">Empleado SAT ingresa al portal </t>
  </si>
  <si>
    <t>Empleado SAT da clic en la opcion "Consulta y Modificación del Pago"</t>
  </si>
  <si>
    <t xml:space="preserve">Ingresa los datos solicitados por el sistema y selecciona la opción “Buscar” </t>
  </si>
  <si>
    <t>El sistema muestra la pantalla Resultados de la Consulta (Pantalla 02). 
 Muestra el resultado de la consulta:
Tabla de resultados:
•	Acciones. Checkbox de selección
•	RFC del pago 
•	Nombre del pago
•	Régimen Fiscal 
•	Código Postal 
•	Fecha pago 
•	Hora pago
•	No. de operación
•	No. de transacción
•	Llave
•	Monto.
Mostrar registros
Paginador
Opciones:
•	Editar 
•	Guardar
•	Generar Factura (inhabilitado)
•	Regresar.</t>
  </si>
  <si>
    <t>Selecciona el checkbox del registro a modificar.</t>
  </si>
  <si>
    <t>7.	El sistema muestra la pantalla Resultados de la consulta, edición (Pantalla 03). 
Se visualiza el registro con el Checkbox seleccionado.
Factura compuesta de:
•	Acciones. Checkbox seleccionado
•	RFC del pago 
•	Nombre del pago
•	Régimen Fiscal 
•	Código Postal 
•	Fecha pago 
•	Hora pago
•	No. de operación
•	No. de transacción
•	Llave
•	Monto
•	Opciones:
•	Editar 
•	Guardar
•	Generar Factura (inhabilitado)
•	Regresar.</t>
  </si>
  <si>
    <t>Selecciona la opción “Editar” y continúa este flujo primario.</t>
  </si>
  <si>
    <t>Se habilitan los campos para la edición, manteniendo los datos de origen, permitiendo modificar total o parcialmente cualquier campo habilitado.
Tabla de Resultados:
•	Acciones. Checkbox de selección
•	RFC del pago con campo habilitado para editar
•	Nombre del pago con campo habilitado para editar
•	Régimen Fiscal con campo habilitado para editar
•	Código Postal con campo habilitado para editar
•	Fecha pago (Campo no editable)
•	Hora pago (Campo no editable)
•	No. de operación (Campo no editable)
•	No. de transacción (Campo no editable)
•	Llave (Campo no editable)
•	Monto (Campo no editable).
Opciones:
•	Editar
•	Guardar 
•	Generar Factura (inhabilitado)
•	Regresar</t>
  </si>
  <si>
    <t xml:space="preserve">Ingresa los datos en los campos que se desean modificar.
 </t>
  </si>
  <si>
    <t>11.	El sistema muestra los datos ingresados o corregidos (Pantalla 04).
Factura compuesta de:
•	Acciones. Checkbox de selección
•	RFC del pago con campo habilitado para editar conforme la (RNA077).
•	Nombre del pago con campo habilitado para editar conforme la (RNA077).
•	Régimen Fiscal con campo habilitado para editar conforme la (RNA077).
•	Código Postal con campo habilitado para editar conforme la (RNA077).
•	Fecha pago (Campo no editable).
•	Hora pago (Campo no editable).
•	No. de operación (Campo no editable).
•	No. de transacción (Campo no editable).
•	Llave (Campo no editable).
•	Monto (Campo no editable).
Opciones:
•	Editar
•	Guardar 
•	Generar Factura (inhabilitado)
•	Regresar.</t>
  </si>
  <si>
    <t>Selecciona la opción “Guardar”</t>
  </si>
  <si>
    <t>Selecciona la opción “Confirmar” del mensaje emergente</t>
  </si>
  <si>
    <t>•	En caso de que el empleado SAT seleccione la opción “Regresar” sin haber guardado los cambios, no se realiza ningún cambio</t>
  </si>
  <si>
    <t xml:space="preserve">En caso de seleccionar “Cancelar”, no se guarda ningún cambio </t>
  </si>
  <si>
    <t xml:space="preserve">Se muestra el dato en el  campo certificado y en el campo RFC el dato del RFC del Empleado
Se muestra el dato en el campo clave privada
Se muestra oculto el dato en el campo contraseña
El sistema guarda los nuevos valores para los campos que se modificaron y muestra la nueva factura.
La factura original, se le asigna el estado de “Modificada” </t>
  </si>
  <si>
    <t>Selecciona la opción “Generar Factura”.</t>
  </si>
  <si>
    <t xml:space="preserve">Se muestra el dato en el  campo certificado y en el campo RFC el dato del RFC del Empleado
Se muestra el dato en el campo clave privada
Se muestra oculto el dato en el campo contraseña
 </t>
  </si>
  <si>
    <t>Realiza las validaciones del y le permite consultar el detalle en la Consulta de Información de Proceso. 
En la opción “Consultar Información del Proceso de Facturas modificadas, canceladas o reexpedidas”.</t>
  </si>
  <si>
    <t>LineaCaptura/Consulta_Modificacion_de_Pagos/Buscar/VerDetalle</t>
  </si>
  <si>
    <t>Empleado SAT selecciona  ícono de detalle.</t>
  </si>
  <si>
    <t>Selecciona Registro original.</t>
  </si>
  <si>
    <t>Muestra el registro original sin modificaciones.</t>
  </si>
  <si>
    <t>El sistema muestra la última versión de la factura modificada y el registro anterior o anteriores de forma colapsada (Pantalla 08)
Detalle de Modificación:
•	RFC del empleado
•	Nombre del empleado
•	Datos de registro modificado
•	RFC del pago
•	Nombre del pago
•	Régimen Fiscal
•	Código Postal
•	Fecha pago
•	Fecha y hora de modificación
Conforme la (RNA080)
Opciones:
•	Registro original
•	Regresar</t>
  </si>
  <si>
    <t>El sistema muestra la pantalla Consulta y Modificación del Pago DPA (Pantalla 01) 
Encabezado:
•	Fecha
•	Título de pantalla
Opciones:
•	DPA
•	Cerrar sesión.
Campos de consulta:
•	Nombre de insumo:
•	RFC del pago (*): Campo obligatorio
•	Fecha pago:
•	Número de operación.
Botones:
•	Buscar. 
•	Limpiar.</t>
  </si>
  <si>
    <t>El sistema muestra la pantalla Resultados de la Consulta (Pantalla 02). 
 Muestra el resultado de la consulta:
Tabla de resultados:
•	Acciones. Checkbox de selección
•	RFC del pago 
•	Nombre del pago
•	Régimen Fiscal 
•	Código Postal 
•	Fecha pago 
•	Hora pago
•	No. de operación
•	No. de transacción
•	Llave
•	Monto.</t>
  </si>
  <si>
    <t>Da clic en boton "Regresar"</t>
  </si>
  <si>
    <t>LineaCaptura/Consulta_Modificacion_de_Pagos/Buscar/Paginador</t>
  </si>
  <si>
    <t>Empleado SAT selecciona “Mostrar Registros”.</t>
  </si>
  <si>
    <t>El sistema despliega las siguientes opciones: 
•	10 
•	25
•	50
•	100</t>
  </si>
  <si>
    <t xml:space="preserve">Selecciona alguna de las opciones para “Mostrar Registros”. </t>
  </si>
  <si>
    <t>1.	El sistema Muestra el número de registros dependiendo de la selección del empleado SAT y actualiza el número de páginas del control “Paginador” conforme la (RNA069).
Opciones:
•	Número de página
•	Anterior
•	Siguiente
•	Inicio 
•	Final</t>
  </si>
  <si>
    <t>Selecciona alguna de las opciones del control “Paginador”</t>
  </si>
  <si>
    <t>El sistema muestra el contenido de la página seleccionada en la tabla de pantalla.</t>
  </si>
  <si>
    <r>
      <rPr>
        <sz val="10"/>
        <rFont val="Noto Sans"/>
        <family val="2"/>
      </rPr>
      <t>•	En caso de no existir resultados o que se haya ingresado un número de operación incorrecto, muestra (MSG005).</t>
    </r>
    <r>
      <rPr>
        <b/>
        <sz val="10"/>
        <rFont val="Noto Sans"/>
        <family val="2"/>
      </rPr>
      <t xml:space="preserve">
No se encontraron resultados con el número de operación ingresado, favor de validar.</t>
    </r>
  </si>
  <si>
    <r>
      <t xml:space="preserve">•	</t>
    </r>
    <r>
      <rPr>
        <sz val="10"/>
        <rFont val="Noto Sans"/>
        <family val="2"/>
      </rPr>
      <t xml:space="preserve">En caso de que el nombre del insumo no exista muestra (MSG003). 
•	En caso de que ingrese un nombre de forma incorrecta muestra (MSG003)
</t>
    </r>
    <r>
      <rPr>
        <b/>
        <sz val="10"/>
        <rFont val="Noto Sans"/>
        <family val="2"/>
        <charset val="1"/>
      </rPr>
      <t>No se encontraron resultados. Favor de validar.</t>
    </r>
  </si>
  <si>
    <r>
      <t xml:space="preserve">•	</t>
    </r>
    <r>
      <rPr>
        <sz val="10"/>
        <rFont val="Noto Sans"/>
        <family val="2"/>
      </rPr>
      <t>En caso de no ingresar ningún dato muestra el (MSG002).</t>
    </r>
    <r>
      <rPr>
        <b/>
        <sz val="10"/>
        <rFont val="Noto Sans"/>
        <family val="2"/>
      </rPr>
      <t xml:space="preserve">
Los datos marcados con * son obligatorios.</t>
    </r>
  </si>
  <si>
    <r>
      <t xml:space="preserve">•	</t>
    </r>
    <r>
      <rPr>
        <sz val="10"/>
        <rFont val="Noto Sans"/>
        <family val="2"/>
      </rPr>
      <t>En caso de que el RFC ingresado sea incorrecto, muestra el (MSG001).</t>
    </r>
    <r>
      <rPr>
        <b/>
        <sz val="10"/>
        <rFont val="Noto Sans"/>
        <family val="2"/>
      </rPr>
      <t xml:space="preserve">
RFC incorrecto. Favor de validar.</t>
    </r>
  </si>
  <si>
    <r>
      <t xml:space="preserve">•	En caso de identificar que el registro ya fue generado su XML y/o se encuentra Timbrado, muestra el (MSG010). 
</t>
    </r>
    <r>
      <rPr>
        <b/>
        <sz val="10"/>
        <rFont val="Noto Sans"/>
        <family val="2"/>
      </rPr>
      <t>No es posible realizar la modificación de la factura ya que se encuentra en proceso de Timbrado.</t>
    </r>
  </si>
  <si>
    <t>/LineaCaptura/Consulta_Modificacion_de_Pagos</t>
  </si>
  <si>
    <r>
      <t xml:space="preserve">•	En caso de que el RFC ingresado sea incorrecto, muestra el (MSG001)
</t>
    </r>
    <r>
      <rPr>
        <b/>
        <sz val="10"/>
        <rFont val="Noto Sans"/>
        <family val="2"/>
      </rPr>
      <t>RFC incorrecto. Favor de validar.</t>
    </r>
  </si>
  <si>
    <r>
      <t xml:space="preserve">•	En caso de no ingresar ningún dato muestra el (MSG008)
</t>
    </r>
    <r>
      <rPr>
        <b/>
        <sz val="10"/>
        <rFont val="Noto Sans"/>
        <family val="2"/>
      </rPr>
      <t>Este campo es obligatorio.</t>
    </r>
  </si>
  <si>
    <r>
      <t xml:space="preserve">•	En caso de ingresar un dato diferente conforme la (RNA077) muestra el (MSG009).
</t>
    </r>
    <r>
      <rPr>
        <b/>
        <sz val="10"/>
        <rFont val="Noto Sans"/>
        <family val="2"/>
      </rPr>
      <t>Código Postal incorrecto. Favor de validar.</t>
    </r>
  </si>
  <si>
    <t>Viene del CP07 y el paso 4</t>
  </si>
  <si>
    <t>Viene del CP07 y el paso 5</t>
  </si>
  <si>
    <t>Dar clic en "Transferir"</t>
  </si>
  <si>
    <r>
      <t xml:space="preserve">El sistema válida y muestra el nombre y el tamaño del archivo .zip adjuntado conforme la (Pantalla 03):
Sección: Transferir insumo de información para Facturación Electrónica DPA Línea de captura:
•	Campo: Archivo ZIP (.txt).
•Nombre del insumo 
•Tamaño del archivo
Mensaje emergente 
</t>
    </r>
    <r>
      <rPr>
        <b/>
        <sz val="10"/>
        <rFont val="Noto Sans"/>
        <family val="2"/>
      </rPr>
      <t xml:space="preserve">El archivo se puede transferir al sistema para ejecutar las validaciones correspondientes 
</t>
    </r>
    <r>
      <rPr>
        <sz val="10"/>
        <rFont val="Noto Sans"/>
        <family val="2"/>
      </rPr>
      <t>•	Botón “Transferir” (habilitado)</t>
    </r>
  </si>
  <si>
    <r>
      <t xml:space="preserve">Seccion: Proceso de Transferencia del insumo de informacion DPA Linea de captura
•Espere por favor mientras termina de transferir la información necesaria 
•El sistema inicia la transferencia del insumo al aplicativo, mostrando el porcentaje de transferencia en una barra de progreso, así como también el tamaño en megabytes y el nombre del archivo.
•Nombre del insumo:
•Tamaño del archvio
•Boton Cancelar
Modal con mensaje : </t>
    </r>
    <r>
      <rPr>
        <b/>
        <sz val="10"/>
        <rFont val="Noto Sans"/>
        <family val="2"/>
      </rPr>
      <t xml:space="preserve">¿Está seguro que desea cancelar el proceso de transferencia? </t>
    </r>
    <r>
      <rPr>
        <sz val="10"/>
        <rFont val="Noto Sans"/>
        <family val="2"/>
        <charset val="1"/>
      </rPr>
      <t xml:space="preserve">
•Boton Si
•Boton No
</t>
    </r>
  </si>
  <si>
    <t>Previamente se realizo el CP06</t>
  </si>
  <si>
    <t>Da clic en "Generación de Facturas electrónicas DPA Línea De captura"</t>
  </si>
  <si>
    <t>El usuario da clic en el opcion "Consultar Informacion de Proceso" del menu principal</t>
  </si>
  <si>
    <t>El sistema muestra la pantalla Consultar Información del Proceso de Generación de Facturas.
Encabezado:
•	Fecha
•	Título de la Pantalla
•	DPA
•	DTA
•	Cerrar sesión
Sección de datos del Empleado SAT:
•	Usuario
•	Rol del Empleado SAT
•	Título del módulo
•	Guía de Estados
Criterios de búsqueda
•	Seleccionar Periodo *
•	Proceso (opcional)
•	Estado (opcional)
Opciones:
•	Buscar
•	Limpiar
•	Actualizar
Los campos marcados con asterisco son obligatorios.</t>
  </si>
  <si>
    <t>Ingresa los criterios de búsqueda y selecciona la opción “Buscar”</t>
  </si>
  <si>
    <t>•	En caso de que el Empleado SAT seleccione un valor de "Proceso", el sistema ajustará los parámetros de búsqueda para limitar los resultados específicamente al proceso seleccionado.
•	En caso de que el Empleado SAT seleccione un valor de "Proceso", el sistema ajustará los parámetros de búsqueda para limitar los resultados específicamente al proceso seleccionado.</t>
  </si>
  <si>
    <t>El sistema muestra los registros relacionados a los criterios ingresados (Pantalla 02) con la tabla de resultados.
Sección de la tabla: 
•	Nombre del insumo (Con campo para filtrar por nombre de insumo)
•	 Mostrar registros
Procesos:
•	Transferir insumo
•	Verificar insumo
•	Carga de insumo
•	Generar XML
•	Timbrado
•	Estado (con respecto a la guía de estados)
•	Opción Ver detalle  
•	Fecha/ Hora de último movimiento 
•	Nombre de usuario 
Sección de Control de prioridad:
•	Subir nivel
•	Bajar de nivel
•	Posición.</t>
  </si>
  <si>
    <t>1.	El sistema muestra la pantalla “Detalle de transferencia, para DPA línea de captura” 
Encabezado:
•	Fecha
•	Título de la Pantalla
•	DPA
•	Cerrar sesión
Apartado de información del proceso seleccionado: 
Título de la pantalla
“Proceso de transferencia del insumo de información (proceso según corresponda)”.
Mensaje
Transferencia realizada con éxito
“El proceso de transferencia del insumo de información (proceso según corresponda) ha finalizado”.
Datos del insumo
•	Nombre del insumo
•	Tamaño del archivo
Opciones:
•	Verificar insumo (permitirá ejecutar el proceso de verificación del insumo)
•	Regresar.</t>
  </si>
  <si>
    <r>
      <t xml:space="preserve">Selecciona mediante la opción “Ver Detalle” el detalle del proceso de </t>
    </r>
    <r>
      <rPr>
        <b/>
        <sz val="10"/>
        <rFont val="Noto Sans"/>
        <family val="2"/>
      </rPr>
      <t xml:space="preserve">Transferir insumo </t>
    </r>
  </si>
  <si>
    <t>Selecciona la opción “Verificar insumo”.</t>
  </si>
  <si>
    <r>
      <t xml:space="preserve">5.	El sistema muestra el (MSG008) (Pantalla 23), con las opciones “Sí” y “No”
</t>
    </r>
    <r>
      <rPr>
        <b/>
        <sz val="10"/>
        <rFont val="Noto Sans"/>
        <family val="2"/>
      </rPr>
      <t>¿Está seguro de iniciar el proceso? Una vez iniciado el proceso, no se podrá cancelar.</t>
    </r>
  </si>
  <si>
    <r>
      <t xml:space="preserve">Selecciona mediante la opción “Ver Detalle” el detalle del proceso de </t>
    </r>
    <r>
      <rPr>
        <b/>
        <sz val="10"/>
        <rFont val="Noto Sans"/>
        <family val="2"/>
      </rPr>
      <t xml:space="preserve">Verificar insumo  </t>
    </r>
  </si>
  <si>
    <t>El sistema muestra la pantalla “Detalle de verificar insumo para DPA línea de captura” conforme las validaciones realizadas en el (21_3091_ECU_Verificar_Insumo).
Encabezado:
•	Fecha
•	Título de la Pantalla
•	DPA
•	DTA
•	Cerrar sesión
Lista de verificación del insumo de información:
•	Archivo .zip (todas las validaciones exitosas)
•	Archivo .txt. (todas las validaciones exitosas)
•	Nombre del insumo:
•	Tamaño del archivo:
•	Total de registros leídos 
•	Total de registros leídos sin errores:
•	Total de registros leídos con errores:
Opciones:
•	Descargar errores (botón inhabilitado)
•	Regresar
•	Iniciar carga</t>
  </si>
  <si>
    <r>
      <t>1.</t>
    </r>
    <r>
      <rPr>
        <sz val="7"/>
        <color rgb="FF000000"/>
        <rFont val="Times New Roman"/>
        <family val="1"/>
      </rPr>
      <t xml:space="preserve">       </t>
    </r>
    <r>
      <rPr>
        <sz val="10"/>
        <color rgb="FF000000"/>
        <rFont val="Montserrat"/>
      </rPr>
      <t xml:space="preserve">El Empleado SAT selecciona la opción </t>
    </r>
    <r>
      <rPr>
        <b/>
        <sz val="10"/>
        <color rgb="FF000000"/>
        <rFont val="Montserrat"/>
      </rPr>
      <t>“Sí”</t>
    </r>
  </si>
  <si>
    <r>
      <t xml:space="preserve">El sistema muestra el (MSG008) (Pantalla 23), con las opciones “Sí” y “No”
</t>
    </r>
    <r>
      <rPr>
        <b/>
        <sz val="10"/>
        <rFont val="Noto Sans"/>
        <family val="2"/>
      </rPr>
      <t>¿Está seguro de iniciar el proceso? Una vez iniciado el proceso, no se podrá cancelar.</t>
    </r>
  </si>
  <si>
    <t>El sistema asigna el estado “En proceso” y lo representa en color amarillo en el semáforo correspondiente a “Verificar Insumo” del proceso de Verificación del insumo conforme la (RNA002).</t>
  </si>
  <si>
    <t>El sistema asigna el estado “En proceso” y lo representa en color amarillo en la tabla de la (Pantalla 02) correspondiente al proceso del insumo que se ha seleccionado, conforme la (RNA002).</t>
  </si>
  <si>
    <r>
      <rPr>
        <sz val="7"/>
        <color rgb="FF000000"/>
        <rFont val="Times New Roman"/>
        <family val="1"/>
      </rPr>
      <t xml:space="preserve"> </t>
    </r>
    <r>
      <rPr>
        <sz val="10"/>
        <color rgb="FF000000"/>
        <rFont val="Montserrat"/>
      </rPr>
      <t xml:space="preserve">El Empleado SAT selecciona la opción </t>
    </r>
    <r>
      <rPr>
        <b/>
        <sz val="10"/>
        <color rgb="FF000000"/>
        <rFont val="Montserrat"/>
      </rPr>
      <t>“Sí”</t>
    </r>
  </si>
  <si>
    <r>
      <rPr>
        <sz val="7"/>
        <color rgb="FF000000"/>
        <rFont val="Times New Roman"/>
        <family val="1"/>
      </rPr>
      <t xml:space="preserve"> </t>
    </r>
    <r>
      <rPr>
        <sz val="10"/>
        <color rgb="FF000000"/>
        <rFont val="Montserrat"/>
      </rPr>
      <t xml:space="preserve">Selecciona la opción </t>
    </r>
    <r>
      <rPr>
        <b/>
        <sz val="10"/>
        <color rgb="FF000000"/>
        <rFont val="Montserrat"/>
      </rPr>
      <t>“Iniciar carga”</t>
    </r>
  </si>
  <si>
    <t>/LineaCaptura/Consultar_Informacion_de_Proceso_de_Facturas_Electronicas/DetalleCargaInsumo</t>
  </si>
  <si>
    <t>/LineaCaptura/Consultar_Informacion_de_Proceso_de_Facturas_Electronicas/DetalleTransferirInsumo</t>
  </si>
  <si>
    <t>/LineaCaptura/Consultar_Informacion_de_Proceso_de_Facturas_Electronicas/DetalleVerificarInsumo</t>
  </si>
  <si>
    <r>
      <t xml:space="preserve">Selecciona mediante la opción “Ver Detalle” el detalle del proceso de </t>
    </r>
    <r>
      <rPr>
        <b/>
        <sz val="10"/>
        <rFont val="Noto Sans"/>
        <family val="2"/>
      </rPr>
      <t>Carga de insumo</t>
    </r>
  </si>
  <si>
    <r>
      <t xml:space="preserve">El sistema muestra el (MSG008) (Pantalla 23), con las opciones “Sí” y “No” y continúa en el paso 6 del presente flujo.
</t>
    </r>
    <r>
      <rPr>
        <b/>
        <sz val="10"/>
        <rFont val="Noto Sans"/>
        <family val="2"/>
      </rPr>
      <t>¿Está seguro de iniciar el proceso? Una vez iniciado el proceso, no se podrá cancelar.</t>
    </r>
  </si>
  <si>
    <t xml:space="preserve">El Empleado SAT selecciona “Sí” </t>
  </si>
  <si>
    <t>7.	El sistema muestra la pantalla (Pantalla 48) con las siguientes opciones:
•	Certificado (.cer)*
•	Clave privada(.key)*
•	Contraseña de la clave privada(?)
•	RFC
Opciones:
•	Firmar
•	Limpiar
•	Regresar</t>
  </si>
  <si>
    <t xml:space="preserve">•	En caso de haber seleccionado la opción “No”, regresa al paso 5 </t>
  </si>
  <si>
    <t>3.	Muestra la pantalla “Detalle de carga de insumo para DPA línea de captura” 
Encabezado:
•	Fecha
•	Título de la Pantalla
•	DPA
•	DTA
•	Cerrar sesión
Pantalla 
Título de la pantalla:
Proceso de carga del insumo de información (proceso según corresponda).
Lista de verificación de la carga del insumo de información al aplicativo:
•	Archivo .txt. (todas las validaciones exitosas)
•	Nombre del insumo:
•	Tamaño del archivo:
•	Total de registros leídos:
•	Total de registros leídos sin errores:
•	Total de registros leídos con errores:
•	Dependencias excluidas: (no aplica para DTA)
Opciones:
•	Descargar errores (inhabilitada)
•	Descargar pagos excluidos (No aplica para DTA)
•	Generar XML
•	Regresar.</t>
  </si>
  <si>
    <t>El sistema valida que no existan en cola otros procesos de carga de información.
•	En caso de que existan procesos previos, el sistema asigna el estado “No iniciado” y pone en cola el proceso.</t>
  </si>
  <si>
    <t>El sistema asigna el estado “En proceso” y lo representa en color amarillo en la tabla de la correspondiente al proceso del insumo que se ha seleccionado.
Continúa en el proceso subsecuente (Generar XML).</t>
  </si>
  <si>
    <t>Selecciona la opción “Generar XML”</t>
  </si>
  <si>
    <t>/LineaCaptura/Consultar_Informacion_de_Proceso_de_Facturas_Electronicas/DetalleGenerarXML</t>
  </si>
  <si>
    <r>
      <t xml:space="preserve">Selecciona mediante la opción “Ver Detalle” el detalle del proceso de </t>
    </r>
    <r>
      <rPr>
        <b/>
        <sz val="10"/>
        <rFont val="Noto Sans"/>
        <family val="2"/>
      </rPr>
      <t>Generar XML</t>
    </r>
  </si>
  <si>
    <t>Muestra la pantalla Detalle de “Generación XML”, para “DPA línea de captura”
Encabezado:
•	Fecha
•	Título de la Pantalla
•	DPA
•	DTA
•	Cerrar sesión
Pantalla:
“El proceso de Generación de XML ha finalizado”
•	Nombre del insumo:
•	Total de XML generados:
•	Total de XML con incidencias:
Opciones:
•	Descargar .xlsx
•	Descargar .txt
•	Descargar incidencias
•	Archivos de control
•	Descargar XML
•	RFC Genérico
•	Regresar
•	Enviar a Timbrado.</t>
  </si>
  <si>
    <r>
      <rPr>
        <sz val="7"/>
        <color rgb="FF000000"/>
        <rFont val="Times New Roman"/>
        <family val="1"/>
      </rPr>
      <t xml:space="preserve"> </t>
    </r>
    <r>
      <rPr>
        <sz val="10"/>
        <color rgb="FF000000"/>
        <rFont val="Montserrat"/>
      </rPr>
      <t xml:space="preserve">Selecciona la opción </t>
    </r>
    <r>
      <rPr>
        <b/>
        <sz val="10"/>
        <color rgb="FF000000"/>
        <rFont val="Montserrat"/>
      </rPr>
      <t>“Enviar a Timbrado”</t>
    </r>
    <r>
      <rPr>
        <sz val="10"/>
        <color rgb="FF000000"/>
        <rFont val="Montserrat"/>
      </rPr>
      <t xml:space="preserve"> </t>
    </r>
  </si>
  <si>
    <r>
      <t>El sistema muestra el (MSG008)</t>
    </r>
    <r>
      <rPr>
        <b/>
        <sz val="10"/>
        <color rgb="FF000000"/>
        <rFont val="Montserrat"/>
      </rPr>
      <t>¿Está seguro de iniciar el proceso? Una vez iniciado el proceso, no se podrá cancelar,</t>
    </r>
    <r>
      <rPr>
        <sz val="10"/>
        <color rgb="FF000000"/>
        <rFont val="Montserrat"/>
      </rPr>
      <t xml:space="preserve"> con las opciones “Sí” y “No” </t>
    </r>
  </si>
  <si>
    <t>El sistema muestra la pantalla (Pantalla 48) con las siguientes opciones:
•	Certificado (.cer)*
•	Clave privada(.key)*
•	Contraseña de la clave privada(?)
•	RFC
Opciones:
•	Firmar
•	Limpiar
•	Regresar</t>
  </si>
  <si>
    <t xml:space="preserve">El sistema asigna el estado “En proceso” y lo representa en color amarillo en la tabla de la (Pantalla 02) correspondiente al proceso del insumo que se ha seleccionado, conforme la (RNA002).
</t>
  </si>
  <si>
    <t>El sistema valida la opción seleccionada:
•	Descargar .xlsx
•	Descargar .txt</t>
  </si>
  <si>
    <t xml:space="preserve">El Empleado SAT selecciona cualquiera de las siguientes opciones:
•	Descargar .xlsx
•	Descargar .txt 
</t>
  </si>
  <si>
    <t>•	El Empleado SAT selecciona cualquiera de las siguientes opciones:
•	Descargar incidencias
•	Archivos de control
•	Descargar XML
•	RFC Genérico</t>
  </si>
  <si>
    <t>El sistema permite descargar el archivo seleccionado en la extensión definida en el paso 3 y permitirá descargar los archivos dentro de un comprimido con extensión .zip conforme la (RNA071) (RNA090).</t>
  </si>
  <si>
    <r>
      <t xml:space="preserve">Selecciona mediante la opción “Ver Detalle” el detalle del proceso de </t>
    </r>
    <r>
      <rPr>
        <b/>
        <sz val="10"/>
        <rFont val="Noto Sans"/>
        <family val="2"/>
      </rPr>
      <t>Timbrado</t>
    </r>
  </si>
  <si>
    <t>El sistema muestra la pantalla “Detalle de Timbrado, para DPA línea de captura”
Encabezado:
•	Fecha
•	Título de la Pantalla
•	DPA
•	DTA
•	Cerrar sesión
Pantalla emergente:
“El proceso de Timbrado ha finalizado”
•	Nombre del insumo:
•	Total de CFDI timbrados:
•	Total de CFDI con incidencia:
•	Fecha de inicio del proceso:
•	Fecha fin del proceso:
Opciones:
•	Descargar .xlsx
•	Descargar .txt
•	Regresar
Enlaces:
•	Descargar lista de resultados de Timbrado
•	Descargar XML Timbrados</t>
  </si>
  <si>
    <t>El Empleado SAT selecciona cualquiera de las siguientes opciones y continúa en el paso 5 del presente flujo.
•	Descargar .xlsx
•	Descargar .txt</t>
  </si>
  <si>
    <t>Selecciona alguna de las siguientes opciones:
•	Descargar lista de resultados de Timbrado 
•	Descargar XML Timbrados</t>
  </si>
  <si>
    <t>El sistema permite descargar el archivo en la extensión seleccionada.
•	En caso de seleccionar “Descargar lista de resultados de Timbrado”, descarga un archivo con los detalles del timbrado conforme la (RNA059).
•	En caso de seleccionar “Descargar XML Timbrados”, permite descargar los archivos Timbrados conforme la (RNA073).</t>
  </si>
  <si>
    <t>Empleado SAT selecciona la opción “Consultar Información del Proceso de Facturas modificadas o reexpedidas”.</t>
  </si>
  <si>
    <t xml:space="preserve">1.	El sistema muestra la (Pantalla 39).
Encabezado:
•	Fecha
•	Título de la Pantalla
•	DPA
•	DTA
•	Cerrar sesión
Sección de datos del Empleado SAT:
•	Usuario
•	Rol del Empleado SAT
•	Guía de Estados
•	Título del módulo
Criterios de búsqueda
•	Fecha de inicio*
•	Fecha de fin*
•	Estado (opcional) (RNA081).
•	Tipo de insumo (opcional)
Botones:
•	Buscar
•	Limpiar
•	Actualizar
•	Regresar
Los campos marcados con asterisco son obligatorios
</t>
  </si>
  <si>
    <t xml:space="preserve">El sistema muestra la (Pantalla 39).
Encabezado:
•	Fecha
•	Título de la Pantalla
•	DPA
•	DTA
•	Cerrar sesión
Sección de datos del Empleado SAT:
•	Usuario
•	Rol del Empleado SAT
•	Guía de Estados
•	Título del módulo
Criterios de búsqueda
•	Fecha de inicio*
•	Fecha de fin*
•	Estado (opcional) (RNA081).
•	Tipo de insumo (opcional)
Botones:
•	Buscar
•	Limpiar
•	Actualizar
•	Regresar
Los campos marcados con asterisco son obligatorios
</t>
  </si>
  <si>
    <t>El sistema muestra la pantalla con el resultado de búsqueda.
Encabezado:
•	Fecha
•	Título de la Pantalla
•	DPA
•	DTA
•	Cerrar sesión
Dato de registro modificado
•	RFC del pago
•	Nombre del pago
•	Régimen Fiscal
•	Código Postal
•	Fecha pago
•	Hora pago
•	Número de operación (con campo para filtrar)
•	No. de transacción 
•	Llave
•	Monto
PROCESOS
•	Generar XML
•	Opción Ver detalle  
•	Timbrado
•	Fecha/Hora de último movimiento
•	Nombre de usuario</t>
  </si>
  <si>
    <t>El Empleado SAT selecciona cualquiera de las siguientes opciones:
•	Descargar .xlsx
•	Descargar .txt</t>
  </si>
  <si>
    <t xml:space="preserve">Ingresa los criterios de búsqueda, selecciona la opción “Buscar” </t>
  </si>
  <si>
    <t>/LineaCaptura/Consultar_Informacion_de_Proceso_de_Facturas_Electronicas/ModificadasOReexpedidas</t>
  </si>
  <si>
    <t xml:space="preserve">Empleado SAT selecciona el estado de “Modificada” y el Tipo de insumo “DPA Línea de captura” </t>
  </si>
  <si>
    <t xml:space="preserve">El sistema valida los registros que coinciden con los criterios de búsqueda.
El sistema valida el estado del registro y que este tenga un histórico con el estado de “Modificado”
En caso de seleccionar el filtrado por “Número de operación” (RNA082), el sistema ajustará los parámetros de búsqueda para limitar los resultados específicamente al número de operación ingresado.
•	En caso de que el criterio ingresado no corresponda a un resultado existente, no se muestra ningún resultado.
•	En caso de ingresar uno o más caracteres consecutivos que muestren resultados y el siguiente carácter no corresponda a ningún registro, no se muestran resultados, para continuar será necesario borrar el carácter incorrecto.
</t>
  </si>
  <si>
    <t>El sistema muestra el detalle de la nueva generación del XML (Pantalla 42).
Proceso de generación de XML
•	RFC del empleado
•	Nombre del empleado
Datos del registro modificado:
•	RFC del pago
•	Nombre del pago
•	Régimen Fiscal
•	Código Postal
•	Fecha y hora de modificación
Opciones:
•	Descargar .xlsx
•	Descargar .txt
•	Descargar incidencias
•	Archivos de control
•	Descargar XML
•	Regresar 
•	Enviar a Timbrado.</t>
  </si>
  <si>
    <t>Selecciona la opción “Enviar a Timbrado”.</t>
  </si>
  <si>
    <r>
      <t xml:space="preserve">El sistema muestra el (MSG008) </t>
    </r>
    <r>
      <rPr>
        <b/>
        <sz val="10"/>
        <rFont val="Noto Sans"/>
        <family val="2"/>
      </rPr>
      <t>¿Está seguro de iniciar el proceso? Una vez iniciado el proceso, no se podrá cancelar
C</t>
    </r>
    <r>
      <rPr>
        <sz val="10"/>
        <rFont val="Noto Sans"/>
        <family val="2"/>
        <charset val="1"/>
      </rPr>
      <t>on las opciones “Sí” y “No”.</t>
    </r>
  </si>
  <si>
    <t>11.	El sistema muestra la (Pantalla 48) con las siguientes opciones:
•	Certificado (.cer)*
•	Clave privada(.key)*
•	Contraseña de la clave privada(?)
•	RFC
Botones:
•	Firmar
•	Limpiar
•	Regresar</t>
  </si>
  <si>
    <t xml:space="preserve">El Empleado SAT selecciona la opción “Ver detalle” de la columna Generar XML  </t>
  </si>
  <si>
    <t>Fin del flujo</t>
  </si>
  <si>
    <t xml:space="preserve">El Empleado SAT selecciona ver el detalle   del proceso de “Timbrado” </t>
  </si>
  <si>
    <t>El sistema muestra la pantalla con el resultado de búsqueda.
Encabezado:
•	Fecha
•	Título de la Pantalla
•	DPA
•	Cerrar sesión
Dato de registro modificado
•	RFC del pago
•	Nombre del pago
•	Régimen Fiscal
•	Código Postal
•	Fecha pago
•	Hora pago
•	Número de operación (con campo para filtrar)
•	No. de transacción 
•	Llave
•	Monto
PROCESOS
•	Generar XML
•	Opción Ver detalle  
•	Timbrado
•	Fecha/Hora de último movimiento
•	Nombre de usuario</t>
  </si>
  <si>
    <t>El sistema muestra la pantalla “Detalle”
Proceso de Timbrado DPA
•	RFC del empleado
•	Nombre del empleado
Datos del registro modificado
•	RFC del pago
•	Nombre del pago
•	Régimen Fiscal
•	Código Postal
•	Fecha y hora de modificación
Opciones:
•	Descargar .xlsx
•	Descargar .txt
•	Regresar
Enlaces:
•	Descargar lista de resultados de Timbrado
•	Descargar XML Timbrados</t>
  </si>
  <si>
    <t>El sistema permite la descarga del archivo en la extensión seleccionada.
•	En caso de seleccionar “Descargar lista de resultados de Timbrado” descarga un archivo con los detalles del timbrado conforme la (RNA059).
•	En caso de seleccionar “Descargar XML Timbrados”, permite descargar los archivos Timbrados conforme la (RNA073).</t>
  </si>
  <si>
    <r>
      <rPr>
        <b/>
        <sz val="10"/>
        <rFont val="Noto Sans"/>
        <family val="2"/>
      </rPr>
      <t>Lista Resultados:</t>
    </r>
    <r>
      <rPr>
        <sz val="10"/>
        <rFont val="Noto Sans"/>
        <family val="2"/>
        <charset val="1"/>
      </rPr>
      <t xml:space="preserve">El sistema deberá de permitir descargar un archivo con la lista de resultados del proceso de timbrado en extensión xlsx y .txt con la siguiente relación:
Folio: (Es el folio fiscal generado por el servicio de timbrado)
NombreArchivo: (Es el nombre del archivo xml (relacionado con el folio fiscal proporcionado por el servicio de timbrado)
Fecha Timbrado: ( es la fecha en la que el servicio de timbrado relaciona el folio fiscal al xml)
Estatus: (Es el estatus asignado por el servicio de timbrado)
DescripciónIncidencia: (Es la descripción de la incidencia (solo en caso de error)) 
</t>
    </r>
    <r>
      <rPr>
        <b/>
        <sz val="10"/>
        <rFont val="Noto Sans"/>
        <family val="2"/>
      </rPr>
      <t>XML:</t>
    </r>
    <r>
      <rPr>
        <sz val="10"/>
        <rFont val="Noto Sans"/>
        <family val="2"/>
        <charset val="1"/>
      </rPr>
      <t>El sistema permitirá descargar los archivos XML Timbrados por medio un archivo .zip, el cual se nombrará conforme el nombre del insumo más la palabra Timbrados.
Nota: solo los archivos timbrados correctamente se descargarán en el archivo .zip, descartando los archivos que presentaron incidencias.</t>
    </r>
  </si>
  <si>
    <t>Empleado SAT selecciona el estado de “Modificada” y el Tipo de insumo “DPA Línea de captura” 
Posteriormente da clic en "Buscar"</t>
  </si>
  <si>
    <t>Empleado SAT selecciona el estado de “Reexpedida” y el Tipo de insumo “DPA Línea de captura” 
Posteriormente da clic en "Buscar"</t>
  </si>
  <si>
    <t>1.	El sistema muestra la pantalla con el resultado de búsqueda.
Encabezado:
•	Fecha
•	Título de la Pantalla
•	DPA
•	DTA
•	Cerrar sesión
Dato de registro modificado
•	Folio Fiscal (con campo para filtrar)
•	RFC Receptor
•	Nombre o Razón Social del Receptor
•	Forma de pago
•	Número de operación (con campo para filtrar)
•	Fecha Timbrado
•	Monto
•	Estatus
•	Fecha Cancelación
PROCESOS
•	Generar XML
•	Opción Ver detalle  
•	Timbrado
•	Fecha/Hora de último movimiento
•	Nombre de usuario</t>
  </si>
  <si>
    <t>El sistema muestra el detalle del XML.
Proceso de Generación de XML 
•	RFC del empleado
•	Nombre del empleado
Datos del registro modificado
•	RFC Receptor
•	Nombre o razón social del Receptor
•	Folio Fiscal
•	Estatus
•	Fecha y hora de cancelación
Opciones:
•	Descargar .xlsx
•	Descargar .txt
•	Descargar incidencias
•	Archivos de control
•	Descargar XML
•	Regresar 
•	Enviar a Timbrado</t>
  </si>
  <si>
    <t>El sistema permitirá descargar los archivos de salida que resulten del proceso de generación de XML en extensión .txt y .xslx
Archivo de control 
Archivo conformado por el nombre del XML generado + fecha y hora de la generación del XML separados por “pipe” (|).
Ejemplo .xslx
Encabezados “Archivo xml” y fecha y hora (nota: el formato de fecha de salida es el determinado por el sistema).
Descargar XML
Se permite la descarga de los archivos XML generados en el proceso de generación de xml.
Todos los archivos se podrán descargar en un archivo comprimido con extensión .zip, el cual será nombrado conforme el nombre del insumo y el nombre del archivo de salida.
El sistema , permitirá la descarga de un archivo .txt con los registros identificados con RFC genérico identificados durante el proceso de generación de XML</t>
  </si>
  <si>
    <t>Selecciona “Enviar a Timbrado”, continúa en el (FA28).</t>
  </si>
  <si>
    <r>
      <t>El sistema muestra el (MSG008)</t>
    </r>
    <r>
      <rPr>
        <b/>
        <sz val="10"/>
        <rFont val="Noto Sans"/>
        <family val="2"/>
      </rPr>
      <t>¿Está seguro de iniciar el proceso? Una vez iniciado el proceso, no se podrá cancelar.</t>
    </r>
    <r>
      <rPr>
        <sz val="10"/>
        <rFont val="Noto Sans"/>
        <family val="2"/>
        <charset val="1"/>
      </rPr>
      <t xml:space="preserve"> (Pantalla 23), con las opciones “Sí” y “No”.</t>
    </r>
  </si>
  <si>
    <t>El sistema muestra la (Pantalla 48) con las siguientes opciones:
•	Certificado (.cer)*
•	Clave privada(.key)*
•	Contraseña de la clave privada(?)
•	RFC
Botones:
•	Firmar
•	Limpiar
•	Regresar</t>
  </si>
  <si>
    <t>•	En caso de que existan procesos previos, el sistema asigna el estado “No iniciado” y pone en cola el proceso.</t>
  </si>
  <si>
    <t>CP35</t>
  </si>
  <si>
    <t>•	En caso de que el proceso sea de “Generación de XML” y tiene un estado de “En proceso”, el sistema muestra el (MSG005) (Pantalla 26) con la opción “Aceptar”.</t>
  </si>
  <si>
    <t>En caso de seleccionar el filtrado por “Folio Fiscal” o “Número de operación”, el sistema ajustará los parámetros de búsqueda para limitar los resultados específicamente al número de operación ingresado.
•	En caso de que el criterio ingresado no corresponda a un resultado existente, no se muestra ningún resultado.
•	En caso de ingresar uno o más caracteres consecutivos que muestren resultados y el siguiente carácter no corresponda a ningún registro, no se muestran resultados, se requiere borrar el carácter incorrecto.
•	En caso de que el proceso sea de “Timbrado” y tiene un estado de “En proceso”, el sistema muestra el (MSG006) (Pantalla 27) con la opción “Aceptar”.
•	En caso de que el proceso tenga el estado de “No iniciado”, el sistema muestra el (MSG007) (Pantalla 28) con la opción “Aceptar”.</t>
  </si>
  <si>
    <t xml:space="preserve">El Empleado SAT selecciona ver el detalle   del proceso de “Timbrado”. </t>
  </si>
  <si>
    <t>1.	El sistema muestra el detalle del nuevo Timbrado del XML (Pantalla 47).
Proceso de generación de Timbrado
•	RFC del empleado
•	Nombre del empleado
Datos del registro modificado
•	RFC Receptor
•	Nombre o razón social del Receptor
•	Folio Fiscal
•	Estatus
•	Fecha y hora de cancelación
Opciones:
Descargar .xlsx
Descargar .txt
Enlaces:
•	Descargar lista de resultados de Timbrado
•	Descargar XML Timbrados</t>
  </si>
  <si>
    <t>Selecciona la opción:
•	Descargar lista de resultados de Timbrado 
•	Descargar XML Timbrados</t>
  </si>
  <si>
    <r>
      <t xml:space="preserve">•	En caso de no ingresar ningún periodo, muestra el mensaje (MSG001) </t>
    </r>
    <r>
      <rPr>
        <b/>
        <sz val="10"/>
        <rFont val="Noto Sans"/>
        <family val="2"/>
      </rPr>
      <t>No ha ingresado un periodo. Favor de verificar.</t>
    </r>
    <r>
      <rPr>
        <sz val="10"/>
        <rFont val="Noto Sans"/>
        <family val="2"/>
        <charset val="1"/>
      </rPr>
      <t xml:space="preserve"> con la opción “Aceptar”</t>
    </r>
  </si>
  <si>
    <r>
      <t xml:space="preserve">•	En caso de que se haya ingresado un periodo inválido, muestra el mensaje (MSG002) </t>
    </r>
    <r>
      <rPr>
        <b/>
        <sz val="10"/>
        <rFont val="Noto Sans"/>
        <family val="2"/>
      </rPr>
      <t xml:space="preserve">Ingrese un periodo válido (Máximo un mes) </t>
    </r>
    <r>
      <rPr>
        <sz val="10"/>
        <rFont val="Noto Sans"/>
        <family val="2"/>
        <charset val="1"/>
      </rPr>
      <t xml:space="preserve">con la opción “Aceptar” </t>
    </r>
  </si>
  <si>
    <r>
      <t xml:space="preserve">En caso de que no existan resultados relacionados a los criterios ingresados, muestra el (MSG003) </t>
    </r>
    <r>
      <rPr>
        <b/>
        <sz val="10"/>
        <rFont val="Noto Sans"/>
        <family val="2"/>
      </rPr>
      <t>No existen resultados,</t>
    </r>
    <r>
      <rPr>
        <sz val="10"/>
        <rFont val="Noto Sans"/>
        <family val="2"/>
        <charset val="1"/>
      </rPr>
      <t xml:space="preserve"> el mensaje se cierra cuando el Empleado SAT selecciona la opción “Aceptar” </t>
    </r>
  </si>
  <si>
    <t>El sistema muestra los registros relacionados a los criterios ingresados con la tabla de resultados.
Sección de la tabla: 
•	Nombre del insumo (Con campo para filtrar por nombre de insumo)
•	 Mostrar registros
Procesos:
•	Transferir insumo
•	Verificar insumo
•	Carga de insumo
•	Generar XML
•	Timbrado
•	Estado (con respecto a la guía de estados)
•	Opción Ver detalle  
•	Fecha/ Hora de último movimiento 
•	Nombre de usuario 
Sección de Control de prioridad:
•	Subir nivel
•	Bajar de nivel
•	Posición.</t>
  </si>
  <si>
    <t>/LineaCaptura/Consultar_Informacion_de_Proceso_de_Facturas_Electronicas/Busqueda/Paginador</t>
  </si>
  <si>
    <t>/LineaCaptura/Consultar_Informacion_de_Proceso_de_Facturas_Electronicas/Busqueda/Filtrado</t>
  </si>
  <si>
    <t>El Flujo Alterno Inicia cuando el Empleado SAT hace clic en el control “Mostrar Registros”.</t>
  </si>
  <si>
    <t>El sistema despliega las siguientes opciones:
•	10
•	25
•	50
•	100</t>
  </si>
  <si>
    <t>Si selecciona alguna de las opciones del control “Mostrar registros”.</t>
  </si>
  <si>
    <t>4.	El sistema muestra el número de registros dependiendo de la selección realizada por el Empleado SAT y actualiza el número de páginas del control “Paginador”.
Muestra también el contador total de registros.</t>
  </si>
  <si>
    <t>El sistema muestra el contenido de la página seleccionada en la tabla de la pantalla</t>
  </si>
  <si>
    <t>Si selecciona alguna de las siguientes opciones del control “Paginador”.
•	Número de página
•	Anterior
•	Siguiente
•	Inicio
•	Final</t>
  </si>
  <si>
    <t>Empleado SAT ingresa datos en el filtro.
•	Nombre del insumo</t>
  </si>
  <si>
    <t xml:space="preserve">Si el filtrado es correcto, despliega la pantalla “Resultados de la Consulta por filtro” (según corresponda) y muestra el resultado de la consulta:
Tabla compuesta de:
•	Nombre del insumo
•	PROCESOS
o	Transferir insumo
o	Verificar insumo
o	Carga de insumo
o	Generar XML
o	Timbrado
•	Fecha/Hora de último movimiento
•	Nombre de usuario
•	Subir nivel 
•	Bajar nivel
•	Posición
Opciones:
•	Buscar
•	Limpiar
•	Actualizar
•	Paginador </t>
  </si>
  <si>
    <t xml:space="preserve">El sistema filtra los resultados por los datos ingresados conforme la (RNA061).
•	En caso de que el criterio ingresado no corresponda a un resultado existente, no se muestra ningún resultado.
•	En caso de ingresar uno o más caracteres consecutivos que muestren resultados y el siguiente carácter no corresponda a ningún registro, no se muestran resultados, por lo que será necesario borrar el carácter incorrecto.
</t>
  </si>
  <si>
    <t>/LineaCaptura/Consultar_Informacion_de_Proceso_de_Facturas_Electronicas/Busqueda/ControlPrioridad</t>
  </si>
  <si>
    <t>Empleado SAT selecciona la opción “Subir nivel”, cuando se encuentre habilitado (RNA067).</t>
  </si>
  <si>
    <t>Empleado SAT selecciona la opción “Bajar nivel”, siempre y cuando se encuentre habilitado (RNA067).</t>
  </si>
  <si>
    <t xml:space="preserve">El sistema actualiza el número de posición en el que se encuentra el proceso dentro de la lista de espera.
•	En caso de que sean procesos activos y en el último nivel, inactiva el botón “Bajar nivel” conforme a la (RNA067).
</t>
  </si>
  <si>
    <t>Fin del Flujo Alterno.</t>
  </si>
  <si>
    <t xml:space="preserve">El sistema actualiza el número de posición en el que se encuentra el proceso dentro de la lista de espera.
•	En caso de que el proceso ya subió hasta el máximo nivel donde se encuentran los procesos activos, el sistema no podrá seguir subiendo el nivel o sustituir la posición de los procesos que están en proceso.
•	</t>
  </si>
  <si>
    <t>El sistema sube un nivel el proceso seleccionado
El sistema activará de forma automática las opciones Subir nivel y bajar nivel.
•	La opción “Subir nivel”
o	Se mostrará habilitada cuando exista la posibilidad de priorizar un proceso, en el entendido que, si existe un proceso con prioridad uno, será inamovible, lo que implica que un proceso con prioridad dos no podrá subir de nivel, será solo hasta la prioridad tres que se mostrará habilitado el botón, siempre y cuando un proceso con prioridad uno se esté ejecutando.</t>
  </si>
  <si>
    <t>El sistema baja de nivel el proceso seleccionado
•	La opción “Bajar nivel”
o	Se mostrará habilitada cuando exista la posibilidad de bajar el nivel de prioridad de un proceso, en el entendido que, si existe un proceso con prioridad uno será inamovible ( siempre y cuando un proceso con prioridad uno se esté ejecutando.), lo que implica que solo hasta la prioridad dos, y solo si existe un tercer proceso encolado o más, se mostrará habilitado el botón. En caso de que el proceso ocupe el último lugar en la fila, no se habilitará el botón.</t>
  </si>
  <si>
    <r>
      <t xml:space="preserve">•	En caso de que el proceso sea de “Generación de XML” y tiene un estado de “En proceso”, el sistema muestra el (MSG005) </t>
    </r>
    <r>
      <rPr>
        <b/>
        <sz val="10"/>
        <rFont val="Noto Sans"/>
        <family val="2"/>
      </rPr>
      <t xml:space="preserve">La Generación de XML se encuentra en proceso. Consulte más tarde </t>
    </r>
    <r>
      <rPr>
        <sz val="10"/>
        <rFont val="Noto Sans"/>
        <family val="2"/>
        <charset val="1"/>
      </rPr>
      <t>con la opción “Aceptar”.</t>
    </r>
  </si>
  <si>
    <t>CP36</t>
  </si>
  <si>
    <t>CP37</t>
  </si>
  <si>
    <t>CP38</t>
  </si>
  <si>
    <t>CP39</t>
  </si>
  <si>
    <r>
      <t xml:space="preserve">•	En caso de que el proceso sea de “Timbrado” y tiene un estado de “En proceso”, el sistema muestra el (MSG006) </t>
    </r>
    <r>
      <rPr>
        <b/>
        <sz val="10"/>
        <rFont val="Noto Sans"/>
        <family val="2"/>
      </rPr>
      <t>El Timbrado se encuentra en proceso. Consulte más tarde.</t>
    </r>
    <r>
      <rPr>
        <sz val="10"/>
        <rFont val="Noto Sans"/>
        <family val="2"/>
        <charset val="1"/>
      </rPr>
      <t xml:space="preserve"> con la opción “Aceptar”.</t>
    </r>
  </si>
  <si>
    <t>Selecciona mediante la opción “Ver Detalle” el detalle del proceso de Generación de XML</t>
  </si>
  <si>
    <r>
      <t xml:space="preserve">•	En caso de que el proceso tenga el estado de “No iniciado”, el sistema muestra el (MSG007) </t>
    </r>
    <r>
      <rPr>
        <b/>
        <sz val="10"/>
        <rFont val="Noto Sans"/>
        <family val="2"/>
      </rPr>
      <t>El proceso está en espera de ser ejecutado.</t>
    </r>
    <r>
      <rPr>
        <sz val="10"/>
        <rFont val="Noto Sans"/>
        <family val="2"/>
        <charset val="1"/>
      </rPr>
      <t xml:space="preserve"> con la opción “Aceptar”.</t>
    </r>
  </si>
  <si>
    <t>Selecciona mediante la opción “Ver Detalle” el detalle del proceso de Transferir, Verificar, Carga, Generar y Timbrado</t>
  </si>
  <si>
    <t>•	En caso de que el proceso sea de “Carga de insumo” y tiene un estado “En proceso”, el sistema identifica el porcentaje de avance (Pantalla 21) con la opción “Regresar”.</t>
  </si>
  <si>
    <t>•	En caso de que el proceso sea de “Verificación de insumo” y tiene un estado “En proceso”, el sistema identifica el porcentaje de avance (Pantalla 20) con la opción “Regresar”.</t>
  </si>
  <si>
    <r>
      <t xml:space="preserve">•	En caso de que el sistema tenga un estado “Fallido” en el proceso de carga de información el sistema muestra el (MSG009) </t>
    </r>
    <r>
      <rPr>
        <b/>
        <sz val="10"/>
        <rFont val="Noto Sans"/>
        <family val="2"/>
      </rPr>
      <t>Error de conexión: Proceso de transferencia de insumo de información fallido, compruebe la red e inténtelo nuevamente.</t>
    </r>
  </si>
  <si>
    <t>Selecciona mediante la opción “Ver Detalle” el detalle del proceso de Carga de insumo</t>
  </si>
  <si>
    <r>
      <t xml:space="preserve">•	En caso de que el sistema tenga un estado “Fallido” en el proceso de generación de XML el sistema muestra el (MSG010) </t>
    </r>
    <r>
      <rPr>
        <b/>
        <sz val="10"/>
        <rFont val="Noto Sans"/>
        <family val="2"/>
      </rPr>
      <t>Proceso de generación de XML con error. Puede retomar el proceso para generar los XML restantes.</t>
    </r>
  </si>
  <si>
    <t>El sistema muestra el detalle de los errores en el proceso de verificación del insumo, para “DPA línea de captura” 
Lista de verificación del insumo de información
Opciones: 
Validación con error
•	Nombre del insumo
•	Tamaño del archivo
•	Total de registros leídos
•	Total de registros leídos sin errores
•	Total de registros leídos con errores
•	Registros excluidos con importe 0 (solo aplica para DPA e.5cinco)
•	Dependencias excluidas (no aplica para DTA)
Botones:
•	Descargar errores 
•	Descargar pagos excluidos
•	Generar XML
•	Regresar</t>
  </si>
  <si>
    <t xml:space="preserve">
El sistema muestra el detalle de los errores en el proceso de verificación del insumo, para “DPA línea de captura”
Lista de verificación del insumo de información
Opciones: 
•	Iniciar carga
•	Descargar errores
•	Regresar
•	En caso de que en el proceso de validaciones no sea posible leer ningún registro, el botón “Iniciar carga” y “Descargar errores” se inhabilitan.
</t>
  </si>
  <si>
    <t>CP40</t>
  </si>
  <si>
    <t>CP41</t>
  </si>
  <si>
    <t>Empleado SAT selecciona la opción “Consultar Facturas”.</t>
  </si>
  <si>
    <t>Previamnete el empleado SAT se autentico y selecciono la opcion DPA Linea de captura</t>
  </si>
  <si>
    <t>El sistema muestra la pantalla con las siguientes opciones:
Encabezado:
•	Fecha
•	Título de pantalla
Opciones:
•	DPA
•	DTA
•	Cerrar sesión.
Consultar Facturas 
•	Folio Fiscal (RNA074)
•	Número de Operación
•	Búsqueda por Insumo
•	RFC Receptor (RNA001)
•	Fecha de inicio*
•	Fecha de fin*
•	Estatus
Botones 
•	Buscar (Inhabilitado)  
•	Limpiar</t>
  </si>
  <si>
    <t>4.	El empleado SAT selecciona la opción “Folio Fiscal” e ingresa el folio fiscal.</t>
  </si>
  <si>
    <t>Previamnete el empleado SAT se autentico y selecciono la opcion DPA Linea de captura
El usuario puede optar por las siguientes opciones:
•	Folio Fiscal
•	Número de operación
•	Búsqueda por insumo
•	RFC Receptor
•	Fecha de inicio
•	Fecha de fin
•	Estatus</t>
  </si>
  <si>
    <t>El sistema habilita el botón “Buscar” 
Consultar Facturas 
•	Folio Fiscal (RNA074)
•	Número de Operación
•	Búsqueda por Insumo
•	RFC Receptor (RNA001)
•	Fecha de inicio*
•	Fecha de fin*
•	Estatus
Botones 
•	Buscar
•	Limpiar</t>
  </si>
  <si>
    <t>•	En caso de que seleccione la opción “Limpiar” borrará los datos ingresados por el empleado SAT</t>
  </si>
  <si>
    <t>El empleado SAT selecciona la opción “Buscar”.</t>
  </si>
  <si>
    <r>
      <t xml:space="preserve">Si el folio fiscal no cumple con las características mostrará el (MSG002) </t>
    </r>
    <r>
      <rPr>
        <b/>
        <sz val="10"/>
        <rFont val="Noto Sans"/>
        <family val="2"/>
      </rPr>
      <t xml:space="preserve">El Folio Fiscal ingresado no cumple con las características validas. Favor de verificar. </t>
    </r>
    <r>
      <rPr>
        <sz val="10"/>
        <rFont val="Noto Sans"/>
        <family val="2"/>
        <charset val="1"/>
      </rPr>
      <t xml:space="preserve">Ver en con la opción “Aceptar”, </t>
    </r>
  </si>
  <si>
    <t>. El sistema muestra con las siguientes opciones.
Resultado de la Consulta
•	Acciones
•	Folio Fiscal
•	RFC Receptor
•	Nombre o Razón Social del Receptor
•	Forma de pago
•	No. de Operación
•	Fecha Emisión 
•	Monto
•	Estatus
•	Fecha Cancelación 
Botones
•	Cancelar Seleccionados
•	Reexpedir Factura (RNA076)
•	Nueva Búsqueda</t>
  </si>
  <si>
    <t>El sistema mostrará (Pantalla 06) con las siguientes opciones:
Modificar atributo de pago
•	Forma de Pago*
•	Fecha de Timbrado
•	Fecha de Emisión (RNA075)
Botones
•	Aceptar 
•	Cancelar</t>
  </si>
  <si>
    <t>El empleado SAT selecciona la forma de pago del catálogo de pagos.</t>
  </si>
  <si>
    <t>El sistema permite al usuario seleccionar la opción de “Aceptar”.</t>
  </si>
  <si>
    <t xml:space="preserve">•	En caso de seleccionar la opción “Cancelar” continúa en el paso 3 </t>
  </si>
  <si>
    <t>El empleado SAT selecciona la opción “Aceptar”.</t>
  </si>
  <si>
    <t>El sistema muestra la pantalla con las siguientes opciones:
•	Certificado (.cer)
•	Clave privada(.key)
•	Contraseña de la clave privada?
•	RFC
Botones
•	Firmar
•	Limpiar
•	Regresar</t>
  </si>
  <si>
    <r>
      <t xml:space="preserve">El sistema muestra el mensaje (MSG005) </t>
    </r>
    <r>
      <rPr>
        <b/>
        <sz val="10"/>
        <rFont val="Noto Sans"/>
        <family val="2"/>
      </rPr>
      <t>El proceso de timbrado de la factura a reexpedir. Se ha iniciado correctamente, puede consultar el proceso en el módulo “Consultar Información de Proceso”</t>
    </r>
    <r>
      <rPr>
        <sz val="10"/>
        <rFont val="Noto Sans"/>
        <family val="2"/>
        <charset val="1"/>
      </rPr>
      <t xml:space="preserve"> con la opción “Cerrar” </t>
    </r>
  </si>
  <si>
    <t>Selecciona “Cerrar”.</t>
  </si>
  <si>
    <t>CP42</t>
  </si>
  <si>
    <t xml:space="preserve">El empleado SAT ingresa el número de operación de la factura que desea visualizar. </t>
  </si>
  <si>
    <t>El empleado SAT selecciona la factura con estatus “Cancelada” que desea reexpedir y da clic en Reexpedir Factura</t>
  </si>
  <si>
    <t>CP43</t>
  </si>
  <si>
    <t>El empleado SAT ingresa los datos solicitados por el sistema:
•	RFC Receptor 
•	Fecha de inicio*
•	Fecha de fin*</t>
  </si>
  <si>
    <r>
      <t xml:space="preserve">Si el RFC ingresado no cuenta con las características necesaria para la validación el sistema mostrará (MSG003) </t>
    </r>
    <r>
      <rPr>
        <b/>
        <sz val="10"/>
        <rFont val="Noto Sans"/>
        <family val="2"/>
      </rPr>
      <t xml:space="preserve">El RFC ingresado es incorrecto. Favor de validar. </t>
    </r>
    <r>
      <rPr>
        <sz val="10"/>
        <rFont val="Noto Sans"/>
        <family val="2"/>
        <charset val="1"/>
      </rPr>
      <t xml:space="preserve"> con la opción “Aceptar”</t>
    </r>
  </si>
  <si>
    <r>
      <t xml:space="preserve">Si la fecha ingresada es incorrecta mostrará (MSG004) </t>
    </r>
    <r>
      <rPr>
        <b/>
        <sz val="10"/>
        <rFont val="Noto Sans"/>
        <family val="2"/>
      </rPr>
      <t xml:space="preserve">La fecha ingresada es invalida. Favor de verificar. </t>
    </r>
    <r>
      <rPr>
        <sz val="10"/>
        <rFont val="Noto Sans"/>
        <family val="2"/>
      </rPr>
      <t>c</t>
    </r>
    <r>
      <rPr>
        <sz val="10"/>
        <rFont val="Noto Sans"/>
        <family val="2"/>
        <charset val="1"/>
      </rPr>
      <t>on la opción “Aceptar”</t>
    </r>
  </si>
  <si>
    <t>CP44</t>
  </si>
  <si>
    <t>CP45</t>
  </si>
  <si>
    <t>CP46</t>
  </si>
  <si>
    <t>CP47</t>
  </si>
  <si>
    <t>CP48</t>
  </si>
  <si>
    <t>CP49</t>
  </si>
  <si>
    <t>CP50</t>
  </si>
  <si>
    <t>CP51</t>
  </si>
  <si>
    <t>CP52</t>
  </si>
  <si>
    <t xml:space="preserve">El empleado SAT ingresa el insumo de la factura que desea visualizar. </t>
  </si>
  <si>
    <t>El sistema habilita el botón “Buscar” con las siguientes opciones 
Consultar Facturas
•	Folio Fiscal (Inhabilitado)
•	Número de Operación (Inhabilitado)
•	Búsqueda por Insumo
•	RFC Receptor (Inhabilitado)
•	Fecha de inicio* 
•	Fecha de fin*
•	Estatus</t>
  </si>
  <si>
    <t>El sistema muestra con las opciones:
Resultado de la Consulta
•	Acciones
•	Folio Fiscal
•	RFC Receptor
•	Nombre o Razón social Receptor
•	Forma de pago
•	No. de Operación
•	Fecha Emisión 
•	Monto
•	Estatus
•	Fecha Cancelación 
•	Resultado de cancelación (RNA085)
Botones
•	Salir
•	Exportar .csv</t>
  </si>
  <si>
    <t>El empleado SAT opta por la opcion:
•	Exportar .csv</t>
  </si>
  <si>
    <t xml:space="preserve">El sistema permite descargar en archivo .csv  </t>
  </si>
  <si>
    <r>
      <t xml:space="preserve">Empleado SAT selecciona la opción de descargar acuse de la columna </t>
    </r>
    <r>
      <rPr>
        <b/>
        <sz val="10"/>
        <color rgb="FF000000"/>
        <rFont val="Montserrat"/>
      </rPr>
      <t>“Acciones”.</t>
    </r>
  </si>
  <si>
    <t xml:space="preserve">El sistema permite descargar el acuse que envía el sistema de cancelación. </t>
  </si>
  <si>
    <t>Empleado SAT selecciona la opción “Estatus”.</t>
  </si>
  <si>
    <t>El sistema despliega las opciones “Vigente” y “Cancelada”.</t>
  </si>
  <si>
    <t>El empleado SAT opta por las siguientes opciones:
•	Vigente
•	Cancelada</t>
  </si>
  <si>
    <t>El empleado SAT selecciona el ojo de detalle de la columna “Acciones”.</t>
  </si>
  <si>
    <t>El sistema muestra la (Pantalla 21) con el detalle de la factura cancelada que va a ser reexpedida.
Detalle de Cancelación
•	RFC del empleado SAT
•	Nombre o Razón social del Receptor
•	Folio Fiscal
•	RFC Receptor
•	Forma de pago
•	Estatus
•	Fecha cancelación
•	Registro original 
Opción
•	Regresar</t>
  </si>
  <si>
    <t>El empleado SAT selecciona Regresar.</t>
  </si>
  <si>
    <t>El sistema regresa al punto donde fue llamado.</t>
  </si>
  <si>
    <t>Fin del Flujo Alterno</t>
  </si>
  <si>
    <t xml:space="preserve">Fin del Flujo </t>
  </si>
  <si>
    <t>El empleado SAT selecciona la opción de descargar acuse de la columna “Acciones”.</t>
  </si>
  <si>
    <t>Empleado SAT consulta y selecciona una factura con estatus “Vigente”</t>
  </si>
  <si>
    <t>El sistema muestra las siguientes opciones de acuerdo con la con las siguientes opciones:
Encabezado:
•	Fecha
•	Título de la sección
Opciones:
•	DPA (según corresponda el rol)
•	Cerrar sesión.
     Resultado de la Consulta:
•	Acciones 
•	Detalle  
•	Folio Fiscal
•	RFC Receptor
•	Nombre o Razón Social del Receptor
•	Forma de pago
•	No. de Operación
•	Fecha Emisión
•	Monto
•	Estatus
•	Fecha Cancelación.
      Opción:
•	Cancelar Seleccionados
•	Reexpedir Factura (inhabilitado) (RNA076) 
•	Nueva Búsqueda.</t>
  </si>
  <si>
    <t xml:space="preserve">Selecciona el check de la factura que desea cancelar de la columna “Acciones” y  posteriormente selecciona el botón “Cancelar Seleccionados” </t>
  </si>
  <si>
    <t>Selecciona la opccion Aceptar</t>
  </si>
  <si>
    <t>El sistema muestra las siguientes opciones de acuerdo con la (Pantalla 03) con las opciones: 
E.firma
•	Certificado (.cer):
•	Clave Privada (.key):
•	Contraseña de Clave Privada:
•	RFC:
•	Buscar.
        Opción: 
•	Botón Firmar
•	Botón Limpiar
•	Botón Regresar.</t>
  </si>
  <si>
    <r>
      <t xml:space="preserve">El sistema muestra el (MSG005) con las siguientes opciones: 
Cancelar Seleccionado
•	</t>
    </r>
    <r>
      <rPr>
        <b/>
        <sz val="10"/>
        <rFont val="Noto Sans"/>
        <family val="2"/>
      </rPr>
      <t>¿Desea cancelar la factura?</t>
    </r>
    <r>
      <rPr>
        <sz val="10"/>
        <rFont val="Noto Sans"/>
        <family val="2"/>
        <charset val="1"/>
      </rPr>
      <t xml:space="preserve">
      Opción:
•	Botón Aceptar
•	Botón Cancelar.</t>
    </r>
  </si>
  <si>
    <r>
      <t xml:space="preserve">El sistema muestra el (MSG001) </t>
    </r>
    <r>
      <rPr>
        <b/>
        <sz val="10"/>
        <rFont val="Noto Sans"/>
        <family val="2"/>
      </rPr>
      <t>El proceso de cancelación ha finalizado con éxito</t>
    </r>
    <r>
      <rPr>
        <sz val="10"/>
        <rFont val="Noto Sans"/>
        <family val="2"/>
        <charset val="1"/>
      </rPr>
      <t xml:space="preserve"> con la opción “Aceptar” </t>
    </r>
  </si>
  <si>
    <r>
      <t>El empleado SAT selecciona la opción</t>
    </r>
    <r>
      <rPr>
        <b/>
        <sz val="10"/>
        <color rgb="FF000000"/>
        <rFont val="Montserrat"/>
      </rPr>
      <t xml:space="preserve"> “Aceptar”</t>
    </r>
    <r>
      <rPr>
        <sz val="10"/>
        <color rgb="FF000000"/>
        <rFont val="Montserrat"/>
      </rPr>
      <t xml:space="preserve"> </t>
    </r>
  </si>
  <si>
    <t xml:space="preserve">El sistema cierra el mensaje de éxito, la factura actualizada con el estatus cancelado y la fecha de cancelación se pueden descargar en la columna Acciones
Opción:
Descarga de acuse </t>
  </si>
  <si>
    <t>Selecciona la opción “Descarga de acuse”   de la columna Acciones</t>
  </si>
  <si>
    <t>El sistema permite la descarga del acuse</t>
  </si>
  <si>
    <t xml:space="preserve">Empleado del SAT, con el rol de “DPA-DTA”, selecciona la opción del menú correspondiente a DPA y accede a la sección de “Consulta de Movimientos” </t>
  </si>
  <si>
    <t xml:space="preserve">El sistema muestra la pantalla Consulta de movimientos con las siguientes opciones de consulta:
Encabezado:
•	Fecha
•	Título de pantalla
Opciones:
•	DPA
•	DTA
•	Cerrar sesión.
Campos de consulta:
•	Fecha de inicio *
•	Fecha de fin *.
Opciones:
•	Buscar 
•	Limpiar.
</t>
  </si>
  <si>
    <t xml:space="preserve">Ingresa la fecha de inicio, la fecha de fin y selecciona la opción “Buscar” </t>
  </si>
  <si>
    <t>El sistema ordena y muestra la información conforme la (RNA068) en la pantalla Resultados de la Consulta por periodo. 
Muestra el resultado de la consulta:
Tabla compuesta de:
•	Fecha de inicio *
•	Fecha de fin *
•	RFC, campo de búsqueda  
•	Nombre, campo de búsqueda  
•	Nombre de insumo, campo de búsqueda  
•	Movimiento (Detalle)
•	Rol de usuario
•	Fecha/Hora de último movimiento.
Mostrar registros
Paginador
Opciones:
•	Buscar
•	Limpiar
•	Exportar.</t>
  </si>
  <si>
    <t>Selecciona la opción “Exportar”</t>
  </si>
  <si>
    <t>Roles
DTA-DPA</t>
  </si>
  <si>
    <t>Fin del Caso de Uso.</t>
  </si>
  <si>
    <t>CP53</t>
  </si>
  <si>
    <r>
      <t xml:space="preserve">•	En caso de no ingresar nin-gún periodo, muestra el (MSG001) </t>
    </r>
    <r>
      <rPr>
        <b/>
        <sz val="10"/>
        <rFont val="Noto Sans"/>
        <family val="2"/>
      </rPr>
      <t xml:space="preserve">No ha ingresado un periodo. Favor de verificar </t>
    </r>
    <r>
      <rPr>
        <sz val="10"/>
        <rFont val="Noto Sans"/>
        <family val="2"/>
        <charset val="1"/>
      </rPr>
      <t xml:space="preserve">con la opción “Aceptar”.
•	En caso de no existir ningún resultado en el periodo selec-cionado, se muestra el (MSG002) </t>
    </r>
    <r>
      <rPr>
        <b/>
        <sz val="10"/>
        <rFont val="Noto Sans"/>
        <family val="2"/>
      </rPr>
      <t>No existen resultados.</t>
    </r>
    <r>
      <rPr>
        <sz val="10"/>
        <rFont val="Noto Sans"/>
        <family val="2"/>
        <charset val="1"/>
      </rPr>
      <t xml:space="preserve"> con la opción “Aceptar”.
•	En caso de no ingresar fecha de inicio o fecha de fin, mues-tra el (MSG003) </t>
    </r>
    <r>
      <rPr>
        <b/>
        <sz val="10"/>
        <rFont val="Noto Sans"/>
        <family val="2"/>
      </rPr>
      <t>Campos obligatorios</t>
    </r>
    <r>
      <rPr>
        <sz val="10"/>
        <rFont val="Noto Sans"/>
        <family val="2"/>
        <charset val="1"/>
      </rPr>
      <t>, en el campo no ingresado</t>
    </r>
  </si>
  <si>
    <t>Descarga la información en .CSV</t>
  </si>
  <si>
    <t>Empleado SAT ingresa alguno de los siguientes criterios para filtrar la información:
•	RFC 
•	Nombre
•	Nombre del insumo.</t>
  </si>
  <si>
    <t xml:space="preserve">El sistema filtra los resultados por los criterios ingresados con-forme la (RNA064)
•	En caso de que el criterio in-gresado no corresponda a un resultado existente, no se muestra ningún resultado.
•	En caso de ingresar 1 o más caracteres consecutivos que muestren resultados y el si-guiente carácter no corres-ponda a ningún registro, no se muestran resultados, se requiere borrar el carácter incorrecto. </t>
  </si>
  <si>
    <t xml:space="preserve">El sistema muestra la pantalla resultados de la consulta por filtro, en caso de corresponder a DPA  la consulta:
      Tabla compuesta de:
•	Fecha de inicio *
•	Fecha fin *
•	RFC, campo de búsqueda  
•	Nombre, campo de búsqueda  
•	Nombre de insumo, campo de búsqueda  
•	Movimiento (Detalle  )
•	Rol de usuario
•	Fecha/Hora de último movimiento.
Mostrar registros
Paginador
Opciones:
•	Buscar
•	Exportar
•	Limpiar. </t>
  </si>
  <si>
    <t>Selecciona la opción exportar “Exportar”.</t>
  </si>
  <si>
    <t>Descarga la información corres-pondiente al filtro y resultado se-leccionado en .CSV.  En caso de ser DPA, mostrará</t>
  </si>
  <si>
    <t>Muestra el detalle del último movimiento con la siguiente información conforme la (RNA005):
•	Fase correspondiente
•	RFC del empleado:
•	Nombre:
•	Rol del usuario:
•	Nombre del insumo
•	Movimiento:
•	Fecha/Hora de último movimiento.
Opciones: 
•	Regresar continúa en el paso 2
•	Exportar
•	En caso de existan movimientos previos, se mostrarán u ocultarán conforme la (RNA065).</t>
  </si>
  <si>
    <t xml:space="preserve">El empleado SAT selecciona Detalle </t>
  </si>
  <si>
    <t>Descarga la información de los movimientos en .PDF</t>
  </si>
  <si>
    <t>El empleado SAT selecciona “Mostrar Registros”.</t>
  </si>
  <si>
    <t>Despliega las siguientes opciones: 
•	10 
•	25
•	50
•	100.</t>
  </si>
  <si>
    <t>Selecciona alguna de las opcio-nes para “Mostrar Registros”.</t>
  </si>
  <si>
    <t>Muestra el número de registros dependiendo de la selección del empleado SAT y actualiza el nú-mero de páginas del control “Paginador” conforme la (RNA069).
Opciones:
•	Anterior
•	Siguiente
•	Inicio 
•	Final.</t>
  </si>
  <si>
    <t>Selecciona alguna de las opcio-nes del control “Paginador”.</t>
  </si>
  <si>
    <t>Muestra el contenido de la página seleccionada en la tabla de pantalla.</t>
  </si>
  <si>
    <t>CP54</t>
  </si>
  <si>
    <t>CP55</t>
  </si>
  <si>
    <t>CP56</t>
  </si>
  <si>
    <t>Previamente el empleado SAT se autentico y selecciono la opcion DPA Linea de captura</t>
  </si>
  <si>
    <t>El usuario está en el menú principal de facturas electrónicas y se da clic en “Cancelación masiva de facturas”.</t>
  </si>
  <si>
    <t>El sistema muestra, con las siguientes opciones
Encabezado:
•	Fecha
•	Título de la sección
Opciones:
•	DPA (según corresponda el rol)
•	DTA (según corresponda el rol)
•	Cerrar sesión.
Carga de archivo para cancelar facturas 
•	Examinar 
•	Verificar (inhabilitado)
•	Cancelar</t>
  </si>
  <si>
    <t>Selecciona la opción “Examinar”.</t>
  </si>
  <si>
    <t>El sistema muestra explorador de archivos para seleccionar el archivo .txt en la ruta que se tiene almacenada en el equipo de cómputo.</t>
  </si>
  <si>
    <t>Selecciona archivo .txt almacenado en el equipo de cómputo.</t>
  </si>
  <si>
    <r>
      <t xml:space="preserve">•	En caso de que la conexión presente intermitencia, el sistema deberá de esperar a que la red mejore conforme la (RNA028), Se   muestra el (MSG003) </t>
    </r>
    <r>
      <rPr>
        <b/>
        <sz val="10"/>
        <rFont val="Noto Sans"/>
        <family val="2"/>
      </rPr>
      <t>Existe intermitencia en la red, espere por favor.</t>
    </r>
  </si>
  <si>
    <r>
      <t>•	En caso de que la nomenclatura no sea correcta muestra el (MSG001)</t>
    </r>
    <r>
      <rPr>
        <b/>
        <sz val="10"/>
        <rFont val="Noto Sans"/>
        <family val="2"/>
      </rPr>
      <t>La nomenclatura del título del archivo es incorrecta. Favor de validar.</t>
    </r>
    <r>
      <rPr>
        <sz val="10"/>
        <rFont val="Noto Sans"/>
        <family val="2"/>
        <charset val="1"/>
      </rPr>
      <t xml:space="preserve"> e inhabilita el botón “Verificar”.</t>
    </r>
  </si>
  <si>
    <r>
      <t xml:space="preserve">•	En caso de que no exista conexión con internet muestra el (MSG004) </t>
    </r>
    <r>
      <rPr>
        <b/>
        <sz val="10"/>
        <rFont val="Noto Sans"/>
        <family val="2"/>
      </rPr>
      <t>Red no disponible, compruebe la red e inténtelo nuevamente.</t>
    </r>
    <r>
      <rPr>
        <sz val="10"/>
        <rFont val="Noto Sans"/>
        <family val="2"/>
        <charset val="1"/>
      </rPr>
      <t xml:space="preserve"> e inhabilita el botón “Verificar” </t>
    </r>
  </si>
  <si>
    <t>Selecciona el boton "Verificar"</t>
  </si>
  <si>
    <r>
      <t xml:space="preserve">En caso de que la validación es correcta y no existen archivos con la misma nomenclatura del archivo .txt adjunto, se habilita el botón “Verificar” y muestra el (MSG002) </t>
    </r>
    <r>
      <rPr>
        <b/>
        <sz val="10"/>
        <rFont val="Noto Sans"/>
        <family val="2"/>
      </rPr>
      <t>El archivo se puede transferir al sistema para ejecutar las validaciones correspondientes.</t>
    </r>
  </si>
  <si>
    <r>
      <t xml:space="preserve">•	En caso de que exista alguna línea en blanco, muestra el mensaje de error (MSG007) </t>
    </r>
    <r>
      <rPr>
        <b/>
        <sz val="10"/>
        <rFont val="Noto Sans"/>
        <family val="2"/>
      </rPr>
      <t xml:space="preserve">El archivo tiene líneas en blanco. Favor de validar </t>
    </r>
    <r>
      <rPr>
        <sz val="10"/>
        <rFont val="Noto Sans"/>
        <family val="2"/>
        <charset val="1"/>
      </rPr>
      <t>y marca el error en la “Lista de verificación del insumo de información”</t>
    </r>
  </si>
  <si>
    <t>Selecciona el boton "Aceptar"</t>
  </si>
  <si>
    <r>
      <t xml:space="preserve">El sistema inicia la transferencia del insumo, mostrando el porcentaje de transferencia en una barra de progreso, así como el tamaño en megabyte del archivo y el nombre del archivo conforme las (RNA026, RNA027)
En caso de que la transferencia sea exitosa el sistema muestra el (MSG006) </t>
    </r>
    <r>
      <rPr>
        <b/>
        <sz val="10"/>
        <rFont val="Noto Sans"/>
        <family val="2"/>
      </rPr>
      <t>Transferencia realizada con éxito.</t>
    </r>
  </si>
  <si>
    <t xml:space="preserve">El sistema identifica los registros que son correctos para cargarse en el aplicativo y descarta los registros con errores. 
•	Identifica el total de registros del insumo 
•	Identifica el total de registros leídos de forma correcta
•	Identifica el total de registros leídos sin errores
•	Identifica el total de registros leídos con errores
 (pantalla 10).
Muestra las siguientes opciones:
•	Iniciar Cancelación
•	Descargar errores (inhabilitado)
</t>
  </si>
  <si>
    <t>Selecciona “Iniciar Cancelación”</t>
  </si>
  <si>
    <t xml:space="preserve">1.	El sistema muestra las siguientes opciones de acuerdo con la (Pantalla 15). Con las opciones 
e.firma
•	Certificado (.cer)
•	Clave Privada (.key)
•	Contraseña de Clave Privada
•	RFC
        Opción: 
•	Botón Firmar
•	Botón Limpiar
•	Botón Regresar
</t>
  </si>
  <si>
    <t>El empleado SAT ingresa los archivos de CSD SAT</t>
  </si>
  <si>
    <r>
      <t xml:space="preserve">El sistema muestra el (MSG009) </t>
    </r>
    <r>
      <rPr>
        <b/>
        <sz val="10"/>
        <rFont val="Noto Sans"/>
        <family val="2"/>
      </rPr>
      <t>La cancelación masiva se ha concretado con éxito.</t>
    </r>
    <r>
      <rPr>
        <sz val="10"/>
        <rFont val="Noto Sans"/>
        <family val="2"/>
        <charset val="1"/>
      </rPr>
      <t xml:space="preserve"> con la opción “Aceptar” </t>
    </r>
  </si>
  <si>
    <r>
      <t xml:space="preserve">Selecciona </t>
    </r>
    <r>
      <rPr>
        <b/>
        <sz val="10"/>
        <color rgb="FF000000"/>
        <rFont val="Montserrat"/>
      </rPr>
      <t>“Aceptar”</t>
    </r>
  </si>
  <si>
    <t xml:space="preserve">El sistema permite descargar el acuse que envía el sistema de cancelación </t>
  </si>
  <si>
    <t>Selecciona la opción “Acuse”</t>
  </si>
  <si>
    <t>Muestra el resultado de los comprobantes cancelados.
26a. El sistema permite realizar la consulta de los comprobantes cancelados en ConsultaFacGeneradasValidaReexpide.
Con las siguientes opciones:
•	Acuse
•	Exportar .csv
•	Salir</t>
  </si>
  <si>
    <t>El sistema identifica los registros que son correctos para cargarse en el aplicativo y descarta los registros con errores. 
•	En caso de que el sistema identifique que existen registros con errores en las validaciones de “línea en blanco”, el sistema descartará dichos registros y cargará solo los registros que fueron leídos correctamente, así mismo el sistema realizará lo siguiente:
•	Identifica el total de registros del insumo 
•	Identifica el total de registros leídos de forma correcta
•	Identifica el total de registros leídos sin errores
•	Identifica el total de registros leídos con errores
 (pantalla 10).
Muestra las siguientes opciones:
•	Iniciar Cancelación
•	Descargar errores
•	En caso de seleccionar “Descargar errores”,</t>
  </si>
  <si>
    <t>Selecciona “Descargar errores”</t>
  </si>
  <si>
    <t>El sistema permite descargar un archivo .txt conforme la (RNA019).</t>
  </si>
  <si>
    <t>Selecciona la opción “Exportar .csv”</t>
  </si>
  <si>
    <t>El sistema permite descargar en archivo .csv con el resultado de la cancelación masiva.</t>
  </si>
  <si>
    <t>El sistema valida la comunicación con el servicio de cancelación
•	En caso de que no exista comunicación con el servicio de cancelación, muestra el (MSG008).</t>
  </si>
  <si>
    <t>CP57</t>
  </si>
  <si>
    <t>CP58</t>
  </si>
  <si>
    <t>CP59</t>
  </si>
  <si>
    <t>El empleado SAT ingresa al módulo de “Reporte estadístico”</t>
  </si>
  <si>
    <t>1.	El Flujo Alterno Inicia cuando el sistema muestra la pantalla Reporte estadístico. 
Encabezado: 
•	Fecha
•	Título de la sección
Opciones:
•	DPA
•	Cerrar sesión
•	Usuario
•	Reporte Estadístico
Sección de consulta:
•	Fecha de inicio*
•	Fecha de fin *
Opción:
•	Buscar
•	Limpiar</t>
  </si>
  <si>
    <t>Selecciona los criterios de consulta y selecciona la opción “Buscar”.</t>
  </si>
  <si>
    <t>El sistema muestra la pantalla de resultados generales.
•	Resultados de la consulta 
•	Fecha de inicio
•	Fecha de fin
Sección de resultado de reporte general:
•	Total de XML Generados
•	CFDI Timbrados 
•	XML con incidencia 
Tabla de insumos procesados con las siguientes columnas:
•	Nombre del insumo 
•	Total de XML Generados con hipervínculo de detalle
•	CFDI Timbrados con hipervínculo de detalle
•	XML con incidencia con hipervínculo de detalle
Opción:
•	Descargar CSV
•	Regresar
•	Paginador (RNA069)</t>
  </si>
  <si>
    <t xml:space="preserve">Selecciona “Descargar CSV”. </t>
  </si>
  <si>
    <t>El sistema realiza la descarga de los resultados generales en CSV</t>
  </si>
  <si>
    <t>CP60</t>
  </si>
  <si>
    <t>CP61</t>
  </si>
  <si>
    <r>
      <t xml:space="preserve">•	En caso de que no se haya ingresado un periodo, muestra el (MSG001) </t>
    </r>
    <r>
      <rPr>
        <b/>
        <sz val="10"/>
        <rFont val="Noto Sans"/>
        <family val="2"/>
      </rPr>
      <t>No ha ingresado un periodo. Favor de verificar.</t>
    </r>
    <r>
      <rPr>
        <sz val="10"/>
        <rFont val="Noto Sans"/>
        <family val="2"/>
        <charset val="1"/>
      </rPr>
      <t xml:space="preserve">.
•	En caso de no ingresar fecha de inicio o fecha de fin, muestra el (MSG002) </t>
    </r>
    <r>
      <rPr>
        <b/>
        <sz val="10"/>
        <rFont val="Noto Sans"/>
        <family val="2"/>
      </rPr>
      <t>Campos obligatorios</t>
    </r>
    <r>
      <rPr>
        <sz val="10"/>
        <rFont val="Noto Sans"/>
        <family val="2"/>
        <charset val="1"/>
      </rPr>
      <t xml:space="preserve">, en el campo no ingresado
•	En caso de no existir ningún resultado en el periodo seleccionado, muestra el (MSG003) </t>
    </r>
    <r>
      <rPr>
        <b/>
        <sz val="10"/>
        <rFont val="Noto Sans"/>
        <family val="2"/>
      </rPr>
      <t>No existen resultados</t>
    </r>
    <r>
      <rPr>
        <sz val="10"/>
        <rFont val="Noto Sans"/>
        <family val="2"/>
        <charset val="1"/>
      </rPr>
      <t xml:space="preserve">
•	En caso de ingresar un periodo mayor al permitido, muestra el (MSG004) </t>
    </r>
    <r>
      <rPr>
        <b/>
        <sz val="10"/>
        <rFont val="Noto Sans"/>
        <family val="2"/>
      </rPr>
      <t>El periodo no puede ser mayor a 6 meses</t>
    </r>
  </si>
  <si>
    <t>El empleado SAT selecciona el hipervínculo del resultado de la columna “Total de XML Generados”.</t>
  </si>
  <si>
    <t>El sistema válida que el empleado SAT tenga el rol DPA y muestra los resultados generales
Encabezado: 
•	Fecha
•	Título de la sección
Opciones:
•	DPA
•	Cerrar sesión
Resultados de la consulta
Fecha de inicio
Fecha de fin
Total de XML Generados:
Nombre del insumo
Mostrar registros
Paginador
Tabla de resultados de XML Generados:
•	Folio Fiscal
•	RFC
•	Nombre XML
•	Fecha de timbrado
•	Estatus
•	Descripción del error
Opciones:
•	Descargar CSV
•	Regresar.</t>
  </si>
  <si>
    <t>El empleado SAT selecciona la opción “Descargar CSV”.</t>
  </si>
  <si>
    <t>El sistema realiza la descarga de la información del detalle del Total de XML Generados.</t>
  </si>
  <si>
    <t>•	En caso de visualizar diferentes registros utilizando el paginador, continúa en el paso 3.</t>
  </si>
  <si>
    <t>CP62</t>
  </si>
  <si>
    <t>CP63</t>
  </si>
  <si>
    <t>El Empleado SAT selecciona el hipervínculo del resultado de la columna “CFDI Timbrados”.</t>
  </si>
  <si>
    <t>El sistema válida que el empleado SAT tenga el rol DPA y muestra los resultados generales
Encabezado: 
•	Fecha
•	Título de la sección
Opciones:
•	DPA
•	DTA
•	Cerrar sesión
Resultados de la consulta
Fecha de inicio
Fecha de fin
CFDI Timbrados
Nombre del insumo
Mostrar registros
Paginador
Tabla con la siguiente estructura:
•	Folio Fiscal
•	RFC
•	Nombre de XML
•	Fecha de timbrado
•	Estatus.
Opciones:
•	Descargar CSV
•	Regresar.</t>
  </si>
  <si>
    <t>CP64</t>
  </si>
  <si>
    <t>el empleado SAT selecciona el hipervínculo del resultado de la columna “XML con incidencia”.</t>
  </si>
  <si>
    <t>El sistema válida que el empleado SAT tenga el rol DPA y muestra los resultados generales
Encabezado: 
•	Fecha
•	Título de la sección
Opciones:
•	DPA
•	Cerrar sesión
Resultados de la consulta
Fecha de inicio
Fecha de fin
XML con incidencia
Nombre del insumo
Mostrar registros
Paginador
Tabla con la siguiente estructura:
•	Folio Fiscal. (sin datos)
•	RFC
•	Nombre de XML 
•	Fecha de timbrado (sin datos)
•	Estatus
•	Descripción del error
Opciones:
•	Descargar CSV
•	Regresar.</t>
  </si>
  <si>
    <t>CP65</t>
  </si>
  <si>
    <t>Empleado SAT selecciona “Mostrar Registros</t>
  </si>
  <si>
    <t xml:space="preserve">Selecciona alguna de las opciones para “Mostrar Registros” </t>
  </si>
  <si>
    <t>El sistema muestra el número de registros dependiendo de la selección del empleado SAT y actualiza el número de páginas del control “Paginador” conforme la (RNA069)
Opciones:
•	Número de página
•	Anterior
•	Siguiente
•	Inicio 
•	Final</t>
  </si>
  <si>
    <t>Selecciona alguna de las opciones del control “Paginador”
•	Número de página
•	Anterior
•	Siguiente
•	Inicio 
•	Final</t>
  </si>
  <si>
    <t>El sistema muestra el contenido de la página seleccionada en la tabla de pantalla</t>
  </si>
  <si>
    <t>CP66</t>
  </si>
  <si>
    <t>CP67</t>
  </si>
  <si>
    <t>e.5cinco/GenerarFacturasElectronicas</t>
  </si>
  <si>
    <t xml:space="preserve">El usuario da clic en el opcion "Generación de Facturas electrónicas DPA e.5cinco" </t>
  </si>
  <si>
    <t>CP68</t>
  </si>
  <si>
    <t>El sistema válida y muestra el nombre y el tamaño del archivo .zip adjuntado:
Sección: Transferir insumo de información para Facturación Electrónica DPA e.5cinco:
•	Campo: Archivo ZIP (.txt).
•Nombre del insumo 
•Tamaño del archivo
      Opción:
•	Botón “Examinar” 
•	Botón “Transferir” (habilitado)
•	Botón “Cancelar”.</t>
  </si>
  <si>
    <t>CP69</t>
  </si>
  <si>
    <t>El sistema muestra las siguientes opciones:
Encabezado:
•	Fecha
•	Título de la sección
Opciones:
•	DPA
•	Cerrar sesión.
Semáforo (Todos en color gris):
(RNA002)
•	Transferir insumo
•	Verificar insumo
•	Carga de insumo
•	Generación XML
•	Enviar a Timbrado</t>
  </si>
  <si>
    <t>CP70</t>
  </si>
  <si>
    <t>CP71</t>
  </si>
  <si>
    <t>Se muestra el menú principal DPA con las siguientes opciones:
• Encabezado
• Fecha actual del día
• Título del módulo en el que se encuentra
• Mensaje: “Bienvenido (Nombre del usuario que accedió al aplicativo).
• Cerrar sesión.
• Generación de Facturas electrónicas DPA Línea de captura
• Generación de Facturas electrónicas DPA e.5cinco</t>
  </si>
  <si>
    <t xml:space="preserve">El usuario da clic en la opción "Generación de Facturas electrónicas DPA Línea De captura" </t>
  </si>
  <si>
    <t>El usuario da clic en la opción "Generación de Facturas electrónicas" del menu principal</t>
  </si>
  <si>
    <r>
      <t xml:space="preserve">Sección: Proceso de Transferencia del insumo de información DPA Línea de captura
•El sistema muestra el mensaje:  Transferencia realizada con éxito 
•Se muestra una ventana emergente con el mensaje:
</t>
    </r>
    <r>
      <rPr>
        <b/>
        <sz val="10"/>
        <rFont val="Noto Sans"/>
        <family val="2"/>
      </rPr>
      <t xml:space="preserve">¿Desea continuar con el proceso de verificación del insumo? </t>
    </r>
    <r>
      <rPr>
        <sz val="10"/>
        <rFont val="Noto Sans"/>
        <family val="2"/>
        <charset val="1"/>
      </rPr>
      <t xml:space="preserve">
Estimado usuario, puede retomar el proceso en el módulo de “Consultar Información de Proceso” y con las opciones “Sí” y “No” (Pantalla 09).</t>
    </r>
  </si>
  <si>
    <t>Si la transferencia es correcta, el sistema asigna el estado “Terminado” y lo representa en color verde en el semáforo correspondiente a “Transferir insumo” del proceso de verificación del archivo conforme la (RNA002).</t>
  </si>
  <si>
    <t>CP72</t>
  </si>
  <si>
    <t>CP73</t>
  </si>
  <si>
    <t>CP74</t>
  </si>
  <si>
    <t>CP75</t>
  </si>
  <si>
    <t>CP76</t>
  </si>
  <si>
    <t>CP77</t>
  </si>
  <si>
    <t>CP78</t>
  </si>
  <si>
    <t>CP79</t>
  </si>
  <si>
    <t>CP80</t>
  </si>
  <si>
    <t>/e.5cinco/GenerarXML</t>
  </si>
  <si>
    <t>/e.5cinco/CargaInsumo/MsgError</t>
  </si>
  <si>
    <t>/e.5cinco/CargaInsumo/FechasDiferentes</t>
  </si>
  <si>
    <t>/e.5cinco/CargaInsumo/DescargarPagosExcluidos</t>
  </si>
  <si>
    <t>/e.5cinco/CargaInsumoCorrecto/DescargarErrores</t>
  </si>
  <si>
    <t>CP81</t>
  </si>
  <si>
    <t>/e.5cinco/Consulta_Modificacion_de_Pagos</t>
  </si>
  <si>
    <t xml:space="preserve">Empleado SAT da clic en el opcion "Generación de Facturas electrónicas DPA e.5cinco" </t>
  </si>
  <si>
    <t>El sistema muestra los datos ingresados o corregidos (Pantalla 04).
Factura compuesta de:
•	Acciones. Checkbox de selección
•	RFC del pago con campo habilitado para editar conforme la (RNA077).
•	Nombre del pago con campo habilitado para editar conforme la (RNA077).
•	Régimen Fiscal con campo habilitado para editar conforme la (RNA077).
•	Código Postal con campo habilitado para editar conforme la (RNA077).
•	Fecha pago (Campo no editable).
•	Hora pago (Campo no editable).
•	No. de operación (Campo no editable).
•	No. de transacción (Campo no editable).
•	Llave (Campo no editable).
•	Monto (Campo no editable).
Opciones:
•	Editar
•	Guardar 
•	Generar Factura (inhabilitado)
•	Regresar.</t>
  </si>
  <si>
    <t>CP82</t>
  </si>
  <si>
    <t>e.5cinco/Consulta_Modificacion_de_Pagos/Buscar/VerDetalle</t>
  </si>
  <si>
    <t>CP83</t>
  </si>
  <si>
    <t>e.5cinco/Consulta_Modificacion_de_Pagos/Buscar/Paginador</t>
  </si>
  <si>
    <t>CP84</t>
  </si>
  <si>
    <t>CP85</t>
  </si>
  <si>
    <t>/e.5cinco/Consultar_Informacion_de_Proceso_de_Facturas_Electronicas/Busqueda/Paginador</t>
  </si>
  <si>
    <t>CP86</t>
  </si>
  <si>
    <t>/e.5cinco/Consultar_Informacion_de_Proceso_de_Facturas_Electronicas/Busqueda/Filtrado</t>
  </si>
  <si>
    <t>CP87</t>
  </si>
  <si>
    <t>CP88</t>
  </si>
  <si>
    <t>/e.5cinco/Consultar_Informacion_de_Proceso_de_Facturas_Electronicas/Busqueda/ControlPrioridad</t>
  </si>
  <si>
    <t>CP89</t>
  </si>
  <si>
    <t>/e.5cinco/Consultar_Informacion_de_Proceso_de_Facturas_Electronicas/DetalleTransferirInsumo</t>
  </si>
  <si>
    <t>El sistema muestra la pantalla Consultar Información del Proceso de Generación de Facturas.
Encabezado:
•	Fecha
•	Título de la Pantalla
•	DPA
•	Cerrar sesión
Sección de datos del Empleado SAT:
•	Usuario
•	Rol del Empleado SAT
•	Título del módulo
•	Guía de Estados
Criterios de búsqueda
•	Seleccionar Periodo *
•	Proceso (opcional)
•	Estado (opcional)
Opciones:
•	Buscar
•	Limpiar
•	Actualizar
Los campos marcados con asterisco son obligatorios.</t>
  </si>
  <si>
    <t>1.	El sistema muestra la pantalla “Detalle de transferencia, para DPA e.5cinco” 
Encabezado:
•	Fecha
•	Título de la Pantalla
•	DPA
•	Cerrar sesión
Apartado de información del proceso seleccionado: 
Título de la pantalla
“Proceso de transferencia del insumo de información (proceso según corresponda)”.
Mensaje
Transferencia realizada con éxito
“El proceso de transferencia del insumo de información (proceso según corresponda) ha finalizado”.
Datos del insumo
•	Nombre del insumo
•	Tamaño del archivo
Opciones:
•	Verificar insumo (permitirá ejecutar el proceso de verificación del insumo)
•	Regresar.</t>
  </si>
  <si>
    <t>/e.5cinco/Consultar_Informacion_de_Proceso_de_Facturas_Electronicas/DetalleVerificarInsumo</t>
  </si>
  <si>
    <t>CP90</t>
  </si>
  <si>
    <t>El sistema muestra la pantalla “Detalle de verificar insumo para DPA e.5cinco” conforme las validaciones realizadas en el (21_3091_ECU_Verificar_Insumo).
Encabezado:
•	Fecha
•	Título de la Pantalla
•	DPA
•	DTA
•	Cerrar sesión
Lista de verificación del insumo de información:
•	Archivo .zip (todas las validaciones exitosas)
•	Archivo .txt. (todas las validaciones exitosas)
•	Nombre del insumo:
•	Tamaño del archivo:
•	Total de registros leídos 
•	Total de registros leídos sin errores:
•	Total de registros leídos con errores:
Opciones:
•	Descargar errores (botón inhabilitado)
•	Regresar
•	Iniciar carga</t>
  </si>
  <si>
    <t>CP91</t>
  </si>
  <si>
    <t>CP92</t>
  </si>
  <si>
    <t>3.	Muestra la pantalla “Detalle de carga de insumo para DPA e.5cinco” 
Encabezado:
•	Fecha
•	Título de la Pantalla
•	DPA
•	DTA
•	Cerrar sesión
Pantalla 
Título de la pantalla:
Proceso de carga del insumo de información (proceso según corresponda).
Lista de verificación de la carga del insumo de información al aplicativo:
•	Archivo .txt. (todas las validaciones exitosas)
•	Nombre del insumo:
•	Tamaño del archivo:
•	Total de registros leídos:
•	Total de registros leídos sin errores:
•	Total de registros leídos con errores:
•	Dependencias excluidas: (no aplica para DTA)
Opciones:
•	Descargar errores (inhabilitada)
•	Descargar pagos excluidos (No aplica para DTA)
•	Generar XML
•	Regresar.</t>
  </si>
  <si>
    <t>CP93</t>
  </si>
  <si>
    <t>El sistema muestra el detalle de los errores en el proceso de verificación del insumo, para “DPA e.5cinco” 
Lista de verificación del insumo de información
Opciones: 
Validación con error
•	Nombre del insumo
•	Tamaño del archivo
•	Total de registros leídos
•	Total de registros leídos sin errores
•	Total de registros leídos con errores
•	Registros excluidos con importe 0 (solo aplica para DPA e.5cinco)
•	Dependencias excluidas (no aplica para DTA)
Botones:
•	Descargar errores 
•	Descargar pagos excluidos
•	Generar XML
•	Regresar</t>
  </si>
  <si>
    <t>CP94</t>
  </si>
  <si>
    <t>/e.5cinco/Consultar_Informacion_de_Proceso_de_Facturas_Electronicas/DetalleGenerarXML</t>
  </si>
  <si>
    <t>CP95</t>
  </si>
  <si>
    <t>El sistema muestra la pantalla “Detalle de Timbrado, para DPA e.5cinco”
Encabezado:
•	Fecha
•	Título de la Pantalla
•	DPA
•	DTA
•	Cerrar sesión
Pantalla emergente:
“El proceso de Timbrado ha finalizado”
•	Nombre del insumo:
•	Total de CFDI timbrados:
•	Total de CFDI con incidencia:
•	Fecha de inicio del proceso:
•	Fecha fin del proceso:
Opciones:
•	Descargar .xlsx
•	Descargar .txt
•	Regresar
Enlaces:
•	Descargar lista de resultados de Timbrado
•	Descargar XML Timbrados</t>
  </si>
  <si>
    <t>/e.5cinco/Consultar_Informacion_de_Proceso_de_Facturas_Electronicas/ModificadasOReexpedidas</t>
  </si>
  <si>
    <t>CP96</t>
  </si>
  <si>
    <t>CP97</t>
  </si>
  <si>
    <t xml:space="preserve">Empleado SAT selecciona el estado de “Modificada” y el Tipo de insumo “DPA e.5cinco” </t>
  </si>
  <si>
    <t>CP98</t>
  </si>
  <si>
    <t>Empleado SAT selecciona el estado de “Modificada” y el Tipo de insumo “DPA e.5cinco” 
Posteriormente da clic en "Buscar"</t>
  </si>
  <si>
    <t>CP99</t>
  </si>
  <si>
    <t>Empleado SAT selecciona el estado de “Reexpedida” y el Tipo de insumo “DPA e.5cinco” 
Posteriormente da clic en "Buscar"</t>
  </si>
  <si>
    <t>El sistema muestra la pantalla con el resultado de búsqueda.
Encabezado:
•	Fecha
•	Título de la Pantalla
•	DPA
•	DTA
•	Cerrar sesión
Dato de registro modificado
•	Folio Fiscal (con campo para filtrar)
•	RFC Receptor
•	Nombre o Razón Social del Receptor
•	Forma de pago
•	Número de operación (con campo para filtrar)
•	Fecha Timbrado
•	Monto
•	Estatus
•	Fecha Cancelación
PROCESOS
•	Generar XML
•	Opción Ver detalle  
•	Timbrado
•	Fecha/Hora de último movimiento
•	Nombre de usuario</t>
  </si>
  <si>
    <t>El sistema muestra la pantalla con el resultado de búsqueda.
Encabezado:
•	Fecha
•	Título de la Pantalla
•	DPA
•	Cerrar sesión
Dato de registro modificado
•	Folio Fiscal (con campo para filtrar)
•	RFC Receptor
•	Nombre o Razón Social del Receptor
•	Forma de pago
•	Número de operación (con campo para filtrar)
•	Fecha Timbrado
•	Monto
•	Estatus
•	Fecha Cancelación
PROCESOS
•	Generar XML
•	Opción Ver detalle  
•	Timbrado
•	Fecha/Hora de último movimiento
•	Nombre de usuario</t>
  </si>
  <si>
    <t>El Empleado SAT selecciona “Sí”</t>
  </si>
  <si>
    <t>CP100</t>
  </si>
  <si>
    <t>CP101</t>
  </si>
  <si>
    <t>CP102</t>
  </si>
  <si>
    <t>El sistema muestra la pantalla con las siguientes opciones:
Encabezado:
•	Fecha
•	Título de pantalla
Opciones:
•	DPA
•	Cerrar sesión.
Consultar Facturas 
•	Folio Fiscal (RNA074)
•	Número de Operación
•	Búsqueda por Insumo
•	RFC Receptor (RNA001)
•	Fecha de inicio*
•	Fecha de fin*
•	Estatus
Botones 
•	Buscar (Inhabilitado)  
•	Limpiar</t>
  </si>
  <si>
    <t>Previamnete el empleado SAT se autentico y selecciono la opcion DPA e.5cinco
El usuario puede optar por las siguientes opciones:
•	Folio Fiscal
•	Número de operación
•	Búsqueda por insumo
•	RFC Receptor
•	Fecha de inicio
•	Fecha de fin
•	Estatus</t>
  </si>
  <si>
    <t>CP110</t>
  </si>
  <si>
    <t>CP103</t>
  </si>
  <si>
    <t>CP104</t>
  </si>
  <si>
    <t>CP105</t>
  </si>
  <si>
    <t>/e.5cinco/ConsultarFacturas/BusquedaInsumo/Exportar .csv</t>
  </si>
  <si>
    <t>CP106</t>
  </si>
  <si>
    <t>/e.5cinco/ConsultarFacturas/BusquedaInsumo/Acuse</t>
  </si>
  <si>
    <t>CP107</t>
  </si>
  <si>
    <t>CP108</t>
  </si>
  <si>
    <t>/e.5cinco/ConsultarFacturas/Busqueda/BotonDetalle</t>
  </si>
  <si>
    <t>CP109</t>
  </si>
  <si>
    <t>/e.5cinco/ConsultarFacturas/Busqueda/BotonAcuse</t>
  </si>
  <si>
    <t>CP111</t>
  </si>
  <si>
    <t>/e.5cinco/ConsultarFacturas/Busqueda/CancelacionFactura</t>
  </si>
  <si>
    <t>CP112</t>
  </si>
  <si>
    <t>/e.5cinco/ConsultarFacturas/Busqueda/CancelacionFactura/MsgsError</t>
  </si>
  <si>
    <t>CP113</t>
  </si>
  <si>
    <t xml:space="preserve">El sistema valida la opción seleccionada:
•	En caso de que el usuario seleccione vigente el sistema muestra todos los resultados con estatus “Vigente”.
•	En caso de que el usuario seleccione Cancelada el sistema muestra todos los resultados con estatus “Cancelada”.
•	En caso de que no seleccione un estatus en específico y realice la consulta, el sistema mostrará los resultados con estatus “Vigente” y “Cancelada”.
</t>
  </si>
  <si>
    <t>/e.5cinco/ConsultarFacturas/BusquedaFolioFiscal/Reexpedir</t>
  </si>
  <si>
    <t>/e.5cinco/ConsultarFacturas/BusquedaRFCEmisor/Reexpedir</t>
  </si>
  <si>
    <t>/LineaCaptura/ConsultarFacturas/BusquedaFolioFiscal/Reexpedir</t>
  </si>
  <si>
    <t>/LineaCaptura/ConsultarFacturas/BusquedaNumeroDeOperacion/Reexpedir</t>
  </si>
  <si>
    <t>/LineaCaptura/ConsultarFacturas/BusquedaRFCEmisor/Reexpedir</t>
  </si>
  <si>
    <t>/LineaCaptura/ConsultarFacturas/BusquedaInsumo/Exportar .csv</t>
  </si>
  <si>
    <t>El empleado SAT llena los datos de busqueda</t>
  </si>
  <si>
    <t>/LineaCaptura/ConsultarFacturas/BusquedaInsumo/Acuse</t>
  </si>
  <si>
    <t>/LineaCaptura/ConsultarFacturas/BusquedaEstatus</t>
  </si>
  <si>
    <t>/LineaCaptura/ConsultarFacturas/Busqueda/BotonDetalle</t>
  </si>
  <si>
    <t>/LineaCaptura/ConsultarFacturas/Busqueda/BotonAcuse</t>
  </si>
  <si>
    <t>/LineaCaptura/ConsultarFacturas/Busqueda/MsgsError</t>
  </si>
  <si>
    <t>/LineaCaptura/ConsultarFacturas/Busqueda/CancelacionFactura</t>
  </si>
  <si>
    <t>/LineaCaptura/ConsultarMovimientos/Buscar/ExportarCsv</t>
  </si>
  <si>
    <t>/LineaCaptura/ConsultarMovimientos/Busqueda/Filtro</t>
  </si>
  <si>
    <t>/LineaCaptura/ConsultarMovimientos/Busqueda/Detalle</t>
  </si>
  <si>
    <t>/LineaCaptura/ConsultarMovimientos/Busqueda/Paginador</t>
  </si>
  <si>
    <t>/LineaCaptura/CancelacionMasivas/DescargarErrores</t>
  </si>
  <si>
    <t>/LineaCaptura/CancelacionMasivas/ExportarCsv</t>
  </si>
  <si>
    <t>/LineaCaptura/CancelacionMasivas/MsgsError</t>
  </si>
  <si>
    <t xml:space="preserve">/LineaCaptura/ReportesEstadisticos/CSV </t>
  </si>
  <si>
    <t>/LineaCaptura/ReportesEstadisticos/Total de XML Generados</t>
  </si>
  <si>
    <t>/LineaCaptura/ReportesEstadisticos/CFDI Timbrados</t>
  </si>
  <si>
    <t>/LineaCaptura/ReportesEstadisticos/XML con incidencia</t>
  </si>
  <si>
    <t>/LineaCaptura/ReportesEstadisticos/Busqueda/Paginador</t>
  </si>
  <si>
    <t>/e.5cinco/ConsultarMovimientos/Buscar/ExportarCsv</t>
  </si>
  <si>
    <t>CP114</t>
  </si>
  <si>
    <t>/e.5cinco/ConsultarMovimientos/Busqueda/Filtro</t>
  </si>
  <si>
    <t>Previamnete el empleado SAT se autentico y selecciono la opcion DPA e.5cinco</t>
  </si>
  <si>
    <t>Previamente el empleado SAT se autentico y selecciono la opcion DPA e.5cinco</t>
  </si>
  <si>
    <t>CP115</t>
  </si>
  <si>
    <t>CP116</t>
  </si>
  <si>
    <t>/e.5cinco/ConsultarMovimientos/Busqueda/Paginador</t>
  </si>
  <si>
    <t>CP117</t>
  </si>
  <si>
    <t>/LineaCaptura/Consultar_Informacion_de_Proceso_de_Facturas_Electronicas/DetalleTimbrado</t>
  </si>
  <si>
    <t>/LineaCaptura/Consultar_Informacion_de_Proceso_de_Facturas_Electronicas/DetalleRegistroReexpedido/Timbrado</t>
  </si>
  <si>
    <t xml:space="preserve">El sistema valida la opción seleccionada:
•	En caso de que el Empleado SAT seleccione la opción “Descargar errores”, el sistema permite descargar un archivo .txt con los detalles de los registros con errores conforme la (RNA020).
</t>
  </si>
  <si>
    <t>/e.5cinco/Consultar_Informacion_de_Proceso_de_Facturas_Electronicas/DetalleRegistroReexpedido/Timbrado</t>
  </si>
  <si>
    <t>CP118</t>
  </si>
  <si>
    <t>CP119</t>
  </si>
  <si>
    <t>/e.5cinco/CancelacionMasivas/ExportarCsv</t>
  </si>
  <si>
    <t>CP120</t>
  </si>
  <si>
    <t>/e.5cinco/CancelacionMasivas/MsgsError</t>
  </si>
  <si>
    <t>CP121</t>
  </si>
  <si>
    <t xml:space="preserve">/e.5cinco/ReportesEstadisticos/CSV </t>
  </si>
  <si>
    <t>CP122</t>
  </si>
  <si>
    <t>El Flujo Alterno Inicia cuando el sistema muestra la pantalla Reporte estadístico. 
Encabezado: 
•	Fecha
•	Título de la sección
Opciones:
•	DPA
•	Cerrar sesión
•	Usuario
•	Reporte Estadístico
Sección de consulta:
•	Fecha de inicio*
•	Fecha de fin *
Opción:
•	Buscar
•	Limpiar</t>
  </si>
  <si>
    <t>CP123</t>
  </si>
  <si>
    <t>/e.5cinco/ReportesEstadisticos/Total de XML Generados</t>
  </si>
  <si>
    <t>CP124</t>
  </si>
  <si>
    <t>/e.5cinco/ReportesEstadisticos/CFDI Timbrados</t>
  </si>
  <si>
    <t>CP125</t>
  </si>
  <si>
    <t>/e.5cinco/ReportesEstadisticos/XML con incidencia</t>
  </si>
  <si>
    <t>CP126</t>
  </si>
  <si>
    <t>/LineaCaptura/VerificarInsumo/ChecklistError</t>
  </si>
  <si>
    <t>El Empleado SAT selecciona la opcion:
•	Descargar Errores</t>
  </si>
  <si>
    <t>/LineaCaptura/Consultar_Informacion_de_Proceso_de_Facturas_Electronicas/DetalleVerificarInsumo/DescargarErrores</t>
  </si>
  <si>
    <t>/LineaCaptura/TransferirInsumo/ListadoMsgsError</t>
  </si>
  <si>
    <r>
      <rPr>
        <sz val="10"/>
        <rFont val="Noto Sans"/>
        <family val="2"/>
      </rPr>
      <t>En caso de que la nomenclatu-ra no sea correcta muestra el mensaje: MSG001 
Se inhabilita el botón “Transferir"
En caso de que se haya cargado un archivo con extensión .zip con el mismo nombre, el sistema muestra el mensaje: MSG002
Se inhabilita el botón “Transferir"</t>
    </r>
    <r>
      <rPr>
        <b/>
        <sz val="10"/>
        <rFont val="Noto Sans"/>
        <family val="2"/>
      </rPr>
      <t xml:space="preserve">
Los mensajes de error se encuentran en el CP09</t>
    </r>
  </si>
  <si>
    <r>
      <t xml:space="preserve">En caso de que la nomenclatu-ra no sea correcta muestra el mensaje MSG001: </t>
    </r>
    <r>
      <rPr>
        <b/>
        <sz val="10"/>
        <rFont val="Noto Sans"/>
        <family val="2"/>
      </rPr>
      <t>La nomenclatura del título del archivo es incorrecta. Favor de validar</t>
    </r>
    <r>
      <rPr>
        <sz val="10"/>
        <rFont val="Noto Sans"/>
        <family val="2"/>
        <charset val="1"/>
      </rPr>
      <t xml:space="preserve"> 
Se inhabilita el botón “Transferir"</t>
    </r>
  </si>
  <si>
    <r>
      <t xml:space="preserve">En caso de que se haya cargado un archivo con extensión .zip con el mismo nombre, el sistema muestra el mensaje MSG002: </t>
    </r>
    <r>
      <rPr>
        <b/>
        <sz val="10"/>
        <rFont val="Noto Sans"/>
        <family val="2"/>
      </rPr>
      <t>El nombre del archivo ya existe en el sistema. Favor de validar.</t>
    </r>
    <r>
      <rPr>
        <sz val="10"/>
        <rFont val="Noto Sans"/>
        <family val="2"/>
        <charset val="1"/>
      </rPr>
      <t xml:space="preserve">
Se inhabilita el botón “Transferir"</t>
    </r>
  </si>
  <si>
    <r>
      <rPr>
        <sz val="10"/>
        <rFont val="Noto Sans"/>
        <family val="2"/>
      </rPr>
      <t xml:space="preserve">En caso de que la conexión presente intermitencia, el sis-tema deberá de esperar a que la red mejore conforme la (RNA028) y se muestra el mensaje: MSG006.
En caso de que se pierde en su totalidad la conexión con la red conforme la (RNA029), muestra el mensaje : MSG007
</t>
    </r>
    <r>
      <rPr>
        <b/>
        <sz val="10"/>
        <rFont val="Noto Sans"/>
        <family val="2"/>
      </rPr>
      <t xml:space="preserve">
Los mensajes de error se encuentran en el CP09</t>
    </r>
  </si>
  <si>
    <r>
      <t>En caso de que la conexión presente intermitencia, el sis-tema deberá de esperar a que la red mejore conforme la (RNA028) y se muestra el mensaje MSG006:</t>
    </r>
    <r>
      <rPr>
        <b/>
        <sz val="10"/>
        <rFont val="Noto Sans"/>
        <family val="2"/>
      </rPr>
      <t xml:space="preserve"> Existe intermitencia en la red, espere por favor.</t>
    </r>
  </si>
  <si>
    <r>
      <t>En caso de que se pierde en su totalidad la conexión con la red conforme la (RNA029), muestra el mensaje MSG007:</t>
    </r>
    <r>
      <rPr>
        <b/>
        <sz val="10"/>
        <rFont val="Noto Sans"/>
        <family val="2"/>
      </rPr>
      <t xml:space="preserve"> Red no disponible, compruebe la red e inténtelo nuevamente.</t>
    </r>
  </si>
  <si>
    <t xml:space="preserve">
Habilita el botón ”Descargar errores” y permite descargar un archivo .txt con los detalles de los registros con errores conforme la (RNA020).
En caso de que en el proceso de validaciones no sea posible leer ningún registro, los botones “Iniciar cargar” y “Descargar errores” se inhabilitan, teniendo que seleccionar el Botón “Cerrar”, cerrando la ventana de lista de verificación e intentando nuevamente.</t>
  </si>
  <si>
    <t>Seccion: Proceso de Transferencia del insumo de informacion DPA Linea de captura
•El sistema muestra el mensaje:  Transferencia realizada con éxito 
•Se muestra una ventana emergente con el mensaje:
¿Desea continuar con el proceso de verificación del insumo? 
Estimado usuario, puede retomar el proceso en el módulo de “Consultar Información de Proceso” y con las opciones “Sí” y “No” (Pantalla 09).</t>
  </si>
  <si>
    <t>/LineaCaptura/VerificarInsumo/Checklist/MsgsError</t>
  </si>
  <si>
    <t>/LineaCaptura/VerificarInsumo/Checklist/DescargarErrores</t>
  </si>
  <si>
    <t>/LineaCaptura/VerificarInsumo/ListadoMsgsError</t>
  </si>
  <si>
    <t>Viene del CP13 y en el paso 2</t>
  </si>
  <si>
    <t>/LineaCaptura/CargaInsumo</t>
  </si>
  <si>
    <t>/LineaCaptura/VerificarInsumo/Checklist</t>
  </si>
  <si>
    <t xml:space="preserve">Válida que el certificado, la clave privada o la contraseña de clave privada sean correctos y estén relacionados entre sí
</t>
  </si>
  <si>
    <t xml:space="preserve">El sistema muestra el proceso de la carga completada, muestra “Lista de verificación de la carga del insumo de información al aplicativo”. (Pantalla 06).
 Sección: Proceso de Carga del Insumo de Información.
Semáforo:
•	Transferir insumo
•	Verificar insumo
•	Carga de insumo
•	Generación XML
•	Enviar a Timbrado
Proceso de Carga (avance %)
Avance de carga
Lista de verificación de la carga del insumo de información al aplicativo
Mensaje: No se encontraron errores
Todas validaciones exitosas
        Opciones:
•	Generar XML 
•	Descargar errores (inhabilitado)
•	Fechas diferentes (inhabilitado)
•	Descargar Pagos Excluidos </t>
  </si>
  <si>
    <t xml:space="preserve">Válida que el certificado, la clave privada o la contraseña de clave privada sean correctos y estén relacionados entre sí
</t>
  </si>
  <si>
    <t>Válida que el certificado, la clave privada o la contraseña de clave privada sean correctos y estén relacionados entre sí
El sistema asigna el estado “En proceso” y asigna el color amarillo en el semáforo correspondiente a “Carga de insumo” del proceso de verificación de carga de información del insumo (RNA002).
El sistema asigna el estado “Terminado” y asigna el color verde en el semáforo correspondiente a “Carga de insumo” del proceso de verificación de carga de información del insumo (RNA002).</t>
  </si>
  <si>
    <t>/LineaCaptura/CargaInsumo/MsgsError</t>
  </si>
  <si>
    <t>Viene del CP19 y del paso 4</t>
  </si>
  <si>
    <t>/LineaCaptura/Consultar_Informacion_de_Proceso_de_Facturas_Electronicas/DetalleVerificarInsumo/MsgsError</t>
  </si>
  <si>
    <t>/LineaCaptura/Consulta_Modificacion_de_Pagos/ListadoMsgsError</t>
  </si>
  <si>
    <t>/LineaCaptura/Consulta_Modificacion_de_Pagos/MsgsError</t>
  </si>
  <si>
    <t>•	En caso de que el registro guardado pertenezca a datos agrupados, los datos modificados se verán reflejados en todos los registros</t>
  </si>
  <si>
    <t>•	En caso de que exista un registro que ya haya sido modificado previamente, se mostrará el ícono de detalle  en la columna “Acciones”</t>
  </si>
  <si>
    <t>Viene del CP23 paso 4</t>
  </si>
  <si>
    <t>Viene del CP23 paso 8</t>
  </si>
  <si>
    <t xml:space="preserve">
El sistema muestra el detalle de los errores en el proceso de verificación del insumo, para “DPA línea de captura”
Lista de verificación del insumo de información
Opciones: 
•	Iniciar carga
•	Descargar errores
•	Regresar</t>
  </si>
  <si>
    <t>/LineaCaptura/Consultar_Informacion_de_Proceso_de_Facturas_Electronicas/DetalleCargaInsumo/DescargarErrores</t>
  </si>
  <si>
    <t>/LineaCaptura/Consultar_Informacion_de_Proceso_de_Facturas_Electronicas/DetalleCargaInsumo/DescargarPagosExcluidos</t>
  </si>
  <si>
    <t>/LineaCaptura/Consultar_Informacion_de_Proceso_de_Facturas_Electronicas/DetalleCargaInsumo/MsgsError</t>
  </si>
  <si>
    <t xml:space="preserve">El Empleado SAT selecciona la opcion:
•	Descargar errores
</t>
  </si>
  <si>
    <t xml:space="preserve">•	En caso de que el Empleado SAT seleccione la opción “Descargar errores”, el sistema permite descargar un archivo .txt con los detalles de los registros con errores conforme la (RNA020).
</t>
  </si>
  <si>
    <t xml:space="preserve">El Empleado SAT selecciona la opcion:
•	Descargar pagos excluidos 
</t>
  </si>
  <si>
    <t xml:space="preserve">El sistema valida la opción seleccionada:
•	En caso de que el Empleado SAT seleccione “Descargar pagos excluidos”, el sistema permite descargar archivo .txt con detalle de las líneas de registro que se guardan en el sistema, pero de los cuales no se van a generar archivos XML conforme las (RNA045) para los casos de “DPA e.5cinco”, (RNA043) para “DPA Línea de Captura” y la (RNA058) para su identificación y modificación.
</t>
  </si>
  <si>
    <t xml:space="preserve">•	En caso de que el proceso sea de “Carga de y tiene un estado “En proceso”, el sistema identifica el porcentaje de avance (Pantalla 21) con la opción “Regresar”.
</t>
  </si>
  <si>
    <t>•	En caso de que el Empleado SAT seleccione un valor de "Proceso", el sistema ajustará los parámetros de búsqueda para limitar los resultados específicamente al proceso seleccionado.</t>
  </si>
  <si>
    <t>/LineaCaptura/Consultar_Informacion_de_Proceso_de_Facturas_Electronicas/DetalleGenerarXML/Descargar.xlsx</t>
  </si>
  <si>
    <t xml:space="preserve">El Empleado SAT selecciona la opcion:
•	Descargar .xlsx
</t>
  </si>
  <si>
    <t>El sistema permite descargar el archivo seleccionado en la extensión definida en el paso 6 y permitirá descargar los archivos dentro de un comprimido con extensión .zip conforme la (RNA071) (RNA090).</t>
  </si>
  <si>
    <t>/LineaCaptura/Consultar_Informacion_de_Proceso_de_Facturas_Electronicas/DetalleGenerarXML/Descargar.txt</t>
  </si>
  <si>
    <t xml:space="preserve">El Empleado SAT selecciona la opcion:
•	Descargar .txt 
</t>
  </si>
  <si>
    <r>
      <t xml:space="preserve">El sistema valida la opción seleccionada:
•	Descargar .xlsx
•	</t>
    </r>
    <r>
      <rPr>
        <b/>
        <sz val="10"/>
        <color rgb="FF000000"/>
        <rFont val="Montserrat"/>
      </rPr>
      <t>Descargar .txt</t>
    </r>
  </si>
  <si>
    <r>
      <t xml:space="preserve">El sistema valida la opción seleccionada y se muestra seleccionada:
</t>
    </r>
    <r>
      <rPr>
        <b/>
        <sz val="10"/>
        <color rgb="FF000000"/>
        <rFont val="Montserrat"/>
      </rPr>
      <t>•	Descargar .xlsx</t>
    </r>
    <r>
      <rPr>
        <sz val="10"/>
        <color rgb="FF000000"/>
        <rFont val="Montserrat"/>
      </rPr>
      <t xml:space="preserve">
•	Descargar .txt</t>
    </r>
  </si>
  <si>
    <t>•	El Empleado SAT selecciona una vez cada opcion para visualizar su funcionamiento:
•	Descargar incidencias
•	Archivos de control
•	Descargar XML
•	RFC Genérico</t>
  </si>
  <si>
    <t>•	El Empleado SAT selecciona una vez cada opcion para visualizar su funcionamiento de descarga:
•	Descargar incidencias
•	Archivos de control
•	Descargar XML
•	RFC Genérico</t>
  </si>
  <si>
    <t>/LineaCaptura/Consultar_Informacion_de_Proceso_de_Facturas_Electronicas/DetalleTimbrado/Descargar.xlsx</t>
  </si>
  <si>
    <t>/LineaCaptura/Consultar_Informacion_de_Proceso_de_Facturas_Electronicas/DetalleTimbrado/Descargar.txt</t>
  </si>
  <si>
    <t>Selecciona ambas opciones para visualizar el funcionamiento de la descarga:
•	Descargar lista de resultados de Timbrado 
•	Descargar XML Timbrados</t>
  </si>
  <si>
    <t>El Empleado SAT selecciona “Regresar” y continúa en el paso 4</t>
  </si>
  <si>
    <t>El sistema valida que se hayan ingresado los criterios de búsqueda.</t>
  </si>
  <si>
    <t>•	El Empleado SAT selecciona una vez cada opcion para visualizar el funcionamiento:
•	Descargar incidencias
•	Archivos de control
•	Descargar XML
•	RFC Genérico</t>
  </si>
  <si>
    <r>
      <t xml:space="preserve">El Empleado SAT selecciona cualquiera de las siguientes opciones:
•	</t>
    </r>
    <r>
      <rPr>
        <b/>
        <sz val="10"/>
        <rFont val="Noto Sans"/>
        <family val="2"/>
      </rPr>
      <t>Descargar .xlsx</t>
    </r>
    <r>
      <rPr>
        <sz val="10"/>
        <rFont val="Noto Sans"/>
        <family val="2"/>
        <charset val="1"/>
      </rPr>
      <t xml:space="preserve">
•	Descargar .txt</t>
    </r>
  </si>
  <si>
    <r>
      <t xml:space="preserve">El sistema valida la opción seleccionada:
•	</t>
    </r>
    <r>
      <rPr>
        <b/>
        <sz val="10"/>
        <rFont val="Noto Sans"/>
        <family val="2"/>
      </rPr>
      <t>Descargar .xlsx</t>
    </r>
    <r>
      <rPr>
        <sz val="10"/>
        <rFont val="Noto Sans"/>
        <family val="2"/>
        <charset val="1"/>
      </rPr>
      <t xml:space="preserve">
•	Descargar .txt</t>
    </r>
  </si>
  <si>
    <r>
      <t xml:space="preserve">El Empleado SAT selecciona cualquiera de las siguientes opciones:
•	Descargar .xlsx
•	</t>
    </r>
    <r>
      <rPr>
        <b/>
        <sz val="10"/>
        <rFont val="Noto Sans"/>
        <family val="2"/>
      </rPr>
      <t>Descargar .txt</t>
    </r>
  </si>
  <si>
    <r>
      <t xml:space="preserve">El sistema valida la opción seleccionada:
•	Descargar .xlsx
•	</t>
    </r>
    <r>
      <rPr>
        <b/>
        <sz val="10"/>
        <rFont val="Noto Sans"/>
        <family val="2"/>
      </rPr>
      <t>Descargar .txt</t>
    </r>
  </si>
  <si>
    <t>•	El Empleado SAT selecciona una vez cada opcion para visualizar el funcionamiento de cada descarga:
•	Descargar incidencias
•	Archivos de control
•	Descargar XML
•	RFC Genérico</t>
  </si>
  <si>
    <t>/LineaCaptura/Consultar_Informacion_de_Proceso_de_Facturas_Electronicas/RegistroModificado/DetalleGeneracionXML</t>
  </si>
  <si>
    <r>
      <t xml:space="preserve">El Empleado SAT selecciona cualquiera de las siguientes opciones:
</t>
    </r>
    <r>
      <rPr>
        <b/>
        <sz val="10"/>
        <rFont val="Noto Sans"/>
        <family val="2"/>
      </rPr>
      <t xml:space="preserve">•	Descargar .xlsx
</t>
    </r>
    <r>
      <rPr>
        <sz val="10"/>
        <rFont val="Noto Sans"/>
        <family val="2"/>
        <charset val="1"/>
      </rPr>
      <t>•	Descargar .txt</t>
    </r>
  </si>
  <si>
    <t>Selecciona ambas opciones para visualizar el funcionamiento de ambos botones
•	Descargar lista de resultados de Timbrado 
•	Descargar XML Timbrados</t>
  </si>
  <si>
    <r>
      <t xml:space="preserve">El Empleado SAT selecciona cualquiera de las siguientes opciones:
</t>
    </r>
    <r>
      <rPr>
        <sz val="10"/>
        <rFont val="Noto Sans"/>
        <family val="2"/>
      </rPr>
      <t xml:space="preserve">•	Descargar .xlsx
</t>
    </r>
    <r>
      <rPr>
        <b/>
        <sz val="10"/>
        <rFont val="Noto Sans"/>
        <family val="2"/>
      </rPr>
      <t>•	Descargar .txt</t>
    </r>
  </si>
  <si>
    <r>
      <t xml:space="preserve">El sistema valida la opción seleccionada:
•	Descargar .xlsx
</t>
    </r>
    <r>
      <rPr>
        <b/>
        <sz val="10"/>
        <rFont val="Noto Sans"/>
        <family val="2"/>
      </rPr>
      <t>•	Descargar .txt</t>
    </r>
  </si>
  <si>
    <t>/LineaCaptura/Consultar_Informacion_de_Proceso_de_Facturas_Electronicas/RegistroModificado/DetalleGeneracionXML/Descargar.xlsx</t>
  </si>
  <si>
    <t>/LineaCaptura/Consultar_Informacion_de_Proceso_de_Facturas_Electronicas/RegistroModificado/DetalleGeneracionXML/Descargar.txt</t>
  </si>
  <si>
    <t>/LineaCaptura/Consultar_Informacion_de_Proceso_de_Facturas_Electronicas/RegistroModificado/DetalleTimbrado/Descargar.xlsx</t>
  </si>
  <si>
    <t>/LineaCaptura/Consultar_Informacion_de_Proceso_de_Facturas_Electronicas/RegistroModificado/DetalleTimbrado/Descargar.txt</t>
  </si>
  <si>
    <t>/LineaCaptura/Consultar_Informacion_de_Proceso_de_Facturas_Electronicas/RegistroReexpedido/DetalleGeneracionXML</t>
  </si>
  <si>
    <t>/LineaCaptura/Consultar_Informacion_de_Proceso_de_Facturas_Electronicas/RegistroReexpedido/DetalleGeneracionXML/Descargar.xlsx</t>
  </si>
  <si>
    <t>/LineaCaptura/Consultar_Informacion_de_Proceso_de_Facturas_Electronicas/RegistroReexpedido/DetalleGeneracionXML/Descargar.txt</t>
  </si>
  <si>
    <r>
      <t xml:space="preserve">El sistema valida la opción seleccionada:
•	</t>
    </r>
    <r>
      <rPr>
        <b/>
        <sz val="10"/>
        <rFont val="Noto Sans"/>
        <family val="2"/>
      </rPr>
      <t xml:space="preserve">Descargar .xlsx
</t>
    </r>
    <r>
      <rPr>
        <sz val="10"/>
        <rFont val="Noto Sans"/>
        <family val="2"/>
        <charset val="1"/>
      </rPr>
      <t>•	Descargar .txt</t>
    </r>
  </si>
  <si>
    <t>•	El Empleado SAT selecciona una vez cada opcion para visualizar el funcionamiento de cada boton
•	Descargar incidencias
•	Archivos de control
•	Descargar XML
•	RFC Genérico</t>
  </si>
  <si>
    <t>El sistema permite descargar el archivo seleccionado en la extensión definida en el paso 4 y permitirá descargar los archivos dentro de un comprimido con extensión .zip conforme la (RNA071) (RNA090).</t>
  </si>
  <si>
    <t xml:space="preserve">El Empleado SAT selecciona la opción “Ver detalle”  </t>
  </si>
  <si>
    <t>El Empleado SAT selecciona la opción “Ver detalle”</t>
  </si>
  <si>
    <t xml:space="preserve">El Empleado SAT selecciona la opción “Ver detalle” </t>
  </si>
  <si>
    <r>
      <t>El sistema valida la opción seleccionada:
•	Descargar .xlsx
•</t>
    </r>
    <r>
      <rPr>
        <b/>
        <sz val="10"/>
        <rFont val="Noto Sans"/>
        <family val="2"/>
      </rPr>
      <t xml:space="preserve">	Descargar .txt</t>
    </r>
  </si>
  <si>
    <t>/LineaCaptura/Consultar_Informacion_de_Proceso_de_Facturas_Electronicas/RegistroReexpedido/DetalleTimbrado/Descargar.xlsx</t>
  </si>
  <si>
    <t>/LineaCaptura/Consultar_Informacion_de_Proceso_de_Facturas_Electronicas/RegistroReexpedido/DetalleTimbrado/Descargar.txt</t>
  </si>
  <si>
    <t>/LineaCaptura/Consultar_Informacion_de_Proceso_de_Facturas_Electronicas/ListadoMsgsError</t>
  </si>
  <si>
    <t>Viene del CP27 paso 4</t>
  </si>
  <si>
    <t>/LineaCaptura/Consultar_Informacion_de_Proceso_de_Facturas_Electronicas/Busqueda/MsgsError</t>
  </si>
  <si>
    <t xml:space="preserve">•	En caso de que el Empleado SAT seleccione un valor de "Proceso", el sistema ajustará los parámetros de búsqueda para limitar los resultados específicamente al proceso seleccionado.
</t>
  </si>
  <si>
    <t>/LineaCaptura/Consultar_Informacion_de_Proceso_de_Facturas_Electronicas/DetalleGenerarXML/MsgsError</t>
  </si>
  <si>
    <t>/LineaCaptura/Consultar_Informacion_de_Proceso_de_Facturas_Electronicas/DetalleTimbrado/MsgsError</t>
  </si>
  <si>
    <t>Viene del CP40 paso 5</t>
  </si>
  <si>
    <t>/LineaCaptura/ConsultarFacturas/BusquedaRFCEmisor/MsgsError</t>
  </si>
  <si>
    <t>/LineaCaptura/ConsultarFacturas/BusquedaFolioFiscal/MsgsError</t>
  </si>
  <si>
    <r>
      <t xml:space="preserve">Si el folio fiscal no cumple con las características mostrará el (MSG002) con la opción “Aceptar”
</t>
    </r>
    <r>
      <rPr>
        <b/>
        <sz val="10"/>
        <rFont val="Noto Sans"/>
        <family val="2"/>
      </rPr>
      <t>El mensaje de error se encuentra en el CP70</t>
    </r>
  </si>
  <si>
    <r>
      <t xml:space="preserve">Si el RFC ingresado no cuenta con las características necesaria para la validación el sistema mostrará (MSG003) con la opción “Aceptar”
Si la fecha ingresada es incorrecta mostrará (MSG004) con la opción “Aceptar”
</t>
    </r>
    <r>
      <rPr>
        <b/>
        <sz val="10"/>
        <rFont val="Noto Sans"/>
        <family val="2"/>
      </rPr>
      <t>El mensaje de error se encuentra en el CP70</t>
    </r>
  </si>
  <si>
    <t>Viene del CP61 paso 3</t>
  </si>
  <si>
    <t>Viene del CP64 paso 3</t>
  </si>
  <si>
    <t>/LineaCaptura/ConsultarFacturas/Busqueda/CancelacionFactura/MsgsError</t>
  </si>
  <si>
    <t xml:space="preserve">El sistema valida que el número de folio pertenezca a un folio emitido por el sistema y continúa en el paso 16 del presente flujo
</t>
  </si>
  <si>
    <r>
      <t xml:space="preserve">•	En caso de identificar que el número de folio no pertenece al sistema, muestra el (MSG003) </t>
    </r>
    <r>
      <rPr>
        <b/>
        <sz val="10"/>
        <color theme="1"/>
        <rFont val="Noto Sans"/>
        <family val="2"/>
      </rPr>
      <t>No es posible cancelar la factura. La factura no fue generada por este sistema.</t>
    </r>
    <r>
      <rPr>
        <sz val="10"/>
        <color theme="1"/>
        <rFont val="Noto Sans"/>
        <family val="2"/>
      </rPr>
      <t xml:space="preserve">
•	En caso de que no exista comunicación con el servicio de cancelación, muestra el (MSG004) </t>
    </r>
    <r>
      <rPr>
        <b/>
        <sz val="10"/>
        <color theme="1"/>
        <rFont val="Noto Sans"/>
        <family val="2"/>
      </rPr>
      <t>No hay comunicación con el servicio de cancelación. Favor de intentar más tarde.</t>
    </r>
  </si>
  <si>
    <t>El usuario previamente se autenticó</t>
  </si>
  <si>
    <t>Se muestra el menú principal con el rol de Administrador DTA-DPA con las siguientes opciones:
• Encabezado
• Fecha actual del día
• Título del módulo en el que se encuentra
• Mensaje: “Bienvenido (Nombre del usuario que accedió al aplicativo).
• Cerrar sesión.
• Generación de Facturas electrónicas DPA Línea de captura
• Generación de Facturas electrónicas DPA e.5cinco
• Generación de Facturas electrónicas por concepto de Derechos de Tramite Aduanero DTA</t>
  </si>
  <si>
    <t>Empleado se auntenticó previamente</t>
  </si>
  <si>
    <t>Empleado SAT ingresa al Portal</t>
  </si>
  <si>
    <t>/LineaCaptura/ConsultarMovimientos/Buscar/MsgsError</t>
  </si>
  <si>
    <t>/LineaCaptura/CancelacionMasivas</t>
  </si>
  <si>
    <r>
      <t xml:space="preserve">El sistema muestra, con las siguientes opciones
Encabezado:
•	Fecha
•	Título de la sección
Opciones:
•	</t>
    </r>
    <r>
      <rPr>
        <b/>
        <sz val="10"/>
        <rFont val="Noto Sans"/>
        <family val="2"/>
      </rPr>
      <t>DPA (según corresponda el rol)</t>
    </r>
    <r>
      <rPr>
        <sz val="10"/>
        <rFont val="Noto Sans"/>
        <family val="2"/>
        <charset val="1"/>
      </rPr>
      <t xml:space="preserve">
•	DTA (según corresponda el rol)
•	Cerrar sesión.
Carga de archivo para cancelar facturas 
•	Examinar 
•	Verificar (inhabilitado)
•	Cancelar</t>
    </r>
  </si>
  <si>
    <t xml:space="preserve">El sistema inicia la verificación del insumo en la “Lista de verificación del insumo de información” (checklist) “Archivo .txt” sobre el archivo .txt transferido  
El sistema identifica los registros que son correctos para cargarse en el aplicativo y descarta los registros con errores. 
•	Identifica el total de registros del insumo 
•	Identifica el total de registros leídos de forma correcta
•	Identifica el total de registros leídos sin errores
•	Identifica el total de registros leídos con errores
 (pantalla 10).
Muestra las siguientes opciones:
•	Iniciar Cancelación
•	Descargar errores (inhabilitado)
</t>
  </si>
  <si>
    <t xml:space="preserve">El sistema muestra las siguientes opciones de acuerdo con la (Pantalla 15). Con las opciones 
e.firma
•	Certificado (.cer)
•	Clave Privada (.key)
•	Contraseña de Clave Privada
•	RFC
        Opción: 
•	Botón Firmar
•	Botón Limpiar
•	Botón Regresar
</t>
  </si>
  <si>
    <r>
      <t xml:space="preserve">El sistema inicia la transferencia del insumo, mostrando el porcentaje de transferencia en una barra de progreso, así como el tamaño en megabyte del archivo y el nombre del archivo conforme las (RNA026, RNA027)
En caso de que la transferencia sea exitosa el sistema muestra el (MSG006) </t>
    </r>
    <r>
      <rPr>
        <b/>
        <sz val="10"/>
        <rFont val="Noto Sans"/>
        <family val="2"/>
      </rPr>
      <t xml:space="preserve">Transferencia realizada con éxito.
</t>
    </r>
    <r>
      <rPr>
        <sz val="10"/>
        <rFont val="Noto Sans"/>
        <family val="2"/>
      </rPr>
      <t>Opcion: 
•	Aceptar</t>
    </r>
  </si>
  <si>
    <t xml:space="preserve">Valida el tamaño del archivo y que el nombre del archivo .txt cumpla con la nomenclatura (pantalla 02) conforme la (RNA084).
•	Si la validación es correcta y no existen archivos con la misma nomenclatura del archivo .txt adjunto, se habilita el botón “Verificar” </t>
  </si>
  <si>
    <t>/LineaCaptura/CancelacionMasivas/ListadoMsgsError</t>
  </si>
  <si>
    <t>Viene del CP80 en el paso 5</t>
  </si>
  <si>
    <t>Viene del CP80 en el paso 4</t>
  </si>
  <si>
    <r>
      <t>•	En caso de que el nombre del insumo sea igual a uno cargado previamente, impide la carga y muestra el (MSG010)</t>
    </r>
    <r>
      <rPr>
        <b/>
        <sz val="10"/>
        <rFont val="Noto Sans"/>
        <family val="2"/>
      </rPr>
      <t xml:space="preserve"> El nombre del insumo ya existe en el sistema. Favor de validar.</t>
    </r>
  </si>
  <si>
    <t>Selecciona el boton "Verificar" y visualizar los mensajes de error</t>
  </si>
  <si>
    <r>
      <rPr>
        <sz val="10"/>
        <rFont val="Noto Sans"/>
        <family val="2"/>
      </rPr>
      <t xml:space="preserve">•	En caso de que la conexión presente intermitencia, el sistema deberá de esperar a que la red mejore conforme la (RNA028), Se   muestra el (MSG003)
•	En caso de que se pierda en su totalidad la conexión con la red conforme la (RNA029), se   muestra el (MSG004) y elimina el archivo que no fue posible transferir correctamente
•	En caso de que exista alguna línea en blanco, muestra el mensaje de error (MSG007)
</t>
    </r>
    <r>
      <rPr>
        <b/>
        <sz val="10"/>
        <rFont val="Noto Sans"/>
        <family val="2"/>
      </rPr>
      <t xml:space="preserve">
Los mensajes de error se encuentran en el CP82</t>
    </r>
  </si>
  <si>
    <r>
      <rPr>
        <sz val="10"/>
        <rFont val="Noto Sans"/>
        <family val="2"/>
      </rPr>
      <t>•	En caso de que la nomenclatura no sea correcta muestra el (MSG001) e inhabilita el botón “Verificar”.
•	En caso de que no exista conexión con internet muestra el (MSG004) e inhabilita el botón “Verificar”
•	En caso de que el nombre del insumo sea igual a uno cargado previamente, impide la carga y muestra el (MSG010).</t>
    </r>
    <r>
      <rPr>
        <b/>
        <sz val="10"/>
        <rFont val="Noto Sans"/>
        <family val="2"/>
      </rPr>
      <t xml:space="preserve">
Los mensajes de error se encuentran en el CP82</t>
    </r>
  </si>
  <si>
    <r>
      <t xml:space="preserve">•	En caso de que no exista comunicación con el servicio de cancelación, muestra el (MSG008) </t>
    </r>
    <r>
      <rPr>
        <b/>
        <sz val="10"/>
        <rFont val="Noto Sans"/>
        <family val="2"/>
      </rPr>
      <t>No hay comunicación con el servicio de cancelación. Favor de intentar más tarde</t>
    </r>
    <r>
      <rPr>
        <sz val="10"/>
        <rFont val="Noto Sans"/>
        <family val="2"/>
        <charset val="1"/>
      </rPr>
      <t>.</t>
    </r>
  </si>
  <si>
    <t>Viene del CP80 en el paso 9</t>
  </si>
  <si>
    <t>Los mensajes de error se encuentran en el CP82</t>
  </si>
  <si>
    <t>/LineaCaptura/ReportesEstadisticos/MsgsError</t>
  </si>
  <si>
    <t>Los mensajes de error se muestran en el CP14</t>
  </si>
  <si>
    <t>Seccion: Proceso de Transferencia del insumo de informacion DPA e.5cinco
•El sistema muestra el mensaje:  Transferencia realizada con éxito 
•Se muestra una ventana emergente con el mensaje:
¿Desea continuar con el proceso de verificación del insumo? 
Estimado usuario, puede retomar el proceso en el módulo de “Consultar Información de Proceso” y con las opciones “Sí” y “No” (Pantalla 09).</t>
  </si>
  <si>
    <t xml:space="preserve">Seccion: Proceso de Transferencia del insumo de informacion DPA e.5cinco
•Espere por favor mientras termina de transferir la información necesaria 
•El sistema inicia la transferencia del insumo al aplicativo, mostrando el porcentaje de transferencia en una barra de progreso, así como también el tamaño en megabytes y el nombre del archivo.
•Nombre del insumo:
•Tamaño del archvio
•Boton Cancelar
</t>
  </si>
  <si>
    <t xml:space="preserve">Seccion: Proceso de Transferencia del insumo de informacion DPA e.5cinco
•Espere por favor mientras termina de transferir la información necesaria 
•El sistema inicia la transferencia del insumo al aplicativo, mostrando el porcentaje de transferencia en una barra de progreso, así como también el tamaño en megabytes y el nombre del archivo.
•Nombre del insumo:
•Tamaño del archvio
•Boton Cancelar
Modal con mensaje : ¿Está seguro que desea cancelar el proceso de transferencia? 
•Boton Si
•Boton No
</t>
  </si>
  <si>
    <t>Pantalla emergente 
Seccion Proceso de generacion de XML DPA e.5cinco
-El proceso de generacion de XML del insumo: "MAT66_09_2024_1"
-Se ha iniciado correctamente, puede consultar el proceso en el modulo "Consultar Informacion de Proceso"</t>
  </si>
  <si>
    <t>/e.5cinco/TransferirInsumo/MsgsError</t>
  </si>
  <si>
    <t>/e.5cinco/TransferirInsumo/BotonCancelar</t>
  </si>
  <si>
    <t>/e.5cinco/TransferirInsumo/ListadoMsgsError</t>
  </si>
  <si>
    <t>/e.5cinco/VerificarInsumo/Checklist</t>
  </si>
  <si>
    <t>/e.5cinco/VerificarInsumo/ChecklistError</t>
  </si>
  <si>
    <t>/e.5cinco/VerificarInsumo/Checklist/DescargarErrores</t>
  </si>
  <si>
    <t>/e.5cinco/VerificarInsumo/Checklist/MsgsError</t>
  </si>
  <si>
    <t>/e.5cinco/VerificarInsumo/ListadoMsgsError</t>
  </si>
  <si>
    <t>/e.5cinco/CargaInsumo</t>
  </si>
  <si>
    <t>/e.5cinco/CargaInsumo/MsgsError</t>
  </si>
  <si>
    <t>/e.5cinco/Consulta_Modificacion_de_Pagos/MsgsError</t>
  </si>
  <si>
    <t>/e.5cinco/Consulta_Modificacion_de_Pagos/ListadoMsgsError</t>
  </si>
  <si>
    <t>/e.5cinco/Consultar_Informacion_de_Proceso_de_Facturas_Electronicas/Busqueda/MsgsError</t>
  </si>
  <si>
    <t>/e.5cinco/Consultar_Informacion_de_Proceso_de_Facturas_Electronicas/DetalleVerificarInsumo/MsgsError</t>
  </si>
  <si>
    <t>/e.5cinco/Consultar_Informacion_de_Proceso_de_Facturas_Electronicas/DetalleVerificarInsumo/DescargarErrores</t>
  </si>
  <si>
    <t>/e.5cinco/Consultar_Informacion_de_Proceso_de_Facturas_Electronicas/DetalleCargaInsumo/MsgsError</t>
  </si>
  <si>
    <t>/e.5cinco/Consultar_Informacion_de_Proceso_de_Facturas_Electronicas/DetalleCargaInsumo/DescargarErrores</t>
  </si>
  <si>
    <t>/e.5cinco/Consultar_Informacion_de_Proceso_de_Facturas_Electronicas/DetalleCargaInsumo/DescargarPagosExcluidos</t>
  </si>
  <si>
    <t>/e.5cinco/Consultar_Informacion_de_Proceso_de_Facturas_Electronicas/DetalleGenerarXML/MsgsError</t>
  </si>
  <si>
    <t>/e.5cinco/Consultar_Informacion_de_Proceso_de_Facturas_Electronicas/DetalleGenerarXML/Descargar.xlsx</t>
  </si>
  <si>
    <t>/e.5cinco/Consultar_Informacion_de_Proceso_de_Facturas_Electronicas/DetalleGenerarXML/Descargar.txt</t>
  </si>
  <si>
    <t>/e.5cinco/Consultar_Informacion_de_Proceso_de_Facturas_Electronicas/DetalleTimbrado</t>
  </si>
  <si>
    <t>/e.5cinco/Consultar_Informacion_de_Proceso_de_Facturas_Electronicas/DetalleTimbrado/MsgsError</t>
  </si>
  <si>
    <t>/e.5cinco/Consultar_Informacion_de_Proceso_de_Facturas_Electronicas/DetalleTimbrado/Descargar.xlsx</t>
  </si>
  <si>
    <t>/e.5cinco/Consultar_Informacion_de_Proceso_de_Facturas_Electronicas/DetalleTimbrado/Descargar.txt</t>
  </si>
  <si>
    <t>/e.5cinco/Consultar_Informacion_de_Proceso_de_Facturas_Electronicas/RegistroModificado/DetalleGeneracionXML</t>
  </si>
  <si>
    <t>/e.5cinco/Consultar_Informacion_de_Proceso_de_Facturas_Electronicas/RegistroModificado/DetalleGeneracionXML/Descargar.xlsx</t>
  </si>
  <si>
    <t>/e.5cinco/Consultar_Informacion_de_Proceso_de_Facturas_Electronicas/RegistroModificado/DetalleGeneracionXML/Descargar.txt</t>
  </si>
  <si>
    <t>/e.5cinco/Consultar_Informacion_de_Proceso_de_Facturas_Electronicas/RegistroModificado/DetalleTimbrado/Descargar.xlsx</t>
  </si>
  <si>
    <t>/e.5cinco/Consultar_Informacion_de_Proceso_de_Facturas_Electronicas/RegistroModificado/DetalleTimbrado/Descargar.txt</t>
  </si>
  <si>
    <t>/e.5cinco/Consultar_Informacion_de_Proceso_de_Facturas_Electronicas/RegistroReexpedido/DetalleGeneracionXML</t>
  </si>
  <si>
    <t>/e.5cinco/Consultar_Informacion_de_Proceso_de_Facturas_Electronicas/RegistroReexpedido/DetalleGeneracionXML/Descargar.xlsx</t>
  </si>
  <si>
    <t>/e.5cinco/Consultar_Informacion_de_Proceso_de_Facturas_Electronicas/RegistroReexpedido/DetalleGeneracionXML/Descargar.txt</t>
  </si>
  <si>
    <t>/e.5cinco/Consultar_Informacion_de_Proceso_de_Facturas_Electronicas/RegistroReexpedido/DetalleTimbrado/Descargar.xlsx</t>
  </si>
  <si>
    <t>/e.5cinco/Consultar_Informacion_de_Proceso_de_Facturas_Electronicas/RegistroReexpedido/DetalleTimbrado/Descargar.txt</t>
  </si>
  <si>
    <t>/e.5cinco/Consultar_Informacion_de_Proceso_de_Facturas_Electronicas/ListadoMsgsError</t>
  </si>
  <si>
    <t>/e.5cinco/ConsultarFacturas/BusquedaFolioFiscal/MsgsError</t>
  </si>
  <si>
    <t>/e.5cinco/ConsultarFacturas/BusquedaNumeroDeOperacion/Reexpedir</t>
  </si>
  <si>
    <t>/e.5cinco/ConsultarFacturas/BusquedaRFCEmisor/MsgsError</t>
  </si>
  <si>
    <t>/e.5cinco/ConsultarFacturas/BusquedaEstatus</t>
  </si>
  <si>
    <t>/e.5cinco/ConsultarFacturas/Busqueda/MsgsError</t>
  </si>
  <si>
    <t>/e.5cinco/ConsultarMovimientos/Buscar/MsgsError</t>
  </si>
  <si>
    <t>/e.5cinco/ConsultarMovimientos/Busqueda/Detalle</t>
  </si>
  <si>
    <t>/e.5cinco/CancelacionMasivas</t>
  </si>
  <si>
    <t>/e.5cinco/CancelacionMasivas/DescargarErrores</t>
  </si>
  <si>
    <t>/e.5cinco/CancelacionMasivas/ListadoMsgsError</t>
  </si>
  <si>
    <t>/e.5cinco/ReportesEstadisticos/MsgsError</t>
  </si>
  <si>
    <t>/e.5cinco/ReportesEstadisticos/Busqueda/Paginador</t>
  </si>
  <si>
    <t>Da clic en "Generación de Facturas electrónicas DPA e.5cinco"</t>
  </si>
  <si>
    <t>Al seleccionar la opción “Generación de Facturas electrónicas DPA e.5cinco” o “Generación de Facturas electrónicas DPA e.5cinco” Se muestra la opción DPA, el cual despliega el Menú DPA, con las siguientes opciones:
•	Generar Facturas Electrónicas
•	Consulta y Modificación de Pago
•	Consultar Información de Proceso  
•	Consultar facturas 
•	Cancelación masiva de facturas
•	Reportes estadísticos.</t>
  </si>
  <si>
    <t xml:space="preserve">El usuario da clic en la opción "Generación de Facturas electrónicas DPA e.5cinco" </t>
  </si>
  <si>
    <t>El sistema muestra las siguientes opciones:
Encabezado:
•	Fecha
•	Título de la sección
Opciones:
•	DPA
•	Cerrar sesión.
Semáforo (Todos en color gris):
•	Transferir insumo
•	Verificar insumo
•	Carga de insumo
•	Generación XML
•	Enviar a Timbrado.
Sección: Transferir insumo de información para Facturación Electrónica DPA e.5cinco
•	Campo: Archivo ZIP (.txt).
      Opción:
•	Botón “Examinar” 
•	Botón “Transferir” (Inhabilitado)
•	Botón “Cancelar”.</t>
  </si>
  <si>
    <t>El sistema permite descargar archivo .txt con detalle de las líneas de registro que se guardan en el sistema, pero de los cuales no se van a generar archivos xml conforme las reglas (RNA045) para los casos de DPA e.5cinco y (RNA043) para DPA e.5cinco y la (RNA058), para su identificación y modificación.</t>
  </si>
  <si>
    <t xml:space="preserve">
El sistema muestra el detalle de los errores en el proceso de verificación del insumo, para “DPA e.5cinco”
Lista de verificación del insumo de información
Opciones: 
•	Iniciar carga
•	Descargar errores
•	Regresar</t>
  </si>
  <si>
    <t xml:space="preserve">
El sistema muestra el detalle de los errores en el proceso de verificación del insumo, para “DPA e.5cinco”
Lista de verificación del insumo de información
Opciones: 
•	Iniciar carga
•	Descargar errores
•	Regresar
•	En caso de que en el proceso de validaciones no sea posible leer ningún registro, el botón “Iniciar carga” y “Descargar errores” se inhabilitan.
</t>
  </si>
  <si>
    <t xml:space="preserve">El sistema valida la opción seleccionada:
•	En caso de que el Empleado SAT seleccione “Descargar pagos excluidos”, el sistema permite descargar archivo .txt con detalle de las líneas de registro que se guardan en el sistema, pero de los cuales no se van a generar archivos XML conforme las (RNA045) para los casos de “DPA e.5cinco”, (RNA043) para “DPA e.5cinco” y la (RNA058) para su identificación y modificación.
</t>
  </si>
  <si>
    <t>Muestra la pantalla Detalle de “Generación XML”, para “DPA e.5cinco”
Encabezado:
•	Fecha
•	Título de la Pantalla
•	DPA
•	DTA
•	Cerrar sesión
Pantalla:
“El proceso de Generación de XML ha finalizado”
•	Nombre del insumo:
•	Total de XML generados:
•	Total de XML con incidencias:
Opciones:
•	Descargar .xlsx
•	Descargar .txt
•	Descargar incidencias
•	Archivos de control
•	Descargar XML
•	RFC Genérico
•	Regresar
•	Enviar a Timbrado.</t>
  </si>
  <si>
    <t>Se muestra el menú principal con el rol de Administrador DTA-DPA con las siguientes opciones:
• Encabezado
• Fecha actual del día
• Título del módulo en el que se encuentra
• Mensaje: “Bienvenido (Nombre del usuario que accedió al aplicativo).
• Cerrar sesión.
• Generación de Facturas electrónicas DPA e.5cinco
• Generación de Facturas electrónicas DPA e.5cinco
• Generación de Facturas electrónicas por concepto de Derechos de Tramite Aduanero DTA</t>
  </si>
  <si>
    <t>El sistema muestra las siguientes opciones: 
•	Generación de Facturas electrónicas DPA Línea de captura.
•	Generación de Facturas electrónicas DPA e.5cinco.</t>
  </si>
  <si>
    <t>El sistema muestra la confirmación de la modificación (Pantalla 05). 
Tabla compuesta de:
•	Acciones. Checkbox de selección
•	RFC del pago 
•	Nombre del pago 
•	Régimen Fiscal 
•	Código Postal 
•	Fecha pago 
•	Hora pago
•	No. de operación
•	No. de transacción
•	Llave
•	Monto.
Opciones: del mensaje emergente (MSG006):
•	Confirmar
•	Cancelar.
Opciones:
•	Editar
•	Guardar
•	Generar Factura (inhabilitado)
•	Regresar.</t>
  </si>
  <si>
    <r>
      <t xml:space="preserve">El sistema muestra la pantalla Resultados de la consulta, cambios guardados.
</t>
    </r>
    <r>
      <rPr>
        <b/>
        <sz val="10"/>
        <rFont val="Noto Sans"/>
        <family val="2"/>
      </rPr>
      <t>Los cambios han sido guardados con éxito (MSG011).</t>
    </r>
    <r>
      <rPr>
        <sz val="10"/>
        <rFont val="Noto Sans"/>
        <family val="2"/>
        <charset val="1"/>
      </rPr>
      <t xml:space="preserve">
Factura compuesta de:
•	Acciones. Checkbox de selección
•	RFC del pago 
•	Nombre del pago
•	Régimen Fiscal 
•	Código Postal 
•	Fecha pago 
•	Hora pago
•	No. de operación
•	No. de transacción
•	Llave
•	Monto.
Opciones:
•	Editar
•	Guardar  
•	Generar Factura
•	Regresar.</t>
    </r>
  </si>
  <si>
    <t>El sistema muestra la pantalla Resultados de la consulta, firmar para confirmar. (Pantalla 06).
 Cierra el mensaje y solicita ingresar la e.firma para firmar el movimiento.
•	Certificado (.cer): 
•	Botón Buscar 
•	Clave Privada (.key):
•	Botón Buscar 
•	Contraseña de clave privada:
•	RFC:
Opciones:
•	Firmar
•	Limpiar 
•	Regresar</t>
  </si>
  <si>
    <t>El sistema inicia el proceso de generación de XML CP21</t>
  </si>
  <si>
    <t>El sistema muestra las siguientes opciones: 
•	Generación de Facturas electrónicas Línea de captura.
•	Generación de Facturas electrónicas DPA e.5cinco.</t>
  </si>
  <si>
    <t>Para el rol administrador el sistema muestra las siguientes opciones:
Encabezado 
•	Fecha actual del día
•	Título del módulo en el que se encuentra
•	Opción DPA el cual despliega el Menú DPA con las siguientes opciones:
o	Generar Facturas Electrónicas
o	Consulta y Modificación de Pago
o	Consultar Información de proceso  
o	Consultar Facturas 
o	Consulta de Movimientos
o	Cancelación Masiva de Facturas
o	Reportes Estadísticos
•	Opción DTA
•	Cerrar sesión</t>
  </si>
  <si>
    <t>El sistema muestra las siguientes opciones:
Sección: Transferir insumo de información para Facturación Electrónica DPA e.5cinco
•	Campo: Archivo ZIP (.txt).
      Opción:
•	Botón “Examinar” 
(RNA003)
•	Botón “Transferir” (Inhabilitado)
•	Botón “Cancelar”.</t>
  </si>
  <si>
    <t>CP127</t>
  </si>
  <si>
    <t>CP128</t>
  </si>
  <si>
    <t>CP129</t>
  </si>
  <si>
    <t>CP130</t>
  </si>
  <si>
    <t>CP131</t>
  </si>
  <si>
    <t>CP132</t>
  </si>
  <si>
    <t>CP133</t>
  </si>
  <si>
    <t>CP134</t>
  </si>
  <si>
    <t>CP135</t>
  </si>
  <si>
    <t>CP136</t>
  </si>
  <si>
    <t>CP137</t>
  </si>
  <si>
    <t>CP138</t>
  </si>
  <si>
    <t>CP139</t>
  </si>
  <si>
    <t>CP140</t>
  </si>
  <si>
    <t>CP141</t>
  </si>
  <si>
    <t>CP142</t>
  </si>
  <si>
    <t>CP143</t>
  </si>
  <si>
    <t>CP144</t>
  </si>
  <si>
    <t>CP145</t>
  </si>
  <si>
    <t>CP146</t>
  </si>
  <si>
    <t>CP147</t>
  </si>
  <si>
    <t>CP148</t>
  </si>
  <si>
    <t>CP149</t>
  </si>
  <si>
    <t>CP150</t>
  </si>
  <si>
    <t>CP151</t>
  </si>
  <si>
    <t>CP152</t>
  </si>
  <si>
    <t>CP153</t>
  </si>
  <si>
    <t>CP154</t>
  </si>
  <si>
    <t>CP155</t>
  </si>
  <si>
    <t>CP156</t>
  </si>
  <si>
    <t>CP157</t>
  </si>
  <si>
    <t>CP158</t>
  </si>
  <si>
    <t>CP159</t>
  </si>
  <si>
    <t>CP160</t>
  </si>
  <si>
    <t>CP161</t>
  </si>
  <si>
    <t>CP162</t>
  </si>
  <si>
    <t>CP163</t>
  </si>
  <si>
    <t>CP164</t>
  </si>
  <si>
    <t>CP165</t>
  </si>
  <si>
    <t>CP166</t>
  </si>
  <si>
    <t>CP167</t>
  </si>
  <si>
    <t>CP168</t>
  </si>
  <si>
    <t>CP169</t>
  </si>
  <si>
    <t>CP170</t>
  </si>
  <si>
    <t>CP171</t>
  </si>
  <si>
    <t>CP172</t>
  </si>
  <si>
    <t>Muestra el resultado de los comprobantes cancelados.
El sistema permite realizar la consulta de los comprobantes cancelados en ConsultaFacGeneradasValidaReexpide.
Con las siguientes opciones:
•	Acuse
•	Exportar .csv
•	Salir</t>
  </si>
  <si>
    <r>
      <t xml:space="preserve">•	En caso de que el campo “Clave de la referencia de pago” tenga un dato distinto o esté vacío muestra el (MSG009) </t>
    </r>
    <r>
      <rPr>
        <b/>
        <sz val="10"/>
        <rFont val="Noto Sans"/>
        <family val="2"/>
      </rPr>
      <t>Campo clave referencia de pago incorrecto. Favor de validar.</t>
    </r>
  </si>
  <si>
    <r>
      <t xml:space="preserve">•	En caso de que el campo “RFC” se encuentre sin datos o contenga datos distintos, muestra el (MSG012) </t>
    </r>
    <r>
      <rPr>
        <b/>
        <sz val="10"/>
        <rFont val="Noto Sans"/>
        <family val="2"/>
      </rPr>
      <t>Llave de operación de pago. RFC incorrecto. Favor de validar.</t>
    </r>
    <r>
      <rPr>
        <sz val="10"/>
        <rFont val="Noto Sans"/>
        <family val="2"/>
        <charset val="1"/>
      </rPr>
      <t>, descarta el registro, lo identifica para mostrar en él .txt de errores y marca el Checklist</t>
    </r>
  </si>
  <si>
    <r>
      <t xml:space="preserve">•	En caso de que el campo “llave más número de transacción” cuente con datos distintos o esté vacío, muestra el (MSG013) </t>
    </r>
    <r>
      <rPr>
        <b/>
        <sz val="10"/>
        <rFont val="Noto Sans"/>
        <family val="2"/>
      </rPr>
      <t>Llave de operación de pago. Llave más número de transacción incorrecto. Favor de validar.</t>
    </r>
    <r>
      <rPr>
        <sz val="10"/>
        <rFont val="Noto Sans"/>
        <family val="2"/>
        <charset val="1"/>
      </rPr>
      <t xml:space="preserve">, descarta el registro, lo identifica para mostrar en él .txt de errores y marca el Checklist </t>
    </r>
  </si>
  <si>
    <r>
      <t xml:space="preserve">•	En caso de que el campo “Clave referencia de pago” cuente con datos distintos o esté vacío, muestra el (MSG014) </t>
    </r>
    <r>
      <rPr>
        <b/>
        <sz val="10"/>
        <rFont val="Noto Sans"/>
        <family val="2"/>
      </rPr>
      <t>Llave de operación de pago. Clave de referencia de pago incorrecta. Favor de validar.</t>
    </r>
    <r>
      <rPr>
        <sz val="10"/>
        <rFont val="Noto Sans"/>
        <family val="2"/>
        <charset val="1"/>
      </rPr>
      <t>, descarta el registro, lo identifica para mostrar en él .txt de errores y marca el Checklist</t>
    </r>
  </si>
  <si>
    <r>
      <t xml:space="preserve">En caso de que el campo “número de operación” contenga datos distintos o esté vacío, muestra el mensaje (MSG004): </t>
    </r>
    <r>
      <rPr>
        <b/>
        <sz val="10"/>
        <rFont val="Noto Sans"/>
        <family val="2"/>
      </rPr>
      <t>Datos de la “descripción” del concepto de la factura electrónica. Número de operación incorrecto. Favor de validar.</t>
    </r>
  </si>
  <si>
    <r>
      <t xml:space="preserve">En caso de que el campo “fecha” no contenga datos de tipo fecha y esté vacío muestra el mensaje (MSG005): </t>
    </r>
    <r>
      <rPr>
        <b/>
        <sz val="10"/>
        <rFont val="Noto Sans"/>
        <family val="2"/>
      </rPr>
      <t>Datos de la “descripción” del concepto de la factura electrónica. Fecha incorrecta. Favor de validar.</t>
    </r>
  </si>
  <si>
    <r>
      <t xml:space="preserve">En caso de que el campo “hora de presentación” contenga datos distintos o esté vacío, muestra el mensaje (MSG006): </t>
    </r>
    <r>
      <rPr>
        <b/>
        <sz val="10"/>
        <rFont val="Noto Sans"/>
        <family val="2"/>
      </rPr>
      <t>Datos de la “descripción” del concepto de la factura electrónica. Hora de presentación incorrecta. Favor de validar.</t>
    </r>
  </si>
  <si>
    <r>
      <t xml:space="preserve">En caso de que el campo “clave concepto del pago” contenga datos distintos o esté vacío muestra el mensaje(MSG007): </t>
    </r>
    <r>
      <rPr>
        <b/>
        <sz val="10"/>
        <rFont val="Noto Sans"/>
        <family val="2"/>
      </rPr>
      <t>Datos de la “descripción” del concepto de la factura electrónica. Clave concepto del pago incorrecta. Favor de validar.</t>
    </r>
  </si>
  <si>
    <r>
      <t xml:space="preserve">En caso de que algún registro pertenece a pagos agrupados, muestra el mensaje de error(MSG008): </t>
    </r>
    <r>
      <rPr>
        <b/>
        <sz val="10"/>
        <rFont val="Noto Sans"/>
        <family val="2"/>
      </rPr>
      <t>Existen errores en registros pertenecientes a datos agrupados. Favor de validar.</t>
    </r>
  </si>
  <si>
    <r>
      <t xml:space="preserve">En caso de que se pierda la conexión en su totalidad, se muestra el mensaje(MSG001): </t>
    </r>
    <r>
      <rPr>
        <b/>
        <sz val="10"/>
        <rFont val="Noto Sans"/>
        <family val="2"/>
      </rPr>
      <t>Red no disponible, compruebe la red e inténtelo nuevamente.</t>
    </r>
    <r>
      <rPr>
        <sz val="10"/>
        <rFont val="Noto Sans"/>
        <family val="2"/>
        <charset val="1"/>
      </rPr>
      <t xml:space="preserve">  con la opción “Aceptar” </t>
    </r>
  </si>
  <si>
    <r>
      <t xml:space="preserve">En caso de que exista alguna inconsistencia, muestra el mensaje(MSG002): </t>
    </r>
    <r>
      <rPr>
        <b/>
        <sz val="10"/>
        <rFont val="Noto Sans"/>
        <family val="2"/>
      </rPr>
      <t>El layout del insumo no coincide con el layout del aplicativo. Favor de validar.</t>
    </r>
  </si>
  <si>
    <r>
      <t xml:space="preserve">En caso de que el registro se encuentre duplicado, muestra el mensaje(MSG003): </t>
    </r>
    <r>
      <rPr>
        <b/>
        <sz val="10"/>
        <rFont val="Noto Sans"/>
        <family val="2"/>
      </rPr>
      <t>Registro duplicado.</t>
    </r>
  </si>
  <si>
    <r>
      <t xml:space="preserve">En caso de que el registro tenga una fecha diferente de la fecha del periodo de procesamiento, muestra el mensaje(MSG017): </t>
    </r>
    <r>
      <rPr>
        <b/>
        <sz val="10"/>
        <rFont val="Noto Sans"/>
        <family val="2"/>
      </rPr>
      <t>Existen registros con fechas diferentes al periodo de procesamiento. Favor de validar.</t>
    </r>
  </si>
  <si>
    <t>El empleado SAT da clic en boton "Firmar" y visualizar cada mensaje de error</t>
  </si>
  <si>
    <t>Viene del CP103 y del paso 4</t>
  </si>
  <si>
    <t>El sistema válida y muestra el nombre y el tamaño del archivo .zip adjuntado:
Sección: Transferir insumo de información para Facturación Electrónica DPA e.5cinco:
•	Campo: Archivo ZIP (.txt).
•Nombre del insumo 
•Tamaño del archivo
Mensaje emergente 
El archivo se puede transferir al sistema para ejecutar las validaciones correspondientes 
•	Botón “Transferir” (habilitado)</t>
  </si>
  <si>
    <t xml:space="preserve">Sección: Proceso de Transferencia del insumo de información DPA e.5cinco
•El sistema muestra el mensaje:  Transferencia realizada con éxito 
•Se muestra una ventana emergente con el mensaje:
¿Desea continuar con el proceso de verificación del insumo? 
Estimado usuario, puede retomar el proceso en el módulo de “Consultar Información de Proceso” y con las opciones “Sí” y “No” </t>
  </si>
  <si>
    <r>
      <rPr>
        <sz val="10"/>
        <rFont val="Noto Sans"/>
        <family val="2"/>
      </rPr>
      <t>En caso de que la nomenclatu-ra no sea correcta muestra el mensaje: MSG001 
Se inhabilita el botón “Transferir"
En caso de que se haya cargado un archivo con extensión .zip con el mismo nombre, el sistema muestra el mensaje: MSG002
Se inhabilita el botón “Transferir"</t>
    </r>
    <r>
      <rPr>
        <b/>
        <sz val="10"/>
        <rFont val="Noto Sans"/>
        <family val="2"/>
      </rPr>
      <t xml:space="preserve">
Los mensajes de error se encuentran en el CP93</t>
    </r>
  </si>
  <si>
    <r>
      <rPr>
        <sz val="10"/>
        <rFont val="Noto Sans"/>
        <family val="2"/>
      </rPr>
      <t xml:space="preserve">En caso de que la conexión presente intermitencia, el sis-tema deberá de esperar a que la red mejore conforme la (RNA028) y se muestra el mensaje: MSG006.
En caso de que se pierde en su totalidad la conexión con la red conforme la (RNA029), muestra el mensaje : MSG007
</t>
    </r>
    <r>
      <rPr>
        <b/>
        <sz val="10"/>
        <rFont val="Noto Sans"/>
        <family val="2"/>
      </rPr>
      <t xml:space="preserve">
Los mensajes de error se encuentran en el CP93</t>
    </r>
  </si>
  <si>
    <t>Viene del CP91 y el paso 4</t>
  </si>
  <si>
    <t>Viene del CP91 y el paso 5</t>
  </si>
  <si>
    <t>Seccion: Proceso de Transferencia del insumo de informacion DPA e.5cinco
•El sistema muestra el mensaje:  Transferencia realizada con éxito 
•Se muestra una ventana emergente con el mensaje:
¿Desea continuar con el proceso de verificación del insumo? 
Estimado usuario, puede retomar el proceso en el módulo de “Consultar Información de Proceso” y con las opciones “Sí” y “No”.</t>
  </si>
  <si>
    <t>Los mensajes de error se muestran en el CP98</t>
  </si>
  <si>
    <t>Viene del CP97 y en el paso 2</t>
  </si>
  <si>
    <t>Previamente se realizaron los casos de prueba:
CP90
CP94</t>
  </si>
  <si>
    <t>Previamente se realizo el CP90</t>
  </si>
  <si>
    <r>
      <t xml:space="preserve">
El sistema muestra el proceso de la carga completada, muestra “Lista de verificación de la carga del insumo de información al aplicativo”.
 Sección: Proceso de Carga del Insumo de Información.
Semáforo:
•	Transferir insumo
•	Verificar insumo
•	Carga de insumo
•	Generación XML
•	Enviar a Timbrado
Proceso de Carga (avance %)
Avance de carga
Lista de verificación de la carga del insumo de información al aplicativo
Mensaje: No se encontraron errores
Todas validaciones exitosas
        Opciones:
•	Generar XML 
•	Descargar errores (inhabilitado)
•	Fechas diferentes (inhabilitado)
•	Descargar Pagos Excluidos </t>
    </r>
    <r>
      <rPr>
        <b/>
        <sz val="10"/>
        <rFont val="Noto Sans"/>
        <family val="2"/>
      </rPr>
      <t xml:space="preserve">
</t>
    </r>
  </si>
  <si>
    <t>Sección: Firma para Transferir Insumo de Información.
Encabezado:
•	Fecha
•	Título de la sección
•	DPA
•	Cerrar sesión
•	Certificado (.cer)
•	Clave Privada (.key)
•	Contraseña de Clave Privada
•	RFC
        Opciones: 
•	Buscar
•	Firmar
•	Limpiar
•	Regresar</t>
  </si>
  <si>
    <t xml:space="preserve">El sistema muestra el proceso de la carga completada, muestra “Lista de verificación de la carga del insumo de información al aplicativo”.
 Sección: Proceso de Carga del Insumo de Información
Semáforo:
•	Transferir insumo
•	Verificar insumo
•	Carga de insumo
•	Generación XML
•	Enviar a Timbrado
Proceso de Carga (avance %)
Avance de carga
Lista de verificación de la carga del insumo de información al aplicativo
Error: Mensaje correspondiente a la validación 
Checklist marcado X
Habilita el botón “Descargar errores” y/o “Fechas diferentes” y permite descargar un archivo .txt con los detalles de los registros con errores conforme la (RNA056) Continúa en (FA07).
        Opciones: 
•	Generar XML 
•	Descargar errores
•	Fechas diferentes
•	Descargar Pagos Excluidos 
</t>
  </si>
  <si>
    <t xml:space="preserve">El sistema muestra el proceso de la carga completada, muestra “Lista de verificación de la carga del insumo de información al aplicativo”.
 Sección: Proceso de Carga del Insumo de Información.
Semáforo:
•	Transferir insumo
•	Verificar insumo
•	Carga de insumo
•	Generación XML
•	Enviar a Timbrado
Proceso de Carga (avance %)
Avance de carga
Lista de verificación de la carga del insumo de información al aplicativo
Mensaje: No se encontraron errores
Todas validaciones exitosas
        Opciones:
•	Generar XML 
•	Descargar errores (inhabilitado)
•	Fechas diferentes (inhabilitado)
•	Descargar Pagos Excluidos </t>
  </si>
  <si>
    <t xml:space="preserve">El sistema muestra el proceso de la carga completada, muestra “Lista de verificación de la carga del insumo de información al aplicativo”.
 Sección: Proceso de Carga del Insumo de Información
Proceso de Carga (avance %)
Avance de carga
Lista de verificación de la carga del insumo de información al aplicativo
Error: Mensaje correspondiente a la validación 
Checklist marcado X
Habilita el botón “Descargar errores” y/o “Fechas diferentes” y permite descargar un archivo .txt con los detalles de los registros con errores conforme la (RNA056) Continúa en (FA07).
        Opciones: 
•	Generar XML 
•	Descargar errores
•	Fechas diferentes
•	Descargar Pagos Excluidos 
</t>
  </si>
  <si>
    <r>
      <t xml:space="preserve">En caso de que exista alguna inconsistencia, muestra un mensaje de error y marca el error en la “Lista de verificación de la carga del insumo de información al aplicativo”
</t>
    </r>
    <r>
      <rPr>
        <b/>
        <sz val="10"/>
        <rFont val="Noto Sans"/>
        <family val="2"/>
      </rPr>
      <t>Los mensajes de error estan en el CP104</t>
    </r>
  </si>
  <si>
    <t>El sistema muestra la pantalla Consulta y Modificación del Pago DPA
Encabezado:
•	Fecha
•	Título de pantalla
Opciones:
•	DPA
•	Cerrar sesión.
Campos de consulta:
•	Nombre de insumo:
•	RFC del pago (*): Campo obligatorio
•	Fecha pago:
•	Número de operación.
Botones:
•	Buscar. 
•	Limpiar.</t>
  </si>
  <si>
    <t>El sistema muestra la pantalla Resultados de la Consulta. 
 Muestra el resultado de la consulta:
Tabla de resultados:
•	Acciones. Checkbox de selección
•	RFC del pago 
•	Nombre del pago
•	Régimen Fiscal 
•	Código Postal 
•	Fecha pago 
•	Hora pago
•	No. de operación
•	No. de transacción
•	Llave
•	Monto.
Mostrar registros
Paginador
Opciones:
•	Editar 
•	Guardar
•	Generar Factura (inhabilitado)
•	Regresar.</t>
  </si>
  <si>
    <t>El sistema muestra la pantalla Resultados de la consulta, edición. 
Se visualiza el registro con el Checkbox seleccionado.
Factura compuesta de:
•	Acciones. Checkbox seleccionado
•	RFC del pago 
•	Nombre del pago
•	Régimen Fiscal 
•	Código Postal 
•	Fecha pago 
•	Hora pago
•	No. de operación
•	No. de transacción
•	Llave
•	Monto
•	Opciones:
•	Editar 
•	Guardar
•	Generar Factura (inhabilitado)
•	Regresar.</t>
  </si>
  <si>
    <t>El sistema muestra los datos ingresados o corregidos.
Factura compuesta de:
•	Acciones. Checkbox de selección
•	RFC del pago con campo habilitado para editar conforme la (RNA077).
•	Nombre del pago con campo habilitado para editar conforme la (RNA077).
•	Régimen Fiscal con campo habilitado para editar conforme la (RNA077).
•	Código Postal con campo habilitado para editar conforme la (RNA077).
•	Fecha pago (Campo no editable).
•	Hora pago (Campo no editable).
•	No. de operación (Campo no editable).
•	No. de transacción (Campo no editable).
•	Llave (Campo no editable).
•	Monto (Campo no editable).
Opciones:
•	Editar
•	Guardar 
•	Generar Factura (inhabilitado)
•	Regresar.</t>
  </si>
  <si>
    <t>El sistema muestra la confirmación de la modificación. 
Tabla compuesta de:
•	Acciones. Checkbox de selección
•	RFC del pago 
•	Nombre del pago 
•	Régimen Fiscal 
•	Código Postal 
•	Fecha pago 
•	Hora pago
•	No. de operación
•	No. de transacción
•	Llave
•	Monto.
Opciones: del mensaje emergente (MSG006):
•	Confirmar
•	Cancelar.
Opciones:
•	Editar
•	Guardar
•	Generar Factura (inhabilitado)
•	Regresar.</t>
  </si>
  <si>
    <t>El sistema muestra la pantalla Resultados de la consulta, firmar para confirmar.
 Cierra el mensaje y solicita ingresar la e.firma para firmar el movimiento.
•	Certificado (.cer): 
•	Botón Buscar 
•	Clave Privada (.key):
•	Botón Buscar 
•	Contraseña de clave privada:
•	RFC:
Opciones:
•	Firmar
•	Limpiar 
•	Regresar</t>
  </si>
  <si>
    <t>El sistema inicia el proceso de generación de XML 105</t>
  </si>
  <si>
    <t>Para el rol administrador el sistema muestra la con las siguientes opciones:
Encabezado 
•	Fecha actual del día
•	Título del módulo en el que se encuentra
•	Opción DPA el cual despliega el Menú DPA con las siguientes opciones:
o	Generar Facturas Electrónicas
o	Consulta y Modificación de Pago
o	Consultar Información de proceso  
o	Consultar Facturas 
o	Consulta de Movimientos
o	Cancelación Masiva de Facturas
o	Reportes Estadísticos
•	Opción DTA
•	Cerrar sesión</t>
  </si>
  <si>
    <t>El sistema muestra la pantalla Resultados de la consulta. 
Se visualiza el registro con el Checkbox seleccionado.
Factura compuesta de:
•	Acciones. Checkbox seleccionado
•	RFC del pago 
•	Nombre del pago
•	Régimen Fiscal 
•	Código Postal 
•	Fecha pago 
•	Hora pago
•	No. de operación
•	No. de transacción
•	Llave
•	Monto
•	Opciones:
•	Editar 
•	Guardar
•	Generar Factura (inhabilitado)
•	Regresar.</t>
  </si>
  <si>
    <t>Viene del CP107 paso 4</t>
  </si>
  <si>
    <t>Viene del CP107 paso 8</t>
  </si>
  <si>
    <r>
      <t xml:space="preserve">•	</t>
    </r>
    <r>
      <rPr>
        <sz val="10"/>
        <color rgb="FF000000"/>
        <rFont val="Montserrat"/>
      </rPr>
      <t>En caso de no existir resultado en la fecha seleccionada muestra el mensaje (MSG004):</t>
    </r>
    <r>
      <rPr>
        <b/>
        <sz val="10"/>
        <color rgb="FF000000"/>
        <rFont val="Montserrat"/>
      </rPr>
      <t xml:space="preserve">
No se encontraron resultado en la fecha ingresada.</t>
    </r>
  </si>
  <si>
    <r>
      <t xml:space="preserve">•	En caso de que exista un registro que ya haya sido modificado previamente, se mostrará el ícono de detalle  en la columna “Acciones”
MSG001
MSG002
MSG003
MSG004
MSG005
</t>
    </r>
    <r>
      <rPr>
        <b/>
        <sz val="10"/>
        <color theme="1"/>
        <rFont val="Noto Sans"/>
        <family val="2"/>
      </rPr>
      <t>Los mensajes de error se encuentran en el CP110</t>
    </r>
  </si>
  <si>
    <r>
      <rPr>
        <sz val="10"/>
        <rFont val="Noto Sans"/>
        <family val="2"/>
      </rPr>
      <t xml:space="preserve">MSG001
MSG008
MSG009
MSG010
</t>
    </r>
    <r>
      <rPr>
        <b/>
        <sz val="10"/>
        <rFont val="Noto Sans"/>
        <family val="2"/>
      </rPr>
      <t xml:space="preserve">
Los mensajes de error se encuentran en el CP110</t>
    </r>
  </si>
  <si>
    <t>El sistema muestra la última versión de la factura modificada y el registro anterior o anteriores de forma colapsada
Detalle de Modificación:
•	RFC del empleado
•	Nombre del empleado
•	Datos de registro modificado
•	RFC del pago
•	Nombre del pago
•	Régimen Fiscal
•	Código Postal
•	Fecha pago
•	Fecha y hora de modificación
Conforme la (RNA080)
Opciones:
•	Registro original
•	Regresar</t>
  </si>
  <si>
    <t>El sistema muestra la pantalla Resultados de la Consulta. 
 Muestra el resultado de la consulta:
Tabla de resultados:
•	Acciones. Checkbox de selección
•	RFC del pago 
•	Nombre del pago
•	Régimen Fiscal 
•	Código Postal 
•	Fecha pago 
•	Hora pago
•	No. de operación
•	No. de transacción
•	Llave
•	Monto.</t>
  </si>
  <si>
    <t>Viene del CP111 paso 4</t>
  </si>
  <si>
    <t>Viene del CP129 paso 5</t>
  </si>
  <si>
    <r>
      <t xml:space="preserve">•	En caso de que el proceso sea de “Carga de insumo” y tiene un estado “En proceso”, el sistema identifica el porcentaje de avance (Pantalla 21) con la opción “Regresar”.
•	En caso de que el proceso tenga el estado de “No iniciado”, el sistema muestra el (MSG007) (Pantalla 28) con la opción “Aceptar”.
En caso de que el sistema tenga un estado “Fallido” en el proceso de carga de información el sistema muestra el (MSG009) 
</t>
    </r>
    <r>
      <rPr>
        <b/>
        <sz val="10"/>
        <rFont val="Noto Sans"/>
        <family val="2"/>
      </rPr>
      <t>Los mensajes de error se encuentran  en el CP144</t>
    </r>
  </si>
  <si>
    <t>Viene del CP125 paso 5</t>
  </si>
  <si>
    <r>
      <t xml:space="preserve">•	En caso de que el Empleado SAT seleccione un valor de "Proceso", el sistema ajustará los parámetros de búsqueda para limitar los resultados específicamente al proceso seleccionado.
•	En caso de que el Empleado SAT seleccione un valor de "Estado", el sistema ajustará los parámetros de búsqueda para limitar los resultados específicamente al proceso seleccionado.
•	En caso de no ingresar ningún periodo, muestra el mensaje (MSG001) con la opción “Aceptar”
•	En caso de que se haya ingresado un periodo inválido, muestra el mensaje (MSG002) con la opción “Aceptar” 
•	En caso de que no existan resultados relacionados a los criterios ingresados, muestra el (MSG003), el mensaje se cierra cuando el Empleado SAT selecciona la opción “Aceptar” 
</t>
    </r>
    <r>
      <rPr>
        <b/>
        <sz val="10"/>
        <rFont val="Noto Sans"/>
        <family val="2"/>
      </rPr>
      <t>Los mensajes de error se muestran en el CP144</t>
    </r>
  </si>
  <si>
    <t>/e.5cinco/Consultar_Informacion_de_Proceso_de_Facturas_Electronicas/DetalleCargaInsumo</t>
  </si>
  <si>
    <r>
      <rPr>
        <sz val="10"/>
        <rFont val="Noto Sans"/>
        <family val="2"/>
      </rPr>
      <t>•	En caso de que el sistema tenga un estado “Fallido” en el proceso de carga de información, El sistema muestra el (MSG009)</t>
    </r>
    <r>
      <rPr>
        <b/>
        <sz val="10"/>
        <rFont val="Noto Sans"/>
        <family val="2"/>
      </rPr>
      <t xml:space="preserve">
Los mensajes de error se encuentran en el CP144</t>
    </r>
  </si>
  <si>
    <r>
      <t xml:space="preserve">•	En caso de que en el proceso de validaciones no sea posible leer ningún registro, el botón “Iniciar carga” y “Descargar errores” se inhabilitan.
•	En caso de que el proceso sea de “Verificación de insumo” y tiene un estado “En proceso”, el sistema identifica el porcentaje de avance con la opción “Regresar”.
•	En caso de que el proceso tenga el estado de “No iniciado”, el sistema muestra el (MSG007) con la opción “Aceptar”.
</t>
    </r>
    <r>
      <rPr>
        <b/>
        <sz val="10"/>
        <rFont val="Noto Sans"/>
        <family val="2"/>
      </rPr>
      <t>Los mensajes de error se encuentran en el CP144</t>
    </r>
  </si>
  <si>
    <r>
      <t xml:space="preserve">•	En caso de que el proceso sea de “Timbrado” y tiene un estado de “En proceso”, el sistema muestra el (MSG006) con la opción “Aceptar”.
•	En caso de que el proceso tenga el estado de “No iniciado”, el sistema muestra el (MSG007) (Pantalla 28) con la opción “Aceptar”.
</t>
    </r>
    <r>
      <rPr>
        <b/>
        <sz val="10"/>
        <rFont val="Noto Sans"/>
        <family val="2"/>
      </rPr>
      <t>Los mensajes de error se encuentran en el CP144</t>
    </r>
  </si>
  <si>
    <t>Selecciona mediante la opción “Ver Detalle” el detalle del proceso de Verificar, Carga, Generar y Timbrado</t>
  </si>
  <si>
    <t>Viene del CP118, CP121, CP125 y CP129 paso 5</t>
  </si>
  <si>
    <t>Viene del CP121 paso 5</t>
  </si>
  <si>
    <r>
      <t xml:space="preserve">•	En caso de que el proceso sea de “Generación de XML” y tiene un estado de “En proceso”, el sistema muestra el (MSG005)  con la opción “Aceptar”.
•	En caso de que el proceso tenga el estado de “No iniciado”, el sistema muestra el (MSG007) (Pantalla 28) con la opción “Aceptar”.
•	En caso de que el sistema tenga un estado “Fallido” en el proceso de generación de XML el sistema muestra el (MSG010) 
</t>
    </r>
    <r>
      <rPr>
        <b/>
        <sz val="10"/>
        <rFont val="Noto Sans"/>
        <family val="2"/>
      </rPr>
      <t>Los mensajes de error se encuentran en el CP144</t>
    </r>
  </si>
  <si>
    <r>
      <t xml:space="preserve">•	En caso de que el proceso sea de “Generación de XML” y tiene un estado de “En proceso”, el sistema muestra el (MSG005)  con la opción “Aceptar”.
•	En caso de que el proceso tenga el estado de “No iniciado”, el sistema muestra el (MSG007) (Pantalla 28) con la opción “Aceptar”.
•	En caso de que el sistema tenga un estado “Fallido” en el proceso de generación de XML el sistema muestra el (MSG010) 
</t>
    </r>
    <r>
      <rPr>
        <b/>
        <sz val="10"/>
        <rFont val="Noto Sans"/>
        <family val="2"/>
      </rPr>
      <t>Los mensajes de error se encuentran en el CP59</t>
    </r>
  </si>
  <si>
    <r>
      <t xml:space="preserve">•	En caso de que el proceso sea de “Carga de insumo” y tiene un estado “En proceso”, el sistema identifica el porcentaje de avance (Pantalla 21) con la opción “Regresar”.
•	En caso de que el proceso tenga el estado de “No iniciado”, el sistema muestra el (MSG007) (Pantalla 28) con la opción “Aceptar”.
En caso de que el sistema tenga un estado “Fallido” en el proceso de carga de información el sistema muestra el (MSG009) 
</t>
    </r>
    <r>
      <rPr>
        <b/>
        <sz val="10"/>
        <rFont val="Noto Sans"/>
        <family val="2"/>
      </rPr>
      <t>Los mensajes de error se encuentran  en el CP59</t>
    </r>
  </si>
  <si>
    <r>
      <t xml:space="preserve">•	En caso de que en el proceso de validaciones no sea posible leer ningún registro, el botón “Iniciar carga” y “Descargar errores” se inhabilitan.
•	En caso de que el proceso tenga el estado de “No iniciado”, el sistema muestra el (MSG007) (Pantalla 28) con la opción “Aceptar”.
</t>
    </r>
    <r>
      <rPr>
        <b/>
        <sz val="10"/>
        <rFont val="Noto Sans"/>
        <family val="2"/>
      </rPr>
      <t>Los mensajes de error se encuentran en el CP59</t>
    </r>
  </si>
  <si>
    <r>
      <rPr>
        <sz val="10"/>
        <rFont val="Noto Sans"/>
        <family val="2"/>
      </rPr>
      <t>•	En caso de que el sistema tenga un estado “Fallido” en el proceso de carga de información, El sistema muestra el (MSG009)</t>
    </r>
    <r>
      <rPr>
        <b/>
        <sz val="10"/>
        <rFont val="Noto Sans"/>
        <family val="2"/>
      </rPr>
      <t xml:space="preserve">
Los mensajes de error se encuentran en el CP59</t>
    </r>
  </si>
  <si>
    <r>
      <t xml:space="preserve">•	En caso de que el Empleado SAT seleccione un valor de "Proceso", el sistema ajustará los parámetros de búsqueda para limitar los resultados específicamente al proceso seleccionado.
•	En caso de que el Empleado SAT seleccione un valor de "Estado", el sistema ajustará los parámetros de búsqueda para limitar los resultados específicamente al proceso seleccionado.
•	En caso de no ingresar ningún periodo, muestra el mensaje (MSG001) con la opción “Aceptar”
•	En caso de que se haya ingresado un periodo inválido, muestra el mensaje (MSG002) con la opción “Aceptar” 
•	En caso de que no existan resultados relacionados a los criterios ingresados, muestra el (MSG003), el mensaje se cierra cuando el Empleado SAT selecciona la opción “Aceptar” 
</t>
    </r>
    <r>
      <rPr>
        <b/>
        <sz val="10"/>
        <rFont val="Noto Sans"/>
        <family val="2"/>
      </rPr>
      <t>Los mensajes de error se muestran en el CP59</t>
    </r>
  </si>
  <si>
    <r>
      <t xml:space="preserve">•	En caso de que el proceso sea de “Timbrado” y tiene un estado de “En proceso”, el sistema muestra el (MSG006) con la opción “Aceptar”.
•	En caso de que el proceso tenga el estado de “No iniciado”, el sistema muestra el (MSG007) (Pantalla 28) con la opción “Aceptar”.
</t>
    </r>
    <r>
      <rPr>
        <b/>
        <sz val="10"/>
        <rFont val="Noto Sans"/>
        <family val="2"/>
      </rPr>
      <t>Los mensajes de error se encuentran en el CP59</t>
    </r>
  </si>
  <si>
    <t>Viene del CP31 y CP36 paso 5</t>
  </si>
  <si>
    <t>Viene del CP33, CP36, CP40 y CP44 paso 5</t>
  </si>
  <si>
    <t>Viene del CP44 paso 5</t>
  </si>
  <si>
    <t>El sistema muestra con las siguientes opciones.
Resultado de la Consulta
•	Acciones
•	Folio Fiscal
•	RFC Receptor
•	Nombre o Razón Social del Receptor
•	Forma de pago
•	No. de Operación
•	Fecha Emisión 
•	Monto
•	Estatus
•	Fecha Cancelación 
Botones
•	Cancelar Seleccionados
•	Reexpedir Factura (RNA076)
•	Nueva Búsqueda</t>
  </si>
  <si>
    <t>El sistema mostrará las siguientes opciones:
Modificar atributo de pago
•	Forma de Pago*
•	Fecha de Timbrado
•	Fecha de Emisión (RNA075)
Botones
•	Aceptar 
•	Cancelar</t>
  </si>
  <si>
    <r>
      <t xml:space="preserve">Si el folio fiscal no cumple con las características mostrará el (MSG002) con la opción “Aceptar”
</t>
    </r>
    <r>
      <rPr>
        <b/>
        <sz val="10"/>
        <rFont val="Noto Sans"/>
        <family val="2"/>
      </rPr>
      <t>El mensaje de error se encuentra en el CP155</t>
    </r>
  </si>
  <si>
    <r>
      <t xml:space="preserve">Si el RFC ingresado no cuenta con las características necesaria para la validación el sistema mostrará (MSG003) con la opción “Aceptar”
Si la fecha ingresada es incorrecta mostrará (MSG004) con la opción “Aceptar”
</t>
    </r>
    <r>
      <rPr>
        <b/>
        <sz val="10"/>
        <rFont val="Noto Sans"/>
        <family val="2"/>
      </rPr>
      <t>El mensaje de error se encuentra en el CP155</t>
    </r>
  </si>
  <si>
    <t>Viene del CP149 paso 3</t>
  </si>
  <si>
    <t>Viene del CP146 paso 3</t>
  </si>
  <si>
    <t xml:space="preserve">El sistema filtra los resultados por los criterios ingresados conforme la (RNA064)
•	En caso de que el criterio ingresado no corresponda a un resultado existente, no se muestra ningún resultado.
•	En caso de ingresar 1 o más caracteres consecutivos que muestren resultados y el siguiente carácter no corres-ponda a ningún registro, no se muestran resultados, se requiere borrar el carácter incorrecto. </t>
  </si>
  <si>
    <r>
      <t xml:space="preserve">El sistema muestra, con las siguientes opciones
Encabezado:
•	Fecha
•	Título de la sección
Opciones:
</t>
    </r>
    <r>
      <rPr>
        <b/>
        <sz val="10"/>
        <rFont val="Noto Sans"/>
        <family val="2"/>
      </rPr>
      <t>•	DPA (según corresponda el rol)</t>
    </r>
    <r>
      <rPr>
        <sz val="10"/>
        <rFont val="Noto Sans"/>
        <family val="2"/>
        <charset val="1"/>
      </rPr>
      <t xml:space="preserve">
•	DTA (según corresponda el rol)
•	Cerrar sesión.
Carga de archivo para cancelar facturas 
•	Examinar 
•	Verificar (inhabilitado)
•	Cancelar</t>
    </r>
  </si>
  <si>
    <t>Los mensajes de error se encuentran en el CP167</t>
  </si>
  <si>
    <r>
      <rPr>
        <sz val="10"/>
        <rFont val="Noto Sans"/>
        <family val="2"/>
      </rPr>
      <t xml:space="preserve">•	En caso de que la conexión presente intermitencia, el sistema deberá de esperar a que la red mejore conforme la (RNA028), Se   muestra el (MSG003)
•	En caso de que se pierda en su totalidad la conexión con la red conforme la (RNA029), se   muestra el (MSG004) y elimina el archivo que no fue posible transferir correctamente
•	En caso de que exista alguna línea en blanco, muestra el mensaje de error (MSG007)
</t>
    </r>
    <r>
      <rPr>
        <b/>
        <sz val="10"/>
        <rFont val="Noto Sans"/>
        <family val="2"/>
      </rPr>
      <t xml:space="preserve">
Los mensajes de error se encuentran en el CP167</t>
    </r>
  </si>
  <si>
    <r>
      <rPr>
        <sz val="10"/>
        <rFont val="Noto Sans"/>
        <family val="2"/>
      </rPr>
      <t>•	En caso de que la nomenclatura no sea correcta muestra el (MSG001) e inhabilita el botón “Verificar”.
•	En caso de que no exista conexión con internet muestra el (MSG004) e inhabilita el botón “Verificar”
•	En caso de que el nombre del insumo sea igual a uno cargado previamente, impide la carga y muestra el (MSG010).</t>
    </r>
    <r>
      <rPr>
        <b/>
        <sz val="10"/>
        <rFont val="Noto Sans"/>
        <family val="2"/>
      </rPr>
      <t xml:space="preserve">
Los mensajes de error se encuentran en el CP167</t>
    </r>
  </si>
  <si>
    <t>Viene del CP165 en el paso 4</t>
  </si>
  <si>
    <t>Viene del CP165 en el paso 5</t>
  </si>
  <si>
    <t>Viene del CP165 en el paso 9</t>
  </si>
  <si>
    <t>/LineaCaptura/TransferirInsumo</t>
  </si>
  <si>
    <t>/LineaCaptura/CargaInsumo/ListadoMsgsError</t>
  </si>
  <si>
    <t>/e.5cinco/TransferirInsumo</t>
  </si>
  <si>
    <t>Portal DTA-DPA</t>
  </si>
  <si>
    <t>1.- Seguridad</t>
  </si>
  <si>
    <t>CP01/Autenticación</t>
  </si>
  <si>
    <t>CP02/Autenticación_Cer_Key_Incorrecto</t>
  </si>
  <si>
    <t>CP03/Autenticación_Contraseña_Incorrecto</t>
  </si>
  <si>
    <t>CP04/Cerrar Sesion</t>
  </si>
  <si>
    <t>2.-  DPA_Empleado_Linea de Captura</t>
  </si>
  <si>
    <t>CP05/LineaCaptura/GenerarFacturasElectronicas</t>
  </si>
  <si>
    <t>CP06/LineaCaptura/TransferirInsumo</t>
  </si>
  <si>
    <t>CP07/LineaCaptura/TransferirInsumo/MsgsError</t>
  </si>
  <si>
    <t>CP08/LineaCaptura/TransferirInsumo/BotonCancelar</t>
  </si>
  <si>
    <t>CP09/LineaCaptura/TransferirInsumo/ListadoMsgsError</t>
  </si>
  <si>
    <t>CP10/LineaCaptura/VerificarInsumo/Checklist</t>
  </si>
  <si>
    <t>CP11/LineaCaptura/VerificarInsumo/ChecklistError</t>
  </si>
  <si>
    <t>CP12/LineaCaptura/VerificarInsumo/Checklist/DescargarErrores</t>
  </si>
  <si>
    <t>CP13/LineaCaptura/VerificarInsumo/Checklist/MsgsError</t>
  </si>
  <si>
    <t>CP14/LineaCaptura/VerificarInsumo/ListadoMsgsError</t>
  </si>
  <si>
    <t>CP15/LineaCaptura/CargaInsumo</t>
  </si>
  <si>
    <t>CP16/LineaCaptura/CargaInsumoCorrecto/DescargarErrores</t>
  </si>
  <si>
    <t>CP17/LineaCaptura/CargaInsumo/DescargarPagosExcluidos</t>
  </si>
  <si>
    <t>CP18/LineaCaptura/CargaInsumo/FechasDiferentes</t>
  </si>
  <si>
    <t>CP19/LineaCaptura/CargaInsumo/MsgsError</t>
  </si>
  <si>
    <t>CP20/LineaCaptura/CargaInsumo/ListadoMsgsError</t>
  </si>
  <si>
    <t>CP21/LineaCaptura/GenerarXML</t>
  </si>
  <si>
    <t>CP22/LineaCaptura/Consulta_Modificacion_de_Pagos</t>
  </si>
  <si>
    <t>CP23/LineaCaptura/Consulta_Modificacion_de_Pagos/MsgsError</t>
  </si>
  <si>
    <t>CP24/LineaCaptura/Consulta_Modificacion_de_Pagos/Buscar/VerDetalle</t>
  </si>
  <si>
    <t>CP25LineaCaptura/Consulta_Modificacion_de_Pagos/Buscar/Paginador</t>
  </si>
  <si>
    <t>CP26/LineaCaptura/Consulta_Modificacion_de_Pagos/ListadoMsgsError</t>
  </si>
  <si>
    <t>CP27/LineaCaptura/Consultar_Informacion_de_Proceso_de_Facturas_Electronicas/Busqueda/MsgsError</t>
  </si>
  <si>
    <t>CP28/LineaCaptura/Consultar_Informacion_de_Proceso_de_Facturas_Electronicas/Busqueda/Paginador</t>
  </si>
  <si>
    <t>CP29/LineaCaptura/Consultar_Informacion_de_Proceso_de_Facturas_Electronicas/Busqueda/Filtrado</t>
  </si>
  <si>
    <t>CP30/LineaCaptura/Consultar_Informacion_de_Proceso_de_Facturas_Electronicas/Busqueda/ControlPrioridad</t>
  </si>
  <si>
    <t>CP31/LineaCaptura/Consultar_Informacion_de_Proceso_de_Facturas_Electronicas/DetalleTransferirInsumo</t>
  </si>
  <si>
    <t>CP32/LineaCaptura/Consultar_Informacion_de_Proceso_de_Facturas_Electronicas/DetalleVerificarInsumo</t>
  </si>
  <si>
    <t>CP33/LineaCaptura/Consultar_Informacion_de_Proceso_de_Facturas_Electronicas/DetalleVerificarInsumo/MsgsError</t>
  </si>
  <si>
    <t>CP34/LineaCaptura/Consultar_Informacion_de_Proceso_de_Facturas_Electronicas/DetalleVerificarInsumo/DescargarErrores</t>
  </si>
  <si>
    <t>CP35/LineaCaptura/Consultar_Informacion_de_Proceso_de_Facturas_Electronicas/DetalleCargaInsumo</t>
  </si>
  <si>
    <t>CP36/LineaCaptura/Consultar_Informacion_de_Proceso_de_Facturas_Electronicas/DetalleCargaInsumo/MsgsError</t>
  </si>
  <si>
    <t>CP37/LineaCaptura/Consultar_Informacion_de_Proceso_de_Facturas_Electronicas/DetalleCargaInsumo/DescargarErrores</t>
  </si>
  <si>
    <t>CP38/LineaCaptura/Consultar_Informacion_de_Proceso_de_Facturas_Electronicas/DetalleCargaInsumo/DescargarPagosExcluidos</t>
  </si>
  <si>
    <t>CP39/LineaCaptura/Consultar_Informacion_de_Proceso_de_Facturas_Electronicas/DetalleGenerarXML</t>
  </si>
  <si>
    <t>CP40/LineaCaptura/Consultar_Informacion_de_Proceso_de_Facturas_Electronicas/DetalleGenerarXML/MsgsError</t>
  </si>
  <si>
    <t>CP41/LineaCaptura/Consultar_Informacion_de_Proceso_de_Facturas_Electronicas/DetalleGenerarXML/Descargar.xlsx</t>
  </si>
  <si>
    <t>CP42/LineaCaptura/Consultar_Informacion_de_Proceso_de_Facturas_Electronicas/DetalleGenerarXML/Descargar.txt</t>
  </si>
  <si>
    <t>CP43/LineaCaptura/Consultar_Informacion_de_Proceso_de_Facturas_Electronicas/DetalleTimbrado</t>
  </si>
  <si>
    <t>CP44/LineaCaptura/Consultar_Informacion_de_Proceso_de_Facturas_Electronicas/DetalleTimbrado/MsgsError</t>
  </si>
  <si>
    <t>CP45/LineaCaptura/Consultar_Informacion_de_Proceso_de_Facturas_Electronicas/DetalleTimbrado/Descargar.xlsx</t>
  </si>
  <si>
    <t>CP46/LineaCaptura/Consultar_Informacion_de_Proceso_de_Facturas_Electronicas/DetalleTimbrado/Descargar.txt</t>
  </si>
  <si>
    <t>CP47/LineaCaptura/Consultar_Informacion_de_Proceso_de_Facturas_Electronicas/ModificadasOReexpedidas</t>
  </si>
  <si>
    <t>CP48/LineaCaptura/Consultar_Informacion_de_Proceso_de_Facturas_Electronicas/RegistroModificado/DetalleGeneracionXML</t>
  </si>
  <si>
    <t>CP49/LineaCaptura/Consultar_Informacion_de_Proceso_de_Facturas_Electronicas/RegistroModificado/DetalleGeneracionXML/Descargar.xlsx</t>
  </si>
  <si>
    <t>CP50/LineaCaptura/Consultar_Informacion_de_Proceso_de_Facturas_Electronicas/RegistroModificado/DetalleGeneracionXML/Descargar.txt</t>
  </si>
  <si>
    <t>CP51/LineaCaptura/Consultar_Informacion_de_Proceso_de_Facturas_Electronicas/RegistroModificado/DetalleTimbrado/Descargar.xlsx</t>
  </si>
  <si>
    <t>CP52/LineaCaptura/Consultar_Informacion_de_Proceso_de_Facturas_Electronicas/RegistroModificado/DetalleTimbrado/Descargar.txt</t>
  </si>
  <si>
    <t>CP53/LineaCaptura/Consultar_Informacion_de_Proceso_de_Facturas_Electronicas/RegistroReexpedido/DetalleGeneracionXML</t>
  </si>
  <si>
    <t>CP54/LineaCaptura/Consultar_Informacion_de_Proceso_de_Facturas_Electronicas/RegistroReexpedido/DetalleGeneracionXML/Descargar.xlsx</t>
  </si>
  <si>
    <t>CP55/LineaCaptura/Consultar_Informacion_de_Proceso_de_Facturas_Electronicas/RegistroReexpedido/DetalleGeneracionXML/Descargar.txt</t>
  </si>
  <si>
    <t>CP56/LineaCaptura/Consultar_Informacion_de_Proceso_de_Facturas_Electronicas/DetalleRegistroReexpedido/Timbrado</t>
  </si>
  <si>
    <t>CP57/LineaCaptura/Consultar_Informacion_de_Proceso_de_Facturas_Electronicas/RegistroReexpedido/DetalleTimbrado/Descargar.xlsx</t>
  </si>
  <si>
    <t>CP58/LineaCaptura/Consultar_Informacion_de_Proceso_de_Facturas_Electronicas/RegistroReexpedido/DetalleTimbrado/Descargar.txt</t>
  </si>
  <si>
    <t>CP59/LineaCaptura/Consultar_Informacion_de_Proceso_de_Facturas_Electronicas/ListadoMsgsError</t>
  </si>
  <si>
    <t>CP60/LineaCaptura/ConsultarFacturas/BusquedaFolioFiscal/Reexpedir</t>
  </si>
  <si>
    <t>CP61/LineaCaptura/ConsultarFacturas/BusquedaFolioFiscal/MsgsError</t>
  </si>
  <si>
    <t>CP62/LineaCaptura/ConsultarFacturas/BusquedaNumeroDeOperacion/Reexpedir</t>
  </si>
  <si>
    <t>CP63/LineaCaptura/ConsultarFacturas/BusquedaRFCEmisor/Reexpedir</t>
  </si>
  <si>
    <t>CP64/LineaCaptura/ConsultarFacturas/BusquedaRFCEmisor/MsgsError</t>
  </si>
  <si>
    <t>CP65/LineaCaptura/ConsultarFacturas/BusquedaInsumo/Exportar .csv</t>
  </si>
  <si>
    <t>CP66/LineaCaptura/ConsultarFacturas/BusquedaInsumo/Acuse</t>
  </si>
  <si>
    <t>CP67/LineaCaptura/ConsultarFacturas/BusquedaEstatus</t>
  </si>
  <si>
    <t>CP68/LineaCaptura/ConsultarFacturas/Busqueda/BotonDetalle</t>
  </si>
  <si>
    <t>CP69/LineaCaptura/ConsultarFacturas/Busqueda/BotonAcuse</t>
  </si>
  <si>
    <t>CP70/LineaCaptura/ConsultarFacturas/Busqueda/MsgsError</t>
  </si>
  <si>
    <t>CP71/LineaCaptura/ConsultarFacturas/Busqueda/CancelacionFactura</t>
  </si>
  <si>
    <t>CP72/LineaCaptura/ConsultarFacturas/Busqueda/CancelacionFactura/MsgsError</t>
  </si>
  <si>
    <t>CP73/LineaCaptura/ConsultarMovimientos/Buscar/MsgsError</t>
  </si>
  <si>
    <t>CP74/LineaCaptura/ConsultarMovimientos/Buscar/ExportarCsv</t>
  </si>
  <si>
    <t>CP75/LineaCaptura/ConsultarMovimientos/Busqueda/Filtro</t>
  </si>
  <si>
    <t>CP76/LineaCaptura/ConsultarMovimientos/Busqueda/Detalle</t>
  </si>
  <si>
    <t>CP77/LineaCaptura/ConsultarMovimientos/Busqueda/Paginador</t>
  </si>
  <si>
    <t>CP78/LineaCaptura/CancelacionMasivas</t>
  </si>
  <si>
    <t>CP79/LineaCaptura/CancelacionMasivas/DescargarErrores</t>
  </si>
  <si>
    <t>CP80/LineaCaptura/CancelacionMasivas/MsgsError</t>
  </si>
  <si>
    <t>CP81/LineaCaptura/CancelacionMasivas/ExportarCsv</t>
  </si>
  <si>
    <t>CP82/LineaCaptura/CancelacionMasivas/ListadoMsgsError</t>
  </si>
  <si>
    <t xml:space="preserve">CP83/LineaCaptura/ReportesEstadisticos/CSV </t>
  </si>
  <si>
    <t>CP84/LineaCaptura/ReportesEstadisticos/MsgsError</t>
  </si>
  <si>
    <t>CP85/LineaCaptura/ReportesEstadisticos/Total de XML Generados</t>
  </si>
  <si>
    <t>CP86/LineaCaptura/ReportesEstadisticos/CFDI Timbrados</t>
  </si>
  <si>
    <t>CP87/LineaCaptura/ReportesEstadisticos/XML con incidencia</t>
  </si>
  <si>
    <t>CP88/LineaCaptura/ReportesEstadisticos/Busqueda/Paginador</t>
  </si>
  <si>
    <t>3.-  DPA_Empleado_e.5cinco</t>
  </si>
  <si>
    <t>CP89/e.5cinco/GenerarFacturasElectronicas</t>
  </si>
  <si>
    <t>CP90/e.5cinco/TransferirInsumo</t>
  </si>
  <si>
    <t>CP91/e.5cinco/TransferirInsumo/MsgsError</t>
  </si>
  <si>
    <t>CP92/e.5cinco/TransferirInsumo/BotonCancelar</t>
  </si>
  <si>
    <t>CP93/e.5cinco/TransferirInsumo/ListadoMsgsError</t>
  </si>
  <si>
    <t>CP94/e.5cinco/VerificarInsumo/Checklist</t>
  </si>
  <si>
    <t>CP95/e.5cinco/VerificarInsumo/ChecklistError</t>
  </si>
  <si>
    <t>CP96/e.5cinco/VerificarInsumo/Checklist/DescargarErrores</t>
  </si>
  <si>
    <t>CP97/e.5cinco/VerificarInsumo/Checklist/MsgsError</t>
  </si>
  <si>
    <t>CP98/e.5cinco/VerificarInsumo/ListadoMsgsError</t>
  </si>
  <si>
    <t>CP99/e.5cinco/CargaInsumo</t>
  </si>
  <si>
    <t>CP100/e.5cinco/CargaInsumoCorrecto/DescargarErrores</t>
  </si>
  <si>
    <t>CP101/e.5cinco/CargaInsumo/DescargarPagosExcluidos</t>
  </si>
  <si>
    <t>CP102/e.5cinco/CargaInsumo/FechasDiferentes</t>
  </si>
  <si>
    <t>CP103/e.5cinco/CargaInsumo/MsgsError</t>
  </si>
  <si>
    <t>CP104/e.5cinco/CargaInsumo/MsgError</t>
  </si>
  <si>
    <t>CP105/e.5cinco/GenerarXML</t>
  </si>
  <si>
    <t>CP106/e.5cinco/Consulta_Modificacion_de_Pagos</t>
  </si>
  <si>
    <t>CP107/e.5cinco/Consulta_Modificacion_de_Pagos/MsgsError</t>
  </si>
  <si>
    <t>CP108/e.5cinco/Consulta_Modificacion_de_Pagos/Buscar/VerDetalle</t>
  </si>
  <si>
    <t>CP109/e.5cinco/Consulta_Modificacion_de_Pagos/Buscar/Paginador</t>
  </si>
  <si>
    <t>CP110/e.5cinco/Consulta_Modificacion_de_Pagos/ListadoMsgsError</t>
  </si>
  <si>
    <t>CP111/e.5cinco/Consultar_Informacion_de_Proceso_de_Facturas_Electronicas/Busqueda/MsgsError</t>
  </si>
  <si>
    <t>CP112/e.5cinco/Consultar_Informacion_de_Proceso_de_Facturas_Electronicas/Busqueda/Paginador</t>
  </si>
  <si>
    <t>CP113/e.5cinco/Consultar_Informacion_de_Proceso_de_Facturas_Electronicas/Busqueda/Filtrado</t>
  </si>
  <si>
    <t>CP114/e.5cinco/Consultar_Informacion_de_Proceso_de_Facturas_Electronicas/Busqueda/ControlPrioridad</t>
  </si>
  <si>
    <t>CP115/e.5cinco/Consultar_Informacion_de_Proceso_de_Facturas_Electronicas/DetalleTransferirInsumo</t>
  </si>
  <si>
    <t>CP116/e.5cinco/Consultar_Informacion_de_Proceso_de_Facturas_Electronicas/DetalleVerificarInsumo</t>
  </si>
  <si>
    <t>CP117/e.5cinco/Consultar_Informacion_de_Proceso_de_Facturas_Electronicas/DetalleVerificarInsumo/MsgsError</t>
  </si>
  <si>
    <t>CP118/e.5cinco/Consultar_Informacion_de_Proceso_de_Facturas_Electronicas/DetalleVerificarInsumo/DescargarErrores</t>
  </si>
  <si>
    <t>CP119/e.5cinco/Consultar_Informacion_de_Proceso_de_Facturas_Electronicas/DetalleCargaInsumo</t>
  </si>
  <si>
    <t>CP120/e.5cinco/Consultar_Informacion_de_Proceso_de_Facturas_Electronicas/DetalleCargaInsumo/MsgsError</t>
  </si>
  <si>
    <t>CP121/e.5cinco/Consultar_Informacion_de_Proceso_de_Facturas_Electronicas/DetalleCargaInsumo/DescargarErrores</t>
  </si>
  <si>
    <t>CP122/e.5cinco/Consultar_Informacion_de_Proceso_de_Facturas_Electronicas/DetalleCargaInsumo/DescargarPagosExcluidos</t>
  </si>
  <si>
    <t>CP123/e.5cinco/Consultar_Informacion_de_Proceso_de_Facturas_Electronicas/DetalleGenerarXML</t>
  </si>
  <si>
    <t>CP124/e.5cinco/Consultar_Informacion_de_Proceso_de_Facturas_Electronicas/DetalleGenerarXML/MsgsError</t>
  </si>
  <si>
    <t>CP125/e.5cinco/Consultar_Informacion_de_Proceso_de_Facturas_Electronicas/DetalleGenerarXML/Descargar.xlsx</t>
  </si>
  <si>
    <t>CP126/e.5cinco/Consultar_Informacion_de_Proceso_de_Facturas_Electronicas/DetalleGenerarXML/Descargar.txt</t>
  </si>
  <si>
    <t>CP127/e.5cinco/Consultar_Informacion_de_Proceso_de_Facturas_Electronicas/DetalleTimbrado</t>
  </si>
  <si>
    <t>CP128/e.5cinco/Consultar_Informacion_de_Proceso_de_Facturas_Electronicas/DetalleTimbrado/MsgsError</t>
  </si>
  <si>
    <t>CP129/e.5cinco/Consultar_Informacion_de_Proceso_de_Facturas_Electronicas/DetalleTimbrado/Descargar.xlsx</t>
  </si>
  <si>
    <t>CP130/e.5cinco/Consultar_Informacion_de_Proceso_de_Facturas_Electronicas/DetalleTimbrado/Descargar.txt</t>
  </si>
  <si>
    <t>CP131/e.5cinco/Consultar_Informacion_de_Proceso_de_Facturas_Electronicas/ModificadasOReexpedidas</t>
  </si>
  <si>
    <t>CP132/e.5cinco/Consultar_Informacion_de_Proceso_de_Facturas_Electronicas/RegistroModificado/DetalleGeneracionXML</t>
  </si>
  <si>
    <t>CP133/e.5cinco/Consultar_Informacion_de_Proceso_de_Facturas_Electronicas/RegistroModificado/DetalleGeneracionXML/Descargar.xlsx</t>
  </si>
  <si>
    <t>CP134/e.5cinco/Consultar_Informacion_de_Proceso_de_Facturas_Electronicas/RegistroModificado/DetalleGeneracionXML/Descargar.txt</t>
  </si>
  <si>
    <t>CP135/e.5cinco/Consultar_Informacion_de_Proceso_de_Facturas_Electronicas/RegistroModificado/DetalleTimbrado/Descargar.xlsx</t>
  </si>
  <si>
    <t>CP136/e.5cinco/Consultar_Informacion_de_Proceso_de_Facturas_Electronicas/RegistroModificado/DetalleTimbrado/Descargar.txt</t>
  </si>
  <si>
    <t>CP137/e.5cinco/Consultar_Informacion_de_Proceso_de_Facturas_Electronicas/RegistroReexpedido/DetalleGeneracionXML</t>
  </si>
  <si>
    <t>CP138/e.5cinco/Consultar_Informacion_de_Proceso_de_Facturas_Electronicas/RegistroReexpedido/DetalleGeneracionXML/Descargar.xlsx</t>
  </si>
  <si>
    <t>CP139/e.5cinco/Consultar_Informacion_de_Proceso_de_Facturas_Electronicas/RegistroReexpedido/DetalleGeneracionXML/Descargar.txt</t>
  </si>
  <si>
    <t>CP140/e.5cinco/Consultar_Informacion_de_Proceso_de_Facturas_Electronicas/DetalleRegistroReexpedido/Timbrado</t>
  </si>
  <si>
    <t>CP141/e.5cinco/Consultar_Informacion_de_Proceso_de_Facturas_Electronicas/RegistroReexpedido/DetalleTimbrado/Descargar.xlsx</t>
  </si>
  <si>
    <t>CP142/e.5cinco/Consultar_Informacion_de_Proceso_de_Facturas_Electronicas/RegistroReexpedido/DetalleTimbrado/Descargar.txt</t>
  </si>
  <si>
    <t>CP143/e.5cinco/Consultar_Informacion_de_Proceso_de_Facturas_Electronicas/ListadoMsgsError</t>
  </si>
  <si>
    <t>CP144/e.5cinco/ConsultarFacturas/BusquedaFolioFiscal/Reexpedir</t>
  </si>
  <si>
    <t>CP145/e.5cinco/ConsultarFacturas/BusquedaFolioFiscal/MsgsError</t>
  </si>
  <si>
    <t>CP146/e.5cinco/ConsultarFacturas/BusquedaNumeroDeOperacion/Reexpedir</t>
  </si>
  <si>
    <t>CP147/e.5cinco/ConsultarFacturas/BusquedaRFCEmisor/Reexpedir</t>
  </si>
  <si>
    <t>CP148/e.5cinco/ConsultarFacturas/BusquedaRFCEmisor/MsgsError</t>
  </si>
  <si>
    <t>CP149/e.5cinco/ConsultarFacturas/BusquedaInsumo/Exportar .csv</t>
  </si>
  <si>
    <t>CP150/e.5cinco/ConsultarFacturas/BusquedaInsumo/Acuse</t>
  </si>
  <si>
    <t>CP151/e.5cinco/ConsultarFacturas/BusquedaEstatus</t>
  </si>
  <si>
    <t>CP152/e.5cinco/ConsultarFacturas/Busqueda/BotonDetalle</t>
  </si>
  <si>
    <t>CP153/e.5cinco/ConsultarFacturas/Busqueda/BotonAcuse</t>
  </si>
  <si>
    <t>CP154/e.5cinco/ConsultarFacturas/Busqueda/MsgsError</t>
  </si>
  <si>
    <t>CP155/e.5cinco/ConsultarFacturas/Busqueda/CancelacionFactura</t>
  </si>
  <si>
    <t>CP156/e.5cinco/ConsultarFacturas/Busqueda/CancelacionFactura/MsgsError</t>
  </si>
  <si>
    <t>CP157/e.5cinco/ConsultarMovimientos/Buscar/MsgsError</t>
  </si>
  <si>
    <t>CP158/e.5cinco/ConsultarMovimientos/Buscar/ExportarCsv</t>
  </si>
  <si>
    <t>CP159/e.5cinco/ConsultarMovimientos/Busqueda/Filtro</t>
  </si>
  <si>
    <t>CP160/e.5cinco/ConsultarMovimientos/Busqueda/Detalle</t>
  </si>
  <si>
    <t>CP161/e.5cinco/ConsultarMovimientos/Busqueda/Paginador</t>
  </si>
  <si>
    <t>CP162/e.5cinco/CancelacionMasivas</t>
  </si>
  <si>
    <t>CP163/e.5cinco/CancelacionMasivas/DescargarErrores</t>
  </si>
  <si>
    <t>CP164/e.5cinco/CancelacionMasivas/MsgsError</t>
  </si>
  <si>
    <t>CP165/e.5cinco/CancelacionMasivas/ExportarCsv</t>
  </si>
  <si>
    <t>CP166/e.5cinco/CancelacionMasivas/ListadoMsgsError</t>
  </si>
  <si>
    <t xml:space="preserve">CP167/e.5cinco/ReportesEstadisticos/CSV </t>
  </si>
  <si>
    <t>CP168/e.5cinco/ReportesEstadisticos/MsgsError</t>
  </si>
  <si>
    <t>CP169/e.5cinco/ReportesEstadisticos/Total de XML Generados</t>
  </si>
  <si>
    <t>CP170/e.5cinco/ReportesEstadisticos/CFDI Timbrados</t>
  </si>
  <si>
    <t>CP171/e.5cinco/ReportesEstadisticos/XML con incidencia</t>
  </si>
  <si>
    <t>CP172/e.5cinco/ReportesEstadisticos/Busqueda/Paginador</t>
  </si>
  <si>
    <r>
      <t xml:space="preserve">En caso de que exista alguna inconsistencia, muestra un mensaje de error y marca el error en la “Lista de verificación de la carga del insumo de información al aplicativo” (ver pantalla 04)
</t>
    </r>
    <r>
      <rPr>
        <b/>
        <sz val="10"/>
        <rFont val="Noto Sans"/>
        <family val="2"/>
      </rPr>
      <t>Los mensajes de error estan en el CP20</t>
    </r>
  </si>
  <si>
    <t>Previamente se realizaron los casos de prueba:
CP06
CP10
CP15</t>
  </si>
  <si>
    <t>Sección: Firma para generar XML del Insumo de Información
Encabezado:
•	Fecha
•	Título de la sección
•	DPA
•	Cerrar sesión
•	Certificado (.cer)
•	Clave Privada (.key)
•	Contraseña de Clave Privada
•	RFC.
        Opciones: 
•	Buscar
•	Firmar
•	Limpiar
•	Regresar.</t>
  </si>
  <si>
    <r>
      <rPr>
        <sz val="10"/>
        <rFont val="Noto Sans"/>
        <family val="2"/>
      </rPr>
      <t xml:space="preserve">MSG001
MSG008
MSG009
</t>
    </r>
    <r>
      <rPr>
        <b/>
        <sz val="10"/>
        <rFont val="Noto Sans"/>
        <family val="2"/>
      </rPr>
      <t xml:space="preserve">
Los mensajes de error se encuentran en el CP26</t>
    </r>
  </si>
  <si>
    <r>
      <t xml:space="preserve">MSG001
MSG002
MSG003
MSG004
MSG005
MSG010
</t>
    </r>
    <r>
      <rPr>
        <b/>
        <sz val="10"/>
        <color theme="1"/>
        <rFont val="Noto Sans"/>
        <family val="2"/>
      </rPr>
      <t>Los mensajes de error se encuentran en el CP26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</si>
</sst>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 #,##0.00_-;_-* \-??_-;_-@_-"/>
    <numFmt numFmtId="165" formatCode="dd/mm/yyyy;@"/>
  </numFmts>
  <fonts count="46" x14ac:knownFonts="1">
    <font>
      <sz val="11"/>
      <color rgb="FF000000"/>
      <name val="Calibri"/>
      <family val="2"/>
      <charset val="1"/>
    </font>
    <font>
      <sz val="10"/>
      <name val="Arial"/>
      <family val="2"/>
      <charset val="1"/>
    </font>
    <font>
      <b/>
      <sz val="12"/>
      <name val="Arial"/>
      <family val="2"/>
      <charset val="1"/>
    </font>
    <font>
      <sz val="10"/>
      <name val="Verdana"/>
      <family val="2"/>
      <charset val="1"/>
    </font>
    <font>
      <sz val="8"/>
      <name val="Arial"/>
      <family val="2"/>
      <charset val="1"/>
    </font>
    <font>
      <sz val="10"/>
      <name val="Noto Sans"/>
      <family val="2"/>
      <charset val="1"/>
    </font>
    <font>
      <sz val="10"/>
      <color rgb="FF0070C0"/>
      <name val="Noto Sans"/>
      <family val="2"/>
      <charset val="1"/>
    </font>
    <font>
      <b/>
      <i/>
      <sz val="10"/>
      <color rgb="FF1403EF"/>
      <name val="Noto Sans"/>
      <family val="2"/>
      <charset val="1"/>
    </font>
    <font>
      <i/>
      <sz val="10"/>
      <color rgb="FF1403EF"/>
      <name val="Noto Sans"/>
      <family val="2"/>
      <charset val="1"/>
    </font>
    <font>
      <sz val="10"/>
      <color rgb="FF1403EF"/>
      <name val="Noto Sans"/>
      <family val="2"/>
      <charset val="1"/>
    </font>
    <font>
      <b/>
      <i/>
      <sz val="10"/>
      <color rgb="FF0000FF"/>
      <name val="Noto Sans"/>
      <family val="2"/>
      <charset val="1"/>
    </font>
    <font>
      <i/>
      <sz val="10"/>
      <color rgb="FF0000FF"/>
      <name val="Noto Sans"/>
      <family val="2"/>
      <charset val="1"/>
    </font>
    <font>
      <b/>
      <sz val="10"/>
      <name val="Noto Sans"/>
      <family val="2"/>
      <charset val="1"/>
    </font>
    <font>
      <b/>
      <sz val="10"/>
      <color rgb="FF002060"/>
      <name val="Noto Sans"/>
      <family val="2"/>
      <charset val="1"/>
    </font>
    <font>
      <sz val="10"/>
      <color rgb="FF0000FF"/>
      <name val="Noto Sans"/>
      <family val="2"/>
      <charset val="1"/>
    </font>
    <font>
      <b/>
      <sz val="10"/>
      <color rgb="FF000000"/>
      <name val="Noto Sans"/>
      <family val="2"/>
      <charset val="1"/>
    </font>
    <font>
      <sz val="10"/>
      <color rgb="FF000000"/>
      <name val="Noto Sans"/>
      <family val="2"/>
      <charset val="1"/>
    </font>
    <font>
      <sz val="11"/>
      <color rgb="FF000000"/>
      <name val="Noto Sans"/>
      <family val="2"/>
      <charset val="1"/>
    </font>
    <font>
      <sz val="11"/>
      <name val="Noto Sans"/>
      <family val="2"/>
      <charset val="1"/>
    </font>
    <font>
      <i/>
      <sz val="10"/>
      <name val="Noto Sans"/>
      <family val="2"/>
      <charset val="1"/>
    </font>
    <font>
      <i/>
      <u/>
      <sz val="10"/>
      <name val="Noto Sans"/>
      <family val="2"/>
      <charset val="1"/>
    </font>
    <font>
      <b/>
      <i/>
      <sz val="10"/>
      <name val="Noto Sans"/>
      <family val="2"/>
      <charset val="1"/>
    </font>
    <font>
      <b/>
      <sz val="11"/>
      <name val="Noto Sans"/>
      <family val="2"/>
      <charset val="1"/>
    </font>
    <font>
      <b/>
      <i/>
      <sz val="10"/>
      <color rgb="FF000000"/>
      <name val="Noto Sans"/>
      <family val="2"/>
      <charset val="1"/>
    </font>
    <font>
      <sz val="9"/>
      <color rgb="FF000000"/>
      <name val="Noto Sans"/>
      <family val="2"/>
      <charset val="1"/>
    </font>
    <font>
      <b/>
      <i/>
      <sz val="9"/>
      <color rgb="FF1403EF"/>
      <name val="Noto Sans"/>
      <family val="2"/>
      <charset val="1"/>
    </font>
    <font>
      <b/>
      <sz val="8"/>
      <color rgb="FF000000"/>
      <name val="Noto Sans"/>
      <family val="2"/>
      <charset val="1"/>
    </font>
    <font>
      <b/>
      <sz val="9"/>
      <color rgb="FF376B48"/>
      <name val="Noto Sans"/>
      <family val="2"/>
      <charset val="1"/>
    </font>
    <font>
      <b/>
      <sz val="11"/>
      <color rgb="FF000000"/>
      <name val="Noto Sans"/>
      <family val="2"/>
      <charset val="1"/>
    </font>
    <font>
      <sz val="6"/>
      <color rgb="FF0000FF"/>
      <name val="Noto Sans"/>
      <family val="2"/>
      <charset val="1"/>
    </font>
    <font>
      <sz val="7"/>
      <color rgb="FF0000FF"/>
      <name val="Noto Sans"/>
      <family val="2"/>
      <charset val="1"/>
    </font>
    <font>
      <b/>
      <sz val="7"/>
      <color rgb="FF0000FF"/>
      <name val="Noto Sans"/>
      <family val="2"/>
      <charset val="1"/>
    </font>
    <font>
      <sz val="11"/>
      <color rgb="FF000000"/>
      <name val="Calibri"/>
      <family val="2"/>
      <charset val="1"/>
    </font>
    <font>
      <sz val="10"/>
      <name val="Noto Sans"/>
      <family val="2"/>
    </font>
    <font>
      <sz val="10"/>
      <color rgb="FFFF0000"/>
      <name val="Noto Sans"/>
      <family val="2"/>
    </font>
    <font>
      <sz val="8"/>
      <name val="Calibri"/>
      <family val="2"/>
      <charset val="1"/>
    </font>
    <font>
      <sz val="10"/>
      <color theme="1"/>
      <name val="Noto Sans"/>
      <family val="2"/>
    </font>
    <font>
      <b/>
      <sz val="10"/>
      <name val="Noto Sans"/>
      <family val="2"/>
    </font>
    <font>
      <sz val="11"/>
      <name val="Calibri"/>
      <family val="2"/>
      <charset val="1"/>
    </font>
    <font>
      <sz val="10"/>
      <name val="Montserrat"/>
    </font>
    <font>
      <b/>
      <sz val="10"/>
      <name val="Montserrat"/>
    </font>
    <font>
      <sz val="10"/>
      <color rgb="FF000000"/>
      <name val="Montserrat"/>
    </font>
    <font>
      <b/>
      <sz val="10"/>
      <color theme="1"/>
      <name val="Noto Sans"/>
      <family val="2"/>
    </font>
    <font>
      <b/>
      <sz val="10"/>
      <color rgb="FF000000"/>
      <name val="Montserrat"/>
    </font>
    <font>
      <sz val="7"/>
      <color rgb="FF000000"/>
      <name val="Times New Roman"/>
      <family val="1"/>
    </font>
    <font>
      <sz val="10"/>
      <color rgb="FF000000"/>
      <name val="Montserrat"/>
      <family val="1"/>
    </font>
  </fonts>
  <fills count="13">
    <fill>
      <patternFill patternType="none"/>
    </fill>
    <fill>
      <patternFill patternType="gray125"/>
    </fill>
    <fill>
      <patternFill patternType="solid">
        <fgColor rgb="FF969696"/>
        <bgColor rgb="FF808080"/>
      </patternFill>
    </fill>
    <fill>
      <patternFill patternType="solid">
        <fgColor rgb="FFC0C0C0"/>
        <bgColor rgb="FFBFBFBF"/>
      </patternFill>
    </fill>
    <fill>
      <patternFill patternType="solid">
        <fgColor rgb="FFD9D9D9"/>
        <bgColor rgb="FFC6D9F1"/>
      </patternFill>
    </fill>
    <fill>
      <patternFill patternType="solid">
        <fgColor rgb="FFC6D9F1"/>
        <bgColor rgb="FFD9D9D9"/>
      </patternFill>
    </fill>
    <fill>
      <patternFill patternType="solid">
        <fgColor rgb="FFFFFFFF"/>
        <bgColor rgb="FFF2F2F2"/>
      </patternFill>
    </fill>
    <fill>
      <patternFill patternType="solid">
        <fgColor rgb="FFBFBFBF"/>
        <bgColor rgb="FFC0C0C0"/>
      </patternFill>
    </fill>
    <fill>
      <patternFill patternType="solid">
        <fgColor rgb="FFF2F2F2"/>
        <bgColor rgb="FFFFFFFF"/>
      </patternFill>
    </fill>
    <fill>
      <patternFill patternType="solid">
        <fgColor theme="3" tint="0.89999084444715716"/>
        <bgColor indexed="64"/>
      </patternFill>
    </fill>
    <fill>
      <patternFill patternType="solid">
        <fgColor theme="0"/>
        <bgColor indexed="64"/>
      </patternFill>
    </fill>
    <fill>
      <patternFill patternType="solid">
        <fgColor rgb="FFD9D9D9"/>
        <bgColor rgb="FFDCE6F2"/>
      </patternFill>
    </fill>
    <fill>
      <patternFill patternType="solid">
        <fgColor rgb="FFDCE6F2"/>
        <bgColor rgb="FFD9D9D9"/>
      </patternFill>
    </fill>
  </fills>
  <borders count="26">
    <border>
      <left/>
      <right/>
      <top/>
      <bottom/>
      <diagonal/>
    </border>
    <border>
      <left/>
      <right/>
      <top style="medium">
        <color auto="1"/>
      </top>
      <bottom style="medium">
        <color auto="1"/>
      </bottom>
      <diagonal/>
    </border>
    <border>
      <left/>
      <right/>
      <top style="thin">
        <color auto="1"/>
      </top>
      <bottom style="thin">
        <color auto="1"/>
      </bottom>
      <diagonal/>
    </border>
    <border>
      <left style="thin">
        <color rgb="FF2C1CFC"/>
      </left>
      <right style="thin">
        <color rgb="FF2C1CFC"/>
      </right>
      <top style="thin">
        <color rgb="FF2C1CFC"/>
      </top>
      <bottom style="thin">
        <color rgb="FF2C1CFC"/>
      </bottom>
      <diagonal/>
    </border>
    <border>
      <left style="thin">
        <color rgb="FF2C1CFC"/>
      </left>
      <right/>
      <top/>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medium">
        <color auto="1"/>
      </right>
      <top style="medium">
        <color auto="1"/>
      </top>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medium">
        <color auto="1"/>
      </left>
      <right style="thin">
        <color auto="1"/>
      </right>
      <top/>
      <bottom style="medium">
        <color auto="1"/>
      </bottom>
      <diagonal/>
    </border>
    <border>
      <left style="medium">
        <color auto="1"/>
      </left>
      <right/>
      <top style="medium">
        <color auto="1"/>
      </top>
      <bottom style="medium">
        <color auto="1"/>
      </bottom>
      <diagonal/>
    </border>
    <border>
      <left style="thin">
        <color auto="1"/>
      </left>
      <right style="thin">
        <color auto="1"/>
      </right>
      <top style="thin">
        <color auto="1"/>
      </top>
      <bottom style="thin">
        <color auto="1"/>
      </bottom>
      <diagonal/>
    </border>
    <border>
      <left style="thin">
        <color auto="1"/>
      </left>
      <right style="medium">
        <color auto="1"/>
      </right>
      <top style="medium">
        <color auto="1"/>
      </top>
      <bottom style="thin">
        <color auto="1"/>
      </bottom>
      <diagonal/>
    </border>
    <border>
      <left style="thin">
        <color auto="1"/>
      </left>
      <right/>
      <top/>
      <bottom style="thin">
        <color auto="1"/>
      </bottom>
      <diagonal/>
    </border>
    <border>
      <left/>
      <right/>
      <top style="thin">
        <color auto="1"/>
      </top>
      <bottom/>
      <diagonal/>
    </border>
    <border>
      <left/>
      <right style="medium">
        <color auto="1"/>
      </right>
      <top style="medium">
        <color auto="1"/>
      </top>
      <bottom style="medium">
        <color auto="1"/>
      </bottom>
      <diagonal/>
    </border>
    <border>
      <left style="thin">
        <color auto="1"/>
      </left>
      <right style="thin">
        <color auto="1"/>
      </right>
      <top/>
      <bottom style="thin">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right style="medium">
        <color auto="1"/>
      </right>
      <top/>
      <bottom style="medium">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auto="1"/>
      </left>
      <right style="thin">
        <color auto="1"/>
      </right>
      <top/>
      <bottom/>
      <diagonal/>
    </border>
  </borders>
  <cellStyleXfs count="12">
    <xf numFmtId="0" fontId="0" fillId="0" borderId="0"/>
    <xf numFmtId="0" fontId="1" fillId="0" borderId="0"/>
    <xf numFmtId="164" fontId="32" fillId="0" borderId="0" applyBorder="0" applyProtection="0"/>
    <xf numFmtId="0" fontId="2" fillId="0" borderId="1" applyProtection="0"/>
    <xf numFmtId="0" fontId="2" fillId="0" borderId="2">
      <alignment horizontal="left" vertical="center"/>
    </xf>
    <xf numFmtId="0" fontId="3" fillId="0" borderId="0"/>
    <xf numFmtId="0" fontId="4" fillId="0" borderId="0"/>
    <xf numFmtId="0" fontId="3" fillId="0" borderId="0"/>
    <xf numFmtId="0" fontId="3" fillId="0" borderId="0"/>
    <xf numFmtId="0" fontId="32" fillId="0" borderId="0"/>
    <xf numFmtId="9" fontId="32" fillId="0" borderId="0" applyBorder="0" applyProtection="0"/>
    <xf numFmtId="9" fontId="32" fillId="0" borderId="0" applyBorder="0" applyProtection="0"/>
  </cellStyleXfs>
  <cellXfs count="142">
    <xf numFmtId="0" fontId="0" fillId="0" borderId="0" xfId="0"/>
    <xf numFmtId="0" fontId="5" fillId="0" borderId="0" xfId="7" applyFont="1" applyAlignment="1">
      <alignment wrapText="1"/>
    </xf>
    <xf numFmtId="0" fontId="6" fillId="0" borderId="0" xfId="7" applyFont="1" applyAlignment="1">
      <alignment horizontal="center" vertical="center" wrapText="1"/>
    </xf>
    <xf numFmtId="0" fontId="5" fillId="0" borderId="0" xfId="7" applyFont="1" applyAlignment="1">
      <alignment horizontal="center" vertical="center" wrapText="1"/>
    </xf>
    <xf numFmtId="0" fontId="5" fillId="0" borderId="4" xfId="7" applyFont="1" applyBorder="1" applyAlignment="1">
      <alignment wrapText="1"/>
    </xf>
    <xf numFmtId="0" fontId="9" fillId="0" borderId="0" xfId="5" applyFont="1" applyAlignment="1">
      <alignment horizontal="left" wrapText="1"/>
    </xf>
    <xf numFmtId="0" fontId="11" fillId="0" borderId="0" xfId="7" applyFont="1" applyAlignment="1">
      <alignment horizontal="left" vertical="center" wrapText="1"/>
    </xf>
    <xf numFmtId="0" fontId="12" fillId="0" borderId="0" xfId="7" applyFont="1" applyAlignment="1">
      <alignment wrapText="1"/>
    </xf>
    <xf numFmtId="0" fontId="5" fillId="0" borderId="0" xfId="7" applyFont="1" applyAlignment="1">
      <alignment vertical="center" wrapText="1"/>
    </xf>
    <xf numFmtId="0" fontId="13" fillId="0" borderId="0" xfId="7" applyFont="1" applyAlignment="1">
      <alignment horizontal="center" vertical="center" wrapText="1"/>
    </xf>
    <xf numFmtId="0" fontId="14" fillId="0" borderId="0" xfId="0" applyFont="1" applyAlignment="1">
      <alignment vertical="center" wrapText="1"/>
    </xf>
    <xf numFmtId="0" fontId="15" fillId="4" borderId="14" xfId="0" applyFont="1" applyFill="1" applyBorder="1" applyAlignment="1">
      <alignment horizontal="center" vertical="center"/>
    </xf>
    <xf numFmtId="49" fontId="16" fillId="0" borderId="14" xfId="0" applyNumberFormat="1" applyFont="1" applyBorder="1" applyAlignment="1">
      <alignment horizontal="center" vertical="center"/>
    </xf>
    <xf numFmtId="0" fontId="16" fillId="0" borderId="14" xfId="0" applyFont="1" applyBorder="1" applyAlignment="1">
      <alignment horizontal="left" vertical="center" wrapText="1"/>
    </xf>
    <xf numFmtId="0" fontId="5" fillId="0" borderId="14" xfId="0" applyFont="1" applyBorder="1" applyAlignment="1">
      <alignment horizontal="left" vertical="center" wrapText="1"/>
    </xf>
    <xf numFmtId="165" fontId="5" fillId="0" borderId="14" xfId="0" applyNumberFormat="1" applyFont="1" applyBorder="1" applyAlignment="1">
      <alignment horizontal="center" vertical="center"/>
    </xf>
    <xf numFmtId="49" fontId="15" fillId="0" borderId="14" xfId="0" applyNumberFormat="1" applyFont="1" applyBorder="1" applyAlignment="1">
      <alignment horizontal="center" vertical="center"/>
    </xf>
    <xf numFmtId="0" fontId="15" fillId="0" borderId="14" xfId="0" applyFont="1" applyBorder="1" applyAlignment="1">
      <alignment horizontal="left" vertical="center" wrapText="1"/>
    </xf>
    <xf numFmtId="0" fontId="17" fillId="0" borderId="0" xfId="0" applyFont="1"/>
    <xf numFmtId="0" fontId="16" fillId="0" borderId="0" xfId="0" applyFont="1"/>
    <xf numFmtId="0" fontId="5" fillId="0" borderId="0" xfId="0" applyFont="1" applyAlignment="1">
      <alignment wrapText="1"/>
    </xf>
    <xf numFmtId="0" fontId="18" fillId="0" borderId="0" xfId="0" applyFont="1" applyAlignment="1">
      <alignment wrapText="1"/>
    </xf>
    <xf numFmtId="0" fontId="5" fillId="0" borderId="0" xfId="0" applyFont="1" applyAlignment="1">
      <alignment vertical="center" wrapText="1"/>
    </xf>
    <xf numFmtId="0" fontId="5" fillId="0" borderId="14" xfId="0" applyFont="1" applyBorder="1" applyAlignment="1">
      <alignment vertical="center" wrapText="1"/>
    </xf>
    <xf numFmtId="0" fontId="5" fillId="0" borderId="0" xfId="0" applyFont="1" applyAlignment="1">
      <alignment horizontal="center" vertical="center" wrapText="1"/>
    </xf>
    <xf numFmtId="0" fontId="5" fillId="0" borderId="0" xfId="0" applyFont="1" applyAlignment="1">
      <alignment horizontal="justify" vertical="center" wrapText="1"/>
    </xf>
    <xf numFmtId="0" fontId="5" fillId="0" borderId="0" xfId="0" applyFont="1"/>
    <xf numFmtId="0" fontId="12" fillId="7" borderId="5" xfId="0" applyFont="1" applyFill="1" applyBorder="1" applyAlignment="1">
      <alignment horizontal="center" vertical="center" wrapText="1"/>
    </xf>
    <xf numFmtId="0" fontId="12" fillId="0" borderId="5" xfId="0" applyFont="1" applyBorder="1" applyAlignment="1">
      <alignment horizontal="center" vertical="center" wrapText="1"/>
    </xf>
    <xf numFmtId="0" fontId="12" fillId="7" borderId="18" xfId="0" applyFont="1" applyFill="1" applyBorder="1" applyAlignment="1">
      <alignment horizontal="center" vertical="center" wrapText="1"/>
    </xf>
    <xf numFmtId="0" fontId="19" fillId="0" borderId="19" xfId="0" applyFont="1" applyBorder="1" applyAlignment="1">
      <alignment vertical="top" wrapText="1"/>
    </xf>
    <xf numFmtId="0" fontId="19" fillId="0" borderId="14" xfId="0" applyFont="1" applyBorder="1" applyAlignment="1">
      <alignment vertical="top" wrapText="1"/>
    </xf>
    <xf numFmtId="0" fontId="12" fillId="4" borderId="14" xfId="0" applyFont="1" applyFill="1" applyBorder="1" applyAlignment="1">
      <alignment vertical="center" wrapText="1"/>
    </xf>
    <xf numFmtId="0" fontId="5" fillId="4" borderId="14" xfId="0" applyFont="1" applyFill="1" applyBorder="1" applyAlignment="1">
      <alignment horizontal="center" vertical="center" wrapText="1"/>
    </xf>
    <xf numFmtId="0" fontId="5" fillId="4" borderId="14" xfId="0" applyFont="1" applyFill="1" applyBorder="1" applyAlignment="1">
      <alignment horizontal="justify" vertical="center" wrapText="1"/>
    </xf>
    <xf numFmtId="0" fontId="5" fillId="4" borderId="14" xfId="0" applyFont="1" applyFill="1" applyBorder="1" applyAlignment="1">
      <alignment vertical="center"/>
    </xf>
    <xf numFmtId="0" fontId="5" fillId="0" borderId="14" xfId="0" applyFont="1" applyBorder="1" applyAlignment="1">
      <alignment horizontal="center" vertical="center" wrapText="1"/>
    </xf>
    <xf numFmtId="0" fontId="5" fillId="0" borderId="14" xfId="0" applyFont="1" applyBorder="1" applyAlignment="1">
      <alignment horizontal="justify" vertical="center" wrapText="1"/>
    </xf>
    <xf numFmtId="0" fontId="5" fillId="4" borderId="14" xfId="0" applyFont="1" applyFill="1" applyBorder="1" applyAlignment="1">
      <alignment vertical="center" wrapText="1"/>
    </xf>
    <xf numFmtId="0" fontId="12" fillId="4" borderId="14" xfId="0" applyFont="1" applyFill="1" applyBorder="1" applyAlignment="1">
      <alignment horizontal="left" vertical="center" wrapText="1"/>
    </xf>
    <xf numFmtId="0" fontId="12" fillId="4" borderId="14" xfId="0" applyFont="1" applyFill="1" applyBorder="1" applyAlignment="1">
      <alignment horizontal="center" vertical="center" wrapText="1"/>
    </xf>
    <xf numFmtId="0" fontId="12" fillId="4" borderId="14" xfId="0" applyFont="1" applyFill="1" applyBorder="1" applyAlignment="1">
      <alignment horizontal="justify" vertical="center" wrapText="1"/>
    </xf>
    <xf numFmtId="0" fontId="5" fillId="4" borderId="2" xfId="0" applyFont="1" applyFill="1" applyBorder="1" applyAlignment="1">
      <alignment horizontal="justify" vertical="center"/>
    </xf>
    <xf numFmtId="0" fontId="5" fillId="0" borderId="14" xfId="0" applyFont="1" applyBorder="1" applyAlignment="1">
      <alignment wrapText="1"/>
    </xf>
    <xf numFmtId="0" fontId="12" fillId="0" borderId="14" xfId="0" applyFont="1" applyBorder="1" applyAlignment="1">
      <alignment horizontal="justify" vertical="center" wrapText="1"/>
    </xf>
    <xf numFmtId="0" fontId="12" fillId="4" borderId="14" xfId="0" applyFont="1" applyFill="1" applyBorder="1" applyAlignment="1">
      <alignment horizontal="justify" vertical="center"/>
    </xf>
    <xf numFmtId="0" fontId="22" fillId="4" borderId="14" xfId="0" applyFont="1" applyFill="1" applyBorder="1" applyAlignment="1">
      <alignment wrapText="1"/>
    </xf>
    <xf numFmtId="0" fontId="12" fillId="4" borderId="14" xfId="0" applyFont="1" applyFill="1" applyBorder="1" applyAlignment="1">
      <alignment wrapText="1"/>
    </xf>
    <xf numFmtId="0" fontId="11" fillId="0" borderId="0" xfId="9" applyFont="1"/>
    <xf numFmtId="0" fontId="8" fillId="0" borderId="0" xfId="9" applyFont="1" applyAlignment="1">
      <alignment vertical="center"/>
    </xf>
    <xf numFmtId="0" fontId="23" fillId="0" borderId="0" xfId="0" applyFont="1" applyAlignment="1">
      <alignment vertical="center"/>
    </xf>
    <xf numFmtId="0" fontId="7" fillId="0" borderId="0" xfId="0" applyFont="1" applyAlignment="1">
      <alignment horizontal="center" vertical="center"/>
    </xf>
    <xf numFmtId="0" fontId="15" fillId="0" borderId="0" xfId="0" applyFont="1" applyAlignment="1">
      <alignment horizontal="right" vertical="center"/>
    </xf>
    <xf numFmtId="0" fontId="16" fillId="0" borderId="0" xfId="0" applyFont="1" applyAlignment="1">
      <alignment horizontal="left" vertical="center"/>
    </xf>
    <xf numFmtId="0" fontId="15" fillId="4" borderId="20" xfId="0" applyFont="1" applyFill="1" applyBorder="1" applyAlignment="1">
      <alignment horizontal="center" vertical="center" wrapText="1"/>
    </xf>
    <xf numFmtId="0" fontId="15" fillId="0" borderId="21" xfId="0" applyFont="1" applyBorder="1" applyAlignment="1">
      <alignment vertical="center" wrapText="1"/>
    </xf>
    <xf numFmtId="0" fontId="15" fillId="0" borderId="22" xfId="0" applyFont="1" applyBorder="1" applyAlignment="1">
      <alignment vertical="center" wrapText="1"/>
    </xf>
    <xf numFmtId="0" fontId="15" fillId="4" borderId="21" xfId="0" applyFont="1" applyFill="1" applyBorder="1" applyAlignment="1">
      <alignment horizontal="center" vertical="center" wrapText="1"/>
    </xf>
    <xf numFmtId="0" fontId="15" fillId="4" borderId="22" xfId="0" applyFont="1" applyFill="1" applyBorder="1" applyAlignment="1">
      <alignment horizontal="center" vertical="center" wrapText="1"/>
    </xf>
    <xf numFmtId="0" fontId="25" fillId="0" borderId="0" xfId="0" applyFont="1" applyAlignment="1">
      <alignment vertical="center"/>
    </xf>
    <xf numFmtId="0" fontId="5" fillId="0" borderId="0" xfId="5" applyFont="1"/>
    <xf numFmtId="15" fontId="17" fillId="0" borderId="0" xfId="0" applyNumberFormat="1" applyFont="1"/>
    <xf numFmtId="49" fontId="16" fillId="9" borderId="14" xfId="0" applyNumberFormat="1" applyFont="1" applyFill="1" applyBorder="1" applyAlignment="1">
      <alignment horizontal="center" vertical="center"/>
    </xf>
    <xf numFmtId="0" fontId="16" fillId="9" borderId="14" xfId="0" applyFont="1" applyFill="1" applyBorder="1" applyAlignment="1">
      <alignment horizontal="left" vertical="center" wrapText="1"/>
    </xf>
    <xf numFmtId="0" fontId="5" fillId="9" borderId="14" xfId="0" applyFont="1" applyFill="1" applyBorder="1" applyAlignment="1">
      <alignment horizontal="left" vertical="center" wrapText="1"/>
    </xf>
    <xf numFmtId="165" fontId="5" fillId="9" borderId="14" xfId="0" applyNumberFormat="1" applyFont="1" applyFill="1" applyBorder="1" applyAlignment="1">
      <alignment horizontal="center" vertical="center"/>
    </xf>
    <xf numFmtId="0" fontId="32" fillId="0" borderId="0" xfId="0" applyFont="1"/>
    <xf numFmtId="0" fontId="18" fillId="0" borderId="0" xfId="0" applyFont="1" applyAlignment="1">
      <alignment horizontal="center" vertical="center" wrapText="1"/>
    </xf>
    <xf numFmtId="0" fontId="5" fillId="0" borderId="0" xfId="0" applyFont="1" applyAlignment="1">
      <alignment horizontal="center" vertical="center"/>
    </xf>
    <xf numFmtId="0" fontId="12" fillId="0" borderId="14" xfId="0" applyFont="1" applyBorder="1" applyAlignment="1">
      <alignment vertical="center" wrapText="1"/>
    </xf>
    <xf numFmtId="0" fontId="12" fillId="0" borderId="14" xfId="0" applyFont="1" applyBorder="1" applyAlignment="1">
      <alignment horizontal="left" vertical="center" wrapText="1"/>
    </xf>
    <xf numFmtId="0" fontId="12" fillId="0" borderId="14" xfId="0" applyFont="1" applyBorder="1" applyAlignment="1">
      <alignment horizontal="center" vertical="center" wrapText="1"/>
    </xf>
    <xf numFmtId="0" fontId="34" fillId="0" borderId="14" xfId="0" applyFont="1" applyBorder="1" applyAlignment="1">
      <alignment horizontal="justify" vertical="center" wrapText="1"/>
    </xf>
    <xf numFmtId="0" fontId="38" fillId="0" borderId="0" xfId="0" applyFont="1" applyAlignment="1">
      <alignment wrapText="1"/>
    </xf>
    <xf numFmtId="0" fontId="39" fillId="0" borderId="14" xfId="0" applyFont="1" applyBorder="1" applyAlignment="1">
      <alignment horizontal="center" vertical="center" wrapText="1"/>
    </xf>
    <xf numFmtId="0" fontId="40" fillId="0" borderId="14" xfId="0" applyFont="1" applyBorder="1" applyAlignment="1">
      <alignment vertical="center" wrapText="1"/>
    </xf>
    <xf numFmtId="0" fontId="39" fillId="0" borderId="0" xfId="0" applyFont="1" applyAlignment="1">
      <alignment vertical="center" wrapText="1"/>
    </xf>
    <xf numFmtId="0" fontId="5" fillId="0" borderId="23" xfId="0" applyFont="1" applyBorder="1" applyAlignment="1">
      <alignment horizontal="center" vertical="center" wrapText="1"/>
    </xf>
    <xf numFmtId="0" fontId="5" fillId="0" borderId="23" xfId="0" applyFont="1" applyBorder="1" applyAlignment="1">
      <alignment horizontal="justify" vertical="center" wrapText="1"/>
    </xf>
    <xf numFmtId="0" fontId="41" fillId="0" borderId="23" xfId="0" applyFont="1" applyBorder="1" applyAlignment="1">
      <alignment horizontal="justify" vertical="center" wrapText="1"/>
    </xf>
    <xf numFmtId="0" fontId="5" fillId="0" borderId="23" xfId="0" applyFont="1" applyBorder="1" applyAlignment="1">
      <alignment vertical="center" wrapText="1"/>
    </xf>
    <xf numFmtId="0" fontId="5" fillId="0" borderId="14" xfId="0" applyFont="1" applyBorder="1" applyAlignment="1">
      <alignment horizontal="justify" vertical="top" wrapText="1"/>
    </xf>
    <xf numFmtId="0" fontId="5" fillId="10" borderId="14" xfId="0" applyFont="1" applyFill="1" applyBorder="1" applyAlignment="1">
      <alignment horizontal="justify" vertical="center" wrapText="1"/>
    </xf>
    <xf numFmtId="0" fontId="37" fillId="0" borderId="14" xfId="0" applyFont="1" applyBorder="1" applyAlignment="1">
      <alignment horizontal="justify" vertical="center" wrapText="1"/>
    </xf>
    <xf numFmtId="0" fontId="33" fillId="0" borderId="14" xfId="0" applyFont="1" applyBorder="1" applyAlignment="1">
      <alignment horizontal="justify" vertical="center" wrapText="1"/>
    </xf>
    <xf numFmtId="0" fontId="37" fillId="0" borderId="14" xfId="0" applyFont="1" applyBorder="1" applyAlignment="1">
      <alignment vertical="center" wrapText="1"/>
    </xf>
    <xf numFmtId="0" fontId="36" fillId="0" borderId="14" xfId="0" applyFont="1" applyBorder="1" applyAlignment="1">
      <alignment horizontal="justify" vertical="center" wrapText="1"/>
    </xf>
    <xf numFmtId="0" fontId="43" fillId="0" borderId="5" xfId="0" applyFont="1" applyBorder="1" applyAlignment="1">
      <alignment vertical="center" wrapText="1"/>
    </xf>
    <xf numFmtId="0" fontId="41" fillId="0" borderId="0" xfId="0" applyFont="1" applyAlignment="1">
      <alignment horizontal="justify" vertical="center" wrapText="1"/>
    </xf>
    <xf numFmtId="0" fontId="41" fillId="0" borderId="14" xfId="0" applyFont="1" applyBorder="1" applyAlignment="1">
      <alignment horizontal="justify" vertical="center"/>
    </xf>
    <xf numFmtId="0" fontId="45" fillId="0" borderId="14" xfId="0" applyFont="1" applyBorder="1" applyAlignment="1">
      <alignment horizontal="justify" vertical="center"/>
    </xf>
    <xf numFmtId="0" fontId="45" fillId="0" borderId="0" xfId="0" applyFont="1" applyAlignment="1">
      <alignment horizontal="justify" vertical="center"/>
    </xf>
    <xf numFmtId="0" fontId="41" fillId="0" borderId="14" xfId="0" applyFont="1" applyBorder="1" applyAlignment="1">
      <alignment horizontal="justify" vertical="center" wrapText="1"/>
    </xf>
    <xf numFmtId="0" fontId="45" fillId="0" borderId="14" xfId="0" applyFont="1" applyBorder="1" applyAlignment="1">
      <alignment horizontal="justify" vertical="center" wrapText="1"/>
    </xf>
    <xf numFmtId="0" fontId="41" fillId="0" borderId="0" xfId="0" applyFont="1" applyAlignment="1">
      <alignment horizontal="justify" vertical="center"/>
    </xf>
    <xf numFmtId="0" fontId="33" fillId="0" borderId="14" xfId="0" applyFont="1" applyBorder="1" applyAlignment="1">
      <alignment vertical="center" wrapText="1"/>
    </xf>
    <xf numFmtId="0" fontId="12" fillId="4" borderId="0" xfId="0" applyFont="1" applyFill="1" applyAlignment="1">
      <alignment horizontal="left" vertical="center" wrapText="1"/>
    </xf>
    <xf numFmtId="0" fontId="40" fillId="11" borderId="14" xfId="0" applyFont="1" applyFill="1" applyBorder="1" applyAlignment="1">
      <alignment horizontal="center" vertical="center" wrapText="1"/>
    </xf>
    <xf numFmtId="0" fontId="40" fillId="8" borderId="25" xfId="0" applyFont="1" applyFill="1" applyBorder="1" applyAlignment="1">
      <alignment horizontal="center" vertical="center" wrapText="1"/>
    </xf>
    <xf numFmtId="0" fontId="41" fillId="0" borderId="25" xfId="0" applyFont="1" applyBorder="1"/>
    <xf numFmtId="0" fontId="40" fillId="12" borderId="14" xfId="0" applyFont="1" applyFill="1" applyBorder="1" applyAlignment="1">
      <alignment wrapText="1"/>
    </xf>
    <xf numFmtId="0" fontId="0" fillId="0" borderId="0" xfId="0" applyAlignment="1">
      <alignment horizontal="center" vertical="center"/>
    </xf>
    <xf numFmtId="0" fontId="39" fillId="0" borderId="14" xfId="0" applyFont="1" applyBorder="1" applyAlignment="1">
      <alignment vertical="center" wrapText="1"/>
    </xf>
    <xf numFmtId="0" fontId="39" fillId="0" borderId="14" xfId="0" applyFont="1" applyBorder="1" applyAlignment="1">
      <alignment wrapText="1"/>
    </xf>
    <xf numFmtId="0" fontId="39" fillId="0" borderId="0" xfId="0" applyFont="1" applyAlignment="1">
      <alignment wrapText="1"/>
    </xf>
    <xf numFmtId="0" fontId="40" fillId="12" borderId="24" xfId="0" applyFont="1" applyFill="1" applyBorder="1" applyAlignment="1">
      <alignment vertical="center" wrapText="1"/>
    </xf>
    <xf numFmtId="0" fontId="39" fillId="0" borderId="14" xfId="0" applyFont="1" applyBorder="1" applyAlignment="1">
      <alignment horizontal="left" vertical="center"/>
    </xf>
    <xf numFmtId="0" fontId="40" fillId="0" borderId="0" xfId="0" applyFont="1" applyAlignment="1">
      <alignment vertical="center" wrapText="1"/>
    </xf>
    <xf numFmtId="0" fontId="0" fillId="0" borderId="0" xfId="0" applyAlignment="1">
      <alignment wrapText="1"/>
    </xf>
    <xf numFmtId="0" fontId="12" fillId="0" borderId="0" xfId="0" applyFont="1" applyAlignment="1">
      <alignment vertical="center" wrapText="1"/>
    </xf>
    <xf numFmtId="0" fontId="40" fillId="12" borderId="14" xfId="0" applyFont="1" applyFill="1" applyBorder="1" applyAlignment="1">
      <alignment vertical="center" wrapText="1"/>
    </xf>
    <xf numFmtId="0" fontId="12" fillId="6" borderId="17" xfId="0" applyFont="1" applyFill="1" applyBorder="1" applyAlignment="1">
      <alignment horizontal="left" vertical="center" wrapText="1"/>
    </xf>
    <xf numFmtId="0" fontId="12" fillId="0" borderId="0" xfId="0" applyFont="1" applyAlignment="1">
      <alignment horizontal="center" wrapText="1"/>
    </xf>
    <xf numFmtId="0" fontId="12" fillId="5" borderId="14" xfId="6" applyFont="1" applyFill="1" applyBorder="1" applyAlignment="1">
      <alignment horizontal="center" vertical="center"/>
    </xf>
    <xf numFmtId="0" fontId="5" fillId="0" borderId="16" xfId="0" applyFont="1" applyBorder="1" applyAlignment="1">
      <alignment horizontal="center" vertical="center" wrapText="1"/>
    </xf>
    <xf numFmtId="0" fontId="5" fillId="0" borderId="14" xfId="0" applyFont="1" applyBorder="1" applyAlignment="1">
      <alignment horizontal="left" vertical="center" wrapText="1"/>
    </xf>
    <xf numFmtId="0" fontId="5" fillId="0" borderId="14" xfId="0" applyFont="1" applyBorder="1" applyAlignment="1">
      <alignment vertical="center" wrapText="1"/>
    </xf>
    <xf numFmtId="0" fontId="7" fillId="0" borderId="3" xfId="5" applyFont="1" applyBorder="1" applyAlignment="1">
      <alignment horizontal="left" vertical="center" wrapText="1"/>
    </xf>
    <xf numFmtId="0" fontId="10" fillId="0" borderId="5" xfId="7" applyFont="1" applyBorder="1" applyAlignment="1">
      <alignment horizontal="left" vertical="center" wrapText="1"/>
    </xf>
    <xf numFmtId="0" fontId="10" fillId="0" borderId="5" xfId="7" applyFont="1" applyBorder="1" applyAlignment="1">
      <alignment horizontal="justify" vertical="center" wrapText="1"/>
    </xf>
    <xf numFmtId="0" fontId="12" fillId="2" borderId="6" xfId="7" applyFont="1" applyFill="1" applyBorder="1" applyAlignment="1">
      <alignment horizontal="center" vertical="center" wrapText="1"/>
    </xf>
    <xf numFmtId="0" fontId="12" fillId="2" borderId="7" xfId="7" applyFont="1" applyFill="1" applyBorder="1" applyAlignment="1">
      <alignment horizontal="center" vertical="center" wrapText="1"/>
    </xf>
    <xf numFmtId="0" fontId="13" fillId="3" borderId="6" xfId="7" applyFont="1" applyFill="1" applyBorder="1" applyAlignment="1">
      <alignment horizontal="center" vertical="center" wrapText="1"/>
    </xf>
    <xf numFmtId="0" fontId="5" fillId="0" borderId="8" xfId="7" applyFont="1" applyBorder="1" applyAlignment="1">
      <alignment horizontal="justify" vertical="center" wrapText="1"/>
    </xf>
    <xf numFmtId="0" fontId="5" fillId="0" borderId="9" xfId="7" applyFont="1" applyBorder="1" applyAlignment="1">
      <alignment horizontal="justify" vertical="center" wrapText="1"/>
    </xf>
    <xf numFmtId="0" fontId="12" fillId="3" borderId="10" xfId="7" applyFont="1" applyFill="1" applyBorder="1" applyAlignment="1">
      <alignment horizontal="center" vertical="center" wrapText="1"/>
    </xf>
    <xf numFmtId="0" fontId="11" fillId="0" borderId="11" xfId="7" applyFont="1" applyBorder="1" applyAlignment="1">
      <alignment horizontal="left" vertical="center" wrapText="1"/>
    </xf>
    <xf numFmtId="0" fontId="13" fillId="3" borderId="12" xfId="7" applyFont="1" applyFill="1" applyBorder="1" applyAlignment="1">
      <alignment horizontal="center" vertical="center" wrapText="1"/>
    </xf>
    <xf numFmtId="0" fontId="12" fillId="2" borderId="13" xfId="7" applyFont="1" applyFill="1" applyBorder="1" applyAlignment="1">
      <alignment horizontal="center" vertical="center" wrapText="1"/>
    </xf>
    <xf numFmtId="0" fontId="12" fillId="3" borderId="14" xfId="7" applyFont="1" applyFill="1" applyBorder="1" applyAlignment="1">
      <alignment horizontal="center" vertical="center" wrapText="1"/>
    </xf>
    <xf numFmtId="0" fontId="5" fillId="0" borderId="15" xfId="7" applyFont="1" applyBorder="1" applyAlignment="1">
      <alignment horizontal="justify" vertical="center" wrapText="1"/>
    </xf>
    <xf numFmtId="0" fontId="5" fillId="0" borderId="7" xfId="7" applyFont="1" applyBorder="1" applyAlignment="1">
      <alignment horizontal="justify" vertical="center" wrapText="1"/>
    </xf>
    <xf numFmtId="0" fontId="12" fillId="4" borderId="5" xfId="7" applyFont="1" applyFill="1" applyBorder="1" applyAlignment="1">
      <alignment horizontal="center" vertical="center" wrapText="1"/>
    </xf>
    <xf numFmtId="0" fontId="14" fillId="0" borderId="0" xfId="0" applyFont="1" applyAlignment="1">
      <alignment horizontal="justify" vertical="center" wrapText="1"/>
    </xf>
    <xf numFmtId="0" fontId="16" fillId="0" borderId="5" xfId="0" applyFont="1" applyBorder="1" applyAlignment="1">
      <alignment horizontal="justify" vertical="center" wrapText="1"/>
    </xf>
    <xf numFmtId="0" fontId="15" fillId="7" borderId="5" xfId="0" applyFont="1" applyFill="1" applyBorder="1" applyAlignment="1">
      <alignment horizontal="center" vertical="center" wrapText="1"/>
    </xf>
    <xf numFmtId="0" fontId="24" fillId="0" borderId="5" xfId="0" applyFont="1" applyBorder="1" applyAlignment="1">
      <alignment vertical="center" wrapText="1"/>
    </xf>
    <xf numFmtId="0" fontId="26" fillId="0" borderId="0" xfId="5" applyFont="1" applyAlignment="1">
      <alignment horizontal="right" vertical="center" wrapText="1"/>
    </xf>
    <xf numFmtId="0" fontId="27" fillId="0" borderId="0" xfId="5" applyFont="1" applyAlignment="1">
      <alignment horizontal="right" vertical="top"/>
    </xf>
    <xf numFmtId="0" fontId="24" fillId="0" borderId="14" xfId="5" applyFont="1" applyBorder="1" applyAlignment="1">
      <alignment horizontal="center" vertical="center" wrapText="1"/>
    </xf>
    <xf numFmtId="0" fontId="28" fillId="0" borderId="14" xfId="5" applyFont="1" applyBorder="1" applyAlignment="1">
      <alignment horizontal="center" vertical="center" wrapText="1"/>
    </xf>
    <xf numFmtId="0" fontId="24" fillId="0" borderId="14" xfId="5" applyFont="1" applyBorder="1" applyAlignment="1">
      <alignment horizontal="center" wrapText="1"/>
    </xf>
  </cellXfs>
  <cellStyles count="12">
    <cellStyle name=" 1" xfId="1" xr:uid="{00000000-0005-0000-0000-000006000000}"/>
    <cellStyle name="Comma 2" xfId="2" xr:uid="{00000000-0005-0000-0000-000007000000}"/>
    <cellStyle name="Header1" xfId="3" xr:uid="{00000000-0005-0000-0000-000008000000}"/>
    <cellStyle name="Header2" xfId="4" xr:uid="{00000000-0005-0000-0000-000009000000}"/>
    <cellStyle name="Normal" xfId="0" builtinId="0"/>
    <cellStyle name="Normal 2" xfId="5" xr:uid="{00000000-0005-0000-0000-00000A000000}"/>
    <cellStyle name="Normal 2 2" xfId="6" xr:uid="{00000000-0005-0000-0000-00000B000000}"/>
    <cellStyle name="Normal 3" xfId="7" xr:uid="{00000000-0005-0000-0000-00000C000000}"/>
    <cellStyle name="Normal 3 2" xfId="8" xr:uid="{00000000-0005-0000-0000-00000D000000}"/>
    <cellStyle name="Normal 4 2" xfId="9" xr:uid="{00000000-0005-0000-0000-00000E000000}"/>
    <cellStyle name="Percent 2" xfId="10" xr:uid="{00000000-0005-0000-0000-00000F000000}"/>
    <cellStyle name="Porcentual 2" xfId="11" xr:uid="{00000000-0005-0000-0000-000010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729FCF"/>
      <rgbColor rgb="FF993366"/>
      <rgbColor rgb="FFF2F2F2"/>
      <rgbColor rgb="FFCCFFFF"/>
      <rgbColor rgb="FF660066"/>
      <rgbColor rgb="FFFF8080"/>
      <rgbColor rgb="FF0070C0"/>
      <rgbColor rgb="FFC6D9F1"/>
      <rgbColor rgb="FF000080"/>
      <rgbColor rgb="FFFF00FF"/>
      <rgbColor rgb="FFFFFF00"/>
      <rgbColor rgb="FF00FFFF"/>
      <rgbColor rgb="FF800080"/>
      <rgbColor rgb="FF800000"/>
      <rgbColor rgb="FF008080"/>
      <rgbColor rgb="FF1403EF"/>
      <rgbColor rgb="FF00CCFF"/>
      <rgbColor rgb="FFCCFFFF"/>
      <rgbColor rgb="FFD9D9D9"/>
      <rgbColor rgb="FFFFFF99"/>
      <rgbColor rgb="FFBFBFBF"/>
      <rgbColor rgb="FFFF99CC"/>
      <rgbColor rgb="FFCC99FF"/>
      <rgbColor rgb="FFFFCC99"/>
      <rgbColor rgb="FF3366FF"/>
      <rgbColor rgb="FF33CCCC"/>
      <rgbColor rgb="FF99CC00"/>
      <rgbColor rgb="FFFFCC00"/>
      <rgbColor rgb="FFFF9900"/>
      <rgbColor rgb="FFFF6600"/>
      <rgbColor rgb="FF666699"/>
      <rgbColor rgb="FF969696"/>
      <rgbColor rgb="FF002060"/>
      <rgbColor rgb="FF376B48"/>
      <rgbColor rgb="FF003300"/>
      <rgbColor rgb="FF333300"/>
      <rgbColor rgb="FF993300"/>
      <rgbColor rgb="FF993366"/>
      <rgbColor rgb="FF2C1CFC"/>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wmf"/></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4.wmf"/></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2</xdr:col>
      <xdr:colOff>257040</xdr:colOff>
      <xdr:row>0</xdr:row>
      <xdr:rowOff>57240</xdr:rowOff>
    </xdr:from>
    <xdr:to>
      <xdr:col>12</xdr:col>
      <xdr:colOff>551880</xdr:colOff>
      <xdr:row>10</xdr:row>
      <xdr:rowOff>9360</xdr:rowOff>
    </xdr:to>
    <xdr:pic>
      <xdr:nvPicPr>
        <xdr:cNvPr id="2" name="Imagen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rcRect t="7653"/>
        <a:stretch/>
      </xdr:blipFill>
      <xdr:spPr>
        <a:xfrm>
          <a:off x="1687680" y="57240"/>
          <a:ext cx="9887040" cy="204768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6</xdr:col>
      <xdr:colOff>560160</xdr:colOff>
      <xdr:row>7</xdr:row>
      <xdr:rowOff>85320</xdr:rowOff>
    </xdr:to>
    <xdr:pic>
      <xdr:nvPicPr>
        <xdr:cNvPr id="2" name="Imagen 2">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xdr:blipFill>
      <xdr:spPr>
        <a:xfrm>
          <a:off x="1430640" y="0"/>
          <a:ext cx="10923480" cy="155232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1142999</xdr:colOff>
      <xdr:row>0</xdr:row>
      <xdr:rowOff>0</xdr:rowOff>
    </xdr:from>
    <xdr:to>
      <xdr:col>1</xdr:col>
      <xdr:colOff>7760039</xdr:colOff>
      <xdr:row>9</xdr:row>
      <xdr:rowOff>6435</xdr:rowOff>
    </xdr:to>
    <xdr:pic>
      <xdr:nvPicPr>
        <xdr:cNvPr id="2" name="Imagen 1">
          <a:extLst>
            <a:ext uri="{FF2B5EF4-FFF2-40B4-BE49-F238E27FC236}">
              <a16:creationId xmlns:a16="http://schemas.microsoft.com/office/drawing/2014/main" id="{0C36D479-1BA5-4BF3-8E1C-9112D9F7A2A7}"/>
            </a:ext>
          </a:extLst>
        </xdr:cNvPr>
        <xdr:cNvPicPr>
          <a:picLocks noChangeAspect="1"/>
        </xdr:cNvPicPr>
      </xdr:nvPicPr>
      <xdr:blipFill>
        <a:blip xmlns:r="http://schemas.openxmlformats.org/officeDocument/2006/relationships" r:embed="rId1"/>
        <a:stretch>
          <a:fillRect/>
        </a:stretch>
      </xdr:blipFill>
      <xdr:spPr>
        <a:xfrm>
          <a:off x="1879599" y="0"/>
          <a:ext cx="6617040" cy="166378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1685636</xdr:colOff>
      <xdr:row>1222</xdr:row>
      <xdr:rowOff>103910</xdr:rowOff>
    </xdr:from>
    <xdr:to>
      <xdr:col>5</xdr:col>
      <xdr:colOff>843479</xdr:colOff>
      <xdr:row>1255</xdr:row>
      <xdr:rowOff>137678</xdr:rowOff>
    </xdr:to>
    <xdr:pic>
      <xdr:nvPicPr>
        <xdr:cNvPr id="4" name="Imagen 1">
          <a:extLst>
            <a:ext uri="{FF2B5EF4-FFF2-40B4-BE49-F238E27FC236}">
              <a16:creationId xmlns:a16="http://schemas.microsoft.com/office/drawing/2014/main" id="{3C97C803-7597-4D80-8724-AAAC8C4A4E80}"/>
            </a:ext>
          </a:extLst>
        </xdr:cNvPr>
        <xdr:cNvPicPr/>
      </xdr:nvPicPr>
      <xdr:blipFill>
        <a:blip xmlns:r="http://schemas.openxmlformats.org/officeDocument/2006/relationships" r:embed="rId1"/>
        <a:stretch/>
      </xdr:blipFill>
      <xdr:spPr>
        <a:xfrm>
          <a:off x="1685636" y="2573458728"/>
          <a:ext cx="9133116" cy="6891768"/>
        </a:xfrm>
        <a:prstGeom prst="rect">
          <a:avLst/>
        </a:prstGeom>
        <a:ln w="0">
          <a:noFill/>
        </a:ln>
      </xdr:spPr>
    </xdr:pic>
    <xdr:clientData/>
  </xdr:twoCellAnchor>
  <xdr:twoCellAnchor editAs="oneCell">
    <xdr:from>
      <xdr:col>0</xdr:col>
      <xdr:colOff>0</xdr:colOff>
      <xdr:row>0</xdr:row>
      <xdr:rowOff>0</xdr:rowOff>
    </xdr:from>
    <xdr:to>
      <xdr:col>4</xdr:col>
      <xdr:colOff>584048</xdr:colOff>
      <xdr:row>9</xdr:row>
      <xdr:rowOff>0</xdr:rowOff>
    </xdr:to>
    <xdr:pic>
      <xdr:nvPicPr>
        <xdr:cNvPr id="5" name="Imagen 4">
          <a:extLst>
            <a:ext uri="{FF2B5EF4-FFF2-40B4-BE49-F238E27FC236}">
              <a16:creationId xmlns:a16="http://schemas.microsoft.com/office/drawing/2014/main" id="{4A377C75-4150-4FE6-9A12-432AC39E4008}"/>
            </a:ext>
          </a:extLst>
        </xdr:cNvPr>
        <xdr:cNvPicPr>
          <a:picLocks noChangeAspect="1"/>
        </xdr:cNvPicPr>
      </xdr:nvPicPr>
      <xdr:blipFill>
        <a:blip xmlns:r="http://schemas.openxmlformats.org/officeDocument/2006/relationships" r:embed="rId2"/>
        <a:stretch>
          <a:fillRect/>
        </a:stretch>
      </xdr:blipFill>
      <xdr:spPr>
        <a:xfrm>
          <a:off x="0" y="0"/>
          <a:ext cx="7459144" cy="186836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28440</xdr:colOff>
      <xdr:row>1</xdr:row>
      <xdr:rowOff>171360</xdr:rowOff>
    </xdr:from>
    <xdr:to>
      <xdr:col>7</xdr:col>
      <xdr:colOff>104400</xdr:colOff>
      <xdr:row>4</xdr:row>
      <xdr:rowOff>185040</xdr:rowOff>
    </xdr:to>
    <xdr:pic>
      <xdr:nvPicPr>
        <xdr:cNvPr id="5" name="Imagen 1">
          <a:extLst>
            <a:ext uri="{FF2B5EF4-FFF2-40B4-BE49-F238E27FC236}">
              <a16:creationId xmlns:a16="http://schemas.microsoft.com/office/drawing/2014/main" id="{00000000-0008-0000-0500-000005000000}"/>
            </a:ext>
          </a:extLst>
        </xdr:cNvPr>
        <xdr:cNvPicPr/>
      </xdr:nvPicPr>
      <xdr:blipFill>
        <a:blip xmlns:r="http://schemas.openxmlformats.org/officeDocument/2006/relationships" r:embed="rId1"/>
        <a:stretch/>
      </xdr:blipFill>
      <xdr:spPr>
        <a:xfrm>
          <a:off x="554400" y="695160"/>
          <a:ext cx="5757840" cy="613800"/>
        </a:xfrm>
        <a:prstGeom prst="rect">
          <a:avLst/>
        </a:prstGeom>
        <a:ln w="0">
          <a:noFill/>
        </a:ln>
      </xdr:spPr>
    </xdr:pic>
    <xdr:clientData/>
  </xdr:twoCellAnchor>
  <xdr:twoCellAnchor editAs="oneCell">
    <xdr:from>
      <xdr:col>2</xdr:col>
      <xdr:colOff>28440</xdr:colOff>
      <xdr:row>11</xdr:row>
      <xdr:rowOff>0</xdr:rowOff>
    </xdr:from>
    <xdr:to>
      <xdr:col>7</xdr:col>
      <xdr:colOff>104400</xdr:colOff>
      <xdr:row>14</xdr:row>
      <xdr:rowOff>10080</xdr:rowOff>
    </xdr:to>
    <xdr:pic>
      <xdr:nvPicPr>
        <xdr:cNvPr id="6" name="Imagen 2">
          <a:extLst>
            <a:ext uri="{FF2B5EF4-FFF2-40B4-BE49-F238E27FC236}">
              <a16:creationId xmlns:a16="http://schemas.microsoft.com/office/drawing/2014/main" id="{00000000-0008-0000-0500-000006000000}"/>
            </a:ext>
          </a:extLst>
        </xdr:cNvPr>
        <xdr:cNvPicPr/>
      </xdr:nvPicPr>
      <xdr:blipFill>
        <a:blip xmlns:r="http://schemas.openxmlformats.org/officeDocument/2006/relationships" r:embed="rId1"/>
        <a:stretch/>
      </xdr:blipFill>
      <xdr:spPr>
        <a:xfrm>
          <a:off x="554400" y="3648240"/>
          <a:ext cx="5757840" cy="638640"/>
        </a:xfrm>
        <a:prstGeom prst="rect">
          <a:avLst/>
        </a:prstGeom>
        <a:ln w="0">
          <a:noFill/>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3:AMJ47"/>
  <sheetViews>
    <sheetView showGridLines="0" topLeftCell="A4" zoomScaleNormal="100" workbookViewId="0">
      <selection activeCell="A4" sqref="A4"/>
    </sheetView>
  </sheetViews>
  <sheetFormatPr baseColWidth="10" defaultColWidth="10.26953125" defaultRowHeight="15" x14ac:dyDescent="0.4"/>
  <cols>
    <col min="1" max="1" width="5.81640625" style="1" customWidth="1"/>
    <col min="2" max="2" width="10.26953125" style="1"/>
    <col min="3" max="3" width="15.453125" style="1" customWidth="1"/>
    <col min="4" max="1024" width="10.26953125" style="1"/>
  </cols>
  <sheetData>
    <row r="13" spans="2:15" ht="12" customHeight="1" x14ac:dyDescent="0.4">
      <c r="B13" s="2"/>
      <c r="C13" s="2"/>
      <c r="D13" s="2"/>
      <c r="E13" s="3"/>
      <c r="F13" s="3"/>
      <c r="G13" s="3"/>
      <c r="H13" s="3"/>
      <c r="I13" s="3"/>
      <c r="J13" s="3"/>
      <c r="K13" s="3"/>
      <c r="L13" s="3"/>
      <c r="M13" s="3"/>
      <c r="N13" s="3"/>
    </row>
    <row r="14" spans="2:15" ht="12" customHeight="1" x14ac:dyDescent="0.4">
      <c r="B14" s="2"/>
      <c r="C14" s="2"/>
      <c r="D14" s="2"/>
      <c r="E14" s="3"/>
      <c r="F14" s="3"/>
      <c r="G14" s="3"/>
      <c r="H14" s="3"/>
      <c r="I14" s="3"/>
      <c r="J14" s="3"/>
      <c r="K14" s="3"/>
      <c r="L14" s="3"/>
      <c r="M14" s="3"/>
      <c r="N14" s="3"/>
    </row>
    <row r="15" spans="2:15" ht="47.25" customHeight="1" x14ac:dyDescent="0.4">
      <c r="B15" s="117" t="s">
        <v>0</v>
      </c>
      <c r="C15" s="117"/>
      <c r="D15" s="117"/>
      <c r="E15" s="117"/>
      <c r="F15" s="117"/>
      <c r="G15" s="117"/>
      <c r="H15" s="117"/>
      <c r="I15" s="117"/>
      <c r="J15" s="117"/>
      <c r="K15" s="117"/>
      <c r="L15" s="117"/>
      <c r="M15" s="117"/>
      <c r="N15" s="117"/>
      <c r="O15" s="4"/>
    </row>
    <row r="16" spans="2:15" ht="18.75" customHeight="1" x14ac:dyDescent="0.4">
      <c r="B16" s="5"/>
      <c r="C16" s="5"/>
      <c r="D16" s="5"/>
      <c r="E16" s="5"/>
      <c r="F16" s="5"/>
      <c r="G16" s="5"/>
      <c r="H16" s="5"/>
      <c r="I16" s="5"/>
      <c r="J16" s="5"/>
      <c r="K16" s="5"/>
      <c r="L16" s="5"/>
      <c r="M16" s="5"/>
      <c r="N16" s="5"/>
    </row>
    <row r="17" spans="2:15" ht="299.25" customHeight="1" x14ac:dyDescent="0.4">
      <c r="B17" s="118" t="s">
        <v>1</v>
      </c>
      <c r="C17" s="118"/>
      <c r="D17" s="118"/>
      <c r="E17" s="118"/>
      <c r="F17" s="118"/>
      <c r="G17" s="118"/>
      <c r="H17" s="118"/>
      <c r="I17" s="118"/>
      <c r="J17" s="118"/>
      <c r="K17" s="118"/>
      <c r="L17" s="118"/>
      <c r="M17" s="118"/>
      <c r="N17" s="118"/>
    </row>
    <row r="18" spans="2:15" ht="225.75" customHeight="1" x14ac:dyDescent="0.4">
      <c r="B18" s="119" t="s">
        <v>2</v>
      </c>
      <c r="C18" s="119"/>
      <c r="D18" s="119"/>
      <c r="E18" s="119"/>
      <c r="F18" s="119"/>
      <c r="G18" s="119"/>
      <c r="H18" s="119"/>
      <c r="I18" s="119"/>
      <c r="J18" s="119"/>
      <c r="K18" s="119"/>
      <c r="L18" s="119"/>
      <c r="M18" s="119"/>
      <c r="N18" s="119"/>
    </row>
    <row r="19" spans="2:15" ht="17.25" customHeight="1" x14ac:dyDescent="0.4">
      <c r="B19" s="6"/>
      <c r="C19" s="6"/>
      <c r="D19" s="6"/>
      <c r="E19" s="6"/>
      <c r="F19" s="6"/>
      <c r="G19" s="6"/>
      <c r="H19" s="6"/>
      <c r="I19" s="6"/>
      <c r="J19" s="6"/>
      <c r="K19" s="6"/>
      <c r="L19" s="6"/>
      <c r="M19" s="6"/>
      <c r="N19" s="6"/>
    </row>
    <row r="20" spans="2:15" ht="18" customHeight="1" x14ac:dyDescent="0.4">
      <c r="B20" s="120" t="s">
        <v>3</v>
      </c>
      <c r="C20" s="120"/>
      <c r="D20" s="121" t="s">
        <v>4</v>
      </c>
      <c r="E20" s="121"/>
      <c r="F20" s="121"/>
      <c r="G20" s="121"/>
      <c r="H20" s="121"/>
      <c r="I20" s="121"/>
      <c r="J20" s="121"/>
      <c r="K20" s="121"/>
      <c r="L20" s="121"/>
      <c r="M20" s="121"/>
      <c r="N20" s="121"/>
      <c r="O20" s="7"/>
    </row>
    <row r="21" spans="2:15" ht="28.5" customHeight="1" x14ac:dyDescent="0.4">
      <c r="B21" s="122" t="s">
        <v>5</v>
      </c>
      <c r="C21" s="122"/>
      <c r="D21" s="123" t="s">
        <v>6</v>
      </c>
      <c r="E21" s="123"/>
      <c r="F21" s="123"/>
      <c r="G21" s="123"/>
      <c r="H21" s="123"/>
      <c r="I21" s="123"/>
      <c r="J21" s="123"/>
      <c r="K21" s="123"/>
      <c r="L21" s="123"/>
      <c r="M21" s="123"/>
      <c r="N21" s="123"/>
      <c r="O21" s="8"/>
    </row>
    <row r="22" spans="2:15" ht="78" customHeight="1" x14ac:dyDescent="0.4">
      <c r="B22" s="122"/>
      <c r="C22" s="122"/>
      <c r="D22" s="124" t="s">
        <v>7</v>
      </c>
      <c r="E22" s="124"/>
      <c r="F22" s="124"/>
      <c r="G22" s="124"/>
      <c r="H22" s="124"/>
      <c r="I22" s="124"/>
      <c r="J22" s="124"/>
      <c r="K22" s="124"/>
      <c r="L22" s="124"/>
      <c r="M22" s="124"/>
      <c r="N22" s="124"/>
      <c r="O22" s="8"/>
    </row>
    <row r="23" spans="2:15" ht="12.75" customHeight="1" x14ac:dyDescent="0.4">
      <c r="B23" s="122"/>
      <c r="C23" s="122"/>
      <c r="D23" s="125" t="s">
        <v>8</v>
      </c>
      <c r="E23" s="125"/>
      <c r="F23" s="125"/>
      <c r="G23" s="125"/>
      <c r="H23" s="125"/>
      <c r="I23" s="125"/>
      <c r="J23" s="125"/>
      <c r="K23" s="125"/>
      <c r="L23" s="125"/>
      <c r="M23" s="125"/>
      <c r="N23" s="125"/>
    </row>
    <row r="24" spans="2:15" ht="176.25" customHeight="1" x14ac:dyDescent="0.4">
      <c r="B24" s="122"/>
      <c r="C24" s="122"/>
      <c r="D24" s="126" t="s">
        <v>9</v>
      </c>
      <c r="E24" s="126"/>
      <c r="F24" s="126"/>
      <c r="G24" s="126"/>
      <c r="H24" s="126"/>
      <c r="I24" s="126"/>
      <c r="J24" s="126"/>
      <c r="K24" s="126"/>
      <c r="L24" s="126"/>
      <c r="M24" s="126"/>
      <c r="N24" s="126"/>
      <c r="O24" s="8"/>
    </row>
    <row r="25" spans="2:15" ht="12.75" customHeight="1" x14ac:dyDescent="0.4">
      <c r="B25" s="9"/>
      <c r="C25" s="9"/>
      <c r="D25" s="6"/>
      <c r="E25" s="6"/>
      <c r="F25" s="6"/>
      <c r="G25" s="6"/>
      <c r="H25" s="6"/>
      <c r="I25" s="6"/>
      <c r="J25" s="6"/>
      <c r="K25" s="6"/>
      <c r="L25" s="6"/>
      <c r="M25" s="6"/>
      <c r="N25" s="6"/>
      <c r="O25" s="8"/>
    </row>
    <row r="26" spans="2:15" ht="18" customHeight="1" x14ac:dyDescent="0.4">
      <c r="B26" s="120" t="s">
        <v>3</v>
      </c>
      <c r="C26" s="120"/>
      <c r="D26" s="121" t="s">
        <v>4</v>
      </c>
      <c r="E26" s="121"/>
      <c r="F26" s="121"/>
      <c r="G26" s="121"/>
      <c r="H26" s="121"/>
      <c r="I26" s="121"/>
      <c r="J26" s="121"/>
      <c r="K26" s="121"/>
      <c r="L26" s="121"/>
      <c r="M26" s="121"/>
      <c r="N26" s="121"/>
      <c r="O26" s="7"/>
    </row>
    <row r="27" spans="2:15" ht="63.75" customHeight="1" x14ac:dyDescent="0.4">
      <c r="B27" s="127" t="s">
        <v>10</v>
      </c>
      <c r="C27" s="127"/>
      <c r="D27" s="124" t="s">
        <v>11</v>
      </c>
      <c r="E27" s="124"/>
      <c r="F27" s="124"/>
      <c r="G27" s="124"/>
      <c r="H27" s="124"/>
      <c r="I27" s="124"/>
      <c r="J27" s="124"/>
      <c r="K27" s="124"/>
      <c r="L27" s="124"/>
      <c r="M27" s="124"/>
      <c r="N27" s="124"/>
      <c r="O27" s="8"/>
    </row>
    <row r="28" spans="2:15" ht="12.75" customHeight="1" x14ac:dyDescent="0.4">
      <c r="B28" s="127"/>
      <c r="C28" s="127"/>
      <c r="D28" s="125" t="s">
        <v>8</v>
      </c>
      <c r="E28" s="125"/>
      <c r="F28" s="125"/>
      <c r="G28" s="125"/>
      <c r="H28" s="125"/>
      <c r="I28" s="125"/>
      <c r="J28" s="125"/>
      <c r="K28" s="125"/>
      <c r="L28" s="125"/>
      <c r="M28" s="125"/>
      <c r="N28" s="125"/>
    </row>
    <row r="29" spans="2:15" ht="101.25" customHeight="1" x14ac:dyDescent="0.4">
      <c r="B29" s="127"/>
      <c r="C29" s="127"/>
      <c r="D29" s="126" t="s">
        <v>12</v>
      </c>
      <c r="E29" s="126"/>
      <c r="F29" s="126"/>
      <c r="G29" s="126"/>
      <c r="H29" s="126"/>
      <c r="I29" s="126"/>
      <c r="J29" s="126"/>
      <c r="K29" s="126"/>
      <c r="L29" s="126"/>
      <c r="M29" s="126"/>
      <c r="N29" s="126"/>
      <c r="O29" s="8"/>
    </row>
    <row r="30" spans="2:15" ht="15" customHeight="1" x14ac:dyDescent="0.4">
      <c r="B30" s="9"/>
      <c r="C30" s="9"/>
      <c r="D30" s="6"/>
      <c r="E30" s="6"/>
      <c r="F30" s="6"/>
      <c r="G30" s="6"/>
      <c r="H30" s="6"/>
      <c r="I30" s="6"/>
      <c r="J30" s="6"/>
      <c r="K30" s="6"/>
      <c r="L30" s="6"/>
      <c r="M30" s="6"/>
      <c r="N30" s="6"/>
      <c r="O30" s="8"/>
    </row>
    <row r="31" spans="2:15" ht="18" customHeight="1" x14ac:dyDescent="0.4">
      <c r="B31" s="128" t="s">
        <v>3</v>
      </c>
      <c r="C31" s="128"/>
      <c r="D31" s="121" t="s">
        <v>4</v>
      </c>
      <c r="E31" s="121"/>
      <c r="F31" s="121"/>
      <c r="G31" s="121"/>
      <c r="H31" s="121"/>
      <c r="I31" s="121"/>
      <c r="J31" s="121"/>
      <c r="K31" s="121"/>
      <c r="L31" s="121"/>
      <c r="M31" s="121"/>
      <c r="N31" s="121"/>
      <c r="O31" s="7"/>
    </row>
    <row r="32" spans="2:15" ht="44.25" customHeight="1" x14ac:dyDescent="0.4">
      <c r="B32" s="122" t="s">
        <v>13</v>
      </c>
      <c r="C32" s="122"/>
      <c r="D32" s="123" t="s">
        <v>14</v>
      </c>
      <c r="E32" s="123"/>
      <c r="F32" s="123"/>
      <c r="G32" s="123"/>
      <c r="H32" s="123"/>
      <c r="I32" s="123"/>
      <c r="J32" s="123"/>
      <c r="K32" s="123"/>
      <c r="L32" s="123"/>
      <c r="M32" s="123"/>
      <c r="N32" s="123"/>
      <c r="O32" s="8"/>
    </row>
    <row r="33" spans="2:15" ht="42" customHeight="1" x14ac:dyDescent="0.4">
      <c r="B33" s="122"/>
      <c r="C33" s="122"/>
      <c r="D33" s="124" t="s">
        <v>15</v>
      </c>
      <c r="E33" s="124"/>
      <c r="F33" s="124"/>
      <c r="G33" s="124"/>
      <c r="H33" s="124"/>
      <c r="I33" s="124"/>
      <c r="J33" s="124"/>
      <c r="K33" s="124"/>
      <c r="L33" s="124"/>
      <c r="M33" s="124"/>
      <c r="N33" s="124"/>
      <c r="O33" s="8"/>
    </row>
    <row r="34" spans="2:15" ht="12.75" customHeight="1" x14ac:dyDescent="0.4">
      <c r="B34" s="122"/>
      <c r="C34" s="122"/>
      <c r="D34" s="129" t="s">
        <v>8</v>
      </c>
      <c r="E34" s="129"/>
      <c r="F34" s="129"/>
      <c r="G34" s="129"/>
      <c r="H34" s="129"/>
      <c r="I34" s="129"/>
      <c r="J34" s="129"/>
      <c r="K34" s="129"/>
      <c r="L34" s="129"/>
      <c r="M34" s="129"/>
      <c r="N34" s="129"/>
    </row>
    <row r="35" spans="2:15" ht="115.5" customHeight="1" x14ac:dyDescent="0.4">
      <c r="B35" s="122"/>
      <c r="C35" s="122"/>
      <c r="D35" s="126" t="s">
        <v>16</v>
      </c>
      <c r="E35" s="126"/>
      <c r="F35" s="126"/>
      <c r="G35" s="126"/>
      <c r="H35" s="126"/>
      <c r="I35" s="126"/>
      <c r="J35" s="126"/>
      <c r="K35" s="126"/>
      <c r="L35" s="126"/>
      <c r="M35" s="126"/>
      <c r="N35" s="126"/>
      <c r="O35" s="8"/>
    </row>
    <row r="37" spans="2:15" ht="18" customHeight="1" x14ac:dyDescent="0.4">
      <c r="B37" s="120" t="s">
        <v>3</v>
      </c>
      <c r="C37" s="120"/>
      <c r="D37" s="121" t="s">
        <v>4</v>
      </c>
      <c r="E37" s="121"/>
      <c r="F37" s="121"/>
      <c r="G37" s="121"/>
      <c r="H37" s="121"/>
      <c r="I37" s="121"/>
      <c r="J37" s="121"/>
      <c r="K37" s="121"/>
      <c r="L37" s="121"/>
      <c r="M37" s="121"/>
      <c r="N37" s="121"/>
      <c r="O37" s="7"/>
    </row>
    <row r="38" spans="2:15" ht="24.75" customHeight="1" x14ac:dyDescent="0.4">
      <c r="B38" s="122" t="s">
        <v>17</v>
      </c>
      <c r="C38" s="122"/>
      <c r="D38" s="130" t="s">
        <v>18</v>
      </c>
      <c r="E38" s="130"/>
      <c r="F38" s="130"/>
      <c r="G38" s="130"/>
      <c r="H38" s="130"/>
      <c r="I38" s="130"/>
      <c r="J38" s="130"/>
      <c r="K38" s="130"/>
      <c r="L38" s="130"/>
      <c r="M38" s="130"/>
      <c r="N38" s="130"/>
      <c r="O38" s="8"/>
    </row>
    <row r="39" spans="2:15" ht="41.25" customHeight="1" x14ac:dyDescent="0.4">
      <c r="B39" s="122"/>
      <c r="C39" s="122"/>
      <c r="D39" s="130"/>
      <c r="E39" s="130"/>
      <c r="F39" s="130"/>
      <c r="G39" s="130"/>
      <c r="H39" s="130"/>
      <c r="I39" s="130"/>
      <c r="J39" s="130"/>
      <c r="K39" s="130"/>
      <c r="L39" s="130"/>
      <c r="M39" s="130"/>
      <c r="N39" s="130"/>
      <c r="O39" s="8"/>
    </row>
    <row r="40" spans="2:15" ht="12.75" customHeight="1" x14ac:dyDescent="0.4">
      <c r="B40" s="122"/>
      <c r="C40" s="122"/>
      <c r="D40" s="129" t="s">
        <v>8</v>
      </c>
      <c r="E40" s="129"/>
      <c r="F40" s="129"/>
      <c r="G40" s="129"/>
      <c r="H40" s="129"/>
      <c r="I40" s="129"/>
      <c r="J40" s="129"/>
      <c r="K40" s="129"/>
      <c r="L40" s="129"/>
      <c r="M40" s="129"/>
      <c r="N40" s="129"/>
    </row>
    <row r="41" spans="2:15" ht="78" customHeight="1" x14ac:dyDescent="0.4">
      <c r="B41" s="122"/>
      <c r="C41" s="122"/>
      <c r="D41" s="126" t="s">
        <v>19</v>
      </c>
      <c r="E41" s="126"/>
      <c r="F41" s="126"/>
      <c r="G41" s="126"/>
      <c r="H41" s="126"/>
      <c r="I41" s="126"/>
      <c r="J41" s="126"/>
      <c r="K41" s="126"/>
      <c r="L41" s="126"/>
      <c r="M41" s="126"/>
      <c r="N41" s="126"/>
      <c r="O41" s="8"/>
    </row>
    <row r="43" spans="2:15" ht="16.5" customHeight="1" x14ac:dyDescent="0.4">
      <c r="B43" s="128" t="s">
        <v>3</v>
      </c>
      <c r="C43" s="128"/>
      <c r="D43" s="121" t="s">
        <v>4</v>
      </c>
      <c r="E43" s="121"/>
      <c r="F43" s="121"/>
      <c r="G43" s="121"/>
      <c r="H43" s="121"/>
      <c r="I43" s="121"/>
      <c r="J43" s="121"/>
      <c r="K43" s="121"/>
      <c r="L43" s="121"/>
      <c r="M43" s="121"/>
      <c r="N43" s="121"/>
    </row>
    <row r="44" spans="2:15" ht="120.75" customHeight="1" x14ac:dyDescent="0.4">
      <c r="B44" s="122" t="s">
        <v>20</v>
      </c>
      <c r="C44" s="122"/>
      <c r="D44" s="131" t="s">
        <v>21</v>
      </c>
      <c r="E44" s="131"/>
      <c r="F44" s="131"/>
      <c r="G44" s="131"/>
      <c r="H44" s="131"/>
      <c r="I44" s="131"/>
      <c r="J44" s="131"/>
      <c r="K44" s="131"/>
      <c r="L44" s="131"/>
      <c r="M44" s="131"/>
      <c r="N44" s="131"/>
    </row>
    <row r="45" spans="2:15" x14ac:dyDescent="0.4">
      <c r="B45" s="6"/>
      <c r="C45" s="6"/>
      <c r="D45" s="6"/>
      <c r="E45" s="6"/>
      <c r="F45" s="6"/>
      <c r="G45" s="6"/>
      <c r="H45" s="6"/>
      <c r="I45" s="6"/>
      <c r="J45" s="6"/>
      <c r="K45" s="6"/>
      <c r="L45" s="6"/>
      <c r="M45" s="6"/>
      <c r="N45" s="6"/>
    </row>
    <row r="46" spans="2:15" ht="16.5" customHeight="1" x14ac:dyDescent="0.4">
      <c r="B46" s="128" t="s">
        <v>3</v>
      </c>
      <c r="C46" s="128"/>
      <c r="D46" s="121" t="s">
        <v>4</v>
      </c>
      <c r="E46" s="121"/>
      <c r="F46" s="121"/>
      <c r="G46" s="121"/>
      <c r="H46" s="121"/>
      <c r="I46" s="121"/>
      <c r="J46" s="121"/>
      <c r="K46" s="121"/>
      <c r="L46" s="121"/>
      <c r="M46" s="121"/>
      <c r="N46" s="121"/>
    </row>
    <row r="47" spans="2:15" ht="155.25" customHeight="1" x14ac:dyDescent="0.4">
      <c r="B47" s="122" t="s">
        <v>22</v>
      </c>
      <c r="C47" s="122"/>
      <c r="D47" s="131" t="s">
        <v>23</v>
      </c>
      <c r="E47" s="131"/>
      <c r="F47" s="131"/>
      <c r="G47" s="131"/>
      <c r="H47" s="131"/>
      <c r="I47" s="131"/>
      <c r="J47" s="131"/>
      <c r="K47" s="131"/>
      <c r="L47" s="131"/>
      <c r="M47" s="131"/>
      <c r="N47" s="131"/>
    </row>
  </sheetData>
  <mergeCells count="37">
    <mergeCell ref="B47:C47"/>
    <mergeCell ref="D47:N47"/>
    <mergeCell ref="B43:C43"/>
    <mergeCell ref="D43:N43"/>
    <mergeCell ref="B44:C44"/>
    <mergeCell ref="D44:N44"/>
    <mergeCell ref="B46:C46"/>
    <mergeCell ref="D46:N46"/>
    <mergeCell ref="B37:C37"/>
    <mergeCell ref="D37:N37"/>
    <mergeCell ref="B38:C41"/>
    <mergeCell ref="D38:N39"/>
    <mergeCell ref="D40:N40"/>
    <mergeCell ref="D41:N41"/>
    <mergeCell ref="B31:C31"/>
    <mergeCell ref="D31:N31"/>
    <mergeCell ref="B32:C35"/>
    <mergeCell ref="D32:N32"/>
    <mergeCell ref="D33:N33"/>
    <mergeCell ref="D34:N34"/>
    <mergeCell ref="D35:N35"/>
    <mergeCell ref="B26:C26"/>
    <mergeCell ref="D26:N26"/>
    <mergeCell ref="B27:C29"/>
    <mergeCell ref="D27:N27"/>
    <mergeCell ref="D28:N28"/>
    <mergeCell ref="D29:N29"/>
    <mergeCell ref="B21:C24"/>
    <mergeCell ref="D21:N21"/>
    <mergeCell ref="D22:N22"/>
    <mergeCell ref="D23:N23"/>
    <mergeCell ref="D24:N24"/>
    <mergeCell ref="B15:N15"/>
    <mergeCell ref="B17:N17"/>
    <mergeCell ref="B18:N18"/>
    <mergeCell ref="B20:C20"/>
    <mergeCell ref="D20:N20"/>
  </mergeCells>
  <printOptions horizontalCentered="1"/>
  <pageMargins left="0.74791666666666701" right="0.74791666666666701" top="0.98402777777777795" bottom="0.98402777777777795" header="0.511811023622047" footer="0.51180555555555596"/>
  <pageSetup scale="60" orientation="portrait" horizontalDpi="300" verticalDpi="300"/>
  <headerFooter>
    <oddFooter>&amp;R&amp;"Montserrat,Normal"&amp;10Pagina &amp;P de &amp;N</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2:AMJ27"/>
  <sheetViews>
    <sheetView showGridLines="0" topLeftCell="A25" zoomScaleNormal="100" workbookViewId="0">
      <selection activeCell="D26" sqref="D26"/>
    </sheetView>
  </sheetViews>
  <sheetFormatPr baseColWidth="10" defaultColWidth="10.26953125" defaultRowHeight="15" x14ac:dyDescent="0.4"/>
  <cols>
    <col min="1" max="1" width="5.81640625" style="1" customWidth="1"/>
    <col min="2" max="2" width="10.26953125" style="1"/>
    <col min="3" max="3" width="13.81640625" style="1" customWidth="1"/>
    <col min="4" max="4" width="45.81640625" style="1" customWidth="1"/>
    <col min="5" max="5" width="42.453125" style="1" customWidth="1"/>
    <col min="6" max="6" width="14.453125" style="1" customWidth="1"/>
    <col min="7" max="1024" width="10.26953125" style="1"/>
  </cols>
  <sheetData>
    <row r="12" spans="2:14" ht="23.25" customHeight="1" x14ac:dyDescent="0.4">
      <c r="B12" s="132" t="s">
        <v>24</v>
      </c>
      <c r="C12" s="132"/>
      <c r="D12" s="132"/>
      <c r="E12" s="132"/>
      <c r="F12" s="132"/>
      <c r="G12" s="132"/>
    </row>
    <row r="13" spans="2:14" ht="33.75" customHeight="1" x14ac:dyDescent="0.4">
      <c r="B13" s="133" t="s">
        <v>25</v>
      </c>
      <c r="C13" s="133"/>
      <c r="D13" s="133"/>
      <c r="E13" s="133"/>
      <c r="F13" s="133"/>
      <c r="G13" s="133"/>
      <c r="H13" s="10"/>
      <c r="I13" s="10"/>
      <c r="J13" s="10"/>
      <c r="K13" s="10"/>
      <c r="L13" s="10"/>
      <c r="M13" s="10"/>
      <c r="N13" s="10"/>
    </row>
    <row r="14" spans="2:14" ht="45.75" customHeight="1" x14ac:dyDescent="0.4">
      <c r="B14" s="133" t="s">
        <v>26</v>
      </c>
      <c r="C14" s="133"/>
      <c r="D14" s="133"/>
      <c r="E14" s="133"/>
      <c r="F14" s="133"/>
      <c r="G14" s="133"/>
      <c r="H14" s="10"/>
      <c r="I14" s="10"/>
      <c r="J14" s="10"/>
      <c r="K14" s="10"/>
      <c r="L14" s="10"/>
      <c r="M14" s="10"/>
      <c r="N14" s="10"/>
    </row>
    <row r="15" spans="2:14" ht="25.5" customHeight="1" x14ac:dyDescent="0.4">
      <c r="B15" s="133" t="s">
        <v>27</v>
      </c>
      <c r="C15" s="133"/>
      <c r="D15" s="133"/>
      <c r="E15" s="133"/>
      <c r="F15" s="133"/>
      <c r="G15" s="133"/>
      <c r="H15" s="10"/>
      <c r="I15" s="10"/>
      <c r="J15" s="10"/>
      <c r="K15" s="10"/>
      <c r="L15" s="10"/>
      <c r="M15" s="10"/>
      <c r="N15" s="10"/>
    </row>
    <row r="18" spans="3:6" ht="19.5" customHeight="1" x14ac:dyDescent="0.4">
      <c r="C18" s="11" t="s">
        <v>28</v>
      </c>
      <c r="D18" s="11" t="s">
        <v>29</v>
      </c>
      <c r="E18" s="11" t="s">
        <v>30</v>
      </c>
      <c r="F18" s="11" t="s">
        <v>31</v>
      </c>
    </row>
    <row r="19" spans="3:6" ht="36" customHeight="1" x14ac:dyDescent="0.4">
      <c r="C19" s="12" t="s">
        <v>32</v>
      </c>
      <c r="D19" s="13" t="s">
        <v>33</v>
      </c>
      <c r="E19" s="14" t="s">
        <v>34</v>
      </c>
      <c r="F19" s="15">
        <v>45652</v>
      </c>
    </row>
    <row r="20" spans="3:6" ht="28.5" hidden="1" customHeight="1" x14ac:dyDescent="0.4">
      <c r="C20" s="12" t="s">
        <v>35</v>
      </c>
      <c r="D20" s="13" t="s">
        <v>36</v>
      </c>
      <c r="E20" s="14"/>
      <c r="F20" s="15"/>
    </row>
    <row r="21" spans="3:6" ht="41.25" hidden="1" customHeight="1" x14ac:dyDescent="0.4">
      <c r="C21" s="16" t="s">
        <v>37</v>
      </c>
      <c r="D21" s="17" t="s">
        <v>38</v>
      </c>
      <c r="E21" s="14"/>
      <c r="F21" s="15"/>
    </row>
    <row r="22" spans="3:6" ht="18" hidden="1" customHeight="1" x14ac:dyDescent="0.4">
      <c r="C22" s="12" t="s">
        <v>39</v>
      </c>
      <c r="D22" s="13" t="s">
        <v>40</v>
      </c>
      <c r="E22" s="14"/>
      <c r="F22" s="15"/>
    </row>
    <row r="23" spans="3:6" ht="43.5" x14ac:dyDescent="0.4">
      <c r="C23" s="12" t="s">
        <v>41</v>
      </c>
      <c r="D23" s="13" t="s">
        <v>42</v>
      </c>
      <c r="E23" s="14" t="s">
        <v>43</v>
      </c>
      <c r="F23" s="15">
        <v>45652</v>
      </c>
    </row>
    <row r="24" spans="3:6" ht="29" x14ac:dyDescent="0.4">
      <c r="C24" s="12" t="s">
        <v>44</v>
      </c>
      <c r="D24" s="13" t="s">
        <v>45</v>
      </c>
      <c r="E24" s="14" t="s">
        <v>34</v>
      </c>
      <c r="F24" s="15">
        <v>45820</v>
      </c>
    </row>
    <row r="25" spans="3:6" ht="101.5" x14ac:dyDescent="0.4">
      <c r="C25" s="12" t="s">
        <v>46</v>
      </c>
      <c r="D25" s="13" t="s">
        <v>47</v>
      </c>
      <c r="E25" s="14" t="s">
        <v>34</v>
      </c>
      <c r="F25" s="15">
        <v>45821</v>
      </c>
    </row>
    <row r="26" spans="3:6" ht="87" x14ac:dyDescent="0.4">
      <c r="C26" s="62" t="s">
        <v>171</v>
      </c>
      <c r="D26" s="63" t="s">
        <v>172</v>
      </c>
      <c r="E26" s="64" t="s">
        <v>34</v>
      </c>
      <c r="F26" s="65">
        <v>45854</v>
      </c>
    </row>
    <row r="27" spans="3:6" ht="29" x14ac:dyDescent="0.4">
      <c r="C27" s="12" t="s">
        <v>48</v>
      </c>
      <c r="D27" s="13" t="s">
        <v>49</v>
      </c>
      <c r="E27" s="14" t="s">
        <v>50</v>
      </c>
      <c r="F27" s="15"/>
    </row>
  </sheetData>
  <mergeCells count="4">
    <mergeCell ref="B12:G12"/>
    <mergeCell ref="B13:G13"/>
    <mergeCell ref="B14:G14"/>
    <mergeCell ref="B15:G15"/>
  </mergeCells>
  <printOptions horizontalCentered="1"/>
  <pageMargins left="0.74791666666666701" right="0.74791666666666701" top="0.98402777777777795" bottom="0.98402777777777795" header="0.511811023622047" footer="0.51180555555555596"/>
  <pageSetup scale="60" orientation="landscape" horizontalDpi="300" verticalDpi="300"/>
  <headerFooter>
    <oddFooter>&amp;R&amp;"Montserrat,Normal"&amp;10Pagina &amp;P de &amp;N</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96B53-2D8F-4B4D-9570-432992BB828B}">
  <dimension ref="A11:D191"/>
  <sheetViews>
    <sheetView showGridLines="0" zoomScale="90" zoomScaleNormal="90" workbookViewId="0">
      <selection activeCell="A7" sqref="A7"/>
    </sheetView>
  </sheetViews>
  <sheetFormatPr baseColWidth="10" defaultColWidth="10.54296875" defaultRowHeight="14.5" x14ac:dyDescent="0.35"/>
  <cols>
    <col min="2" max="2" width="133.81640625" customWidth="1"/>
    <col min="4" max="4" width="60.453125" customWidth="1"/>
  </cols>
  <sheetData>
    <row r="11" spans="1:4" ht="15" x14ac:dyDescent="0.35">
      <c r="B11" s="97" t="s">
        <v>1183</v>
      </c>
    </row>
    <row r="12" spans="1:4" ht="15" x14ac:dyDescent="0.35">
      <c r="B12" s="98" t="s">
        <v>5</v>
      </c>
    </row>
    <row r="13" spans="1:4" ht="15" x14ac:dyDescent="0.4">
      <c r="B13" s="99"/>
    </row>
    <row r="14" spans="1:4" ht="15" x14ac:dyDescent="0.4">
      <c r="B14" s="100" t="s">
        <v>1184</v>
      </c>
    </row>
    <row r="15" spans="1:4" ht="15" x14ac:dyDescent="0.35">
      <c r="A15" s="101"/>
      <c r="B15" s="102" t="s">
        <v>1185</v>
      </c>
      <c r="D15" s="76"/>
    </row>
    <row r="16" spans="1:4" ht="15" x14ac:dyDescent="0.35">
      <c r="A16" s="101"/>
      <c r="B16" s="102" t="s">
        <v>1186</v>
      </c>
      <c r="C16" s="76"/>
      <c r="D16" s="76"/>
    </row>
    <row r="17" spans="1:4" ht="15" x14ac:dyDescent="0.35">
      <c r="A17" s="101"/>
      <c r="B17" s="102" t="s">
        <v>1187</v>
      </c>
      <c r="C17" s="76"/>
      <c r="D17" s="76"/>
    </row>
    <row r="18" spans="1:4" ht="15" x14ac:dyDescent="0.4">
      <c r="A18" s="101"/>
      <c r="B18" s="103" t="s">
        <v>1188</v>
      </c>
      <c r="C18" s="76"/>
      <c r="D18" s="104"/>
    </row>
    <row r="19" spans="1:4" ht="15" x14ac:dyDescent="0.4">
      <c r="A19" s="101"/>
      <c r="B19" s="104"/>
      <c r="C19" s="76"/>
    </row>
    <row r="20" spans="1:4" ht="15" x14ac:dyDescent="0.35">
      <c r="A20" s="101"/>
      <c r="B20" s="105" t="s">
        <v>1189</v>
      </c>
      <c r="C20" s="76"/>
    </row>
    <row r="21" spans="1:4" ht="15" x14ac:dyDescent="0.35">
      <c r="A21" s="101"/>
      <c r="B21" s="106" t="s">
        <v>1190</v>
      </c>
      <c r="C21" s="76"/>
      <c r="D21" s="76"/>
    </row>
    <row r="22" spans="1:4" ht="15" x14ac:dyDescent="0.35">
      <c r="A22" s="101"/>
      <c r="B22" s="106" t="s">
        <v>1191</v>
      </c>
      <c r="C22" s="107"/>
      <c r="D22" s="76"/>
    </row>
    <row r="23" spans="1:4" ht="15" x14ac:dyDescent="0.35">
      <c r="A23" s="101"/>
      <c r="B23" s="106" t="s">
        <v>1192</v>
      </c>
      <c r="C23" s="107"/>
      <c r="D23" s="76"/>
    </row>
    <row r="24" spans="1:4" ht="15" x14ac:dyDescent="0.35">
      <c r="A24" s="101"/>
      <c r="B24" s="106" t="s">
        <v>1193</v>
      </c>
      <c r="C24" s="76"/>
      <c r="D24" s="76"/>
    </row>
    <row r="25" spans="1:4" ht="15" x14ac:dyDescent="0.35">
      <c r="A25" s="101"/>
      <c r="B25" s="106" t="s">
        <v>1194</v>
      </c>
      <c r="C25" s="76"/>
      <c r="D25" s="76"/>
    </row>
    <row r="26" spans="1:4" ht="15" x14ac:dyDescent="0.35">
      <c r="A26" s="101"/>
      <c r="B26" s="106" t="s">
        <v>1195</v>
      </c>
      <c r="C26" s="76"/>
      <c r="D26" s="76"/>
    </row>
    <row r="27" spans="1:4" ht="15" x14ac:dyDescent="0.35">
      <c r="A27" s="101"/>
      <c r="B27" s="106" t="s">
        <v>1196</v>
      </c>
      <c r="D27" s="76"/>
    </row>
    <row r="28" spans="1:4" ht="15" x14ac:dyDescent="0.35">
      <c r="A28" s="101"/>
      <c r="B28" s="106" t="s">
        <v>1197</v>
      </c>
      <c r="D28" s="76"/>
    </row>
    <row r="29" spans="1:4" ht="15" x14ac:dyDescent="0.35">
      <c r="A29" s="101"/>
      <c r="B29" s="106" t="s">
        <v>1198</v>
      </c>
      <c r="D29" s="76"/>
    </row>
    <row r="30" spans="1:4" ht="15" x14ac:dyDescent="0.35">
      <c r="A30" s="101"/>
      <c r="B30" s="106" t="s">
        <v>1199</v>
      </c>
      <c r="D30" s="108"/>
    </row>
    <row r="31" spans="1:4" ht="15" x14ac:dyDescent="0.35">
      <c r="A31" s="101"/>
      <c r="B31" s="106" t="s">
        <v>1200</v>
      </c>
      <c r="D31" s="76"/>
    </row>
    <row r="32" spans="1:4" ht="15" x14ac:dyDescent="0.35">
      <c r="A32" s="101"/>
      <c r="B32" s="106" t="s">
        <v>1201</v>
      </c>
      <c r="D32" s="76"/>
    </row>
    <row r="33" spans="1:4" ht="15" x14ac:dyDescent="0.35">
      <c r="A33" s="101"/>
      <c r="B33" s="106" t="s">
        <v>1202</v>
      </c>
      <c r="D33" s="76"/>
    </row>
    <row r="34" spans="1:4" ht="15" x14ac:dyDescent="0.35">
      <c r="A34" s="101"/>
      <c r="B34" s="106" t="s">
        <v>1203</v>
      </c>
      <c r="D34" s="76"/>
    </row>
    <row r="35" spans="1:4" ht="15" x14ac:dyDescent="0.35">
      <c r="A35" s="101"/>
      <c r="B35" s="106" t="s">
        <v>1204</v>
      </c>
      <c r="D35" s="76"/>
    </row>
    <row r="36" spans="1:4" ht="15" x14ac:dyDescent="0.35">
      <c r="A36" s="101"/>
      <c r="B36" s="106" t="s">
        <v>1205</v>
      </c>
      <c r="D36" s="76"/>
    </row>
    <row r="37" spans="1:4" ht="15" x14ac:dyDescent="0.35">
      <c r="A37" s="101"/>
      <c r="B37" s="106" t="s">
        <v>1206</v>
      </c>
      <c r="D37" s="76"/>
    </row>
    <row r="38" spans="1:4" ht="15" x14ac:dyDescent="0.35">
      <c r="A38" s="101"/>
      <c r="B38" s="106" t="s">
        <v>1207</v>
      </c>
      <c r="D38" s="76"/>
    </row>
    <row r="39" spans="1:4" ht="15" x14ac:dyDescent="0.35">
      <c r="A39" s="101"/>
      <c r="B39" s="106" t="s">
        <v>1208</v>
      </c>
    </row>
    <row r="40" spans="1:4" ht="15" x14ac:dyDescent="0.35">
      <c r="A40" s="101"/>
      <c r="B40" s="106" t="s">
        <v>1209</v>
      </c>
    </row>
    <row r="41" spans="1:4" ht="15" x14ac:dyDescent="0.35">
      <c r="A41" s="101"/>
      <c r="B41" s="106" t="s">
        <v>1210</v>
      </c>
    </row>
    <row r="42" spans="1:4" ht="15" x14ac:dyDescent="0.35">
      <c r="A42" s="101"/>
      <c r="B42" s="106" t="s">
        <v>1211</v>
      </c>
    </row>
    <row r="43" spans="1:4" ht="15" x14ac:dyDescent="0.35">
      <c r="A43" s="101"/>
      <c r="B43" s="106" t="s">
        <v>1212</v>
      </c>
    </row>
    <row r="44" spans="1:4" ht="15" x14ac:dyDescent="0.35">
      <c r="A44" s="101"/>
      <c r="B44" s="106" t="s">
        <v>1213</v>
      </c>
    </row>
    <row r="45" spans="1:4" ht="15" x14ac:dyDescent="0.35">
      <c r="A45" s="101"/>
      <c r="B45" s="106" t="s">
        <v>1214</v>
      </c>
    </row>
    <row r="46" spans="1:4" ht="15" x14ac:dyDescent="0.35">
      <c r="A46" s="101"/>
      <c r="B46" s="106" t="s">
        <v>1215</v>
      </c>
    </row>
    <row r="47" spans="1:4" ht="15" x14ac:dyDescent="0.35">
      <c r="A47" s="101"/>
      <c r="B47" s="106" t="s">
        <v>1216</v>
      </c>
    </row>
    <row r="48" spans="1:4" ht="15" x14ac:dyDescent="0.35">
      <c r="A48" s="101"/>
      <c r="B48" s="106" t="s">
        <v>1217</v>
      </c>
    </row>
    <row r="49" spans="1:2" ht="15" x14ac:dyDescent="0.35">
      <c r="A49" s="101"/>
      <c r="B49" s="106" t="s">
        <v>1218</v>
      </c>
    </row>
    <row r="50" spans="1:2" ht="15" x14ac:dyDescent="0.35">
      <c r="A50" s="101"/>
      <c r="B50" s="106" t="s">
        <v>1219</v>
      </c>
    </row>
    <row r="51" spans="1:2" ht="15" x14ac:dyDescent="0.35">
      <c r="A51" s="101"/>
      <c r="B51" s="106" t="s">
        <v>1220</v>
      </c>
    </row>
    <row r="52" spans="1:2" ht="15" x14ac:dyDescent="0.35">
      <c r="A52" s="101"/>
      <c r="B52" s="106" t="s">
        <v>1221</v>
      </c>
    </row>
    <row r="53" spans="1:2" ht="15" x14ac:dyDescent="0.35">
      <c r="A53" s="101"/>
      <c r="B53" s="106" t="s">
        <v>1222</v>
      </c>
    </row>
    <row r="54" spans="1:2" ht="15" x14ac:dyDescent="0.35">
      <c r="A54" s="101"/>
      <c r="B54" s="106" t="s">
        <v>1223</v>
      </c>
    </row>
    <row r="55" spans="1:2" ht="15" x14ac:dyDescent="0.35">
      <c r="A55" s="101"/>
      <c r="B55" s="106" t="s">
        <v>1224</v>
      </c>
    </row>
    <row r="56" spans="1:2" ht="15" x14ac:dyDescent="0.35">
      <c r="A56" s="101"/>
      <c r="B56" s="106" t="s">
        <v>1225</v>
      </c>
    </row>
    <row r="57" spans="1:2" ht="15" x14ac:dyDescent="0.35">
      <c r="A57" s="101"/>
      <c r="B57" s="106" t="s">
        <v>1226</v>
      </c>
    </row>
    <row r="58" spans="1:2" ht="15" x14ac:dyDescent="0.35">
      <c r="A58" s="101"/>
      <c r="B58" s="106" t="s">
        <v>1227</v>
      </c>
    </row>
    <row r="59" spans="1:2" ht="15" x14ac:dyDescent="0.35">
      <c r="A59" s="101"/>
      <c r="B59" s="106" t="s">
        <v>1228</v>
      </c>
    </row>
    <row r="60" spans="1:2" ht="15" x14ac:dyDescent="0.35">
      <c r="A60" s="101"/>
      <c r="B60" s="106" t="s">
        <v>1229</v>
      </c>
    </row>
    <row r="61" spans="1:2" ht="15" x14ac:dyDescent="0.35">
      <c r="A61" s="101"/>
      <c r="B61" s="106" t="s">
        <v>1230</v>
      </c>
    </row>
    <row r="62" spans="1:2" ht="15" x14ac:dyDescent="0.35">
      <c r="A62" s="101"/>
      <c r="B62" s="106" t="s">
        <v>1231</v>
      </c>
    </row>
    <row r="63" spans="1:2" ht="15" x14ac:dyDescent="0.35">
      <c r="A63" s="101"/>
      <c r="B63" s="106" t="s">
        <v>1232</v>
      </c>
    </row>
    <row r="64" spans="1:2" ht="15" x14ac:dyDescent="0.35">
      <c r="A64" s="101"/>
      <c r="B64" s="106" t="s">
        <v>1233</v>
      </c>
    </row>
    <row r="65" spans="1:2" ht="15" x14ac:dyDescent="0.35">
      <c r="A65" s="101"/>
      <c r="B65" s="106" t="s">
        <v>1234</v>
      </c>
    </row>
    <row r="66" spans="1:2" ht="15" x14ac:dyDescent="0.35">
      <c r="A66" s="101"/>
      <c r="B66" s="106" t="s">
        <v>1235</v>
      </c>
    </row>
    <row r="67" spans="1:2" ht="15" x14ac:dyDescent="0.35">
      <c r="A67" s="101"/>
      <c r="B67" s="106" t="s">
        <v>1236</v>
      </c>
    </row>
    <row r="68" spans="1:2" ht="15" x14ac:dyDescent="0.35">
      <c r="A68" s="101"/>
      <c r="B68" s="106" t="s">
        <v>1237</v>
      </c>
    </row>
    <row r="69" spans="1:2" ht="15" x14ac:dyDescent="0.35">
      <c r="A69" s="101"/>
      <c r="B69" s="106" t="s">
        <v>1238</v>
      </c>
    </row>
    <row r="70" spans="1:2" ht="15" x14ac:dyDescent="0.35">
      <c r="A70" s="101"/>
      <c r="B70" s="106" t="s">
        <v>1239</v>
      </c>
    </row>
    <row r="71" spans="1:2" ht="15" x14ac:dyDescent="0.35">
      <c r="A71" s="101"/>
      <c r="B71" s="106" t="s">
        <v>1240</v>
      </c>
    </row>
    <row r="72" spans="1:2" ht="15" x14ac:dyDescent="0.35">
      <c r="A72" s="101"/>
      <c r="B72" s="106" t="s">
        <v>1241</v>
      </c>
    </row>
    <row r="73" spans="1:2" ht="15" x14ac:dyDescent="0.35">
      <c r="A73" s="101"/>
      <c r="B73" s="106" t="s">
        <v>1242</v>
      </c>
    </row>
    <row r="74" spans="1:2" ht="15" x14ac:dyDescent="0.35">
      <c r="A74" s="101"/>
      <c r="B74" s="106" t="s">
        <v>1243</v>
      </c>
    </row>
    <row r="75" spans="1:2" ht="15" x14ac:dyDescent="0.35">
      <c r="A75" s="101"/>
      <c r="B75" s="106" t="s">
        <v>1244</v>
      </c>
    </row>
    <row r="76" spans="1:2" ht="15" x14ac:dyDescent="0.35">
      <c r="A76" s="101"/>
      <c r="B76" s="106" t="s">
        <v>1245</v>
      </c>
    </row>
    <row r="77" spans="1:2" ht="15" x14ac:dyDescent="0.35">
      <c r="A77" s="101"/>
      <c r="B77" s="106" t="s">
        <v>1246</v>
      </c>
    </row>
    <row r="78" spans="1:2" ht="15" x14ac:dyDescent="0.35">
      <c r="A78" s="101"/>
      <c r="B78" s="106" t="s">
        <v>1247</v>
      </c>
    </row>
    <row r="79" spans="1:2" ht="15" x14ac:dyDescent="0.35">
      <c r="A79" s="101"/>
      <c r="B79" s="106" t="s">
        <v>1248</v>
      </c>
    </row>
    <row r="80" spans="1:2" ht="15" x14ac:dyDescent="0.35">
      <c r="A80" s="101"/>
      <c r="B80" s="106" t="s">
        <v>1249</v>
      </c>
    </row>
    <row r="81" spans="1:2" ht="15" x14ac:dyDescent="0.35">
      <c r="A81" s="101"/>
      <c r="B81" s="106" t="s">
        <v>1250</v>
      </c>
    </row>
    <row r="82" spans="1:2" ht="15" x14ac:dyDescent="0.35">
      <c r="A82" s="101"/>
      <c r="B82" s="106" t="s">
        <v>1251</v>
      </c>
    </row>
    <row r="83" spans="1:2" ht="15" x14ac:dyDescent="0.35">
      <c r="A83" s="101"/>
      <c r="B83" s="106" t="s">
        <v>1252</v>
      </c>
    </row>
    <row r="84" spans="1:2" ht="15" x14ac:dyDescent="0.35">
      <c r="A84" s="101"/>
      <c r="B84" s="106" t="s">
        <v>1253</v>
      </c>
    </row>
    <row r="85" spans="1:2" ht="15" x14ac:dyDescent="0.35">
      <c r="A85" s="101"/>
      <c r="B85" s="106" t="s">
        <v>1254</v>
      </c>
    </row>
    <row r="86" spans="1:2" ht="15" x14ac:dyDescent="0.35">
      <c r="A86" s="101"/>
      <c r="B86" s="106" t="s">
        <v>1255</v>
      </c>
    </row>
    <row r="87" spans="1:2" ht="15" x14ac:dyDescent="0.35">
      <c r="A87" s="101"/>
      <c r="B87" s="106" t="s">
        <v>1256</v>
      </c>
    </row>
    <row r="88" spans="1:2" ht="15" x14ac:dyDescent="0.35">
      <c r="A88" s="101"/>
      <c r="B88" s="106" t="s">
        <v>1257</v>
      </c>
    </row>
    <row r="89" spans="1:2" ht="15" x14ac:dyDescent="0.35">
      <c r="A89" s="101"/>
      <c r="B89" s="106" t="s">
        <v>1258</v>
      </c>
    </row>
    <row r="90" spans="1:2" ht="15" x14ac:dyDescent="0.35">
      <c r="A90" s="101"/>
      <c r="B90" s="106" t="s">
        <v>1259</v>
      </c>
    </row>
    <row r="91" spans="1:2" ht="15" x14ac:dyDescent="0.35">
      <c r="A91" s="101"/>
      <c r="B91" s="106" t="s">
        <v>1260</v>
      </c>
    </row>
    <row r="92" spans="1:2" ht="15" x14ac:dyDescent="0.35">
      <c r="A92" s="101"/>
      <c r="B92" s="106" t="s">
        <v>1261</v>
      </c>
    </row>
    <row r="93" spans="1:2" ht="15" x14ac:dyDescent="0.35">
      <c r="A93" s="101"/>
      <c r="B93" s="106" t="s">
        <v>1262</v>
      </c>
    </row>
    <row r="94" spans="1:2" ht="15" x14ac:dyDescent="0.35">
      <c r="A94" s="101"/>
      <c r="B94" s="106" t="s">
        <v>1263</v>
      </c>
    </row>
    <row r="95" spans="1:2" ht="15" x14ac:dyDescent="0.35">
      <c r="A95" s="101"/>
      <c r="B95" s="106" t="s">
        <v>1264</v>
      </c>
    </row>
    <row r="96" spans="1:2" ht="15" x14ac:dyDescent="0.35">
      <c r="A96" s="101"/>
      <c r="B96" s="106" t="s">
        <v>1265</v>
      </c>
    </row>
    <row r="97" spans="1:2" ht="15" x14ac:dyDescent="0.35">
      <c r="A97" s="101"/>
      <c r="B97" s="106" t="s">
        <v>1266</v>
      </c>
    </row>
    <row r="98" spans="1:2" ht="15" x14ac:dyDescent="0.35">
      <c r="A98" s="101"/>
      <c r="B98" s="106" t="s">
        <v>1267</v>
      </c>
    </row>
    <row r="99" spans="1:2" ht="15" x14ac:dyDescent="0.35">
      <c r="A99" s="101"/>
      <c r="B99" s="106" t="s">
        <v>1268</v>
      </c>
    </row>
    <row r="100" spans="1:2" ht="15" x14ac:dyDescent="0.35">
      <c r="A100" s="101"/>
      <c r="B100" s="106" t="s">
        <v>1269</v>
      </c>
    </row>
    <row r="101" spans="1:2" ht="15" x14ac:dyDescent="0.35">
      <c r="A101" s="101"/>
      <c r="B101" s="106" t="s">
        <v>1270</v>
      </c>
    </row>
    <row r="102" spans="1:2" ht="15" x14ac:dyDescent="0.35">
      <c r="A102" s="101"/>
      <c r="B102" s="106" t="s">
        <v>1271</v>
      </c>
    </row>
    <row r="103" spans="1:2" ht="15" x14ac:dyDescent="0.35">
      <c r="A103" s="101"/>
      <c r="B103" s="106" t="s">
        <v>1272</v>
      </c>
    </row>
    <row r="104" spans="1:2" ht="15" x14ac:dyDescent="0.35">
      <c r="A104" s="101"/>
      <c r="B104" s="106" t="s">
        <v>1273</v>
      </c>
    </row>
    <row r="105" spans="1:2" x14ac:dyDescent="0.35">
      <c r="A105" s="101"/>
      <c r="B105" s="109"/>
    </row>
    <row r="106" spans="1:2" ht="15" x14ac:dyDescent="0.35">
      <c r="A106" s="101"/>
      <c r="B106" s="107"/>
    </row>
    <row r="107" spans="1:2" ht="15" x14ac:dyDescent="0.35">
      <c r="A107" s="101"/>
      <c r="B107" s="110" t="s">
        <v>1274</v>
      </c>
    </row>
    <row r="108" spans="1:2" ht="15" x14ac:dyDescent="0.35">
      <c r="A108" s="101"/>
      <c r="B108" s="106" t="s">
        <v>1275</v>
      </c>
    </row>
    <row r="109" spans="1:2" ht="15" x14ac:dyDescent="0.35">
      <c r="A109" s="101"/>
      <c r="B109" s="106" t="s">
        <v>1276</v>
      </c>
    </row>
    <row r="110" spans="1:2" ht="15" x14ac:dyDescent="0.35">
      <c r="A110" s="101"/>
      <c r="B110" s="106" t="s">
        <v>1277</v>
      </c>
    </row>
    <row r="111" spans="1:2" ht="15" x14ac:dyDescent="0.35">
      <c r="A111" s="101"/>
      <c r="B111" s="106" t="s">
        <v>1278</v>
      </c>
    </row>
    <row r="112" spans="1:2" ht="15" x14ac:dyDescent="0.35">
      <c r="A112" s="101"/>
      <c r="B112" s="106" t="s">
        <v>1279</v>
      </c>
    </row>
    <row r="113" spans="1:2" ht="15" x14ac:dyDescent="0.35">
      <c r="A113" s="101"/>
      <c r="B113" s="106" t="s">
        <v>1280</v>
      </c>
    </row>
    <row r="114" spans="1:2" ht="15" x14ac:dyDescent="0.35">
      <c r="A114" s="101"/>
      <c r="B114" s="106" t="s">
        <v>1281</v>
      </c>
    </row>
    <row r="115" spans="1:2" ht="15" x14ac:dyDescent="0.35">
      <c r="A115" s="101"/>
      <c r="B115" s="106" t="s">
        <v>1282</v>
      </c>
    </row>
    <row r="116" spans="1:2" ht="15" x14ac:dyDescent="0.35">
      <c r="A116" s="101"/>
      <c r="B116" s="106" t="s">
        <v>1283</v>
      </c>
    </row>
    <row r="117" spans="1:2" ht="15" x14ac:dyDescent="0.35">
      <c r="A117" s="101"/>
      <c r="B117" s="106" t="s">
        <v>1284</v>
      </c>
    </row>
    <row r="118" spans="1:2" ht="15" x14ac:dyDescent="0.35">
      <c r="A118" s="101"/>
      <c r="B118" s="106" t="s">
        <v>1285</v>
      </c>
    </row>
    <row r="119" spans="1:2" ht="15" x14ac:dyDescent="0.35">
      <c r="A119" s="101"/>
      <c r="B119" s="106" t="s">
        <v>1286</v>
      </c>
    </row>
    <row r="120" spans="1:2" ht="15" x14ac:dyDescent="0.35">
      <c r="A120" s="101"/>
      <c r="B120" s="106" t="s">
        <v>1287</v>
      </c>
    </row>
    <row r="121" spans="1:2" ht="15" x14ac:dyDescent="0.35">
      <c r="A121" s="101"/>
      <c r="B121" s="106" t="s">
        <v>1288</v>
      </c>
    </row>
    <row r="122" spans="1:2" ht="15" x14ac:dyDescent="0.35">
      <c r="A122" s="101"/>
      <c r="B122" s="106" t="s">
        <v>1289</v>
      </c>
    </row>
    <row r="123" spans="1:2" ht="15" x14ac:dyDescent="0.35">
      <c r="A123" s="101"/>
      <c r="B123" s="106" t="s">
        <v>1290</v>
      </c>
    </row>
    <row r="124" spans="1:2" ht="15" x14ac:dyDescent="0.35">
      <c r="A124" s="101"/>
      <c r="B124" s="106" t="s">
        <v>1291</v>
      </c>
    </row>
    <row r="125" spans="1:2" ht="15" x14ac:dyDescent="0.35">
      <c r="A125" s="101"/>
      <c r="B125" s="106" t="s">
        <v>1292</v>
      </c>
    </row>
    <row r="126" spans="1:2" ht="15" x14ac:dyDescent="0.35">
      <c r="A126" s="101"/>
      <c r="B126" s="106" t="s">
        <v>1293</v>
      </c>
    </row>
    <row r="127" spans="1:2" ht="15" x14ac:dyDescent="0.35">
      <c r="A127" s="101"/>
      <c r="B127" s="106" t="s">
        <v>1294</v>
      </c>
    </row>
    <row r="128" spans="1:2" ht="15" x14ac:dyDescent="0.35">
      <c r="A128" s="101"/>
      <c r="B128" s="106" t="s">
        <v>1295</v>
      </c>
    </row>
    <row r="129" spans="1:2" ht="15" x14ac:dyDescent="0.35">
      <c r="A129" s="101"/>
      <c r="B129" s="106" t="s">
        <v>1296</v>
      </c>
    </row>
    <row r="130" spans="1:2" ht="15" x14ac:dyDescent="0.35">
      <c r="A130" s="101"/>
      <c r="B130" s="106" t="s">
        <v>1297</v>
      </c>
    </row>
    <row r="131" spans="1:2" ht="15" x14ac:dyDescent="0.35">
      <c r="A131" s="101"/>
      <c r="B131" s="106" t="s">
        <v>1298</v>
      </c>
    </row>
    <row r="132" spans="1:2" ht="15" x14ac:dyDescent="0.35">
      <c r="A132" s="101"/>
      <c r="B132" s="106" t="s">
        <v>1299</v>
      </c>
    </row>
    <row r="133" spans="1:2" ht="15" x14ac:dyDescent="0.35">
      <c r="A133" s="101"/>
      <c r="B133" s="106" t="s">
        <v>1300</v>
      </c>
    </row>
    <row r="134" spans="1:2" ht="15" x14ac:dyDescent="0.35">
      <c r="A134" s="101"/>
      <c r="B134" s="106" t="s">
        <v>1301</v>
      </c>
    </row>
    <row r="135" spans="1:2" ht="15" x14ac:dyDescent="0.35">
      <c r="A135" s="101"/>
      <c r="B135" s="106" t="s">
        <v>1302</v>
      </c>
    </row>
    <row r="136" spans="1:2" ht="15" x14ac:dyDescent="0.35">
      <c r="A136" s="101"/>
      <c r="B136" s="106" t="s">
        <v>1303</v>
      </c>
    </row>
    <row r="137" spans="1:2" ht="15" x14ac:dyDescent="0.35">
      <c r="A137" s="101"/>
      <c r="B137" s="106" t="s">
        <v>1304</v>
      </c>
    </row>
    <row r="138" spans="1:2" ht="15" x14ac:dyDescent="0.35">
      <c r="A138" s="101"/>
      <c r="B138" s="106" t="s">
        <v>1305</v>
      </c>
    </row>
    <row r="139" spans="1:2" ht="15" x14ac:dyDescent="0.35">
      <c r="A139" s="101"/>
      <c r="B139" s="106" t="s">
        <v>1306</v>
      </c>
    </row>
    <row r="140" spans="1:2" ht="15" x14ac:dyDescent="0.35">
      <c r="A140" s="101"/>
      <c r="B140" s="106" t="s">
        <v>1307</v>
      </c>
    </row>
    <row r="141" spans="1:2" ht="15" x14ac:dyDescent="0.35">
      <c r="A141" s="101"/>
      <c r="B141" s="106" t="s">
        <v>1308</v>
      </c>
    </row>
    <row r="142" spans="1:2" ht="15" x14ac:dyDescent="0.35">
      <c r="A142" s="101"/>
      <c r="B142" s="106" t="s">
        <v>1309</v>
      </c>
    </row>
    <row r="143" spans="1:2" ht="15" x14ac:dyDescent="0.35">
      <c r="A143" s="101"/>
      <c r="B143" s="106" t="s">
        <v>1310</v>
      </c>
    </row>
    <row r="144" spans="1:2" ht="15" x14ac:dyDescent="0.35">
      <c r="A144" s="101"/>
      <c r="B144" s="106" t="s">
        <v>1311</v>
      </c>
    </row>
    <row r="145" spans="1:2" ht="15" x14ac:dyDescent="0.35">
      <c r="A145" s="101"/>
      <c r="B145" s="106" t="s">
        <v>1312</v>
      </c>
    </row>
    <row r="146" spans="1:2" ht="15" x14ac:dyDescent="0.35">
      <c r="A146" s="101"/>
      <c r="B146" s="106" t="s">
        <v>1313</v>
      </c>
    </row>
    <row r="147" spans="1:2" ht="15" x14ac:dyDescent="0.35">
      <c r="A147" s="101"/>
      <c r="B147" s="106" t="s">
        <v>1314</v>
      </c>
    </row>
    <row r="148" spans="1:2" ht="15" x14ac:dyDescent="0.35">
      <c r="A148" s="101"/>
      <c r="B148" s="106" t="s">
        <v>1315</v>
      </c>
    </row>
    <row r="149" spans="1:2" ht="15" x14ac:dyDescent="0.35">
      <c r="A149" s="101"/>
      <c r="B149" s="106" t="s">
        <v>1316</v>
      </c>
    </row>
    <row r="150" spans="1:2" ht="15" x14ac:dyDescent="0.35">
      <c r="A150" s="101"/>
      <c r="B150" s="106" t="s">
        <v>1317</v>
      </c>
    </row>
    <row r="151" spans="1:2" ht="15" x14ac:dyDescent="0.35">
      <c r="A151" s="101"/>
      <c r="B151" s="106" t="s">
        <v>1318</v>
      </c>
    </row>
    <row r="152" spans="1:2" ht="15" x14ac:dyDescent="0.35">
      <c r="A152" s="101"/>
      <c r="B152" s="106" t="s">
        <v>1319</v>
      </c>
    </row>
    <row r="153" spans="1:2" ht="15" x14ac:dyDescent="0.35">
      <c r="A153" s="101"/>
      <c r="B153" s="106" t="s">
        <v>1320</v>
      </c>
    </row>
    <row r="154" spans="1:2" ht="15" x14ac:dyDescent="0.35">
      <c r="A154" s="101"/>
      <c r="B154" s="106" t="s">
        <v>1321</v>
      </c>
    </row>
    <row r="155" spans="1:2" ht="15" x14ac:dyDescent="0.35">
      <c r="A155" s="101"/>
      <c r="B155" s="106" t="s">
        <v>1322</v>
      </c>
    </row>
    <row r="156" spans="1:2" ht="15" x14ac:dyDescent="0.35">
      <c r="A156" s="101"/>
      <c r="B156" s="106" t="s">
        <v>1323</v>
      </c>
    </row>
    <row r="157" spans="1:2" ht="15" x14ac:dyDescent="0.35">
      <c r="A157" s="101"/>
      <c r="B157" s="106" t="s">
        <v>1324</v>
      </c>
    </row>
    <row r="158" spans="1:2" ht="15" x14ac:dyDescent="0.35">
      <c r="A158" s="101"/>
      <c r="B158" s="106" t="s">
        <v>1325</v>
      </c>
    </row>
    <row r="159" spans="1:2" ht="15" x14ac:dyDescent="0.35">
      <c r="A159" s="101"/>
      <c r="B159" s="106" t="s">
        <v>1326</v>
      </c>
    </row>
    <row r="160" spans="1:2" ht="15" x14ac:dyDescent="0.35">
      <c r="A160" s="101"/>
      <c r="B160" s="106" t="s">
        <v>1327</v>
      </c>
    </row>
    <row r="161" spans="1:2" ht="15" x14ac:dyDescent="0.35">
      <c r="A161" s="101"/>
      <c r="B161" s="106" t="s">
        <v>1328</v>
      </c>
    </row>
    <row r="162" spans="1:2" ht="15" x14ac:dyDescent="0.35">
      <c r="A162" s="101"/>
      <c r="B162" s="106" t="s">
        <v>1329</v>
      </c>
    </row>
    <row r="163" spans="1:2" ht="15" x14ac:dyDescent="0.35">
      <c r="A163" s="101"/>
      <c r="B163" s="106" t="s">
        <v>1330</v>
      </c>
    </row>
    <row r="164" spans="1:2" ht="15" x14ac:dyDescent="0.35">
      <c r="A164" s="101"/>
      <c r="B164" s="106" t="s">
        <v>1331</v>
      </c>
    </row>
    <row r="165" spans="1:2" ht="15" x14ac:dyDescent="0.35">
      <c r="A165" s="101"/>
      <c r="B165" s="106" t="s">
        <v>1332</v>
      </c>
    </row>
    <row r="166" spans="1:2" ht="15" x14ac:dyDescent="0.35">
      <c r="A166" s="101"/>
      <c r="B166" s="106" t="s">
        <v>1333</v>
      </c>
    </row>
    <row r="167" spans="1:2" ht="15" x14ac:dyDescent="0.35">
      <c r="A167" s="101"/>
      <c r="B167" s="106" t="s">
        <v>1334</v>
      </c>
    </row>
    <row r="168" spans="1:2" ht="15" x14ac:dyDescent="0.35">
      <c r="A168" s="101"/>
      <c r="B168" s="106" t="s">
        <v>1335</v>
      </c>
    </row>
    <row r="169" spans="1:2" ht="15" x14ac:dyDescent="0.35">
      <c r="A169" s="101"/>
      <c r="B169" s="106" t="s">
        <v>1336</v>
      </c>
    </row>
    <row r="170" spans="1:2" ht="15" x14ac:dyDescent="0.35">
      <c r="A170" s="101"/>
      <c r="B170" s="106" t="s">
        <v>1337</v>
      </c>
    </row>
    <row r="171" spans="1:2" ht="15" x14ac:dyDescent="0.35">
      <c r="A171" s="101"/>
      <c r="B171" s="106" t="s">
        <v>1338</v>
      </c>
    </row>
    <row r="172" spans="1:2" ht="15" x14ac:dyDescent="0.35">
      <c r="A172" s="101"/>
      <c r="B172" s="106" t="s">
        <v>1339</v>
      </c>
    </row>
    <row r="173" spans="1:2" ht="15" x14ac:dyDescent="0.35">
      <c r="A173" s="101"/>
      <c r="B173" s="106" t="s">
        <v>1340</v>
      </c>
    </row>
    <row r="174" spans="1:2" ht="15" x14ac:dyDescent="0.35">
      <c r="A174" s="101"/>
      <c r="B174" s="106" t="s">
        <v>1341</v>
      </c>
    </row>
    <row r="175" spans="1:2" ht="15" x14ac:dyDescent="0.35">
      <c r="A175" s="101"/>
      <c r="B175" s="106" t="s">
        <v>1342</v>
      </c>
    </row>
    <row r="176" spans="1:2" ht="15" x14ac:dyDescent="0.35">
      <c r="A176" s="101"/>
      <c r="B176" s="106" t="s">
        <v>1343</v>
      </c>
    </row>
    <row r="177" spans="1:2" ht="15" x14ac:dyDescent="0.35">
      <c r="A177" s="101"/>
      <c r="B177" s="106" t="s">
        <v>1344</v>
      </c>
    </row>
    <row r="178" spans="1:2" ht="15" x14ac:dyDescent="0.35">
      <c r="A178" s="101"/>
      <c r="B178" s="106" t="s">
        <v>1345</v>
      </c>
    </row>
    <row r="179" spans="1:2" ht="15" x14ac:dyDescent="0.35">
      <c r="A179" s="101"/>
      <c r="B179" s="106" t="s">
        <v>1346</v>
      </c>
    </row>
    <row r="180" spans="1:2" ht="15" x14ac:dyDescent="0.35">
      <c r="A180" s="101"/>
      <c r="B180" s="106" t="s">
        <v>1347</v>
      </c>
    </row>
    <row r="181" spans="1:2" ht="15" x14ac:dyDescent="0.35">
      <c r="A181" s="101"/>
      <c r="B181" s="106" t="s">
        <v>1348</v>
      </c>
    </row>
    <row r="182" spans="1:2" ht="15" x14ac:dyDescent="0.35">
      <c r="A182" s="101"/>
      <c r="B182" s="106" t="s">
        <v>1349</v>
      </c>
    </row>
    <row r="183" spans="1:2" ht="15" x14ac:dyDescent="0.35">
      <c r="A183" s="101"/>
      <c r="B183" s="106" t="s">
        <v>1350</v>
      </c>
    </row>
    <row r="184" spans="1:2" ht="15" x14ac:dyDescent="0.35">
      <c r="A184" s="101"/>
      <c r="B184" s="106" t="s">
        <v>1351</v>
      </c>
    </row>
    <row r="185" spans="1:2" ht="15" x14ac:dyDescent="0.35">
      <c r="A185" s="101"/>
      <c r="B185" s="106" t="s">
        <v>1352</v>
      </c>
    </row>
    <row r="186" spans="1:2" ht="15" x14ac:dyDescent="0.35">
      <c r="A186" s="101"/>
      <c r="B186" s="106" t="s">
        <v>1353</v>
      </c>
    </row>
    <row r="187" spans="1:2" ht="15" x14ac:dyDescent="0.35">
      <c r="A187" s="101"/>
      <c r="B187" s="106" t="s">
        <v>1354</v>
      </c>
    </row>
    <row r="188" spans="1:2" ht="15" x14ac:dyDescent="0.35">
      <c r="A188" s="101"/>
      <c r="B188" s="106" t="s">
        <v>1355</v>
      </c>
    </row>
    <row r="189" spans="1:2" ht="15" x14ac:dyDescent="0.35">
      <c r="A189" s="101"/>
      <c r="B189" s="106" t="s">
        <v>1356</v>
      </c>
    </row>
    <row r="190" spans="1:2" ht="15" x14ac:dyDescent="0.35">
      <c r="A190" s="101"/>
      <c r="B190" s="106" t="s">
        <v>1357</v>
      </c>
    </row>
    <row r="191" spans="1:2" ht="15" x14ac:dyDescent="0.35">
      <c r="A191" s="101"/>
      <c r="B191" s="106" t="s">
        <v>1358</v>
      </c>
    </row>
  </sheetData>
  <pageMargins left="0.7" right="0.7" top="0.75" bottom="0.75" header="0.511811023622047" footer="0.511811023622047"/>
  <pageSetup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A8C9F-23E3-480B-BF03-4E2EF79A1192}">
  <dimension ref="A1:AME1236"/>
  <sheetViews>
    <sheetView showGridLines="0" tabSelected="1" topLeftCell="A180" zoomScale="52" zoomScaleNormal="70" zoomScalePageLayoutView="50" workbookViewId="0">
      <selection activeCell="E181" sqref="E181"/>
    </sheetView>
  </sheetViews>
  <sheetFormatPr baseColWidth="10" defaultColWidth="10.26953125" defaultRowHeight="16.5" x14ac:dyDescent="0.45"/>
  <cols>
    <col min="1" max="1" width="29.26953125" style="21" customWidth="1"/>
    <col min="2" max="2" width="6" style="21" customWidth="1"/>
    <col min="3" max="3" width="50.08984375" style="21" customWidth="1"/>
    <col min="4" max="4" width="13.1796875" style="21" customWidth="1"/>
    <col min="5" max="5" width="44.26953125" style="21" customWidth="1"/>
    <col min="6" max="6" width="56.81640625" style="21" customWidth="1"/>
    <col min="7" max="7" width="51" style="21" customWidth="1"/>
    <col min="8" max="8" width="26.26953125" style="21" customWidth="1"/>
    <col min="9" max="9" width="29.54296875" style="21" customWidth="1"/>
    <col min="10" max="1019" width="10.26953125" style="21"/>
  </cols>
  <sheetData>
    <row r="1" spans="1:11" x14ac:dyDescent="0.45">
      <c r="J1" s="67"/>
      <c r="K1" s="67"/>
    </row>
    <row r="2" spans="1:11" x14ac:dyDescent="0.45">
      <c r="J2" s="67"/>
      <c r="K2" s="67"/>
    </row>
    <row r="3" spans="1:11" x14ac:dyDescent="0.45">
      <c r="J3" s="67"/>
      <c r="K3" s="67"/>
    </row>
    <row r="4" spans="1:11" x14ac:dyDescent="0.45">
      <c r="J4" s="67"/>
      <c r="K4" s="67"/>
    </row>
    <row r="5" spans="1:11" x14ac:dyDescent="0.45">
      <c r="J5" s="67"/>
      <c r="K5" s="67"/>
    </row>
    <row r="6" spans="1:11" x14ac:dyDescent="0.45">
      <c r="J6" s="67"/>
      <c r="K6" s="67"/>
    </row>
    <row r="7" spans="1:11" x14ac:dyDescent="0.45">
      <c r="J7" s="67"/>
      <c r="K7" s="67"/>
    </row>
    <row r="8" spans="1:11" x14ac:dyDescent="0.45">
      <c r="J8" s="67"/>
      <c r="K8" s="67"/>
    </row>
    <row r="9" spans="1:11" x14ac:dyDescent="0.45">
      <c r="J9" s="67"/>
      <c r="K9" s="67"/>
    </row>
    <row r="10" spans="1:11" s="20" customFormat="1" ht="25.5" customHeight="1" x14ac:dyDescent="0.4">
      <c r="D10" s="112" t="s">
        <v>5</v>
      </c>
      <c r="E10" s="112"/>
      <c r="J10" s="24"/>
      <c r="K10" s="24"/>
    </row>
    <row r="11" spans="1:11" s="20" customFormat="1" ht="25.5" customHeight="1" x14ac:dyDescent="0.4">
      <c r="J11" s="24"/>
      <c r="K11" s="24"/>
    </row>
    <row r="12" spans="1:11" s="20" customFormat="1" ht="24" customHeight="1" x14ac:dyDescent="0.4">
      <c r="A12" s="113" t="s">
        <v>80</v>
      </c>
      <c r="B12" s="113"/>
      <c r="C12" s="114"/>
      <c r="D12" s="114"/>
      <c r="E12" s="22"/>
      <c r="F12" s="22"/>
      <c r="G12" s="22"/>
      <c r="J12" s="24"/>
      <c r="K12" s="24"/>
    </row>
    <row r="13" spans="1:11" s="20" customFormat="1" ht="23.25" customHeight="1" x14ac:dyDescent="0.4">
      <c r="A13" s="113" t="s">
        <v>81</v>
      </c>
      <c r="B13" s="113"/>
      <c r="C13" s="115">
        <v>8387</v>
      </c>
      <c r="D13" s="115"/>
      <c r="E13" s="22"/>
      <c r="F13" s="22"/>
      <c r="G13" s="22"/>
      <c r="J13" s="24"/>
      <c r="K13" s="24"/>
    </row>
    <row r="14" spans="1:11" s="20" customFormat="1" ht="28.5" customHeight="1" x14ac:dyDescent="0.4">
      <c r="A14" s="113" t="s">
        <v>82</v>
      </c>
      <c r="B14" s="113"/>
      <c r="C14" s="116" t="s">
        <v>265</v>
      </c>
      <c r="D14" s="116"/>
      <c r="E14" s="22"/>
      <c r="F14" s="22"/>
      <c r="G14" s="22"/>
      <c r="H14" s="24"/>
      <c r="J14" s="24"/>
      <c r="K14" s="24"/>
    </row>
    <row r="15" spans="1:11" s="20" customFormat="1" ht="30" customHeight="1" x14ac:dyDescent="0.4">
      <c r="A15" s="111" t="s">
        <v>83</v>
      </c>
      <c r="B15" s="111"/>
      <c r="C15" s="111"/>
      <c r="D15" s="25"/>
      <c r="E15" s="25"/>
      <c r="F15" s="25"/>
      <c r="G15" s="25"/>
      <c r="J15" s="24"/>
      <c r="K15" s="24"/>
    </row>
    <row r="16" spans="1:11" s="26" customFormat="1" ht="13.5" customHeight="1" thickBot="1" x14ac:dyDescent="0.45">
      <c r="J16" s="68"/>
      <c r="K16" s="68"/>
    </row>
    <row r="17" spans="1:14" s="20" customFormat="1" ht="59.25" customHeight="1" thickBot="1" x14ac:dyDescent="0.45">
      <c r="A17" s="27" t="s">
        <v>84</v>
      </c>
      <c r="B17" s="27" t="s">
        <v>85</v>
      </c>
      <c r="C17" s="28" t="s">
        <v>86</v>
      </c>
      <c r="D17" s="28" t="s">
        <v>87</v>
      </c>
      <c r="E17" s="28" t="s">
        <v>88</v>
      </c>
      <c r="F17" s="28" t="s">
        <v>89</v>
      </c>
      <c r="G17" s="28" t="s">
        <v>90</v>
      </c>
      <c r="H17" s="29" t="s">
        <v>91</v>
      </c>
      <c r="I17" s="27" t="s">
        <v>92</v>
      </c>
      <c r="J17" s="24"/>
      <c r="K17" s="24"/>
    </row>
    <row r="18" spans="1:14" s="20" customFormat="1" ht="300" hidden="1" customHeight="1" x14ac:dyDescent="0.4">
      <c r="A18" s="30" t="s">
        <v>93</v>
      </c>
      <c r="B18" s="30"/>
      <c r="C18" s="30" t="s">
        <v>94</v>
      </c>
      <c r="D18" s="30" t="s">
        <v>95</v>
      </c>
      <c r="E18" s="30" t="s">
        <v>96</v>
      </c>
      <c r="F18" s="30" t="s">
        <v>97</v>
      </c>
      <c r="G18" s="30" t="s">
        <v>98</v>
      </c>
      <c r="H18" s="31" t="s">
        <v>99</v>
      </c>
      <c r="I18" s="31" t="s">
        <v>100</v>
      </c>
      <c r="J18" s="24"/>
      <c r="K18" s="24"/>
    </row>
    <row r="19" spans="1:14" s="22" customFormat="1" ht="16.5" customHeight="1" x14ac:dyDescent="0.35">
      <c r="A19" s="39"/>
      <c r="B19" s="39" t="s">
        <v>51</v>
      </c>
      <c r="C19" s="39" t="s">
        <v>277</v>
      </c>
      <c r="D19" s="33"/>
      <c r="E19" s="34"/>
      <c r="F19" s="34"/>
      <c r="G19" s="34"/>
      <c r="H19" s="33"/>
      <c r="I19" s="35"/>
      <c r="J19" s="24"/>
      <c r="K19" s="24"/>
    </row>
    <row r="20" spans="1:14" s="22" customFormat="1" ht="116.25" customHeight="1" x14ac:dyDescent="0.35">
      <c r="A20" s="14" t="s">
        <v>273</v>
      </c>
      <c r="B20" s="14"/>
      <c r="C20" s="23"/>
      <c r="D20" s="36">
        <v>1</v>
      </c>
      <c r="E20" s="37" t="s">
        <v>126</v>
      </c>
      <c r="F20" s="37"/>
      <c r="G20" s="37"/>
      <c r="H20" s="36" t="s">
        <v>293</v>
      </c>
      <c r="I20" s="23" t="s">
        <v>266</v>
      </c>
      <c r="J20" s="24"/>
      <c r="K20" s="24"/>
    </row>
    <row r="21" spans="1:14" s="22" customFormat="1" ht="93.75" customHeight="1" x14ac:dyDescent="0.35">
      <c r="A21" s="14" t="s">
        <v>273</v>
      </c>
      <c r="B21" s="14"/>
      <c r="C21" s="23"/>
      <c r="D21" s="36">
        <v>2</v>
      </c>
      <c r="E21" s="37" t="s">
        <v>267</v>
      </c>
      <c r="F21" s="37" t="s">
        <v>128</v>
      </c>
      <c r="G21" s="37" t="s">
        <v>268</v>
      </c>
      <c r="H21" s="36"/>
      <c r="I21" s="23"/>
      <c r="J21" s="24"/>
      <c r="K21" s="24"/>
    </row>
    <row r="22" spans="1:14" s="20" customFormat="1" ht="58" x14ac:dyDescent="0.4">
      <c r="A22" s="14" t="s">
        <v>273</v>
      </c>
      <c r="B22" s="14"/>
      <c r="C22" s="23"/>
      <c r="D22" s="36">
        <v>3</v>
      </c>
      <c r="E22" s="37" t="s">
        <v>269</v>
      </c>
      <c r="F22" s="37" t="s">
        <v>270</v>
      </c>
      <c r="G22" s="37"/>
      <c r="H22" s="36"/>
      <c r="I22" s="23"/>
      <c r="J22" s="24"/>
      <c r="K22" s="24"/>
      <c r="L22" s="22"/>
    </row>
    <row r="23" spans="1:14" s="20" customFormat="1" ht="58" x14ac:dyDescent="0.4">
      <c r="A23" s="14" t="s">
        <v>273</v>
      </c>
      <c r="B23" s="14"/>
      <c r="C23" s="23"/>
      <c r="D23" s="36">
        <v>4</v>
      </c>
      <c r="E23" s="37" t="s">
        <v>271</v>
      </c>
      <c r="F23" s="37" t="s">
        <v>131</v>
      </c>
      <c r="G23" s="37"/>
      <c r="H23" s="36"/>
      <c r="I23" s="23"/>
      <c r="J23" s="24"/>
      <c r="K23" s="24"/>
      <c r="L23" s="22"/>
    </row>
    <row r="24" spans="1:14" s="20" customFormat="1" ht="58" x14ac:dyDescent="0.4">
      <c r="A24" s="14" t="s">
        <v>273</v>
      </c>
      <c r="B24" s="14"/>
      <c r="C24" s="23"/>
      <c r="D24" s="36">
        <v>5</v>
      </c>
      <c r="E24" s="37" t="s">
        <v>272</v>
      </c>
      <c r="F24" s="37" t="s">
        <v>133</v>
      </c>
      <c r="G24" s="37" t="s">
        <v>274</v>
      </c>
      <c r="H24" s="36"/>
      <c r="I24" s="23"/>
      <c r="J24" s="24"/>
      <c r="K24" s="24"/>
      <c r="L24" s="22"/>
    </row>
    <row r="25" spans="1:14" s="20" customFormat="1" ht="130.5" x14ac:dyDescent="0.4">
      <c r="A25" s="14" t="s">
        <v>273</v>
      </c>
      <c r="B25" s="14"/>
      <c r="C25" s="23"/>
      <c r="D25" s="36">
        <v>6</v>
      </c>
      <c r="E25" s="37" t="s">
        <v>134</v>
      </c>
      <c r="F25" s="37" t="s">
        <v>276</v>
      </c>
      <c r="G25" s="37" t="s">
        <v>275</v>
      </c>
      <c r="H25" s="36"/>
      <c r="I25" s="23"/>
      <c r="J25" s="24"/>
      <c r="K25" s="24"/>
      <c r="L25" s="22"/>
    </row>
    <row r="26" spans="1:14" s="20" customFormat="1" ht="14.5" x14ac:dyDescent="0.4">
      <c r="A26" s="39"/>
      <c r="B26" s="39" t="s">
        <v>52</v>
      </c>
      <c r="C26" s="39" t="s">
        <v>278</v>
      </c>
      <c r="D26" s="33"/>
      <c r="E26" s="34"/>
      <c r="F26" s="34"/>
      <c r="G26" s="34"/>
      <c r="H26" s="33"/>
      <c r="I26" s="38"/>
      <c r="J26" s="24"/>
      <c r="K26" s="24"/>
      <c r="L26" s="22"/>
    </row>
    <row r="27" spans="1:14" s="76" customFormat="1" ht="58" x14ac:dyDescent="0.35">
      <c r="A27" s="14" t="s">
        <v>273</v>
      </c>
      <c r="B27" s="14"/>
      <c r="C27" s="23"/>
      <c r="D27" s="36">
        <v>1</v>
      </c>
      <c r="E27" s="37" t="s">
        <v>285</v>
      </c>
      <c r="F27" s="37"/>
      <c r="G27" s="37"/>
      <c r="H27" s="36" t="s">
        <v>293</v>
      </c>
      <c r="I27" s="23" t="s">
        <v>266</v>
      </c>
      <c r="J27" s="25"/>
      <c r="K27" s="22"/>
      <c r="L27" s="22"/>
      <c r="M27" s="22"/>
      <c r="N27" s="22"/>
    </row>
    <row r="28" spans="1:14" s="76" customFormat="1" ht="87" x14ac:dyDescent="0.35">
      <c r="A28" s="14" t="s">
        <v>273</v>
      </c>
      <c r="B28" s="14"/>
      <c r="C28" s="23"/>
      <c r="D28" s="36">
        <v>2</v>
      </c>
      <c r="E28" s="37" t="s">
        <v>286</v>
      </c>
      <c r="F28" s="37" t="s">
        <v>128</v>
      </c>
      <c r="G28" s="37" t="s">
        <v>280</v>
      </c>
      <c r="H28" s="36"/>
      <c r="I28" s="23" t="s">
        <v>288</v>
      </c>
      <c r="J28" s="25"/>
      <c r="K28" s="22"/>
      <c r="L28" s="22"/>
      <c r="M28" s="22"/>
      <c r="N28" s="22"/>
    </row>
    <row r="29" spans="1:14" s="76" customFormat="1" ht="58" x14ac:dyDescent="0.35">
      <c r="A29" s="14" t="s">
        <v>273</v>
      </c>
      <c r="B29" s="14"/>
      <c r="C29" s="23"/>
      <c r="D29" s="36">
        <v>3</v>
      </c>
      <c r="E29" s="37" t="s">
        <v>129</v>
      </c>
      <c r="F29" s="37" t="s">
        <v>287</v>
      </c>
      <c r="G29" s="37"/>
      <c r="H29" s="36"/>
      <c r="I29" s="23"/>
      <c r="J29" s="25"/>
      <c r="K29" s="22"/>
      <c r="L29" s="22"/>
      <c r="M29" s="22"/>
      <c r="N29" s="22"/>
    </row>
    <row r="30" spans="1:14" s="76" customFormat="1" ht="58" x14ac:dyDescent="0.35">
      <c r="A30" s="14" t="s">
        <v>273</v>
      </c>
      <c r="B30" s="14"/>
      <c r="C30" s="23"/>
      <c r="D30" s="36">
        <v>4</v>
      </c>
      <c r="E30" s="37" t="s">
        <v>130</v>
      </c>
      <c r="F30" s="37" t="s">
        <v>131</v>
      </c>
      <c r="G30" s="37"/>
      <c r="H30" s="36"/>
      <c r="I30" s="23"/>
      <c r="J30" s="25"/>
      <c r="K30" s="22"/>
      <c r="L30" s="22"/>
      <c r="M30" s="22"/>
      <c r="N30" s="22"/>
    </row>
    <row r="31" spans="1:14" s="76" customFormat="1" ht="58" x14ac:dyDescent="0.35">
      <c r="A31" s="14" t="s">
        <v>273</v>
      </c>
      <c r="B31" s="14"/>
      <c r="C31" s="23"/>
      <c r="D31" s="36">
        <v>5</v>
      </c>
      <c r="E31" s="37" t="s">
        <v>132</v>
      </c>
      <c r="F31" s="37" t="s">
        <v>133</v>
      </c>
      <c r="G31" s="22"/>
      <c r="H31" s="36"/>
      <c r="I31" s="23"/>
      <c r="J31" s="25"/>
      <c r="K31" s="22"/>
      <c r="L31" s="22"/>
      <c r="M31" s="22"/>
      <c r="N31" s="22"/>
    </row>
    <row r="32" spans="1:14" s="76" customFormat="1" ht="58" x14ac:dyDescent="0.35">
      <c r="A32" s="14" t="s">
        <v>273</v>
      </c>
      <c r="B32" s="14"/>
      <c r="C32" s="23"/>
      <c r="D32" s="36">
        <v>6</v>
      </c>
      <c r="E32" s="37" t="s">
        <v>134</v>
      </c>
      <c r="F32" s="37" t="s">
        <v>281</v>
      </c>
      <c r="G32" s="37"/>
      <c r="H32" s="36"/>
      <c r="I32" s="23"/>
      <c r="J32" s="25"/>
      <c r="K32" s="22"/>
      <c r="L32" s="22"/>
      <c r="M32" s="22"/>
      <c r="N32" s="22"/>
    </row>
    <row r="33" spans="1:14" s="76" customFormat="1" ht="15" customHeight="1" x14ac:dyDescent="0.35">
      <c r="A33" s="39"/>
      <c r="B33" s="39" t="s">
        <v>53</v>
      </c>
      <c r="C33" s="39" t="s">
        <v>282</v>
      </c>
      <c r="D33" s="39"/>
      <c r="E33" s="39"/>
      <c r="F33" s="39"/>
      <c r="G33" s="39"/>
      <c r="H33" s="39"/>
      <c r="I33" s="39"/>
      <c r="J33" s="96"/>
      <c r="K33" s="22"/>
      <c r="L33" s="22"/>
      <c r="M33" s="22"/>
      <c r="N33" s="22"/>
    </row>
    <row r="34" spans="1:14" s="76" customFormat="1" ht="58" x14ac:dyDescent="0.35">
      <c r="A34" s="14" t="s">
        <v>273</v>
      </c>
      <c r="B34" s="14"/>
      <c r="C34" s="23"/>
      <c r="D34" s="36">
        <v>1</v>
      </c>
      <c r="E34" s="37" t="s">
        <v>289</v>
      </c>
      <c r="F34" s="37"/>
      <c r="G34" s="37"/>
      <c r="H34" s="36" t="s">
        <v>293</v>
      </c>
      <c r="I34" s="23" t="s">
        <v>266</v>
      </c>
      <c r="J34" s="25"/>
      <c r="K34" s="22"/>
      <c r="L34" s="22"/>
      <c r="M34" s="22"/>
      <c r="N34" s="22"/>
    </row>
    <row r="35" spans="1:14" s="76" customFormat="1" ht="72.5" x14ac:dyDescent="0.35">
      <c r="A35" s="14" t="s">
        <v>273</v>
      </c>
      <c r="B35" s="14"/>
      <c r="C35" s="23"/>
      <c r="D35" s="36">
        <v>2</v>
      </c>
      <c r="E35" s="37" t="s">
        <v>286</v>
      </c>
      <c r="F35" s="37" t="s">
        <v>128</v>
      </c>
      <c r="G35" s="37" t="s">
        <v>283</v>
      </c>
      <c r="H35" s="36"/>
      <c r="I35" s="23" t="s">
        <v>292</v>
      </c>
      <c r="J35" s="25"/>
      <c r="K35" s="22"/>
      <c r="L35" s="22"/>
      <c r="M35" s="22"/>
      <c r="N35" s="22"/>
    </row>
    <row r="36" spans="1:14" s="76" customFormat="1" ht="58" x14ac:dyDescent="0.35">
      <c r="A36" s="14" t="s">
        <v>273</v>
      </c>
      <c r="B36" s="14"/>
      <c r="C36" s="23"/>
      <c r="D36" s="36">
        <v>3</v>
      </c>
      <c r="E36" s="37" t="s">
        <v>129</v>
      </c>
      <c r="F36" s="37" t="s">
        <v>291</v>
      </c>
      <c r="G36" s="37"/>
      <c r="H36" s="36"/>
      <c r="I36" s="23"/>
      <c r="J36" s="25"/>
      <c r="K36" s="22"/>
      <c r="L36" s="22"/>
      <c r="M36" s="22"/>
      <c r="N36" s="22"/>
    </row>
    <row r="37" spans="1:14" s="76" customFormat="1" ht="58" x14ac:dyDescent="0.35">
      <c r="A37" s="14" t="s">
        <v>273</v>
      </c>
      <c r="B37" s="14"/>
      <c r="C37" s="23"/>
      <c r="D37" s="36">
        <v>4</v>
      </c>
      <c r="E37" s="37" t="s">
        <v>130</v>
      </c>
      <c r="F37" s="37" t="s">
        <v>131</v>
      </c>
      <c r="G37" s="37"/>
      <c r="H37" s="36"/>
      <c r="I37" s="23"/>
      <c r="J37" s="25"/>
      <c r="K37" s="22"/>
      <c r="L37" s="22"/>
      <c r="M37" s="22"/>
      <c r="N37" s="22"/>
    </row>
    <row r="38" spans="1:14" s="76" customFormat="1" ht="58" x14ac:dyDescent="0.35">
      <c r="A38" s="14" t="s">
        <v>273</v>
      </c>
      <c r="B38" s="14"/>
      <c r="C38" s="23"/>
      <c r="D38" s="36">
        <v>5</v>
      </c>
      <c r="E38" s="37" t="s">
        <v>290</v>
      </c>
      <c r="F38" s="37" t="s">
        <v>133</v>
      </c>
      <c r="G38" s="37"/>
      <c r="H38" s="36"/>
      <c r="I38" s="23"/>
      <c r="J38" s="25"/>
      <c r="K38" s="22"/>
      <c r="L38" s="22"/>
      <c r="M38" s="22"/>
      <c r="N38" s="22"/>
    </row>
    <row r="39" spans="1:14" s="76" customFormat="1" ht="58" x14ac:dyDescent="0.35">
      <c r="A39" s="14" t="s">
        <v>273</v>
      </c>
      <c r="B39" s="14"/>
      <c r="C39" s="23"/>
      <c r="D39" s="36">
        <v>6</v>
      </c>
      <c r="E39" s="37" t="s">
        <v>134</v>
      </c>
      <c r="F39" s="37" t="s">
        <v>284</v>
      </c>
      <c r="G39" s="37"/>
      <c r="H39" s="36"/>
      <c r="I39" s="23"/>
      <c r="J39" s="25"/>
      <c r="K39" s="22"/>
      <c r="L39" s="22"/>
      <c r="M39" s="22"/>
      <c r="N39" s="22"/>
    </row>
    <row r="40" spans="1:14" s="20" customFormat="1" ht="14.5" x14ac:dyDescent="0.4">
      <c r="A40" s="39"/>
      <c r="B40" s="39" t="s">
        <v>54</v>
      </c>
      <c r="C40" s="39" t="s">
        <v>294</v>
      </c>
      <c r="D40" s="33"/>
      <c r="E40" s="34"/>
      <c r="F40" s="42"/>
      <c r="G40" s="34"/>
      <c r="H40" s="33"/>
      <c r="I40" s="38"/>
      <c r="J40" s="24"/>
      <c r="K40" s="24"/>
      <c r="L40" s="22"/>
    </row>
    <row r="41" spans="1:14" s="20" customFormat="1" ht="130.5" x14ac:dyDescent="0.4">
      <c r="A41" s="14" t="s">
        <v>273</v>
      </c>
      <c r="B41" s="23"/>
      <c r="C41" s="23"/>
      <c r="D41" s="36">
        <v>1</v>
      </c>
      <c r="E41" s="37" t="s">
        <v>279</v>
      </c>
      <c r="F41" s="37" t="s">
        <v>719</v>
      </c>
      <c r="G41" s="37" t="s">
        <v>956</v>
      </c>
      <c r="H41" s="36" t="s">
        <v>293</v>
      </c>
      <c r="I41" s="23"/>
      <c r="K41" s="24"/>
      <c r="L41" s="22"/>
    </row>
    <row r="42" spans="1:14" s="20" customFormat="1" ht="180" x14ac:dyDescent="0.4">
      <c r="A42" s="14" t="s">
        <v>273</v>
      </c>
      <c r="B42" s="14"/>
      <c r="C42" s="23"/>
      <c r="D42" s="77">
        <v>2</v>
      </c>
      <c r="E42" s="78" t="s">
        <v>439</v>
      </c>
      <c r="F42" s="79" t="s">
        <v>295</v>
      </c>
      <c r="G42" s="78"/>
      <c r="H42" s="80"/>
      <c r="I42" s="23"/>
      <c r="K42" s="24"/>
      <c r="L42" s="22"/>
    </row>
    <row r="43" spans="1:14" s="20" customFormat="1" ht="72.5" x14ac:dyDescent="0.4">
      <c r="A43" s="14" t="s">
        <v>273</v>
      </c>
      <c r="B43" s="14"/>
      <c r="C43" s="23"/>
      <c r="D43" s="36">
        <v>3</v>
      </c>
      <c r="E43" s="37" t="s">
        <v>296</v>
      </c>
      <c r="F43" s="37" t="s">
        <v>297</v>
      </c>
      <c r="G43" s="14"/>
      <c r="H43" s="14"/>
      <c r="I43" s="14"/>
      <c r="K43" s="24"/>
      <c r="L43" s="22"/>
    </row>
    <row r="44" spans="1:14" s="20" customFormat="1" ht="58" x14ac:dyDescent="0.4">
      <c r="A44" s="14" t="s">
        <v>273</v>
      </c>
      <c r="B44" s="14"/>
      <c r="C44" s="23"/>
      <c r="D44" s="36">
        <v>4</v>
      </c>
      <c r="E44" s="37" t="s">
        <v>298</v>
      </c>
      <c r="F44" s="37" t="s">
        <v>299</v>
      </c>
      <c r="G44" s="14" t="s">
        <v>300</v>
      </c>
      <c r="H44" s="14"/>
      <c r="I44" s="14"/>
      <c r="K44" s="24"/>
      <c r="L44" s="22"/>
    </row>
    <row r="45" spans="1:14" s="20" customFormat="1" ht="14.5" x14ac:dyDescent="0.4">
      <c r="A45" s="39"/>
      <c r="B45" s="39" t="s">
        <v>55</v>
      </c>
      <c r="C45" s="39" t="s">
        <v>301</v>
      </c>
      <c r="D45" s="40"/>
      <c r="E45" s="41"/>
      <c r="F45" s="41"/>
      <c r="G45" s="41"/>
      <c r="H45" s="40"/>
      <c r="I45" s="32"/>
      <c r="J45" s="24"/>
      <c r="K45" s="24"/>
      <c r="L45" s="22"/>
    </row>
    <row r="46" spans="1:14" s="20" customFormat="1" ht="72.5" x14ac:dyDescent="0.4">
      <c r="A46" s="14" t="s">
        <v>273</v>
      </c>
      <c r="B46" s="14"/>
      <c r="C46" s="23"/>
      <c r="D46" s="36">
        <v>1</v>
      </c>
      <c r="E46" s="37" t="s">
        <v>304</v>
      </c>
      <c r="F46" s="37" t="s">
        <v>302</v>
      </c>
      <c r="G46" s="37" t="s">
        <v>303</v>
      </c>
      <c r="H46" s="36" t="s">
        <v>293</v>
      </c>
      <c r="I46" s="23" t="s">
        <v>123</v>
      </c>
      <c r="J46" s="24"/>
      <c r="K46" s="24"/>
      <c r="L46" s="22"/>
    </row>
    <row r="47" spans="1:14" s="20" customFormat="1" ht="267" customHeight="1" x14ac:dyDescent="0.4">
      <c r="A47" s="14" t="s">
        <v>273</v>
      </c>
      <c r="B47" s="14"/>
      <c r="C47" s="23"/>
      <c r="D47" s="36">
        <v>2</v>
      </c>
      <c r="E47" s="37" t="s">
        <v>720</v>
      </c>
      <c r="F47" s="81" t="s">
        <v>306</v>
      </c>
      <c r="G47" s="37" t="s">
        <v>352</v>
      </c>
      <c r="H47" s="36"/>
      <c r="I47" s="23"/>
      <c r="J47" s="24"/>
      <c r="K47" s="24"/>
      <c r="L47" s="22"/>
    </row>
    <row r="48" spans="1:14" s="20" customFormat="1" ht="188.5" x14ac:dyDescent="0.4">
      <c r="A48" s="14" t="s">
        <v>273</v>
      </c>
      <c r="B48" s="14"/>
      <c r="C48" s="23"/>
      <c r="D48" s="36">
        <v>3</v>
      </c>
      <c r="E48" s="37" t="s">
        <v>721</v>
      </c>
      <c r="F48" s="37" t="s">
        <v>307</v>
      </c>
      <c r="G48" s="37"/>
      <c r="H48" s="36"/>
      <c r="I48" s="23"/>
      <c r="J48" s="24"/>
      <c r="K48" s="24"/>
      <c r="L48" s="22"/>
    </row>
    <row r="49" spans="1:12" s="20" customFormat="1" ht="58" x14ac:dyDescent="0.4">
      <c r="A49" s="14" t="s">
        <v>273</v>
      </c>
      <c r="B49" s="14"/>
      <c r="C49" s="23"/>
      <c r="D49" s="36">
        <v>4</v>
      </c>
      <c r="E49" s="37" t="s">
        <v>313</v>
      </c>
      <c r="F49" s="37" t="s">
        <v>309</v>
      </c>
      <c r="G49" s="37" t="s">
        <v>308</v>
      </c>
      <c r="H49" s="36"/>
      <c r="I49" s="23"/>
      <c r="J49" s="24"/>
      <c r="K49" s="24"/>
      <c r="L49" s="22"/>
    </row>
    <row r="50" spans="1:12" s="20" customFormat="1" ht="246" customHeight="1" x14ac:dyDescent="0.4">
      <c r="A50" s="14" t="s">
        <v>273</v>
      </c>
      <c r="B50" s="14"/>
      <c r="C50" s="23"/>
      <c r="D50" s="36">
        <v>5</v>
      </c>
      <c r="E50" s="37" t="s">
        <v>310</v>
      </c>
      <c r="F50" s="82" t="s">
        <v>315</v>
      </c>
      <c r="G50" s="37" t="s">
        <v>312</v>
      </c>
      <c r="H50" s="36"/>
      <c r="I50" s="23"/>
      <c r="J50" s="24"/>
      <c r="K50" s="24"/>
      <c r="L50" s="22"/>
    </row>
    <row r="51" spans="1:12" s="20" customFormat="1" ht="58" x14ac:dyDescent="0.4">
      <c r="A51" s="14" t="s">
        <v>273</v>
      </c>
      <c r="B51" s="14"/>
      <c r="C51" s="23"/>
      <c r="D51" s="36">
        <v>6</v>
      </c>
      <c r="E51" s="37" t="s">
        <v>316</v>
      </c>
      <c r="F51" s="37" t="s">
        <v>299</v>
      </c>
      <c r="G51" s="14" t="s">
        <v>300</v>
      </c>
      <c r="H51" s="36"/>
      <c r="I51" s="23"/>
      <c r="J51" s="24"/>
      <c r="K51" s="24"/>
      <c r="L51" s="22"/>
    </row>
    <row r="52" spans="1:12" s="20" customFormat="1" ht="14.5" x14ac:dyDescent="0.4">
      <c r="A52" s="39"/>
      <c r="B52" s="39" t="s">
        <v>56</v>
      </c>
      <c r="C52" s="39" t="s">
        <v>1180</v>
      </c>
      <c r="D52" s="40"/>
      <c r="E52" s="41"/>
      <c r="F52" s="41"/>
      <c r="G52" s="41"/>
      <c r="H52" s="40"/>
      <c r="I52" s="32"/>
      <c r="J52" s="24"/>
      <c r="K52" s="24"/>
      <c r="L52" s="22"/>
    </row>
    <row r="53" spans="1:12" s="20" customFormat="1" ht="239.5" customHeight="1" x14ac:dyDescent="0.4">
      <c r="A53" s="14" t="s">
        <v>273</v>
      </c>
      <c r="B53" s="14"/>
      <c r="C53" s="70"/>
      <c r="D53" s="36">
        <v>1</v>
      </c>
      <c r="E53" s="37" t="s">
        <v>305</v>
      </c>
      <c r="F53" s="81" t="s">
        <v>306</v>
      </c>
      <c r="G53" s="37" t="s">
        <v>303</v>
      </c>
      <c r="H53" s="36" t="s">
        <v>293</v>
      </c>
      <c r="I53" s="23"/>
      <c r="J53" s="24"/>
      <c r="K53" s="24"/>
      <c r="L53" s="22"/>
    </row>
    <row r="54" spans="1:12" s="20" customFormat="1" ht="239.5" customHeight="1" x14ac:dyDescent="0.4">
      <c r="A54" s="14" t="s">
        <v>273</v>
      </c>
      <c r="B54" s="14"/>
      <c r="C54" s="70"/>
      <c r="D54" s="36">
        <v>2</v>
      </c>
      <c r="E54" s="37" t="s">
        <v>313</v>
      </c>
      <c r="F54" s="37" t="s">
        <v>309</v>
      </c>
      <c r="G54" s="37" t="s">
        <v>308</v>
      </c>
      <c r="H54" s="36"/>
      <c r="I54" s="23"/>
      <c r="J54" s="24"/>
      <c r="K54" s="24"/>
      <c r="L54" s="22"/>
    </row>
    <row r="55" spans="1:12" s="20" customFormat="1" ht="239.5" customHeight="1" x14ac:dyDescent="0.4">
      <c r="A55" s="14" t="s">
        <v>273</v>
      </c>
      <c r="B55" s="14"/>
      <c r="C55" s="70"/>
      <c r="D55" s="36">
        <v>3</v>
      </c>
      <c r="E55" s="37" t="s">
        <v>310</v>
      </c>
      <c r="F55" s="82" t="s">
        <v>315</v>
      </c>
      <c r="G55" s="37" t="s">
        <v>312</v>
      </c>
      <c r="H55" s="36"/>
      <c r="I55" s="23"/>
      <c r="J55" s="24"/>
      <c r="K55" s="24"/>
      <c r="L55" s="22"/>
    </row>
    <row r="56" spans="1:12" s="20" customFormat="1" ht="203" x14ac:dyDescent="0.4">
      <c r="A56" s="14" t="s">
        <v>273</v>
      </c>
      <c r="B56" s="14"/>
      <c r="C56" s="23"/>
      <c r="D56" s="36">
        <v>4</v>
      </c>
      <c r="E56" s="37" t="s">
        <v>314</v>
      </c>
      <c r="F56" s="82" t="s">
        <v>436</v>
      </c>
      <c r="G56" s="84" t="s">
        <v>344</v>
      </c>
      <c r="H56" s="36"/>
      <c r="I56" s="23"/>
      <c r="J56" s="24"/>
      <c r="K56" s="24"/>
      <c r="L56" s="22"/>
    </row>
    <row r="57" spans="1:12" s="20" customFormat="1" ht="159.5" x14ac:dyDescent="0.4">
      <c r="A57" s="14" t="s">
        <v>273</v>
      </c>
      <c r="B57" s="14"/>
      <c r="C57" s="23"/>
      <c r="D57" s="36">
        <v>5</v>
      </c>
      <c r="E57" s="37" t="s">
        <v>435</v>
      </c>
      <c r="F57" s="82" t="s">
        <v>722</v>
      </c>
      <c r="G57" s="84" t="s">
        <v>723</v>
      </c>
      <c r="H57" s="36"/>
      <c r="I57" s="23"/>
      <c r="J57" s="24"/>
      <c r="K57" s="24"/>
      <c r="L57" s="22"/>
    </row>
    <row r="58" spans="1:12" s="20" customFormat="1" ht="58" x14ac:dyDescent="0.4">
      <c r="A58" s="14" t="s">
        <v>273</v>
      </c>
      <c r="B58" s="14"/>
      <c r="C58" s="23"/>
      <c r="D58" s="36">
        <v>6</v>
      </c>
      <c r="E58" s="37" t="s">
        <v>316</v>
      </c>
      <c r="F58" s="37" t="s">
        <v>299</v>
      </c>
      <c r="G58" s="14" t="s">
        <v>300</v>
      </c>
      <c r="H58" s="36"/>
      <c r="I58" s="23"/>
      <c r="J58" s="24"/>
      <c r="K58" s="24"/>
      <c r="L58" s="22"/>
    </row>
    <row r="59" spans="1:12" s="20" customFormat="1" ht="14.5" x14ac:dyDescent="0.4">
      <c r="A59" s="39"/>
      <c r="B59" s="39" t="s">
        <v>57</v>
      </c>
      <c r="C59" s="39" t="s">
        <v>345</v>
      </c>
      <c r="D59" s="40"/>
      <c r="E59" s="41"/>
      <c r="F59" s="41"/>
      <c r="G59" s="41"/>
      <c r="H59" s="40"/>
      <c r="I59" s="32"/>
      <c r="J59" s="24"/>
      <c r="K59" s="24"/>
      <c r="L59" s="22"/>
    </row>
    <row r="60" spans="1:12" s="20" customFormat="1" ht="239.5" customHeight="1" x14ac:dyDescent="0.4">
      <c r="A60" s="14" t="s">
        <v>273</v>
      </c>
      <c r="B60" s="14"/>
      <c r="C60" s="70"/>
      <c r="D60" s="36">
        <v>1</v>
      </c>
      <c r="E60" s="37" t="s">
        <v>305</v>
      </c>
      <c r="F60" s="81" t="s">
        <v>306</v>
      </c>
      <c r="G60" s="37" t="s">
        <v>303</v>
      </c>
      <c r="H60" s="36" t="s">
        <v>293</v>
      </c>
      <c r="I60" s="23"/>
      <c r="J60" s="24"/>
      <c r="K60" s="24"/>
      <c r="L60" s="22"/>
    </row>
    <row r="61" spans="1:12" s="20" customFormat="1" ht="239.5" customHeight="1" x14ac:dyDescent="0.4">
      <c r="A61" s="14" t="s">
        <v>273</v>
      </c>
      <c r="B61" s="14"/>
      <c r="C61" s="70"/>
      <c r="D61" s="36">
        <v>2</v>
      </c>
      <c r="E61" s="37" t="s">
        <v>313</v>
      </c>
      <c r="F61" s="37" t="s">
        <v>309</v>
      </c>
      <c r="G61" s="37" t="s">
        <v>308</v>
      </c>
      <c r="H61" s="36"/>
      <c r="I61" s="23"/>
      <c r="J61" s="24"/>
      <c r="K61" s="24"/>
      <c r="L61" s="22"/>
    </row>
    <row r="62" spans="1:12" s="20" customFormat="1" ht="239.5" customHeight="1" x14ac:dyDescent="0.4">
      <c r="A62" s="14" t="s">
        <v>273</v>
      </c>
      <c r="B62" s="14"/>
      <c r="C62" s="70"/>
      <c r="D62" s="36">
        <v>3</v>
      </c>
      <c r="E62" s="37" t="s">
        <v>310</v>
      </c>
      <c r="F62" s="82" t="s">
        <v>315</v>
      </c>
      <c r="G62" s="37" t="s">
        <v>312</v>
      </c>
      <c r="H62" s="36"/>
      <c r="I62" s="23"/>
      <c r="J62" s="24"/>
      <c r="K62" s="24"/>
      <c r="L62" s="22"/>
    </row>
    <row r="63" spans="1:12" s="20" customFormat="1" ht="154" customHeight="1" x14ac:dyDescent="0.4">
      <c r="A63" s="14" t="s">
        <v>273</v>
      </c>
      <c r="B63" s="14"/>
      <c r="C63" s="23"/>
      <c r="D63" s="36">
        <v>4</v>
      </c>
      <c r="E63" s="37" t="s">
        <v>311</v>
      </c>
      <c r="F63" s="82" t="s">
        <v>436</v>
      </c>
      <c r="G63" s="83" t="s">
        <v>862</v>
      </c>
      <c r="H63" s="36"/>
      <c r="I63" s="23"/>
      <c r="J63" s="24"/>
      <c r="K63" s="24"/>
      <c r="L63" s="22"/>
    </row>
    <row r="64" spans="1:12" s="20" customFormat="1" ht="159.5" x14ac:dyDescent="0.4">
      <c r="A64" s="14" t="s">
        <v>273</v>
      </c>
      <c r="B64" s="14"/>
      <c r="C64" s="23"/>
      <c r="D64" s="36">
        <v>5</v>
      </c>
      <c r="E64" s="37" t="s">
        <v>435</v>
      </c>
      <c r="F64" s="82" t="s">
        <v>318</v>
      </c>
      <c r="G64" s="83" t="s">
        <v>865</v>
      </c>
      <c r="H64" s="36"/>
      <c r="I64" s="23"/>
      <c r="J64" s="24"/>
      <c r="K64" s="24"/>
      <c r="L64" s="22"/>
    </row>
    <row r="65" spans="1:12" s="20" customFormat="1" ht="14.5" x14ac:dyDescent="0.4">
      <c r="A65" s="39"/>
      <c r="B65" s="39" t="s">
        <v>58</v>
      </c>
      <c r="C65" s="39" t="s">
        <v>317</v>
      </c>
      <c r="D65" s="40"/>
      <c r="E65" s="41"/>
      <c r="F65" s="41"/>
      <c r="G65" s="41"/>
      <c r="H65" s="40"/>
      <c r="I65" s="32"/>
      <c r="J65" s="24"/>
      <c r="K65" s="24"/>
      <c r="L65" s="22"/>
    </row>
    <row r="66" spans="1:12" s="20" customFormat="1" ht="232" x14ac:dyDescent="0.4">
      <c r="A66" s="14" t="s">
        <v>273</v>
      </c>
      <c r="B66" s="14"/>
      <c r="C66" s="70"/>
      <c r="D66" s="36">
        <v>1</v>
      </c>
      <c r="E66" s="37" t="s">
        <v>305</v>
      </c>
      <c r="F66" s="81" t="s">
        <v>306</v>
      </c>
      <c r="G66" s="37" t="s">
        <v>303</v>
      </c>
      <c r="H66" s="36" t="s">
        <v>293</v>
      </c>
      <c r="I66" s="23"/>
      <c r="J66" s="24"/>
      <c r="K66" s="24"/>
      <c r="L66" s="22"/>
    </row>
    <row r="67" spans="1:12" s="20" customFormat="1" ht="58" x14ac:dyDescent="0.4">
      <c r="A67" s="14" t="s">
        <v>273</v>
      </c>
      <c r="B67" s="14"/>
      <c r="C67" s="70"/>
      <c r="D67" s="36">
        <v>2</v>
      </c>
      <c r="E67" s="37" t="s">
        <v>313</v>
      </c>
      <c r="F67" s="37" t="s">
        <v>309</v>
      </c>
      <c r="G67" s="37" t="s">
        <v>308</v>
      </c>
      <c r="H67" s="36"/>
      <c r="I67" s="23"/>
      <c r="J67" s="24"/>
      <c r="K67" s="24"/>
      <c r="L67" s="22"/>
    </row>
    <row r="68" spans="1:12" s="20" customFormat="1" ht="188.5" x14ac:dyDescent="0.4">
      <c r="A68" s="14" t="s">
        <v>273</v>
      </c>
      <c r="B68" s="14"/>
      <c r="C68" s="70"/>
      <c r="D68" s="36">
        <v>3</v>
      </c>
      <c r="E68" s="37" t="s">
        <v>310</v>
      </c>
      <c r="F68" s="82" t="s">
        <v>315</v>
      </c>
      <c r="G68" s="37" t="s">
        <v>312</v>
      </c>
      <c r="H68" s="36"/>
      <c r="I68" s="23"/>
      <c r="J68" s="24"/>
      <c r="K68" s="24"/>
      <c r="L68" s="22"/>
    </row>
    <row r="69" spans="1:12" s="20" customFormat="1" ht="203" x14ac:dyDescent="0.4">
      <c r="A69" s="14" t="s">
        <v>273</v>
      </c>
      <c r="B69" s="14"/>
      <c r="C69" s="23"/>
      <c r="D69" s="36">
        <v>4</v>
      </c>
      <c r="E69" s="37" t="s">
        <v>314</v>
      </c>
      <c r="F69" s="82" t="s">
        <v>320</v>
      </c>
      <c r="G69" s="84" t="s">
        <v>343</v>
      </c>
      <c r="H69" s="36"/>
      <c r="I69" s="23"/>
      <c r="J69" s="24"/>
      <c r="K69" s="24"/>
      <c r="L69" s="22"/>
    </row>
    <row r="70" spans="1:12" s="20" customFormat="1" ht="256" customHeight="1" x14ac:dyDescent="0.4">
      <c r="A70" s="14" t="s">
        <v>273</v>
      </c>
      <c r="B70" s="14"/>
      <c r="C70" s="23"/>
      <c r="D70" s="36">
        <v>5</v>
      </c>
      <c r="E70" s="37" t="s">
        <v>319</v>
      </c>
      <c r="F70" s="82" t="s">
        <v>437</v>
      </c>
      <c r="G70" s="37" t="s">
        <v>324</v>
      </c>
      <c r="H70" s="36"/>
      <c r="I70" s="23"/>
      <c r="J70" s="24"/>
      <c r="K70" s="24"/>
      <c r="L70" s="22"/>
    </row>
    <row r="71" spans="1:12" s="20" customFormat="1" ht="72.5" x14ac:dyDescent="0.4">
      <c r="A71" s="14" t="s">
        <v>273</v>
      </c>
      <c r="B71" s="14"/>
      <c r="C71" s="23"/>
      <c r="D71" s="36">
        <v>6</v>
      </c>
      <c r="E71" s="37" t="s">
        <v>321</v>
      </c>
      <c r="F71" s="82" t="s">
        <v>322</v>
      </c>
      <c r="G71" s="37" t="s">
        <v>323</v>
      </c>
      <c r="H71" s="36"/>
      <c r="I71" s="23"/>
      <c r="J71" s="24"/>
      <c r="K71" s="24"/>
      <c r="L71" s="22"/>
    </row>
    <row r="72" spans="1:12" s="20" customFormat="1" ht="58" x14ac:dyDescent="0.4">
      <c r="A72" s="14" t="s">
        <v>273</v>
      </c>
      <c r="B72" s="14"/>
      <c r="C72" s="23"/>
      <c r="D72" s="36">
        <v>7</v>
      </c>
      <c r="E72" s="37" t="s">
        <v>316</v>
      </c>
      <c r="F72" s="37" t="s">
        <v>299</v>
      </c>
      <c r="G72" s="14" t="s">
        <v>300</v>
      </c>
      <c r="H72" s="36"/>
      <c r="I72" s="23"/>
      <c r="J72" s="24"/>
      <c r="K72" s="24"/>
      <c r="L72" s="22"/>
    </row>
    <row r="73" spans="1:12" s="20" customFormat="1" ht="14.5" x14ac:dyDescent="0.4">
      <c r="A73" s="39"/>
      <c r="B73" s="39" t="s">
        <v>59</v>
      </c>
      <c r="C73" s="39" t="s">
        <v>861</v>
      </c>
      <c r="D73" s="40"/>
      <c r="E73" s="41"/>
      <c r="F73" s="41"/>
      <c r="G73" s="41"/>
      <c r="H73" s="40"/>
      <c r="I73" s="32"/>
      <c r="J73" s="24"/>
      <c r="K73" s="24"/>
      <c r="L73" s="22"/>
    </row>
    <row r="74" spans="1:12" s="20" customFormat="1" ht="58" x14ac:dyDescent="0.4">
      <c r="A74" s="14" t="s">
        <v>273</v>
      </c>
      <c r="B74" s="14"/>
      <c r="C74" s="23"/>
      <c r="D74" s="36">
        <v>1</v>
      </c>
      <c r="E74" s="37" t="s">
        <v>311</v>
      </c>
      <c r="F74" s="37" t="s">
        <v>433</v>
      </c>
      <c r="G74" s="37" t="s">
        <v>863</v>
      </c>
      <c r="H74" s="36" t="s">
        <v>293</v>
      </c>
      <c r="I74" s="23"/>
      <c r="J74" s="24"/>
      <c r="K74" s="24"/>
      <c r="L74" s="22"/>
    </row>
    <row r="75" spans="1:12" s="20" customFormat="1" ht="72.5" x14ac:dyDescent="0.4">
      <c r="A75" s="14" t="s">
        <v>273</v>
      </c>
      <c r="B75" s="14"/>
      <c r="C75" s="23"/>
      <c r="D75" s="36">
        <v>2</v>
      </c>
      <c r="E75" s="37" t="s">
        <v>311</v>
      </c>
      <c r="F75" s="37" t="s">
        <v>433</v>
      </c>
      <c r="G75" s="37" t="s">
        <v>864</v>
      </c>
      <c r="H75" s="36"/>
      <c r="I75" s="23"/>
      <c r="J75" s="24"/>
      <c r="K75" s="24"/>
      <c r="L75" s="22"/>
    </row>
    <row r="76" spans="1:12" s="20" customFormat="1" ht="58" x14ac:dyDescent="0.4">
      <c r="A76" s="14" t="s">
        <v>273</v>
      </c>
      <c r="B76" s="14"/>
      <c r="C76" s="23"/>
      <c r="D76" s="36">
        <v>3</v>
      </c>
      <c r="E76" s="37" t="s">
        <v>435</v>
      </c>
      <c r="F76" s="37" t="s">
        <v>434</v>
      </c>
      <c r="G76" s="37" t="s">
        <v>866</v>
      </c>
      <c r="H76" s="36"/>
      <c r="I76" s="23"/>
      <c r="J76" s="24"/>
      <c r="K76" s="24"/>
      <c r="L76" s="22"/>
    </row>
    <row r="77" spans="1:12" s="20" customFormat="1" ht="58" x14ac:dyDescent="0.4">
      <c r="A77" s="14" t="s">
        <v>273</v>
      </c>
      <c r="B77" s="14"/>
      <c r="C77" s="23"/>
      <c r="D77" s="36">
        <v>4</v>
      </c>
      <c r="E77" s="37" t="s">
        <v>435</v>
      </c>
      <c r="F77" s="37" t="s">
        <v>434</v>
      </c>
      <c r="G77" s="37" t="s">
        <v>867</v>
      </c>
      <c r="H77" s="36"/>
      <c r="I77" s="23"/>
      <c r="J77" s="24"/>
      <c r="K77" s="24"/>
      <c r="L77" s="22"/>
    </row>
    <row r="78" spans="1:12" s="20" customFormat="1" ht="14.5" x14ac:dyDescent="0.4">
      <c r="A78" s="39"/>
      <c r="B78" s="39" t="s">
        <v>60</v>
      </c>
      <c r="C78" s="39" t="s">
        <v>875</v>
      </c>
      <c r="D78" s="40"/>
      <c r="E78" s="41"/>
      <c r="F78" s="41"/>
      <c r="G78" s="41"/>
      <c r="H78" s="40"/>
      <c r="I78" s="32"/>
      <c r="J78" s="24"/>
      <c r="K78" s="24"/>
      <c r="L78" s="22"/>
    </row>
    <row r="79" spans="1:12" s="20" customFormat="1" ht="130.5" customHeight="1" x14ac:dyDescent="0.4">
      <c r="A79" s="14" t="s">
        <v>273</v>
      </c>
      <c r="B79" s="14"/>
      <c r="C79" s="23"/>
      <c r="D79" s="36">
        <v>1</v>
      </c>
      <c r="E79" s="37" t="s">
        <v>311</v>
      </c>
      <c r="F79" s="82" t="s">
        <v>318</v>
      </c>
      <c r="G79" s="84" t="s">
        <v>438</v>
      </c>
      <c r="H79" s="36" t="s">
        <v>293</v>
      </c>
      <c r="I79" s="23"/>
      <c r="J79" s="24"/>
      <c r="K79" s="24"/>
      <c r="L79" s="22"/>
    </row>
    <row r="80" spans="1:12" s="20" customFormat="1" ht="409.5" x14ac:dyDescent="0.4">
      <c r="A80" s="14" t="s">
        <v>273</v>
      </c>
      <c r="B80" s="14"/>
      <c r="C80" s="23"/>
      <c r="D80" s="36">
        <v>2</v>
      </c>
      <c r="E80" s="37" t="s">
        <v>321</v>
      </c>
      <c r="F80" s="82" t="s">
        <v>337</v>
      </c>
      <c r="G80" s="84" t="s">
        <v>351</v>
      </c>
      <c r="H80" s="36"/>
      <c r="I80" s="23"/>
      <c r="J80" s="24"/>
      <c r="K80" s="24"/>
      <c r="L80" s="22"/>
    </row>
    <row r="81" spans="1:12" s="20" customFormat="1" ht="275.5" x14ac:dyDescent="0.4">
      <c r="A81" s="14" t="s">
        <v>273</v>
      </c>
      <c r="B81" s="14"/>
      <c r="C81" s="23"/>
      <c r="D81" s="36">
        <v>3</v>
      </c>
      <c r="E81" s="37" t="s">
        <v>336</v>
      </c>
      <c r="F81" s="82" t="s">
        <v>349</v>
      </c>
      <c r="G81" s="84" t="s">
        <v>350</v>
      </c>
      <c r="H81" s="36"/>
      <c r="I81" s="23"/>
      <c r="J81" s="24"/>
      <c r="K81" s="24"/>
      <c r="L81" s="22"/>
    </row>
    <row r="82" spans="1:12" s="20" customFormat="1" ht="261" x14ac:dyDescent="0.4">
      <c r="A82" s="14" t="s">
        <v>273</v>
      </c>
      <c r="B82" s="14"/>
      <c r="C82" s="23"/>
      <c r="D82" s="36">
        <v>4</v>
      </c>
      <c r="E82" s="37" t="s">
        <v>321</v>
      </c>
      <c r="F82" s="82" t="s">
        <v>338</v>
      </c>
      <c r="G82" s="83"/>
      <c r="H82" s="36"/>
      <c r="I82" s="23"/>
      <c r="J82" s="24"/>
      <c r="K82" s="24"/>
      <c r="L82" s="22"/>
    </row>
    <row r="83" spans="1:12" s="20" customFormat="1" ht="58" x14ac:dyDescent="0.4">
      <c r="A83" s="14" t="s">
        <v>273</v>
      </c>
      <c r="B83" s="14"/>
      <c r="C83" s="23"/>
      <c r="D83" s="36">
        <v>5</v>
      </c>
      <c r="E83" s="37" t="s">
        <v>316</v>
      </c>
      <c r="F83" s="37" t="s">
        <v>299</v>
      </c>
      <c r="G83" s="14" t="s">
        <v>300</v>
      </c>
      <c r="H83" s="36"/>
      <c r="I83" s="23"/>
      <c r="J83" s="24"/>
      <c r="K83" s="24"/>
      <c r="L83" s="22"/>
    </row>
    <row r="84" spans="1:12" s="20" customFormat="1" ht="14.5" x14ac:dyDescent="0.4">
      <c r="A84" s="39"/>
      <c r="B84" s="39" t="s">
        <v>61</v>
      </c>
      <c r="C84" s="39" t="s">
        <v>858</v>
      </c>
      <c r="D84" s="40"/>
      <c r="E84" s="41"/>
      <c r="F84" s="41"/>
      <c r="G84" s="41"/>
      <c r="H84" s="40"/>
      <c r="I84" s="32"/>
      <c r="J84" s="24"/>
      <c r="K84" s="24"/>
      <c r="L84" s="22"/>
    </row>
    <row r="85" spans="1:12" s="20" customFormat="1" ht="159.5" x14ac:dyDescent="0.4">
      <c r="A85" s="14" t="s">
        <v>273</v>
      </c>
      <c r="B85" s="14"/>
      <c r="C85" s="23"/>
      <c r="D85" s="36">
        <v>1</v>
      </c>
      <c r="E85" s="37" t="s">
        <v>314</v>
      </c>
      <c r="F85" s="82" t="s">
        <v>869</v>
      </c>
      <c r="G85" s="84" t="s">
        <v>438</v>
      </c>
      <c r="H85" s="36" t="s">
        <v>293</v>
      </c>
      <c r="I85" s="85" t="s">
        <v>339</v>
      </c>
      <c r="J85" s="24"/>
      <c r="K85" s="24"/>
      <c r="L85" s="22"/>
    </row>
    <row r="86" spans="1:12" s="20" customFormat="1" ht="409.5" x14ac:dyDescent="0.4">
      <c r="A86" s="14" t="s">
        <v>273</v>
      </c>
      <c r="B86" s="14"/>
      <c r="C86" s="23"/>
      <c r="D86" s="36">
        <v>2</v>
      </c>
      <c r="E86" s="37" t="s">
        <v>321</v>
      </c>
      <c r="F86" s="82" t="s">
        <v>340</v>
      </c>
      <c r="G86" s="84" t="s">
        <v>868</v>
      </c>
      <c r="H86" s="36"/>
      <c r="I86" s="23"/>
      <c r="J86" s="24"/>
      <c r="K86" s="24"/>
      <c r="L86" s="22"/>
    </row>
    <row r="87" spans="1:12" s="20" customFormat="1" ht="130.5" x14ac:dyDescent="0.4">
      <c r="A87" s="14"/>
      <c r="B87" s="14"/>
      <c r="C87" s="23"/>
      <c r="D87" s="36">
        <v>3</v>
      </c>
      <c r="E87" s="37" t="s">
        <v>346</v>
      </c>
      <c r="F87" s="82" t="s">
        <v>347</v>
      </c>
      <c r="G87" s="84"/>
      <c r="H87" s="36"/>
      <c r="I87" s="23"/>
      <c r="J87" s="24"/>
      <c r="K87" s="24"/>
      <c r="L87" s="22"/>
    </row>
    <row r="88" spans="1:12" s="20" customFormat="1" ht="362.5" x14ac:dyDescent="0.4">
      <c r="A88" s="14" t="s">
        <v>273</v>
      </c>
      <c r="B88" s="14"/>
      <c r="C88" s="23"/>
      <c r="D88" s="36">
        <v>4</v>
      </c>
      <c r="E88" s="37" t="s">
        <v>341</v>
      </c>
      <c r="F88" s="84" t="s">
        <v>342</v>
      </c>
      <c r="G88" s="84" t="s">
        <v>348</v>
      </c>
      <c r="H88" s="36"/>
      <c r="I88" s="23"/>
      <c r="J88" s="24"/>
      <c r="K88" s="24"/>
      <c r="L88" s="22"/>
    </row>
    <row r="89" spans="1:12" s="20" customFormat="1" ht="58" x14ac:dyDescent="0.4">
      <c r="A89" s="14" t="s">
        <v>273</v>
      </c>
      <c r="B89" s="14"/>
      <c r="C89" s="23"/>
      <c r="D89" s="36">
        <v>5</v>
      </c>
      <c r="E89" s="37" t="s">
        <v>316</v>
      </c>
      <c r="F89" s="37" t="s">
        <v>299</v>
      </c>
      <c r="G89" s="14" t="s">
        <v>300</v>
      </c>
      <c r="H89" s="36"/>
      <c r="I89" s="23"/>
      <c r="J89" s="24"/>
      <c r="K89" s="24"/>
      <c r="L89" s="22"/>
    </row>
    <row r="90" spans="1:12" s="20" customFormat="1" ht="29" x14ac:dyDescent="0.4">
      <c r="A90" s="39"/>
      <c r="B90" s="39" t="s">
        <v>62</v>
      </c>
      <c r="C90" s="39" t="s">
        <v>871</v>
      </c>
      <c r="D90" s="40"/>
      <c r="E90" s="41"/>
      <c r="F90" s="41"/>
      <c r="G90" s="41"/>
      <c r="H90" s="40"/>
      <c r="I90" s="32"/>
      <c r="J90" s="24"/>
      <c r="K90" s="24"/>
      <c r="L90" s="22"/>
    </row>
    <row r="91" spans="1:12" s="20" customFormat="1" ht="159.5" x14ac:dyDescent="0.4">
      <c r="A91" s="14" t="s">
        <v>273</v>
      </c>
      <c r="B91" s="14"/>
      <c r="C91" s="23"/>
      <c r="D91" s="36">
        <v>1</v>
      </c>
      <c r="E91" s="37" t="s">
        <v>314</v>
      </c>
      <c r="F91" s="82" t="s">
        <v>869</v>
      </c>
      <c r="G91" s="84" t="s">
        <v>438</v>
      </c>
      <c r="H91" s="36" t="s">
        <v>293</v>
      </c>
      <c r="I91" s="85" t="s">
        <v>339</v>
      </c>
      <c r="J91" s="24"/>
      <c r="K91" s="24"/>
      <c r="L91" s="22"/>
    </row>
    <row r="92" spans="1:12" s="20" customFormat="1" ht="409.5" x14ac:dyDescent="0.4">
      <c r="A92" s="14" t="s">
        <v>273</v>
      </c>
      <c r="B92" s="14"/>
      <c r="C92" s="23"/>
      <c r="D92" s="36">
        <v>2</v>
      </c>
      <c r="E92" s="37" t="s">
        <v>321</v>
      </c>
      <c r="F92" s="82" t="s">
        <v>340</v>
      </c>
      <c r="G92" s="84" t="s">
        <v>868</v>
      </c>
      <c r="H92" s="36"/>
      <c r="I92" s="23"/>
      <c r="J92" s="24"/>
      <c r="K92" s="24"/>
      <c r="L92" s="22"/>
    </row>
    <row r="93" spans="1:12" s="20" customFormat="1" ht="130.5" x14ac:dyDescent="0.4">
      <c r="A93" s="14" t="s">
        <v>273</v>
      </c>
      <c r="B93" s="14"/>
      <c r="C93" s="23"/>
      <c r="D93" s="36">
        <v>3</v>
      </c>
      <c r="E93" s="37" t="s">
        <v>346</v>
      </c>
      <c r="F93" s="82" t="s">
        <v>347</v>
      </c>
      <c r="G93" s="84"/>
      <c r="H93" s="36"/>
      <c r="I93" s="23"/>
      <c r="J93" s="24"/>
      <c r="K93" s="24"/>
      <c r="L93" s="22"/>
    </row>
    <row r="94" spans="1:12" s="20" customFormat="1" ht="14.5" x14ac:dyDescent="0.4">
      <c r="A94" s="39"/>
      <c r="B94" s="39" t="s">
        <v>63</v>
      </c>
      <c r="C94" s="39" t="s">
        <v>870</v>
      </c>
      <c r="D94" s="40"/>
      <c r="E94" s="41"/>
      <c r="F94" s="41"/>
      <c r="G94" s="41"/>
      <c r="H94" s="40"/>
      <c r="I94" s="32"/>
      <c r="J94" s="24"/>
      <c r="K94" s="24"/>
      <c r="L94" s="22"/>
    </row>
    <row r="95" spans="1:12" s="20" customFormat="1" ht="159.5" x14ac:dyDescent="0.4">
      <c r="A95" s="14" t="s">
        <v>273</v>
      </c>
      <c r="B95" s="14"/>
      <c r="C95" s="23"/>
      <c r="D95" s="36">
        <v>1</v>
      </c>
      <c r="E95" s="37" t="s">
        <v>314</v>
      </c>
      <c r="F95" s="82" t="s">
        <v>869</v>
      </c>
      <c r="G95" s="84" t="s">
        <v>438</v>
      </c>
      <c r="H95" s="36" t="s">
        <v>293</v>
      </c>
      <c r="I95" s="85" t="s">
        <v>339</v>
      </c>
      <c r="J95" s="24"/>
      <c r="K95" s="24"/>
      <c r="L95" s="22"/>
    </row>
    <row r="96" spans="1:12" s="20" customFormat="1" ht="409.5" x14ac:dyDescent="0.4">
      <c r="A96" s="14" t="s">
        <v>273</v>
      </c>
      <c r="B96" s="14"/>
      <c r="C96" s="23"/>
      <c r="D96" s="36">
        <v>2</v>
      </c>
      <c r="E96" s="37" t="s">
        <v>321</v>
      </c>
      <c r="F96" s="82" t="s">
        <v>340</v>
      </c>
      <c r="G96" s="83" t="s">
        <v>978</v>
      </c>
      <c r="H96" s="36"/>
      <c r="I96" s="23"/>
      <c r="J96" s="24"/>
      <c r="K96" s="24"/>
      <c r="L96" s="22"/>
    </row>
    <row r="97" spans="1:12" s="20" customFormat="1" ht="14.5" x14ac:dyDescent="0.4">
      <c r="A97" s="39"/>
      <c r="B97" s="39" t="s">
        <v>64</v>
      </c>
      <c r="C97" s="39" t="s">
        <v>872</v>
      </c>
      <c r="D97" s="40"/>
      <c r="E97" s="41"/>
      <c r="F97" s="41"/>
      <c r="G97" s="41"/>
      <c r="H97" s="40"/>
      <c r="I97" s="32"/>
      <c r="J97" s="24"/>
      <c r="K97" s="24"/>
      <c r="L97" s="22"/>
    </row>
    <row r="98" spans="1:12" s="20" customFormat="1" ht="58" x14ac:dyDescent="0.4">
      <c r="A98" s="14" t="s">
        <v>273</v>
      </c>
      <c r="B98" s="14"/>
      <c r="C98" s="23"/>
      <c r="D98" s="36">
        <v>1</v>
      </c>
      <c r="E98" s="37" t="s">
        <v>321</v>
      </c>
      <c r="F98" s="37" t="s">
        <v>873</v>
      </c>
      <c r="G98" s="37" t="s">
        <v>325</v>
      </c>
      <c r="H98" s="36"/>
      <c r="I98" s="23"/>
      <c r="J98" s="24"/>
      <c r="K98" s="24"/>
      <c r="L98" s="22"/>
    </row>
    <row r="99" spans="1:12" s="20" customFormat="1" ht="58" x14ac:dyDescent="0.4">
      <c r="A99" s="14" t="s">
        <v>273</v>
      </c>
      <c r="B99" s="14"/>
      <c r="C99" s="23"/>
      <c r="D99" s="36">
        <v>2</v>
      </c>
      <c r="E99" s="37" t="s">
        <v>321</v>
      </c>
      <c r="F99" s="37" t="s">
        <v>873</v>
      </c>
      <c r="G99" s="37" t="s">
        <v>326</v>
      </c>
      <c r="H99" s="36"/>
      <c r="I99" s="23"/>
      <c r="J99" s="24"/>
      <c r="K99" s="24"/>
      <c r="L99" s="22"/>
    </row>
    <row r="100" spans="1:12" s="20" customFormat="1" ht="58" x14ac:dyDescent="0.4">
      <c r="A100" s="14" t="s">
        <v>273</v>
      </c>
      <c r="B100" s="14"/>
      <c r="C100" s="23"/>
      <c r="D100" s="36">
        <v>3</v>
      </c>
      <c r="E100" s="37" t="s">
        <v>321</v>
      </c>
      <c r="F100" s="37" t="s">
        <v>873</v>
      </c>
      <c r="G100" s="37" t="s">
        <v>327</v>
      </c>
      <c r="H100" s="36"/>
      <c r="I100" s="23"/>
      <c r="J100" s="24"/>
      <c r="K100" s="24"/>
      <c r="L100" s="22"/>
    </row>
    <row r="101" spans="1:12" s="20" customFormat="1" ht="58" x14ac:dyDescent="0.4">
      <c r="A101" s="14" t="s">
        <v>273</v>
      </c>
      <c r="B101" s="14"/>
      <c r="C101" s="23"/>
      <c r="D101" s="36">
        <v>4</v>
      </c>
      <c r="E101" s="37" t="s">
        <v>321</v>
      </c>
      <c r="F101" s="37" t="s">
        <v>873</v>
      </c>
      <c r="G101" s="37" t="s">
        <v>328</v>
      </c>
      <c r="H101" s="36"/>
      <c r="I101" s="23"/>
      <c r="J101" s="24"/>
      <c r="K101" s="24"/>
      <c r="L101" s="22"/>
    </row>
    <row r="102" spans="1:12" s="20" customFormat="1" ht="58" x14ac:dyDescent="0.4">
      <c r="A102" s="14" t="s">
        <v>273</v>
      </c>
      <c r="B102" s="14"/>
      <c r="C102" s="23"/>
      <c r="D102" s="36">
        <v>5</v>
      </c>
      <c r="E102" s="37" t="s">
        <v>321</v>
      </c>
      <c r="F102" s="37" t="s">
        <v>873</v>
      </c>
      <c r="G102" s="37" t="s">
        <v>329</v>
      </c>
      <c r="H102" s="36"/>
      <c r="I102" s="23"/>
      <c r="J102" s="24"/>
      <c r="K102" s="24"/>
      <c r="L102" s="22"/>
    </row>
    <row r="103" spans="1:12" s="20" customFormat="1" ht="58" x14ac:dyDescent="0.4">
      <c r="A103" s="14" t="s">
        <v>273</v>
      </c>
      <c r="B103" s="14"/>
      <c r="C103" s="23"/>
      <c r="D103" s="36">
        <v>6</v>
      </c>
      <c r="E103" s="37" t="s">
        <v>321</v>
      </c>
      <c r="F103" s="37" t="s">
        <v>873</v>
      </c>
      <c r="G103" s="37" t="s">
        <v>330</v>
      </c>
      <c r="H103" s="36"/>
      <c r="I103" s="23"/>
      <c r="J103" s="24"/>
      <c r="K103" s="24"/>
      <c r="L103" s="22"/>
    </row>
    <row r="104" spans="1:12" s="20" customFormat="1" ht="58" x14ac:dyDescent="0.4">
      <c r="A104" s="14" t="s">
        <v>273</v>
      </c>
      <c r="B104" s="14"/>
      <c r="C104" s="23"/>
      <c r="D104" s="36">
        <v>7</v>
      </c>
      <c r="E104" s="37" t="s">
        <v>321</v>
      </c>
      <c r="F104" s="37" t="s">
        <v>873</v>
      </c>
      <c r="G104" s="37" t="s">
        <v>331</v>
      </c>
      <c r="H104" s="36"/>
      <c r="I104" s="23"/>
      <c r="J104" s="24"/>
      <c r="K104" s="24"/>
      <c r="L104" s="22"/>
    </row>
    <row r="105" spans="1:12" s="20" customFormat="1" ht="58" x14ac:dyDescent="0.4">
      <c r="A105" s="14" t="s">
        <v>273</v>
      </c>
      <c r="B105" s="14"/>
      <c r="C105" s="23"/>
      <c r="D105" s="36">
        <v>8</v>
      </c>
      <c r="E105" s="37" t="s">
        <v>321</v>
      </c>
      <c r="F105" s="37" t="s">
        <v>873</v>
      </c>
      <c r="G105" s="37" t="s">
        <v>332</v>
      </c>
      <c r="H105" s="36"/>
      <c r="I105" s="23"/>
      <c r="J105" s="24"/>
      <c r="K105" s="24"/>
      <c r="L105" s="22"/>
    </row>
    <row r="106" spans="1:12" s="20" customFormat="1" ht="58" x14ac:dyDescent="0.4">
      <c r="A106" s="14" t="s">
        <v>273</v>
      </c>
      <c r="B106" s="14"/>
      <c r="C106" s="23"/>
      <c r="D106" s="36">
        <v>9</v>
      </c>
      <c r="E106" s="37" t="s">
        <v>321</v>
      </c>
      <c r="F106" s="37" t="s">
        <v>873</v>
      </c>
      <c r="G106" s="37" t="s">
        <v>333</v>
      </c>
      <c r="H106" s="36"/>
      <c r="I106" s="23"/>
      <c r="J106" s="24"/>
      <c r="K106" s="24"/>
      <c r="L106" s="22"/>
    </row>
    <row r="107" spans="1:12" s="20" customFormat="1" ht="58" x14ac:dyDescent="0.4">
      <c r="A107" s="14" t="s">
        <v>273</v>
      </c>
      <c r="B107" s="14"/>
      <c r="C107" s="23"/>
      <c r="D107" s="36">
        <v>10</v>
      </c>
      <c r="E107" s="37" t="s">
        <v>321</v>
      </c>
      <c r="F107" s="37" t="s">
        <v>873</v>
      </c>
      <c r="G107" s="37" t="s">
        <v>334</v>
      </c>
      <c r="H107" s="36"/>
      <c r="I107" s="23"/>
      <c r="J107" s="24"/>
      <c r="K107" s="24"/>
      <c r="L107" s="22"/>
    </row>
    <row r="108" spans="1:12" s="20" customFormat="1" ht="58" x14ac:dyDescent="0.4">
      <c r="A108" s="14" t="s">
        <v>273</v>
      </c>
      <c r="B108" s="14"/>
      <c r="C108" s="23"/>
      <c r="D108" s="36">
        <v>11</v>
      </c>
      <c r="E108" s="37" t="s">
        <v>321</v>
      </c>
      <c r="F108" s="37" t="s">
        <v>873</v>
      </c>
      <c r="G108" s="37" t="s">
        <v>335</v>
      </c>
      <c r="H108" s="36"/>
      <c r="I108" s="23"/>
      <c r="J108" s="24"/>
      <c r="K108" s="24"/>
      <c r="L108" s="22"/>
    </row>
    <row r="109" spans="1:12" s="20" customFormat="1" ht="14.5" x14ac:dyDescent="0.4">
      <c r="A109" s="39"/>
      <c r="B109" s="39" t="s">
        <v>260</v>
      </c>
      <c r="C109" s="39" t="s">
        <v>874</v>
      </c>
      <c r="D109" s="40"/>
      <c r="E109" s="41"/>
      <c r="F109" s="41"/>
      <c r="G109" s="41"/>
      <c r="H109" s="40"/>
      <c r="I109" s="32"/>
      <c r="J109" s="24"/>
      <c r="K109" s="24"/>
      <c r="L109" s="22"/>
    </row>
    <row r="110" spans="1:12" s="20" customFormat="1" ht="275.5" x14ac:dyDescent="0.4">
      <c r="A110" s="14" t="s">
        <v>273</v>
      </c>
      <c r="B110" s="14"/>
      <c r="C110" s="23"/>
      <c r="D110" s="36">
        <v>1</v>
      </c>
      <c r="E110" s="37" t="s">
        <v>336</v>
      </c>
      <c r="F110" s="82" t="s">
        <v>349</v>
      </c>
      <c r="G110" s="37" t="s">
        <v>353</v>
      </c>
      <c r="H110" s="36" t="s">
        <v>293</v>
      </c>
      <c r="I110" s="23"/>
      <c r="J110" s="24"/>
      <c r="K110" s="24"/>
      <c r="L110" s="22"/>
    </row>
    <row r="111" spans="1:12" s="20" customFormat="1" ht="261" x14ac:dyDescent="0.4">
      <c r="A111" s="14" t="s">
        <v>273</v>
      </c>
      <c r="B111" s="14"/>
      <c r="C111" s="23"/>
      <c r="D111" s="36">
        <v>2</v>
      </c>
      <c r="E111" s="37" t="s">
        <v>321</v>
      </c>
      <c r="F111" s="82" t="s">
        <v>338</v>
      </c>
      <c r="G111" s="37"/>
      <c r="H111" s="36"/>
      <c r="I111" s="23"/>
      <c r="J111" s="24"/>
      <c r="K111" s="24"/>
      <c r="L111" s="22"/>
    </row>
    <row r="112" spans="1:12" s="20" customFormat="1" ht="159.5" x14ac:dyDescent="0.4">
      <c r="A112" s="14" t="s">
        <v>273</v>
      </c>
      <c r="B112" s="14"/>
      <c r="C112" s="23"/>
      <c r="D112" s="36">
        <v>3</v>
      </c>
      <c r="E112" s="37" t="s">
        <v>354</v>
      </c>
      <c r="F112" s="37" t="s">
        <v>356</v>
      </c>
      <c r="G112" s="37"/>
      <c r="H112" s="36"/>
      <c r="I112" s="23"/>
      <c r="J112" s="24"/>
      <c r="K112" s="24"/>
      <c r="L112" s="22"/>
    </row>
    <row r="113" spans="1:12" s="20" customFormat="1" ht="409.5" x14ac:dyDescent="0.4">
      <c r="A113" s="14" t="s">
        <v>273</v>
      </c>
      <c r="B113" s="14"/>
      <c r="C113" s="23"/>
      <c r="D113" s="36">
        <v>4</v>
      </c>
      <c r="E113" s="37" t="s">
        <v>357</v>
      </c>
      <c r="F113" s="37" t="s">
        <v>364</v>
      </c>
      <c r="G113" s="86" t="s">
        <v>879</v>
      </c>
      <c r="H113" s="36"/>
      <c r="I113" s="23"/>
      <c r="J113" s="24"/>
      <c r="K113" s="24"/>
      <c r="L113" s="22"/>
    </row>
    <row r="114" spans="1:12" s="20" customFormat="1" ht="130.5" customHeight="1" x14ac:dyDescent="0.4">
      <c r="A114" s="14" t="s">
        <v>273</v>
      </c>
      <c r="B114" s="14"/>
      <c r="C114" s="23"/>
      <c r="D114" s="36">
        <v>5</v>
      </c>
      <c r="E114" s="37" t="s">
        <v>366</v>
      </c>
      <c r="F114" s="37" t="s">
        <v>367</v>
      </c>
      <c r="G114" s="37"/>
      <c r="H114" s="36"/>
      <c r="I114" s="23"/>
      <c r="J114" s="24"/>
      <c r="K114" s="24"/>
      <c r="L114" s="22"/>
    </row>
    <row r="115" spans="1:12" s="20" customFormat="1" ht="58" x14ac:dyDescent="0.4">
      <c r="A115" s="14" t="s">
        <v>273</v>
      </c>
      <c r="B115" s="14"/>
      <c r="C115" s="23"/>
      <c r="D115" s="36">
        <v>6</v>
      </c>
      <c r="E115" s="37" t="s">
        <v>316</v>
      </c>
      <c r="F115" s="37" t="s">
        <v>299</v>
      </c>
      <c r="G115" s="14" t="s">
        <v>300</v>
      </c>
      <c r="H115" s="36"/>
      <c r="I115" s="23"/>
      <c r="J115" s="24"/>
      <c r="K115" s="24"/>
      <c r="L115" s="22"/>
    </row>
    <row r="116" spans="1:12" s="20" customFormat="1" ht="29" x14ac:dyDescent="0.4">
      <c r="A116" s="39"/>
      <c r="B116" s="39" t="s">
        <v>65</v>
      </c>
      <c r="C116" s="39" t="s">
        <v>372</v>
      </c>
      <c r="D116" s="40"/>
      <c r="E116" s="41"/>
      <c r="F116" s="41"/>
      <c r="G116" s="41"/>
      <c r="H116" s="40"/>
      <c r="I116" s="32"/>
      <c r="J116" s="24"/>
      <c r="K116" s="24"/>
      <c r="L116" s="22"/>
    </row>
    <row r="117" spans="1:12" s="20" customFormat="1" ht="275.5" x14ac:dyDescent="0.4">
      <c r="A117" s="14" t="s">
        <v>273</v>
      </c>
      <c r="B117" s="14"/>
      <c r="C117" s="23"/>
      <c r="D117" s="36">
        <v>1</v>
      </c>
      <c r="E117" s="37" t="s">
        <v>336</v>
      </c>
      <c r="F117" s="82" t="s">
        <v>349</v>
      </c>
      <c r="G117" s="37" t="s">
        <v>353</v>
      </c>
      <c r="H117" s="36" t="s">
        <v>293</v>
      </c>
      <c r="I117" s="23"/>
      <c r="J117" s="24"/>
      <c r="K117" s="24"/>
      <c r="L117" s="22"/>
    </row>
    <row r="118" spans="1:12" s="20" customFormat="1" ht="261" x14ac:dyDescent="0.4">
      <c r="A118" s="14" t="s">
        <v>273</v>
      </c>
      <c r="B118" s="14"/>
      <c r="C118" s="23"/>
      <c r="D118" s="36">
        <v>2</v>
      </c>
      <c r="E118" s="37" t="s">
        <v>321</v>
      </c>
      <c r="F118" s="82" t="s">
        <v>338</v>
      </c>
      <c r="G118" s="37"/>
      <c r="H118" s="36"/>
      <c r="I118" s="23"/>
      <c r="J118" s="24"/>
      <c r="K118" s="24"/>
      <c r="L118" s="22"/>
    </row>
    <row r="119" spans="1:12" s="20" customFormat="1" ht="159.5" x14ac:dyDescent="0.4">
      <c r="A119" s="14" t="s">
        <v>273</v>
      </c>
      <c r="B119" s="14"/>
      <c r="C119" s="23"/>
      <c r="D119" s="36">
        <v>3</v>
      </c>
      <c r="E119" s="37" t="s">
        <v>354</v>
      </c>
      <c r="F119" s="37" t="s">
        <v>356</v>
      </c>
      <c r="G119" s="37"/>
      <c r="H119" s="36"/>
      <c r="I119" s="23"/>
      <c r="J119" s="24"/>
      <c r="K119" s="24"/>
      <c r="L119" s="22"/>
    </row>
    <row r="120" spans="1:12" s="20" customFormat="1" ht="409.5" x14ac:dyDescent="0.4">
      <c r="A120" s="14" t="s">
        <v>273</v>
      </c>
      <c r="B120" s="14"/>
      <c r="C120" s="23"/>
      <c r="D120" s="36">
        <v>4</v>
      </c>
      <c r="E120" s="37" t="s">
        <v>357</v>
      </c>
      <c r="F120" s="37" t="s">
        <v>368</v>
      </c>
      <c r="G120" s="86" t="s">
        <v>878</v>
      </c>
      <c r="H120" s="36"/>
      <c r="I120" s="23"/>
      <c r="J120" s="24"/>
      <c r="K120" s="24"/>
      <c r="L120" s="22"/>
    </row>
    <row r="121" spans="1:12" s="20" customFormat="1" ht="130.5" customHeight="1" x14ac:dyDescent="0.4">
      <c r="A121" s="14" t="s">
        <v>273</v>
      </c>
      <c r="B121" s="14"/>
      <c r="C121" s="23"/>
      <c r="D121" s="36">
        <v>5</v>
      </c>
      <c r="E121" s="37" t="s">
        <v>369</v>
      </c>
      <c r="F121" s="37" t="s">
        <v>370</v>
      </c>
      <c r="G121" s="37"/>
      <c r="H121" s="36"/>
      <c r="I121" s="23"/>
      <c r="J121" s="24"/>
      <c r="K121" s="24"/>
      <c r="L121" s="22"/>
    </row>
    <row r="122" spans="1:12" s="20" customFormat="1" ht="58" x14ac:dyDescent="0.4">
      <c r="A122" s="14" t="s">
        <v>273</v>
      </c>
      <c r="B122" s="14"/>
      <c r="C122" s="23"/>
      <c r="D122" s="36">
        <v>6</v>
      </c>
      <c r="E122" s="37" t="s">
        <v>316</v>
      </c>
      <c r="F122" s="37" t="s">
        <v>299</v>
      </c>
      <c r="G122" s="14" t="s">
        <v>300</v>
      </c>
      <c r="H122" s="36"/>
      <c r="I122" s="23"/>
      <c r="J122" s="24"/>
      <c r="K122" s="24"/>
      <c r="L122" s="22"/>
    </row>
    <row r="123" spans="1:12" s="20" customFormat="1" ht="29" x14ac:dyDescent="0.4">
      <c r="A123" s="39"/>
      <c r="B123" s="39" t="s">
        <v>66</v>
      </c>
      <c r="C123" s="39" t="s">
        <v>373</v>
      </c>
      <c r="D123" s="40"/>
      <c r="E123" s="41"/>
      <c r="F123" s="41"/>
      <c r="G123" s="41"/>
      <c r="H123" s="40"/>
      <c r="I123" s="32"/>
      <c r="J123" s="24"/>
      <c r="K123" s="24"/>
      <c r="L123" s="22"/>
    </row>
    <row r="124" spans="1:12" s="20" customFormat="1" ht="275.5" x14ac:dyDescent="0.4">
      <c r="A124" s="14" t="s">
        <v>273</v>
      </c>
      <c r="B124" s="14"/>
      <c r="C124" s="23"/>
      <c r="D124" s="36">
        <v>1</v>
      </c>
      <c r="E124" s="37" t="s">
        <v>336</v>
      </c>
      <c r="F124" s="82" t="s">
        <v>349</v>
      </c>
      <c r="G124" s="37" t="s">
        <v>353</v>
      </c>
      <c r="H124" s="36" t="s">
        <v>293</v>
      </c>
      <c r="I124" s="23"/>
      <c r="J124" s="24"/>
      <c r="K124" s="24"/>
      <c r="L124" s="22"/>
    </row>
    <row r="125" spans="1:12" s="20" customFormat="1" ht="261" x14ac:dyDescent="0.4">
      <c r="A125" s="14" t="s">
        <v>273</v>
      </c>
      <c r="B125" s="14"/>
      <c r="C125" s="23"/>
      <c r="D125" s="36">
        <v>2</v>
      </c>
      <c r="E125" s="37" t="s">
        <v>321</v>
      </c>
      <c r="F125" s="82" t="s">
        <v>338</v>
      </c>
      <c r="G125" s="37"/>
      <c r="H125" s="36"/>
      <c r="I125" s="23"/>
      <c r="J125" s="24"/>
      <c r="K125" s="24"/>
      <c r="L125" s="22"/>
    </row>
    <row r="126" spans="1:12" s="20" customFormat="1" ht="159.5" x14ac:dyDescent="0.4">
      <c r="A126" s="14" t="s">
        <v>273</v>
      </c>
      <c r="B126" s="14"/>
      <c r="C126" s="23"/>
      <c r="D126" s="36">
        <v>3</v>
      </c>
      <c r="E126" s="37" t="s">
        <v>354</v>
      </c>
      <c r="F126" s="37" t="s">
        <v>356</v>
      </c>
      <c r="G126" s="37"/>
      <c r="H126" s="36"/>
      <c r="I126" s="23"/>
      <c r="J126" s="24"/>
      <c r="K126" s="24"/>
      <c r="L126" s="22"/>
    </row>
    <row r="127" spans="1:12" s="20" customFormat="1" ht="409.5" x14ac:dyDescent="0.4">
      <c r="A127" s="14" t="s">
        <v>273</v>
      </c>
      <c r="B127" s="14"/>
      <c r="C127" s="23"/>
      <c r="D127" s="36">
        <v>4</v>
      </c>
      <c r="E127" s="37" t="s">
        <v>357</v>
      </c>
      <c r="F127" s="37" t="s">
        <v>877</v>
      </c>
      <c r="G127" s="86" t="s">
        <v>358</v>
      </c>
      <c r="H127" s="36"/>
      <c r="I127" s="23"/>
      <c r="J127" s="24"/>
      <c r="K127" s="24"/>
      <c r="L127" s="22"/>
    </row>
    <row r="128" spans="1:12" s="20" customFormat="1" ht="130.5" customHeight="1" x14ac:dyDescent="0.4">
      <c r="A128" s="14" t="s">
        <v>273</v>
      </c>
      <c r="B128" s="14"/>
      <c r="C128" s="23"/>
      <c r="D128" s="36">
        <v>5</v>
      </c>
      <c r="E128" s="37" t="s">
        <v>365</v>
      </c>
      <c r="F128" s="37" t="s">
        <v>371</v>
      </c>
      <c r="G128" s="37"/>
      <c r="H128" s="36"/>
      <c r="I128" s="23"/>
      <c r="J128" s="24"/>
      <c r="K128" s="24"/>
      <c r="L128" s="22"/>
    </row>
    <row r="129" spans="1:12" s="20" customFormat="1" ht="58" x14ac:dyDescent="0.4">
      <c r="A129" s="14" t="s">
        <v>273</v>
      </c>
      <c r="B129" s="14"/>
      <c r="C129" s="23"/>
      <c r="D129" s="36">
        <v>6</v>
      </c>
      <c r="E129" s="37" t="s">
        <v>316</v>
      </c>
      <c r="F129" s="37" t="s">
        <v>299</v>
      </c>
      <c r="G129" s="14" t="s">
        <v>300</v>
      </c>
      <c r="H129" s="36"/>
      <c r="I129" s="23"/>
      <c r="J129" s="24"/>
      <c r="K129" s="24"/>
      <c r="L129" s="22"/>
    </row>
    <row r="130" spans="1:12" s="20" customFormat="1" ht="14.5" x14ac:dyDescent="0.4">
      <c r="A130" s="39"/>
      <c r="B130" s="39" t="s">
        <v>67</v>
      </c>
      <c r="C130" s="39" t="s">
        <v>374</v>
      </c>
      <c r="D130" s="40"/>
      <c r="E130" s="41"/>
      <c r="F130" s="41"/>
      <c r="G130" s="41"/>
      <c r="H130" s="40"/>
      <c r="I130" s="32"/>
      <c r="J130" s="24"/>
      <c r="K130" s="24"/>
      <c r="L130" s="22"/>
    </row>
    <row r="131" spans="1:12" s="20" customFormat="1" ht="275.5" x14ac:dyDescent="0.4">
      <c r="A131" s="14" t="s">
        <v>273</v>
      </c>
      <c r="B131" s="14"/>
      <c r="C131" s="23"/>
      <c r="D131" s="36">
        <v>1</v>
      </c>
      <c r="E131" s="37" t="s">
        <v>336</v>
      </c>
      <c r="F131" s="82" t="s">
        <v>349</v>
      </c>
      <c r="G131" s="37" t="s">
        <v>353</v>
      </c>
      <c r="H131" s="36" t="s">
        <v>293</v>
      </c>
      <c r="I131" s="23"/>
      <c r="J131" s="24"/>
      <c r="K131" s="24"/>
      <c r="L131" s="22"/>
    </row>
    <row r="132" spans="1:12" s="20" customFormat="1" ht="261" x14ac:dyDescent="0.4">
      <c r="A132" s="14" t="s">
        <v>273</v>
      </c>
      <c r="B132" s="14"/>
      <c r="C132" s="23"/>
      <c r="D132" s="36">
        <v>2</v>
      </c>
      <c r="E132" s="37" t="s">
        <v>321</v>
      </c>
      <c r="F132" s="82" t="s">
        <v>338</v>
      </c>
      <c r="G132" s="37"/>
      <c r="H132" s="36"/>
      <c r="I132" s="23"/>
      <c r="J132" s="24"/>
      <c r="K132" s="24"/>
      <c r="L132" s="22"/>
    </row>
    <row r="133" spans="1:12" s="20" customFormat="1" ht="159.5" x14ac:dyDescent="0.4">
      <c r="A133" s="14" t="s">
        <v>273</v>
      </c>
      <c r="B133" s="14"/>
      <c r="C133" s="23"/>
      <c r="D133" s="36">
        <v>3</v>
      </c>
      <c r="E133" s="37" t="s">
        <v>354</v>
      </c>
      <c r="F133" s="37" t="s">
        <v>356</v>
      </c>
      <c r="G133" s="37"/>
      <c r="H133" s="36"/>
      <c r="I133" s="23"/>
      <c r="J133" s="24"/>
      <c r="K133" s="24"/>
      <c r="L133" s="22"/>
    </row>
    <row r="134" spans="1:12" s="20" customFormat="1" ht="409.5" x14ac:dyDescent="0.4">
      <c r="A134" s="14" t="s">
        <v>273</v>
      </c>
      <c r="B134" s="14"/>
      <c r="C134" s="23"/>
      <c r="D134" s="36">
        <v>4</v>
      </c>
      <c r="E134" s="37" t="s">
        <v>357</v>
      </c>
      <c r="F134" s="37" t="s">
        <v>368</v>
      </c>
      <c r="G134" s="86" t="s">
        <v>876</v>
      </c>
      <c r="H134" s="36"/>
      <c r="I134" s="23"/>
      <c r="J134" s="24"/>
      <c r="K134" s="24"/>
      <c r="L134" s="22"/>
    </row>
    <row r="135" spans="1:12" s="20" customFormat="1" ht="130.5" customHeight="1" x14ac:dyDescent="0.4">
      <c r="A135" s="14" t="s">
        <v>273</v>
      </c>
      <c r="B135" s="14"/>
      <c r="C135" s="23"/>
      <c r="D135" s="36">
        <v>5</v>
      </c>
      <c r="E135" s="37" t="s">
        <v>365</v>
      </c>
      <c r="F135" s="37" t="s">
        <v>370</v>
      </c>
      <c r="G135" s="37"/>
      <c r="H135" s="36"/>
      <c r="I135" s="23"/>
      <c r="J135" s="24"/>
      <c r="K135" s="24"/>
      <c r="L135" s="22"/>
    </row>
    <row r="136" spans="1:12" s="20" customFormat="1" ht="58" x14ac:dyDescent="0.4">
      <c r="A136" s="14" t="s">
        <v>273</v>
      </c>
      <c r="B136" s="14"/>
      <c r="C136" s="23"/>
      <c r="D136" s="36">
        <v>6</v>
      </c>
      <c r="E136" s="37" t="s">
        <v>316</v>
      </c>
      <c r="F136" s="37" t="s">
        <v>299</v>
      </c>
      <c r="G136" s="14" t="s">
        <v>300</v>
      </c>
      <c r="H136" s="36"/>
      <c r="I136" s="23"/>
      <c r="J136" s="24"/>
      <c r="K136" s="24"/>
      <c r="L136" s="22"/>
    </row>
    <row r="137" spans="1:12" s="20" customFormat="1" ht="14.5" x14ac:dyDescent="0.4">
      <c r="A137" s="39"/>
      <c r="B137" s="39" t="s">
        <v>68</v>
      </c>
      <c r="C137" s="39" t="s">
        <v>880</v>
      </c>
      <c r="D137" s="40"/>
      <c r="E137" s="41"/>
      <c r="F137" s="41"/>
      <c r="G137" s="41"/>
      <c r="H137" s="40"/>
      <c r="I137" s="32"/>
      <c r="J137" s="24"/>
      <c r="K137" s="24"/>
      <c r="L137" s="22"/>
    </row>
    <row r="138" spans="1:12" s="20" customFormat="1" ht="275.5" x14ac:dyDescent="0.4">
      <c r="A138" s="14" t="s">
        <v>273</v>
      </c>
      <c r="B138" s="14"/>
      <c r="C138" s="23"/>
      <c r="D138" s="36">
        <v>1</v>
      </c>
      <c r="E138" s="37" t="s">
        <v>336</v>
      </c>
      <c r="F138" s="82" t="s">
        <v>349</v>
      </c>
      <c r="G138" s="37" t="s">
        <v>353</v>
      </c>
      <c r="H138" s="36" t="s">
        <v>293</v>
      </c>
      <c r="I138" s="23"/>
      <c r="J138" s="24"/>
      <c r="K138" s="24"/>
      <c r="L138" s="22"/>
    </row>
    <row r="139" spans="1:12" s="20" customFormat="1" ht="261" x14ac:dyDescent="0.4">
      <c r="A139" s="14" t="s">
        <v>273</v>
      </c>
      <c r="B139" s="14"/>
      <c r="C139" s="23"/>
      <c r="D139" s="36">
        <v>2</v>
      </c>
      <c r="E139" s="37" t="s">
        <v>321</v>
      </c>
      <c r="F139" s="82" t="s">
        <v>338</v>
      </c>
      <c r="G139" s="37"/>
      <c r="H139" s="36"/>
      <c r="I139" s="23"/>
      <c r="J139" s="24"/>
      <c r="K139" s="24"/>
      <c r="L139" s="22"/>
    </row>
    <row r="140" spans="1:12" s="20" customFormat="1" ht="159.5" x14ac:dyDescent="0.4">
      <c r="A140" s="14" t="s">
        <v>273</v>
      </c>
      <c r="B140" s="14"/>
      <c r="C140" s="23"/>
      <c r="D140" s="36">
        <v>3</v>
      </c>
      <c r="E140" s="37" t="s">
        <v>354</v>
      </c>
      <c r="F140" s="37" t="s">
        <v>356</v>
      </c>
      <c r="G140" s="37" t="s">
        <v>355</v>
      </c>
      <c r="H140" s="36"/>
      <c r="I140" s="23"/>
      <c r="J140" s="24"/>
      <c r="K140" s="24"/>
      <c r="L140" s="22"/>
    </row>
    <row r="141" spans="1:12" s="20" customFormat="1" ht="377" x14ac:dyDescent="0.4">
      <c r="A141" s="14" t="s">
        <v>273</v>
      </c>
      <c r="B141" s="14"/>
      <c r="C141" s="23"/>
      <c r="D141" s="36">
        <v>4</v>
      </c>
      <c r="E141" s="37" t="s">
        <v>357</v>
      </c>
      <c r="F141" s="37" t="s">
        <v>375</v>
      </c>
      <c r="G141" s="37" t="s">
        <v>1359</v>
      </c>
      <c r="H141" s="36"/>
      <c r="I141" s="23"/>
      <c r="J141" s="24"/>
      <c r="K141" s="24"/>
      <c r="L141" s="22"/>
    </row>
    <row r="142" spans="1:12" s="20" customFormat="1" ht="14.5" x14ac:dyDescent="0.4">
      <c r="A142" s="39"/>
      <c r="B142" s="39" t="s">
        <v>69</v>
      </c>
      <c r="C142" s="39" t="s">
        <v>1181</v>
      </c>
      <c r="D142" s="40"/>
      <c r="E142" s="41"/>
      <c r="F142" s="41"/>
      <c r="G142" s="41"/>
      <c r="H142" s="40"/>
      <c r="I142" s="32"/>
      <c r="J142" s="24"/>
      <c r="K142" s="24"/>
      <c r="L142" s="22"/>
    </row>
    <row r="143" spans="1:12" s="20" customFormat="1" ht="58" x14ac:dyDescent="0.4">
      <c r="A143" s="14" t="s">
        <v>273</v>
      </c>
      <c r="B143" s="14"/>
      <c r="C143" s="23"/>
      <c r="D143" s="36">
        <v>1</v>
      </c>
      <c r="E143" s="37" t="s">
        <v>357</v>
      </c>
      <c r="F143" s="37" t="s">
        <v>881</v>
      </c>
      <c r="G143" s="37" t="s">
        <v>359</v>
      </c>
      <c r="H143" s="36"/>
      <c r="I143" s="23"/>
      <c r="J143" s="24"/>
      <c r="K143" s="24"/>
      <c r="L143" s="22"/>
    </row>
    <row r="144" spans="1:12" s="20" customFormat="1" ht="58" x14ac:dyDescent="0.4">
      <c r="A144" s="14" t="s">
        <v>273</v>
      </c>
      <c r="B144" s="14"/>
      <c r="C144" s="23"/>
      <c r="D144" s="36">
        <v>2</v>
      </c>
      <c r="E144" s="37" t="s">
        <v>357</v>
      </c>
      <c r="F144" s="37" t="s">
        <v>881</v>
      </c>
      <c r="G144" s="37" t="s">
        <v>360</v>
      </c>
      <c r="H144" s="36"/>
      <c r="I144" s="23"/>
      <c r="J144" s="24"/>
      <c r="K144" s="24"/>
      <c r="L144" s="22"/>
    </row>
    <row r="145" spans="1:12" s="20" customFormat="1" ht="58" x14ac:dyDescent="0.4">
      <c r="A145" s="14" t="s">
        <v>273</v>
      </c>
      <c r="B145" s="14"/>
      <c r="C145" s="23"/>
      <c r="D145" s="36">
        <v>3</v>
      </c>
      <c r="E145" s="37" t="s">
        <v>357</v>
      </c>
      <c r="F145" s="37" t="s">
        <v>881</v>
      </c>
      <c r="G145" s="37" t="s">
        <v>361</v>
      </c>
      <c r="H145" s="36"/>
      <c r="I145" s="23"/>
      <c r="J145" s="24"/>
      <c r="K145" s="24"/>
      <c r="L145" s="22"/>
    </row>
    <row r="146" spans="1:12" s="20" customFormat="1" ht="72.5" x14ac:dyDescent="0.4">
      <c r="A146" s="14" t="s">
        <v>273</v>
      </c>
      <c r="B146" s="14"/>
      <c r="C146" s="23"/>
      <c r="D146" s="36">
        <v>4</v>
      </c>
      <c r="E146" s="37" t="s">
        <v>357</v>
      </c>
      <c r="F146" s="37" t="s">
        <v>881</v>
      </c>
      <c r="G146" s="37" t="s">
        <v>362</v>
      </c>
      <c r="H146" s="36"/>
      <c r="I146" s="23"/>
      <c r="J146" s="24"/>
      <c r="K146" s="24"/>
      <c r="L146" s="22"/>
    </row>
    <row r="147" spans="1:12" s="20" customFormat="1" ht="116.25" customHeight="1" x14ac:dyDescent="0.4">
      <c r="A147" s="14" t="s">
        <v>273</v>
      </c>
      <c r="B147" s="14"/>
      <c r="C147" s="23"/>
      <c r="D147" s="36">
        <v>5</v>
      </c>
      <c r="E147" s="37" t="s">
        <v>357</v>
      </c>
      <c r="F147" s="37" t="s">
        <v>881</v>
      </c>
      <c r="G147" s="37" t="s">
        <v>363</v>
      </c>
      <c r="H147" s="36"/>
      <c r="I147" s="23"/>
      <c r="J147" s="24"/>
      <c r="K147" s="24"/>
      <c r="L147" s="22"/>
    </row>
    <row r="148" spans="1:12" s="20" customFormat="1" ht="141" customHeight="1" x14ac:dyDescent="0.4">
      <c r="A148" s="14" t="s">
        <v>273</v>
      </c>
      <c r="B148" s="14"/>
      <c r="C148" s="23"/>
      <c r="D148" s="36">
        <v>6</v>
      </c>
      <c r="E148" s="37" t="s">
        <v>357</v>
      </c>
      <c r="F148" s="37" t="s">
        <v>881</v>
      </c>
      <c r="G148" s="37" t="s">
        <v>376</v>
      </c>
      <c r="H148" s="36"/>
      <c r="I148" s="23"/>
      <c r="J148" s="24"/>
      <c r="K148" s="24"/>
      <c r="L148" s="22"/>
    </row>
    <row r="149" spans="1:12" s="20" customFormat="1" ht="72.5" x14ac:dyDescent="0.4">
      <c r="A149" s="14" t="s">
        <v>273</v>
      </c>
      <c r="B149" s="14"/>
      <c r="C149" s="23"/>
      <c r="D149" s="36">
        <v>7</v>
      </c>
      <c r="E149" s="37" t="s">
        <v>357</v>
      </c>
      <c r="F149" s="37" t="s">
        <v>881</v>
      </c>
      <c r="G149" s="37" t="s">
        <v>377</v>
      </c>
      <c r="H149" s="36"/>
      <c r="I149" s="23"/>
      <c r="J149" s="24"/>
      <c r="K149" s="24"/>
      <c r="L149" s="22"/>
    </row>
    <row r="150" spans="1:12" s="20" customFormat="1" ht="58" x14ac:dyDescent="0.4">
      <c r="A150" s="14" t="s">
        <v>273</v>
      </c>
      <c r="B150" s="14"/>
      <c r="C150" s="23"/>
      <c r="D150" s="36">
        <v>8</v>
      </c>
      <c r="E150" s="37" t="s">
        <v>357</v>
      </c>
      <c r="F150" s="37" t="s">
        <v>881</v>
      </c>
      <c r="G150" s="37" t="s">
        <v>378</v>
      </c>
      <c r="H150" s="36"/>
      <c r="I150" s="23"/>
      <c r="J150" s="24"/>
      <c r="K150" s="24"/>
      <c r="L150" s="22"/>
    </row>
    <row r="151" spans="1:12" s="20" customFormat="1" ht="58" x14ac:dyDescent="0.4">
      <c r="A151" s="14" t="s">
        <v>273</v>
      </c>
      <c r="B151" s="14"/>
      <c r="C151" s="23"/>
      <c r="D151" s="36">
        <v>9</v>
      </c>
      <c r="E151" s="37" t="s">
        <v>357</v>
      </c>
      <c r="F151" s="37" t="s">
        <v>881</v>
      </c>
      <c r="G151" s="37" t="s">
        <v>379</v>
      </c>
      <c r="H151" s="36"/>
      <c r="I151" s="23"/>
      <c r="J151" s="24"/>
      <c r="K151" s="24"/>
      <c r="L151" s="22"/>
    </row>
    <row r="152" spans="1:12" s="20" customFormat="1" ht="14.5" x14ac:dyDescent="0.4">
      <c r="A152" s="39"/>
      <c r="B152" s="39" t="s">
        <v>70</v>
      </c>
      <c r="C152" s="39" t="s">
        <v>389</v>
      </c>
      <c r="D152" s="40"/>
      <c r="E152" s="41"/>
      <c r="F152" s="41"/>
      <c r="G152" s="41"/>
      <c r="H152" s="40"/>
      <c r="I152" s="32"/>
      <c r="J152" s="24"/>
      <c r="K152" s="24"/>
      <c r="L152" s="22"/>
    </row>
    <row r="153" spans="1:12" s="20" customFormat="1" ht="246.5" x14ac:dyDescent="0.4">
      <c r="A153" s="14" t="s">
        <v>273</v>
      </c>
      <c r="B153" s="14"/>
      <c r="C153" s="71"/>
      <c r="D153" s="36">
        <v>1</v>
      </c>
      <c r="E153" s="37" t="s">
        <v>381</v>
      </c>
      <c r="F153" s="82" t="s">
        <v>1361</v>
      </c>
      <c r="G153" s="37" t="s">
        <v>1360</v>
      </c>
      <c r="H153" s="36" t="s">
        <v>293</v>
      </c>
      <c r="I153" s="23"/>
      <c r="J153" s="24"/>
      <c r="K153" s="24"/>
      <c r="L153" s="22"/>
    </row>
    <row r="154" spans="1:12" s="20" customFormat="1" ht="159.5" x14ac:dyDescent="0.4">
      <c r="A154" s="14" t="s">
        <v>273</v>
      </c>
      <c r="B154" s="14"/>
      <c r="C154" s="23"/>
      <c r="D154" s="36">
        <v>2</v>
      </c>
      <c r="E154" s="37" t="s">
        <v>354</v>
      </c>
      <c r="F154" s="37" t="s">
        <v>356</v>
      </c>
      <c r="G154" s="37" t="s">
        <v>383</v>
      </c>
      <c r="H154" s="36"/>
      <c r="I154" s="23"/>
      <c r="J154" s="24"/>
      <c r="K154" s="24"/>
      <c r="L154" s="22"/>
    </row>
    <row r="155" spans="1:12" s="20" customFormat="1" ht="101.5" x14ac:dyDescent="0.4">
      <c r="A155" s="14" t="s">
        <v>273</v>
      </c>
      <c r="B155" s="14"/>
      <c r="C155" s="23"/>
      <c r="D155" s="36">
        <v>3</v>
      </c>
      <c r="E155" s="37" t="s">
        <v>357</v>
      </c>
      <c r="F155" s="37" t="s">
        <v>385</v>
      </c>
      <c r="G155" s="37" t="s">
        <v>384</v>
      </c>
      <c r="H155" s="36"/>
      <c r="I155" s="23"/>
      <c r="J155" s="24"/>
      <c r="K155" s="24"/>
      <c r="L155" s="22"/>
    </row>
    <row r="156" spans="1:12" s="20" customFormat="1" ht="232" x14ac:dyDescent="0.4">
      <c r="A156" s="14" t="s">
        <v>273</v>
      </c>
      <c r="B156" s="14"/>
      <c r="C156" s="23"/>
      <c r="D156" s="36">
        <v>4</v>
      </c>
      <c r="E156" s="37" t="s">
        <v>386</v>
      </c>
      <c r="F156" s="37" t="s">
        <v>388</v>
      </c>
      <c r="G156" s="37" t="s">
        <v>387</v>
      </c>
      <c r="H156" s="36"/>
      <c r="I156" s="23"/>
      <c r="J156" s="24"/>
      <c r="K156" s="24"/>
      <c r="L156" s="22"/>
    </row>
    <row r="157" spans="1:12" s="20" customFormat="1" ht="58" x14ac:dyDescent="0.4">
      <c r="A157" s="14" t="s">
        <v>273</v>
      </c>
      <c r="B157" s="14"/>
      <c r="C157" s="23"/>
      <c r="D157" s="36">
        <v>5</v>
      </c>
      <c r="E157" s="37" t="s">
        <v>316</v>
      </c>
      <c r="F157" s="37" t="s">
        <v>299</v>
      </c>
      <c r="G157" s="14" t="s">
        <v>300</v>
      </c>
      <c r="H157" s="36"/>
      <c r="I157" s="23"/>
      <c r="J157" s="24"/>
      <c r="K157" s="24"/>
      <c r="L157" s="22"/>
    </row>
    <row r="158" spans="1:12" s="20" customFormat="1" ht="14.5" x14ac:dyDescent="0.4">
      <c r="A158" s="39"/>
      <c r="B158" s="39" t="s">
        <v>71</v>
      </c>
      <c r="C158" s="39" t="s">
        <v>429</v>
      </c>
      <c r="D158" s="40"/>
      <c r="E158" s="41"/>
      <c r="F158" s="41"/>
      <c r="G158" s="41"/>
      <c r="H158" s="40"/>
      <c r="I158" s="32"/>
      <c r="J158" s="24"/>
      <c r="K158" s="24"/>
      <c r="L158" s="22"/>
    </row>
    <row r="159" spans="1:12" s="20" customFormat="1" ht="72.5" x14ac:dyDescent="0.4">
      <c r="A159" s="14" t="s">
        <v>273</v>
      </c>
      <c r="B159" s="14"/>
      <c r="C159" s="23"/>
      <c r="D159" s="36">
        <v>1</v>
      </c>
      <c r="E159" s="37" t="s">
        <v>391</v>
      </c>
      <c r="F159" s="37" t="s">
        <v>302</v>
      </c>
      <c r="G159" s="37" t="s">
        <v>303</v>
      </c>
      <c r="H159" s="36" t="s">
        <v>293</v>
      </c>
      <c r="I159" s="23"/>
      <c r="J159" s="24"/>
      <c r="K159" s="24"/>
      <c r="L159" s="22"/>
    </row>
    <row r="160" spans="1:12" s="20" customFormat="1" ht="246.5" x14ac:dyDescent="0.4">
      <c r="A160" s="14" t="s">
        <v>273</v>
      </c>
      <c r="B160" s="14"/>
      <c r="C160" s="23"/>
      <c r="D160" s="36">
        <v>2</v>
      </c>
      <c r="E160" s="37" t="s">
        <v>390</v>
      </c>
      <c r="F160" s="81" t="s">
        <v>306</v>
      </c>
      <c r="G160" s="37" t="s">
        <v>352</v>
      </c>
      <c r="H160" s="36"/>
      <c r="I160" s="23"/>
      <c r="J160" s="24"/>
      <c r="K160" s="24"/>
      <c r="L160" s="22"/>
    </row>
    <row r="161" spans="1:12" s="20" customFormat="1" ht="246.5" x14ac:dyDescent="0.4">
      <c r="A161" s="14" t="s">
        <v>273</v>
      </c>
      <c r="B161" s="14"/>
      <c r="C161" s="23"/>
      <c r="D161" s="36">
        <v>3</v>
      </c>
      <c r="E161" s="37" t="s">
        <v>392</v>
      </c>
      <c r="F161" s="37" t="s">
        <v>414</v>
      </c>
      <c r="G161" s="37"/>
      <c r="H161" s="36"/>
      <c r="I161" s="23"/>
      <c r="J161" s="24"/>
      <c r="K161" s="24"/>
      <c r="L161" s="22"/>
    </row>
    <row r="162" spans="1:12" s="20" customFormat="1" ht="319" x14ac:dyDescent="0.4">
      <c r="A162" s="14" t="s">
        <v>273</v>
      </c>
      <c r="B162" s="14"/>
      <c r="C162" s="23"/>
      <c r="D162" s="36">
        <v>4</v>
      </c>
      <c r="E162" s="37" t="s">
        <v>393</v>
      </c>
      <c r="F162" s="37" t="s">
        <v>394</v>
      </c>
      <c r="G162" s="86" t="s">
        <v>886</v>
      </c>
      <c r="H162" s="36"/>
      <c r="I162" s="23"/>
      <c r="J162" s="24"/>
      <c r="K162" s="24"/>
      <c r="L162" s="22"/>
    </row>
    <row r="163" spans="1:12" s="20" customFormat="1" ht="132.75" customHeight="1" x14ac:dyDescent="0.4">
      <c r="A163" s="14" t="s">
        <v>273</v>
      </c>
      <c r="B163" s="14"/>
      <c r="C163" s="23"/>
      <c r="D163" s="36">
        <v>5</v>
      </c>
      <c r="E163" s="37" t="s">
        <v>395</v>
      </c>
      <c r="F163" s="20" t="s">
        <v>396</v>
      </c>
      <c r="G163" s="37"/>
      <c r="H163" s="36"/>
      <c r="I163" s="23"/>
      <c r="J163" s="24"/>
      <c r="K163" s="24"/>
      <c r="L163" s="22"/>
    </row>
    <row r="164" spans="1:12" s="20" customFormat="1" ht="126" customHeight="1" x14ac:dyDescent="0.4">
      <c r="A164" s="14" t="s">
        <v>273</v>
      </c>
      <c r="B164" s="14"/>
      <c r="C164" s="23"/>
      <c r="D164" s="36">
        <v>6</v>
      </c>
      <c r="E164" s="37" t="s">
        <v>397</v>
      </c>
      <c r="F164" s="37" t="s">
        <v>398</v>
      </c>
      <c r="G164" s="37"/>
      <c r="H164" s="36"/>
      <c r="I164" s="23"/>
      <c r="J164" s="24"/>
      <c r="K164" s="24"/>
      <c r="L164" s="22"/>
    </row>
    <row r="165" spans="1:12" s="20" customFormat="1" ht="333.5" x14ac:dyDescent="0.4">
      <c r="A165" s="14" t="s">
        <v>273</v>
      </c>
      <c r="B165" s="14"/>
      <c r="C165" s="23"/>
      <c r="D165" s="36">
        <v>7</v>
      </c>
      <c r="E165" s="37" t="s">
        <v>399</v>
      </c>
      <c r="F165" s="37" t="s">
        <v>741</v>
      </c>
      <c r="G165" s="37" t="s">
        <v>403</v>
      </c>
      <c r="H165" s="36"/>
      <c r="I165" s="23"/>
      <c r="J165" s="24"/>
      <c r="K165" s="24"/>
      <c r="L165" s="22"/>
    </row>
    <row r="166" spans="1:12" s="20" customFormat="1" ht="319" x14ac:dyDescent="0.4">
      <c r="A166" s="14" t="s">
        <v>273</v>
      </c>
      <c r="B166" s="14"/>
      <c r="C166" s="23"/>
      <c r="D166" s="36">
        <v>8</v>
      </c>
      <c r="E166" s="37" t="s">
        <v>401</v>
      </c>
      <c r="F166" s="37" t="s">
        <v>1042</v>
      </c>
      <c r="G166" s="37" t="s">
        <v>885</v>
      </c>
      <c r="H166" s="36"/>
      <c r="I166" s="23"/>
      <c r="J166" s="24"/>
      <c r="K166" s="24"/>
      <c r="L166" s="22"/>
    </row>
    <row r="167" spans="1:12" s="20" customFormat="1" ht="246.5" x14ac:dyDescent="0.4">
      <c r="A167" s="14" t="s">
        <v>273</v>
      </c>
      <c r="B167" s="14"/>
      <c r="C167" s="23"/>
      <c r="D167" s="36">
        <v>9</v>
      </c>
      <c r="E167" s="37" t="s">
        <v>402</v>
      </c>
      <c r="F167" s="37" t="s">
        <v>1044</v>
      </c>
      <c r="G167" s="37" t="s">
        <v>404</v>
      </c>
      <c r="H167" s="36"/>
      <c r="I167" s="23"/>
      <c r="J167" s="24"/>
      <c r="K167" s="24"/>
      <c r="L167" s="22"/>
    </row>
    <row r="168" spans="1:12" s="20" customFormat="1" ht="159.5" x14ac:dyDescent="0.4">
      <c r="A168" s="14" t="s">
        <v>273</v>
      </c>
      <c r="B168" s="14"/>
      <c r="C168" s="23"/>
      <c r="D168" s="36">
        <v>10</v>
      </c>
      <c r="E168" s="37" t="s">
        <v>354</v>
      </c>
      <c r="F168" s="37" t="s">
        <v>356</v>
      </c>
      <c r="G168" s="37" t="s">
        <v>405</v>
      </c>
      <c r="H168" s="36"/>
      <c r="I168" s="23"/>
      <c r="J168" s="24"/>
      <c r="K168" s="24"/>
      <c r="L168" s="22"/>
    </row>
    <row r="169" spans="1:12" s="20" customFormat="1" ht="319" x14ac:dyDescent="0.4">
      <c r="A169" s="14" t="s">
        <v>273</v>
      </c>
      <c r="B169" s="14"/>
      <c r="C169" s="23"/>
      <c r="D169" s="36">
        <v>11</v>
      </c>
      <c r="E169" s="37" t="s">
        <v>357</v>
      </c>
      <c r="F169" s="37" t="s">
        <v>1043</v>
      </c>
      <c r="G169" s="37"/>
      <c r="H169" s="36"/>
      <c r="I169" s="23"/>
      <c r="J169" s="24"/>
      <c r="K169" s="24"/>
      <c r="L169" s="22"/>
    </row>
    <row r="170" spans="1:12" s="20" customFormat="1" ht="246.5" x14ac:dyDescent="0.4">
      <c r="A170" s="14" t="s">
        <v>273</v>
      </c>
      <c r="B170" s="14"/>
      <c r="C170" s="23"/>
      <c r="D170" s="36">
        <v>12</v>
      </c>
      <c r="E170" s="37" t="s">
        <v>406</v>
      </c>
      <c r="F170" s="37" t="s">
        <v>1044</v>
      </c>
      <c r="G170" s="37"/>
      <c r="H170" s="36"/>
      <c r="I170" s="23"/>
      <c r="J170" s="24"/>
      <c r="K170" s="24"/>
      <c r="L170" s="22"/>
    </row>
    <row r="171" spans="1:12" s="20" customFormat="1" ht="159.5" x14ac:dyDescent="0.4">
      <c r="A171" s="14" t="s">
        <v>273</v>
      </c>
      <c r="B171" s="14"/>
      <c r="C171" s="23"/>
      <c r="D171" s="36">
        <v>13</v>
      </c>
      <c r="E171" s="37" t="s">
        <v>354</v>
      </c>
      <c r="F171" s="37" t="s">
        <v>356</v>
      </c>
      <c r="G171" s="37" t="s">
        <v>407</v>
      </c>
      <c r="H171" s="36"/>
      <c r="I171" s="23"/>
      <c r="J171" s="24"/>
      <c r="K171" s="24"/>
      <c r="L171" s="22"/>
    </row>
    <row r="172" spans="1:12" s="20" customFormat="1" ht="72.5" x14ac:dyDescent="0.4">
      <c r="A172" s="14" t="s">
        <v>273</v>
      </c>
      <c r="B172" s="14"/>
      <c r="C172" s="23"/>
      <c r="D172" s="36">
        <v>14</v>
      </c>
      <c r="E172" s="37" t="s">
        <v>357</v>
      </c>
      <c r="F172" s="37" t="s">
        <v>1045</v>
      </c>
      <c r="G172" s="37" t="s">
        <v>408</v>
      </c>
      <c r="H172" s="36"/>
      <c r="I172" s="23"/>
      <c r="J172" s="24"/>
      <c r="K172" s="24"/>
      <c r="L172" s="22"/>
    </row>
    <row r="173" spans="1:12" s="20" customFormat="1" ht="58" x14ac:dyDescent="0.4">
      <c r="A173" s="14" t="s">
        <v>273</v>
      </c>
      <c r="B173" s="14"/>
      <c r="C173" s="23"/>
      <c r="D173" s="36">
        <v>15</v>
      </c>
      <c r="E173" s="37" t="s">
        <v>316</v>
      </c>
      <c r="F173" s="37" t="s">
        <v>299</v>
      </c>
      <c r="G173" s="14" t="s">
        <v>300</v>
      </c>
      <c r="H173" s="36"/>
      <c r="I173" s="23"/>
      <c r="J173" s="24"/>
      <c r="K173" s="24"/>
      <c r="L173" s="22"/>
    </row>
    <row r="174" spans="1:12" s="20" customFormat="1" ht="29" x14ac:dyDescent="0.4">
      <c r="A174" s="39"/>
      <c r="B174" s="39" t="s">
        <v>72</v>
      </c>
      <c r="C174" s="39" t="s">
        <v>884</v>
      </c>
      <c r="D174" s="40"/>
      <c r="E174" s="41"/>
      <c r="F174" s="41"/>
      <c r="G174" s="41"/>
      <c r="H174" s="40"/>
      <c r="I174" s="32"/>
      <c r="J174" s="24"/>
      <c r="K174" s="24"/>
      <c r="L174" s="22"/>
    </row>
    <row r="175" spans="1:12" s="20" customFormat="1" ht="72.5" x14ac:dyDescent="0.4">
      <c r="A175" s="14" t="s">
        <v>273</v>
      </c>
      <c r="B175" s="14"/>
      <c r="C175" s="23"/>
      <c r="D175" s="36">
        <v>1</v>
      </c>
      <c r="E175" s="37" t="s">
        <v>391</v>
      </c>
      <c r="F175" s="37" t="s">
        <v>302</v>
      </c>
      <c r="G175" s="37" t="s">
        <v>303</v>
      </c>
      <c r="H175" s="36" t="s">
        <v>293</v>
      </c>
      <c r="I175" s="23"/>
      <c r="J175" s="24"/>
      <c r="K175" s="24"/>
      <c r="L175" s="22"/>
    </row>
    <row r="176" spans="1:12" s="20" customFormat="1" ht="246.5" x14ac:dyDescent="0.4">
      <c r="A176" s="14" t="s">
        <v>273</v>
      </c>
      <c r="B176" s="14"/>
      <c r="C176" s="23"/>
      <c r="D176" s="36">
        <v>2</v>
      </c>
      <c r="E176" s="37" t="s">
        <v>390</v>
      </c>
      <c r="F176" s="81" t="s">
        <v>306</v>
      </c>
      <c r="G176" s="37" t="s">
        <v>352</v>
      </c>
      <c r="H176" s="36"/>
      <c r="I176" s="23"/>
      <c r="J176" s="24"/>
      <c r="K176" s="24"/>
      <c r="L176" s="22"/>
    </row>
    <row r="177" spans="1:12" s="20" customFormat="1" ht="246.5" x14ac:dyDescent="0.4">
      <c r="A177" s="14" t="s">
        <v>273</v>
      </c>
      <c r="B177" s="14"/>
      <c r="C177" s="23"/>
      <c r="D177" s="36">
        <v>3</v>
      </c>
      <c r="E177" s="37" t="s">
        <v>392</v>
      </c>
      <c r="F177" s="37" t="s">
        <v>414</v>
      </c>
      <c r="G177" s="37"/>
      <c r="H177" s="36"/>
      <c r="I177" s="23"/>
      <c r="J177" s="24"/>
      <c r="K177" s="24"/>
      <c r="L177" s="22"/>
    </row>
    <row r="178" spans="1:12" s="20" customFormat="1" ht="319" x14ac:dyDescent="0.4">
      <c r="A178" s="14" t="s">
        <v>273</v>
      </c>
      <c r="B178" s="14"/>
      <c r="C178" s="23"/>
      <c r="D178" s="36">
        <v>4</v>
      </c>
      <c r="E178" s="37" t="s">
        <v>393</v>
      </c>
      <c r="F178" s="86" t="s">
        <v>1363</v>
      </c>
      <c r="G178" s="37" t="s">
        <v>394</v>
      </c>
      <c r="H178" s="37"/>
      <c r="I178" s="23"/>
      <c r="J178" s="24"/>
      <c r="K178" s="24"/>
      <c r="L178" s="22"/>
    </row>
    <row r="179" spans="1:12" s="20" customFormat="1" ht="275.5" x14ac:dyDescent="0.4">
      <c r="A179" s="14" t="s">
        <v>273</v>
      </c>
      <c r="B179" s="14"/>
      <c r="C179" s="23"/>
      <c r="D179" s="36">
        <v>5</v>
      </c>
      <c r="E179" s="37" t="s">
        <v>395</v>
      </c>
      <c r="F179" s="20" t="s">
        <v>1130</v>
      </c>
      <c r="G179" s="37"/>
      <c r="H179" s="36"/>
      <c r="I179" s="23"/>
      <c r="J179" s="24"/>
      <c r="K179" s="24"/>
      <c r="L179" s="22"/>
    </row>
    <row r="180" spans="1:12" s="20" customFormat="1" ht="126" customHeight="1" x14ac:dyDescent="0.4">
      <c r="A180" s="14" t="s">
        <v>273</v>
      </c>
      <c r="B180" s="14"/>
      <c r="C180" s="23"/>
      <c r="D180" s="36">
        <v>6</v>
      </c>
      <c r="E180" s="37" t="s">
        <v>397</v>
      </c>
      <c r="F180" s="37" t="s">
        <v>398</v>
      </c>
      <c r="G180" s="37"/>
      <c r="H180" s="36"/>
      <c r="I180" s="23"/>
      <c r="J180" s="24"/>
      <c r="K180" s="24"/>
      <c r="L180" s="22"/>
    </row>
    <row r="181" spans="1:12" s="20" customFormat="1" ht="333.5" x14ac:dyDescent="0.4">
      <c r="A181" s="14" t="s">
        <v>273</v>
      </c>
      <c r="B181" s="14"/>
      <c r="C181" s="23"/>
      <c r="D181" s="36">
        <v>7</v>
      </c>
      <c r="E181" s="37" t="s">
        <v>399</v>
      </c>
      <c r="F181" s="37" t="s">
        <v>400</v>
      </c>
      <c r="G181" s="37"/>
      <c r="H181" s="36"/>
      <c r="I181" s="23"/>
      <c r="J181" s="24"/>
      <c r="K181" s="24"/>
      <c r="L181" s="22"/>
    </row>
    <row r="182" spans="1:12" s="20" customFormat="1" ht="87" x14ac:dyDescent="0.4">
      <c r="A182" s="14" t="s">
        <v>273</v>
      </c>
      <c r="B182" s="14"/>
      <c r="C182" s="23"/>
      <c r="D182" s="36">
        <v>8</v>
      </c>
      <c r="E182" s="37" t="s">
        <v>401</v>
      </c>
      <c r="F182" s="83" t="s">
        <v>1362</v>
      </c>
      <c r="G182" s="37"/>
      <c r="H182" s="37"/>
      <c r="I182" s="23"/>
      <c r="J182" s="24"/>
      <c r="K182" s="24"/>
      <c r="L182" s="22"/>
    </row>
    <row r="183" spans="1:12" s="20" customFormat="1" ht="29" x14ac:dyDescent="0.4">
      <c r="A183" s="39"/>
      <c r="B183" s="39" t="s">
        <v>73</v>
      </c>
      <c r="C183" s="39" t="s">
        <v>409</v>
      </c>
      <c r="D183" s="40"/>
      <c r="E183" s="41"/>
      <c r="F183" s="41"/>
      <c r="G183" s="41"/>
      <c r="H183" s="40"/>
      <c r="I183" s="32"/>
      <c r="J183" s="24"/>
      <c r="K183" s="24"/>
      <c r="L183" s="22"/>
    </row>
    <row r="184" spans="1:12" s="20" customFormat="1" ht="72.5" x14ac:dyDescent="0.4">
      <c r="A184" s="14" t="s">
        <v>273</v>
      </c>
      <c r="B184" s="14"/>
      <c r="C184" s="23"/>
      <c r="D184" s="36">
        <v>1</v>
      </c>
      <c r="E184" s="37" t="s">
        <v>391</v>
      </c>
      <c r="F184" s="37" t="s">
        <v>302</v>
      </c>
      <c r="G184" s="37" t="s">
        <v>303</v>
      </c>
      <c r="H184" s="36" t="s">
        <v>293</v>
      </c>
      <c r="I184" s="23"/>
      <c r="J184" s="24"/>
      <c r="K184" s="24"/>
      <c r="L184" s="22"/>
    </row>
    <row r="185" spans="1:12" s="20" customFormat="1" ht="246.5" x14ac:dyDescent="0.4">
      <c r="A185" s="14" t="s">
        <v>273</v>
      </c>
      <c r="B185" s="14"/>
      <c r="C185" s="23"/>
      <c r="D185" s="36">
        <v>2</v>
      </c>
      <c r="E185" s="37" t="s">
        <v>390</v>
      </c>
      <c r="F185" s="81" t="s">
        <v>306</v>
      </c>
      <c r="G185" s="37" t="s">
        <v>352</v>
      </c>
      <c r="H185" s="36"/>
      <c r="I185" s="23"/>
      <c r="J185" s="24"/>
      <c r="K185" s="24"/>
      <c r="L185" s="22"/>
    </row>
    <row r="186" spans="1:12" s="20" customFormat="1" ht="246.5" x14ac:dyDescent="0.4">
      <c r="A186" s="14" t="s">
        <v>273</v>
      </c>
      <c r="B186" s="14"/>
      <c r="C186" s="23"/>
      <c r="D186" s="36">
        <v>3</v>
      </c>
      <c r="E186" s="37" t="s">
        <v>392</v>
      </c>
      <c r="F186" s="37" t="s">
        <v>414</v>
      </c>
      <c r="G186" s="37"/>
      <c r="H186" s="36"/>
      <c r="I186" s="23"/>
      <c r="J186" s="24"/>
      <c r="K186" s="24"/>
      <c r="L186" s="22"/>
    </row>
    <row r="187" spans="1:12" s="20" customFormat="1" ht="319" x14ac:dyDescent="0.4">
      <c r="A187" s="14" t="s">
        <v>273</v>
      </c>
      <c r="B187" s="14"/>
      <c r="C187" s="23"/>
      <c r="D187" s="36">
        <v>4</v>
      </c>
      <c r="E187" s="37" t="s">
        <v>393</v>
      </c>
      <c r="F187" s="37" t="s">
        <v>394</v>
      </c>
      <c r="G187" s="86"/>
      <c r="H187" s="36"/>
      <c r="I187" s="23"/>
      <c r="J187" s="24"/>
      <c r="K187" s="24"/>
      <c r="L187" s="22"/>
    </row>
    <row r="188" spans="1:12" s="20" customFormat="1" ht="246.5" x14ac:dyDescent="0.4">
      <c r="A188" s="14" t="s">
        <v>273</v>
      </c>
      <c r="B188" s="14"/>
      <c r="C188" s="23"/>
      <c r="D188" s="36">
        <v>5</v>
      </c>
      <c r="E188" s="37" t="s">
        <v>410</v>
      </c>
      <c r="F188" s="37" t="s">
        <v>413</v>
      </c>
      <c r="H188" s="36"/>
      <c r="I188" s="23"/>
      <c r="J188" s="24"/>
      <c r="K188" s="24"/>
      <c r="L188" s="22"/>
    </row>
    <row r="189" spans="1:12" s="20" customFormat="1" ht="58" x14ac:dyDescent="0.4">
      <c r="A189" s="14" t="s">
        <v>273</v>
      </c>
      <c r="B189" s="14"/>
      <c r="C189" s="23"/>
      <c r="D189" s="36">
        <v>6</v>
      </c>
      <c r="E189" s="37" t="s">
        <v>411</v>
      </c>
      <c r="F189" s="37" t="s">
        <v>412</v>
      </c>
      <c r="G189" s="37"/>
      <c r="H189" s="36"/>
      <c r="I189" s="23"/>
      <c r="J189" s="24"/>
      <c r="K189" s="24"/>
      <c r="L189" s="22"/>
    </row>
    <row r="190" spans="1:12" s="20" customFormat="1" ht="217.5" x14ac:dyDescent="0.4">
      <c r="A190" s="14" t="s">
        <v>273</v>
      </c>
      <c r="B190" s="14"/>
      <c r="C190" s="23"/>
      <c r="D190" s="36">
        <v>7</v>
      </c>
      <c r="E190" s="37" t="s">
        <v>416</v>
      </c>
      <c r="F190" s="37" t="s">
        <v>415</v>
      </c>
      <c r="G190" s="37"/>
      <c r="H190" s="36"/>
      <c r="I190" s="23"/>
      <c r="J190" s="24"/>
      <c r="K190" s="24"/>
      <c r="L190" s="22"/>
    </row>
    <row r="191" spans="1:12" s="20" customFormat="1" ht="58" x14ac:dyDescent="0.4">
      <c r="A191" s="14" t="s">
        <v>273</v>
      </c>
      <c r="B191" s="14"/>
      <c r="C191" s="23"/>
      <c r="D191" s="36">
        <v>8</v>
      </c>
      <c r="E191" s="37" t="s">
        <v>316</v>
      </c>
      <c r="F191" s="37" t="s">
        <v>299</v>
      </c>
      <c r="G191" s="14" t="s">
        <v>300</v>
      </c>
      <c r="H191" s="36"/>
      <c r="I191" s="23"/>
      <c r="J191" s="24"/>
      <c r="K191" s="24"/>
      <c r="L191" s="22"/>
    </row>
    <row r="192" spans="1:12" s="20" customFormat="1" ht="29" x14ac:dyDescent="0.4">
      <c r="A192" s="39"/>
      <c r="B192" s="39" t="s">
        <v>74</v>
      </c>
      <c r="C192" s="39" t="s">
        <v>417</v>
      </c>
      <c r="D192" s="40"/>
      <c r="E192" s="41"/>
      <c r="F192" s="41"/>
      <c r="G192" s="41"/>
      <c r="H192" s="40"/>
      <c r="I192" s="32"/>
      <c r="J192" s="24"/>
      <c r="K192" s="24"/>
      <c r="L192" s="22"/>
    </row>
    <row r="193" spans="1:12" s="20" customFormat="1" ht="72.5" x14ac:dyDescent="0.4">
      <c r="A193" s="14" t="s">
        <v>273</v>
      </c>
      <c r="B193" s="14"/>
      <c r="C193" s="23"/>
      <c r="D193" s="36">
        <v>1</v>
      </c>
      <c r="E193" s="37" t="s">
        <v>391</v>
      </c>
      <c r="F193" s="37" t="s">
        <v>302</v>
      </c>
      <c r="G193" s="37" t="s">
        <v>303</v>
      </c>
      <c r="H193" s="36" t="s">
        <v>293</v>
      </c>
      <c r="I193" s="23"/>
      <c r="J193" s="24"/>
      <c r="K193" s="24"/>
      <c r="L193" s="22"/>
    </row>
    <row r="194" spans="1:12" s="20" customFormat="1" ht="246.5" x14ac:dyDescent="0.4">
      <c r="A194" s="14" t="s">
        <v>273</v>
      </c>
      <c r="B194" s="14"/>
      <c r="C194" s="23"/>
      <c r="D194" s="36">
        <v>2</v>
      </c>
      <c r="E194" s="37" t="s">
        <v>390</v>
      </c>
      <c r="F194" s="81" t="s">
        <v>306</v>
      </c>
      <c r="G194" s="37" t="s">
        <v>352</v>
      </c>
      <c r="H194" s="36"/>
      <c r="I194" s="23"/>
      <c r="J194" s="24"/>
      <c r="K194" s="24"/>
      <c r="L194" s="22"/>
    </row>
    <row r="195" spans="1:12" s="20" customFormat="1" ht="246.5" x14ac:dyDescent="0.4">
      <c r="A195" s="14" t="s">
        <v>273</v>
      </c>
      <c r="B195" s="14"/>
      <c r="C195" s="23"/>
      <c r="D195" s="36">
        <v>3</v>
      </c>
      <c r="E195" s="37" t="s">
        <v>392</v>
      </c>
      <c r="F195" s="37" t="s">
        <v>414</v>
      </c>
      <c r="G195" s="37"/>
      <c r="H195" s="36"/>
      <c r="I195" s="23"/>
      <c r="J195" s="24"/>
      <c r="K195" s="24"/>
      <c r="L195" s="22"/>
    </row>
    <row r="196" spans="1:12" s="20" customFormat="1" ht="319" x14ac:dyDescent="0.4">
      <c r="A196" s="14" t="s">
        <v>273</v>
      </c>
      <c r="B196" s="14"/>
      <c r="C196" s="23"/>
      <c r="D196" s="36">
        <v>4</v>
      </c>
      <c r="E196" s="37" t="s">
        <v>393</v>
      </c>
      <c r="F196" s="37" t="s">
        <v>394</v>
      </c>
      <c r="G196" s="86"/>
      <c r="H196" s="36"/>
      <c r="I196" s="23"/>
      <c r="J196" s="24"/>
      <c r="K196" s="24"/>
      <c r="L196" s="22"/>
    </row>
    <row r="197" spans="1:12" s="20" customFormat="1" ht="87" x14ac:dyDescent="0.4">
      <c r="A197" s="14" t="s">
        <v>273</v>
      </c>
      <c r="B197" s="14"/>
      <c r="D197" s="36">
        <v>5</v>
      </c>
      <c r="E197" s="37" t="s">
        <v>418</v>
      </c>
      <c r="F197" s="37" t="s">
        <v>419</v>
      </c>
      <c r="G197" s="37"/>
      <c r="H197" s="36"/>
      <c r="I197" s="23"/>
      <c r="J197" s="24"/>
      <c r="K197" s="24"/>
      <c r="L197" s="22"/>
    </row>
    <row r="198" spans="1:12" s="20" customFormat="1" ht="145" x14ac:dyDescent="0.4">
      <c r="A198" s="14" t="s">
        <v>273</v>
      </c>
      <c r="B198" s="23"/>
      <c r="C198" s="23"/>
      <c r="D198" s="36">
        <v>6</v>
      </c>
      <c r="E198" s="37" t="s">
        <v>420</v>
      </c>
      <c r="F198" s="37" t="s">
        <v>421</v>
      </c>
      <c r="G198" s="37"/>
      <c r="H198" s="36"/>
      <c r="I198" s="23"/>
      <c r="J198" s="24"/>
      <c r="K198" s="24"/>
      <c r="L198" s="22"/>
    </row>
    <row r="199" spans="1:12" s="20" customFormat="1" ht="58" x14ac:dyDescent="0.4">
      <c r="A199" s="14" t="s">
        <v>273</v>
      </c>
      <c r="B199" s="14"/>
      <c r="C199" s="23"/>
      <c r="D199" s="36">
        <v>7</v>
      </c>
      <c r="E199" s="37" t="s">
        <v>422</v>
      </c>
      <c r="F199" s="37" t="s">
        <v>423</v>
      </c>
      <c r="G199" s="37"/>
      <c r="H199" s="36"/>
      <c r="I199" s="23"/>
      <c r="J199" s="24"/>
      <c r="K199" s="24"/>
      <c r="L199" s="22"/>
    </row>
    <row r="200" spans="1:12" s="20" customFormat="1" ht="58" x14ac:dyDescent="0.4">
      <c r="A200" s="14" t="s">
        <v>273</v>
      </c>
      <c r="B200" s="14"/>
      <c r="C200" s="23"/>
      <c r="D200" s="36">
        <v>8</v>
      </c>
      <c r="E200" s="37" t="s">
        <v>316</v>
      </c>
      <c r="F200" s="37" t="s">
        <v>299</v>
      </c>
      <c r="G200" s="14" t="s">
        <v>300</v>
      </c>
      <c r="H200" s="36"/>
      <c r="I200" s="23"/>
      <c r="J200" s="24"/>
      <c r="K200" s="24"/>
      <c r="L200" s="22"/>
    </row>
    <row r="201" spans="1:12" s="20" customFormat="1" ht="29" x14ac:dyDescent="0.4">
      <c r="A201" s="39"/>
      <c r="B201" s="39" t="s">
        <v>75</v>
      </c>
      <c r="C201" s="39" t="s">
        <v>883</v>
      </c>
      <c r="D201" s="40"/>
      <c r="E201" s="41"/>
      <c r="F201" s="41"/>
      <c r="G201" s="41"/>
      <c r="H201" s="40"/>
      <c r="I201" s="32"/>
      <c r="J201" s="24"/>
      <c r="K201" s="24"/>
      <c r="L201" s="22"/>
    </row>
    <row r="202" spans="1:12" s="20" customFormat="1" ht="58" x14ac:dyDescent="0.4">
      <c r="A202" s="14" t="s">
        <v>273</v>
      </c>
      <c r="B202" s="14"/>
      <c r="C202" s="23"/>
      <c r="D202" s="36">
        <v>1</v>
      </c>
      <c r="E202" s="37" t="s">
        <v>393</v>
      </c>
      <c r="F202" s="37" t="s">
        <v>887</v>
      </c>
      <c r="G202" s="83" t="s">
        <v>427</v>
      </c>
      <c r="H202" s="36"/>
      <c r="I202" s="23"/>
      <c r="J202" s="24"/>
      <c r="K202" s="24"/>
      <c r="L202" s="22"/>
    </row>
    <row r="203" spans="1:12" s="20" customFormat="1" ht="58" x14ac:dyDescent="0.4">
      <c r="A203" s="14" t="s">
        <v>273</v>
      </c>
      <c r="B203" s="14"/>
      <c r="C203" s="23"/>
      <c r="D203" s="36">
        <v>2</v>
      </c>
      <c r="E203" s="37" t="s">
        <v>393</v>
      </c>
      <c r="F203" s="37" t="s">
        <v>887</v>
      </c>
      <c r="G203" s="83" t="s">
        <v>426</v>
      </c>
      <c r="H203" s="36"/>
      <c r="I203" s="23"/>
      <c r="J203" s="24"/>
      <c r="K203" s="24"/>
      <c r="L203" s="22"/>
    </row>
    <row r="204" spans="1:12" s="20" customFormat="1" ht="73" thickBot="1" x14ac:dyDescent="0.45">
      <c r="A204" s="14" t="s">
        <v>273</v>
      </c>
      <c r="B204" s="14"/>
      <c r="C204" s="23"/>
      <c r="D204" s="36">
        <v>3</v>
      </c>
      <c r="E204" s="37" t="s">
        <v>393</v>
      </c>
      <c r="F204" s="37" t="s">
        <v>887</v>
      </c>
      <c r="G204" s="44" t="s">
        <v>425</v>
      </c>
      <c r="H204" s="36"/>
      <c r="I204" s="23"/>
      <c r="J204" s="24"/>
      <c r="K204" s="24"/>
      <c r="L204" s="22"/>
    </row>
    <row r="205" spans="1:12" s="20" customFormat="1" ht="60.5" thickBot="1" x14ac:dyDescent="0.45">
      <c r="A205" s="14" t="s">
        <v>273</v>
      </c>
      <c r="B205" s="14"/>
      <c r="C205" s="23"/>
      <c r="D205" s="36">
        <v>4</v>
      </c>
      <c r="E205" s="37" t="s">
        <v>393</v>
      </c>
      <c r="F205" s="37" t="s">
        <v>887</v>
      </c>
      <c r="G205" s="87" t="s">
        <v>1139</v>
      </c>
      <c r="H205" s="36"/>
      <c r="I205" s="23"/>
      <c r="J205" s="24"/>
      <c r="K205" s="24"/>
      <c r="L205" s="22"/>
    </row>
    <row r="206" spans="1:12" s="20" customFormat="1" ht="58" x14ac:dyDescent="0.4">
      <c r="A206" s="14" t="s">
        <v>273</v>
      </c>
      <c r="B206" s="14"/>
      <c r="C206" s="23"/>
      <c r="D206" s="36">
        <v>5</v>
      </c>
      <c r="E206" s="37" t="s">
        <v>393</v>
      </c>
      <c r="F206" s="37" t="s">
        <v>887</v>
      </c>
      <c r="G206" s="83" t="s">
        <v>424</v>
      </c>
      <c r="H206" s="36"/>
      <c r="I206" s="23"/>
      <c r="J206" s="24"/>
      <c r="K206" s="24"/>
      <c r="L206" s="22"/>
    </row>
    <row r="207" spans="1:12" s="20" customFormat="1" ht="58" x14ac:dyDescent="0.4">
      <c r="A207" s="14" t="s">
        <v>273</v>
      </c>
      <c r="B207" s="14"/>
      <c r="C207" s="23"/>
      <c r="D207" s="36">
        <v>6</v>
      </c>
      <c r="E207" s="37" t="s">
        <v>401</v>
      </c>
      <c r="F207" s="37" t="s">
        <v>888</v>
      </c>
      <c r="G207" s="37" t="s">
        <v>428</v>
      </c>
      <c r="H207" s="36"/>
      <c r="I207" s="23"/>
      <c r="J207" s="24"/>
      <c r="K207" s="24"/>
      <c r="L207" s="22"/>
    </row>
    <row r="208" spans="1:12" s="20" customFormat="1" ht="58" x14ac:dyDescent="0.4">
      <c r="A208" s="14" t="s">
        <v>273</v>
      </c>
      <c r="B208" s="14"/>
      <c r="C208" s="23"/>
      <c r="D208" s="36">
        <v>7</v>
      </c>
      <c r="E208" s="37" t="s">
        <v>401</v>
      </c>
      <c r="F208" s="37" t="s">
        <v>888</v>
      </c>
      <c r="G208" s="37" t="s">
        <v>430</v>
      </c>
      <c r="H208" s="36"/>
      <c r="I208" s="23"/>
      <c r="J208" s="24"/>
      <c r="K208" s="24"/>
      <c r="L208" s="22"/>
    </row>
    <row r="209" spans="1:12" s="20" customFormat="1" ht="58" x14ac:dyDescent="0.4">
      <c r="A209" s="14" t="s">
        <v>273</v>
      </c>
      <c r="B209" s="14"/>
      <c r="C209" s="23"/>
      <c r="D209" s="36">
        <v>8</v>
      </c>
      <c r="E209" s="37" t="s">
        <v>401</v>
      </c>
      <c r="F209" s="37" t="s">
        <v>888</v>
      </c>
      <c r="G209" s="37" t="s">
        <v>431</v>
      </c>
      <c r="H209" s="36"/>
      <c r="I209" s="23"/>
      <c r="J209" s="24"/>
      <c r="K209" s="24"/>
      <c r="L209" s="22"/>
    </row>
    <row r="210" spans="1:12" s="20" customFormat="1" ht="58" x14ac:dyDescent="0.4">
      <c r="A210" s="14" t="s">
        <v>273</v>
      </c>
      <c r="B210" s="14"/>
      <c r="C210" s="23"/>
      <c r="D210" s="36">
        <v>9</v>
      </c>
      <c r="E210" s="37" t="s">
        <v>401</v>
      </c>
      <c r="F210" s="37" t="s">
        <v>888</v>
      </c>
      <c r="G210" s="37" t="s">
        <v>432</v>
      </c>
      <c r="H210" s="36"/>
      <c r="I210" s="23"/>
      <c r="J210" s="24"/>
      <c r="K210" s="24"/>
      <c r="L210" s="22"/>
    </row>
    <row r="211" spans="1:12" s="20" customFormat="1" ht="29" x14ac:dyDescent="0.45">
      <c r="A211" s="39"/>
      <c r="B211" s="39" t="s">
        <v>76</v>
      </c>
      <c r="C211" s="39" t="s">
        <v>942</v>
      </c>
      <c r="D211" s="40"/>
      <c r="E211" s="41"/>
      <c r="F211" s="45"/>
      <c r="G211" s="46"/>
      <c r="H211" s="46"/>
      <c r="I211" s="47"/>
      <c r="J211" s="24"/>
      <c r="K211" s="24"/>
      <c r="L211" s="22"/>
    </row>
    <row r="212" spans="1:12" s="20" customFormat="1" ht="72.5" x14ac:dyDescent="0.4">
      <c r="A212" s="14" t="s">
        <v>273</v>
      </c>
      <c r="B212" s="14"/>
      <c r="C212" s="23"/>
      <c r="D212" s="36">
        <v>1</v>
      </c>
      <c r="E212" s="37" t="s">
        <v>304</v>
      </c>
      <c r="F212" s="37" t="s">
        <v>302</v>
      </c>
      <c r="G212" s="37" t="s">
        <v>303</v>
      </c>
      <c r="H212" s="36" t="s">
        <v>293</v>
      </c>
      <c r="I212" s="23" t="s">
        <v>123</v>
      </c>
      <c r="J212" s="24"/>
      <c r="K212" s="24"/>
      <c r="L212" s="22"/>
    </row>
    <row r="213" spans="1:12" s="20" customFormat="1" ht="246.5" x14ac:dyDescent="0.4">
      <c r="A213" s="14" t="s">
        <v>273</v>
      </c>
      <c r="B213" s="14"/>
      <c r="C213" s="23"/>
      <c r="D213" s="36">
        <v>2</v>
      </c>
      <c r="E213" s="37" t="s">
        <v>305</v>
      </c>
      <c r="F213" s="81" t="s">
        <v>306</v>
      </c>
      <c r="G213" s="37" t="s">
        <v>352</v>
      </c>
      <c r="H213" s="36"/>
      <c r="I213" s="23"/>
      <c r="J213" s="24"/>
      <c r="K213" s="24"/>
      <c r="L213" s="22"/>
    </row>
    <row r="214" spans="1:12" s="20" customFormat="1" ht="391.5" x14ac:dyDescent="0.4">
      <c r="A214" s="14" t="s">
        <v>273</v>
      </c>
      <c r="B214" s="14"/>
      <c r="C214" s="23"/>
      <c r="D214" s="36">
        <v>3</v>
      </c>
      <c r="E214" s="37" t="s">
        <v>440</v>
      </c>
      <c r="F214" s="37" t="s">
        <v>441</v>
      </c>
      <c r="G214" s="37"/>
      <c r="H214" s="36"/>
      <c r="I214" s="23"/>
      <c r="J214" s="24"/>
      <c r="K214" s="24"/>
      <c r="L214" s="22"/>
    </row>
    <row r="215" spans="1:12" s="20" customFormat="1" ht="333.5" x14ac:dyDescent="0.4">
      <c r="A215" s="14" t="s">
        <v>273</v>
      </c>
      <c r="B215" s="14"/>
      <c r="C215" s="23"/>
      <c r="D215" s="36">
        <v>4</v>
      </c>
      <c r="E215" s="37" t="s">
        <v>490</v>
      </c>
      <c r="F215" s="37" t="s">
        <v>523</v>
      </c>
      <c r="G215" s="37" t="s">
        <v>1161</v>
      </c>
      <c r="H215" s="36"/>
      <c r="I215" s="23"/>
      <c r="J215" s="24"/>
      <c r="K215" s="24"/>
      <c r="L215" s="22"/>
    </row>
    <row r="216" spans="1:12" s="20" customFormat="1" ht="29" x14ac:dyDescent="0.45">
      <c r="A216" s="39"/>
      <c r="B216" s="40" t="s">
        <v>77</v>
      </c>
      <c r="C216" s="39" t="s">
        <v>524</v>
      </c>
      <c r="D216" s="40"/>
      <c r="E216" s="41"/>
      <c r="F216" s="45"/>
      <c r="G216" s="46"/>
      <c r="H216" s="46"/>
      <c r="I216" s="47"/>
      <c r="J216" s="24"/>
      <c r="K216" s="24"/>
      <c r="L216" s="22"/>
    </row>
    <row r="217" spans="1:12" s="20" customFormat="1" ht="333.5" x14ac:dyDescent="0.4">
      <c r="A217" s="14" t="s">
        <v>273</v>
      </c>
      <c r="B217" s="14"/>
      <c r="D217" s="36">
        <v>1</v>
      </c>
      <c r="E217" s="37" t="s">
        <v>490</v>
      </c>
      <c r="F217" s="37" t="s">
        <v>523</v>
      </c>
      <c r="G217" s="37"/>
      <c r="H217" s="36" t="s">
        <v>293</v>
      </c>
      <c r="I217" s="69"/>
      <c r="J217" s="24"/>
      <c r="K217" s="24"/>
      <c r="L217" s="22"/>
    </row>
    <row r="218" spans="1:12" s="20" customFormat="1" ht="87" x14ac:dyDescent="0.4">
      <c r="A218" s="14" t="s">
        <v>273</v>
      </c>
      <c r="B218" s="14"/>
      <c r="C218" s="69"/>
      <c r="D218" s="36">
        <v>2</v>
      </c>
      <c r="E218" s="37" t="s">
        <v>526</v>
      </c>
      <c r="F218" s="37" t="s">
        <v>527</v>
      </c>
      <c r="G218" s="69"/>
      <c r="H218" s="69"/>
      <c r="I218" s="69"/>
      <c r="J218" s="24"/>
      <c r="K218" s="24"/>
      <c r="L218" s="22"/>
    </row>
    <row r="219" spans="1:12" s="20" customFormat="1" ht="72.5" x14ac:dyDescent="0.4">
      <c r="A219" s="14" t="s">
        <v>273</v>
      </c>
      <c r="B219" s="14"/>
      <c r="C219" s="69"/>
      <c r="D219" s="36">
        <v>3</v>
      </c>
      <c r="E219" s="37" t="s">
        <v>528</v>
      </c>
      <c r="F219" s="37" t="s">
        <v>529</v>
      </c>
      <c r="G219" s="69"/>
      <c r="H219" s="69"/>
      <c r="I219" s="69"/>
      <c r="J219" s="24"/>
      <c r="K219" s="24"/>
      <c r="L219" s="22"/>
    </row>
    <row r="220" spans="1:12" s="20" customFormat="1" ht="116" x14ac:dyDescent="0.4">
      <c r="A220" s="14" t="s">
        <v>273</v>
      </c>
      <c r="B220" s="14"/>
      <c r="C220" s="69"/>
      <c r="D220" s="36">
        <v>4</v>
      </c>
      <c r="E220" s="37" t="s">
        <v>531</v>
      </c>
      <c r="F220" s="37" t="s">
        <v>530</v>
      </c>
      <c r="G220" s="69"/>
      <c r="H220" s="69"/>
      <c r="I220" s="69"/>
      <c r="J220" s="24"/>
      <c r="K220" s="24"/>
      <c r="L220" s="22"/>
    </row>
    <row r="221" spans="1:12" s="20" customFormat="1" ht="58" x14ac:dyDescent="0.4">
      <c r="A221" s="14" t="s">
        <v>273</v>
      </c>
      <c r="B221" s="14"/>
      <c r="C221" s="69"/>
      <c r="D221" s="36">
        <v>5</v>
      </c>
      <c r="E221" s="37" t="s">
        <v>499</v>
      </c>
      <c r="F221" s="69"/>
      <c r="G221" s="69"/>
      <c r="H221" s="69"/>
      <c r="I221" s="69"/>
      <c r="J221" s="24"/>
      <c r="K221" s="24"/>
      <c r="L221" s="22"/>
    </row>
    <row r="222" spans="1:12" s="20" customFormat="1" ht="29" x14ac:dyDescent="0.45">
      <c r="A222" s="39"/>
      <c r="B222" s="40" t="s">
        <v>78</v>
      </c>
      <c r="C222" s="39" t="s">
        <v>525</v>
      </c>
      <c r="D222" s="40"/>
      <c r="E222" s="41"/>
      <c r="F222" s="45"/>
      <c r="G222" s="46"/>
      <c r="H222" s="46"/>
      <c r="I222" s="47"/>
      <c r="J222" s="24"/>
      <c r="K222" s="24"/>
      <c r="L222" s="22"/>
    </row>
    <row r="223" spans="1:12" s="20" customFormat="1" ht="333.5" x14ac:dyDescent="0.4">
      <c r="A223" s="14" t="s">
        <v>273</v>
      </c>
      <c r="B223" s="14"/>
      <c r="C223" s="69"/>
      <c r="D223" s="36">
        <v>1</v>
      </c>
      <c r="E223" s="37" t="s">
        <v>490</v>
      </c>
      <c r="F223" s="37" t="s">
        <v>523</v>
      </c>
      <c r="G223" s="69"/>
      <c r="H223" s="36" t="s">
        <v>293</v>
      </c>
      <c r="I223" s="69"/>
      <c r="J223" s="24"/>
      <c r="K223" s="24"/>
      <c r="L223" s="22"/>
    </row>
    <row r="224" spans="1:12" s="20" customFormat="1" ht="333.5" x14ac:dyDescent="0.4">
      <c r="A224" s="14" t="s">
        <v>273</v>
      </c>
      <c r="B224" s="14"/>
      <c r="C224" s="69"/>
      <c r="D224" s="36">
        <v>2</v>
      </c>
      <c r="E224" s="37" t="s">
        <v>532</v>
      </c>
      <c r="F224" s="37" t="s">
        <v>533</v>
      </c>
      <c r="G224" s="37" t="s">
        <v>534</v>
      </c>
      <c r="H224" s="69"/>
      <c r="I224" s="69"/>
      <c r="J224" s="24"/>
      <c r="K224" s="24"/>
      <c r="L224" s="22"/>
    </row>
    <row r="225" spans="1:12" s="20" customFormat="1" ht="58" x14ac:dyDescent="0.4">
      <c r="A225" s="14" t="s">
        <v>273</v>
      </c>
      <c r="B225" s="14"/>
      <c r="C225" s="69"/>
      <c r="D225" s="36">
        <v>3</v>
      </c>
      <c r="E225" s="37" t="s">
        <v>499</v>
      </c>
      <c r="F225" s="37"/>
      <c r="G225" s="37"/>
      <c r="H225" s="69"/>
      <c r="I225" s="69"/>
      <c r="J225" s="24"/>
      <c r="K225" s="24"/>
      <c r="L225" s="22"/>
    </row>
    <row r="226" spans="1:12" s="20" customFormat="1" ht="29" x14ac:dyDescent="0.45">
      <c r="A226" s="39"/>
      <c r="B226" s="40" t="s">
        <v>79</v>
      </c>
      <c r="C226" s="39" t="s">
        <v>535</v>
      </c>
      <c r="D226" s="40"/>
      <c r="E226" s="41"/>
      <c r="F226" s="45"/>
      <c r="G226" s="46"/>
      <c r="H226" s="46"/>
      <c r="I226" s="47"/>
      <c r="J226" s="24"/>
      <c r="K226" s="24"/>
      <c r="L226" s="22"/>
    </row>
    <row r="227" spans="1:12" s="20" customFormat="1" ht="333.5" x14ac:dyDescent="0.4">
      <c r="A227" s="14" t="s">
        <v>273</v>
      </c>
      <c r="B227" s="14"/>
      <c r="C227" s="14"/>
      <c r="D227" s="36">
        <v>1</v>
      </c>
      <c r="E227" s="37" t="s">
        <v>490</v>
      </c>
      <c r="F227" s="37" t="s">
        <v>523</v>
      </c>
      <c r="G227" s="14"/>
      <c r="H227" s="36" t="s">
        <v>293</v>
      </c>
      <c r="I227" s="14"/>
      <c r="J227" s="24"/>
      <c r="K227" s="24"/>
      <c r="L227" s="22"/>
    </row>
    <row r="228" spans="1:12" s="20" customFormat="1" ht="159.5" x14ac:dyDescent="0.4">
      <c r="A228" s="14" t="s">
        <v>273</v>
      </c>
      <c r="B228" s="14"/>
      <c r="C228" s="14"/>
      <c r="D228" s="36">
        <v>2</v>
      </c>
      <c r="E228" s="14" t="s">
        <v>536</v>
      </c>
      <c r="F228" s="14" t="s">
        <v>541</v>
      </c>
      <c r="G228" s="14" t="s">
        <v>540</v>
      </c>
      <c r="H228" s="14"/>
      <c r="I228" s="14"/>
      <c r="J228" s="24"/>
      <c r="K228" s="24"/>
      <c r="L228" s="22"/>
    </row>
    <row r="229" spans="1:12" s="20" customFormat="1" ht="159.5" x14ac:dyDescent="0.4">
      <c r="A229" s="14" t="s">
        <v>273</v>
      </c>
      <c r="B229" s="14"/>
      <c r="C229" s="14"/>
      <c r="D229" s="36">
        <v>3</v>
      </c>
      <c r="E229" s="14" t="s">
        <v>537</v>
      </c>
      <c r="F229" s="14" t="s">
        <v>542</v>
      </c>
      <c r="G229" s="14" t="s">
        <v>538</v>
      </c>
      <c r="H229" s="14"/>
      <c r="I229" s="14"/>
      <c r="J229" s="24"/>
      <c r="K229" s="24"/>
      <c r="L229" s="22"/>
    </row>
    <row r="230" spans="1:12" s="20" customFormat="1" ht="58" x14ac:dyDescent="0.4">
      <c r="A230" s="14" t="s">
        <v>273</v>
      </c>
      <c r="B230" s="14"/>
      <c r="C230" s="69"/>
      <c r="D230" s="36">
        <v>4</v>
      </c>
      <c r="E230" s="14" t="s">
        <v>539</v>
      </c>
      <c r="F230" s="37"/>
      <c r="G230" s="37"/>
      <c r="H230" s="69"/>
      <c r="I230" s="69"/>
      <c r="J230" s="24"/>
      <c r="K230" s="24"/>
      <c r="L230" s="22"/>
    </row>
    <row r="231" spans="1:12" s="20" customFormat="1" ht="29" x14ac:dyDescent="0.45">
      <c r="A231" s="39"/>
      <c r="B231" s="40" t="s">
        <v>261</v>
      </c>
      <c r="C231" s="39" t="s">
        <v>458</v>
      </c>
      <c r="D231" s="40"/>
      <c r="E231" s="41"/>
      <c r="F231" s="45"/>
      <c r="G231" s="46"/>
      <c r="H231" s="46"/>
      <c r="I231" s="47"/>
      <c r="J231" s="24"/>
      <c r="K231" s="24"/>
      <c r="L231" s="22"/>
    </row>
    <row r="232" spans="1:12" s="20" customFormat="1" ht="72.5" x14ac:dyDescent="0.4">
      <c r="A232" s="14" t="s">
        <v>273</v>
      </c>
      <c r="B232" s="14"/>
      <c r="C232" s="23"/>
      <c r="D232" s="36">
        <v>1</v>
      </c>
      <c r="E232" s="37" t="s">
        <v>304</v>
      </c>
      <c r="F232" s="37" t="s">
        <v>302</v>
      </c>
      <c r="G232" s="37" t="s">
        <v>303</v>
      </c>
      <c r="H232" s="36" t="s">
        <v>293</v>
      </c>
      <c r="I232" s="23" t="s">
        <v>123</v>
      </c>
      <c r="J232" s="24"/>
      <c r="K232" s="24"/>
      <c r="L232" s="22"/>
    </row>
    <row r="233" spans="1:12" s="20" customFormat="1" ht="246.5" x14ac:dyDescent="0.4">
      <c r="A233" s="14" t="s">
        <v>273</v>
      </c>
      <c r="B233" s="14"/>
      <c r="C233" s="23"/>
      <c r="D233" s="36">
        <v>2</v>
      </c>
      <c r="E233" s="37" t="s">
        <v>305</v>
      </c>
      <c r="F233" s="81" t="s">
        <v>306</v>
      </c>
      <c r="G233" s="37" t="s">
        <v>352</v>
      </c>
      <c r="H233" s="36"/>
      <c r="I233" s="23"/>
      <c r="J233" s="24"/>
      <c r="K233" s="24"/>
      <c r="L233" s="22"/>
    </row>
    <row r="234" spans="1:12" s="20" customFormat="1" ht="391.5" x14ac:dyDescent="0.4">
      <c r="A234" s="14" t="s">
        <v>273</v>
      </c>
      <c r="B234" s="14"/>
      <c r="C234" s="23"/>
      <c r="D234" s="36">
        <v>3</v>
      </c>
      <c r="E234" s="37" t="s">
        <v>440</v>
      </c>
      <c r="F234" s="37" t="s">
        <v>441</v>
      </c>
      <c r="G234" s="37"/>
      <c r="H234" s="36"/>
      <c r="I234" s="23"/>
      <c r="J234" s="24"/>
      <c r="K234" s="24"/>
      <c r="L234" s="22"/>
    </row>
    <row r="235" spans="1:12" s="20" customFormat="1" ht="333.5" x14ac:dyDescent="0.4">
      <c r="A235" s="14" t="s">
        <v>273</v>
      </c>
      <c r="B235" s="14"/>
      <c r="C235" s="23"/>
      <c r="D235" s="36">
        <v>4</v>
      </c>
      <c r="E235" s="37" t="s">
        <v>442</v>
      </c>
      <c r="F235" s="37" t="s">
        <v>444</v>
      </c>
      <c r="G235" s="37" t="s">
        <v>943</v>
      </c>
      <c r="H235" s="36"/>
      <c r="I235" s="23"/>
      <c r="J235" s="24"/>
      <c r="K235" s="24"/>
      <c r="L235" s="22"/>
    </row>
    <row r="236" spans="1:12" s="20" customFormat="1" ht="409.5" x14ac:dyDescent="0.4">
      <c r="A236" s="14" t="s">
        <v>273</v>
      </c>
      <c r="B236" s="14"/>
      <c r="C236" s="23"/>
      <c r="D236" s="36">
        <v>5</v>
      </c>
      <c r="E236" s="37" t="s">
        <v>446</v>
      </c>
      <c r="F236" s="37" t="s">
        <v>445</v>
      </c>
      <c r="G236" s="83" t="s">
        <v>1160</v>
      </c>
      <c r="H236" s="36"/>
      <c r="I236" s="23"/>
      <c r="J236" s="24"/>
      <c r="K236" s="24"/>
      <c r="L236" s="22"/>
    </row>
    <row r="237" spans="1:12" s="20" customFormat="1" ht="72.5" x14ac:dyDescent="0.4">
      <c r="A237" s="14" t="s">
        <v>273</v>
      </c>
      <c r="B237" s="14"/>
      <c r="C237" s="23"/>
      <c r="D237" s="36">
        <v>6</v>
      </c>
      <c r="E237" s="37" t="s">
        <v>447</v>
      </c>
      <c r="F237" s="37" t="s">
        <v>448</v>
      </c>
      <c r="G237" s="37"/>
      <c r="H237" s="36"/>
      <c r="I237" s="23"/>
      <c r="J237" s="24"/>
      <c r="K237" s="24"/>
      <c r="L237" s="22"/>
    </row>
    <row r="238" spans="1:12" s="20" customFormat="1" ht="58" x14ac:dyDescent="0.4">
      <c r="A238" s="14" t="s">
        <v>273</v>
      </c>
      <c r="B238" s="14"/>
      <c r="C238" s="23"/>
      <c r="D238" s="36">
        <v>7</v>
      </c>
      <c r="E238" s="89" t="s">
        <v>451</v>
      </c>
      <c r="F238" s="37" t="s">
        <v>453</v>
      </c>
      <c r="G238" s="37"/>
      <c r="H238" s="36"/>
      <c r="I238" s="23"/>
      <c r="J238" s="24"/>
      <c r="K238" s="24"/>
      <c r="L238" s="22"/>
    </row>
    <row r="239" spans="1:12" s="20" customFormat="1" ht="29" x14ac:dyDescent="0.45">
      <c r="A239" s="39"/>
      <c r="B239" s="39" t="s">
        <v>262</v>
      </c>
      <c r="C239" s="39" t="s">
        <v>459</v>
      </c>
      <c r="D239" s="40"/>
      <c r="E239" s="41"/>
      <c r="F239" s="45"/>
      <c r="G239" s="46"/>
      <c r="H239" s="46"/>
      <c r="I239" s="47"/>
      <c r="J239" s="24"/>
      <c r="K239" s="24"/>
      <c r="L239" s="22"/>
    </row>
    <row r="240" spans="1:12" s="20" customFormat="1" ht="72.5" x14ac:dyDescent="0.4">
      <c r="A240" s="14" t="s">
        <v>273</v>
      </c>
      <c r="B240" s="14"/>
      <c r="C240" s="23"/>
      <c r="D240" s="36">
        <v>1</v>
      </c>
      <c r="E240" s="37" t="s">
        <v>304</v>
      </c>
      <c r="F240" s="37" t="s">
        <v>302</v>
      </c>
      <c r="G240" s="37" t="s">
        <v>303</v>
      </c>
      <c r="H240" s="36" t="s">
        <v>293</v>
      </c>
      <c r="I240" s="23" t="s">
        <v>123</v>
      </c>
      <c r="J240" s="24"/>
      <c r="K240" s="24"/>
      <c r="L240" s="22"/>
    </row>
    <row r="241" spans="1:12" s="20" customFormat="1" ht="246.5" x14ac:dyDescent="0.4">
      <c r="A241" s="14" t="s">
        <v>273</v>
      </c>
      <c r="B241" s="14"/>
      <c r="C241" s="23"/>
      <c r="D241" s="36">
        <v>2</v>
      </c>
      <c r="E241" s="37" t="s">
        <v>305</v>
      </c>
      <c r="F241" s="81" t="s">
        <v>306</v>
      </c>
      <c r="G241" s="37" t="s">
        <v>352</v>
      </c>
      <c r="H241" s="36"/>
      <c r="I241" s="23"/>
      <c r="J241" s="24"/>
      <c r="K241" s="24"/>
      <c r="L241" s="22"/>
    </row>
    <row r="242" spans="1:12" s="20" customFormat="1" ht="391.5" x14ac:dyDescent="0.4">
      <c r="A242" s="14" t="s">
        <v>273</v>
      </c>
      <c r="B242" s="14"/>
      <c r="C242" s="23"/>
      <c r="D242" s="36">
        <v>3</v>
      </c>
      <c r="E242" s="37" t="s">
        <v>440</v>
      </c>
      <c r="F242" s="37" t="s">
        <v>441</v>
      </c>
      <c r="G242" s="37"/>
      <c r="H242" s="36"/>
      <c r="I242" s="23"/>
      <c r="J242" s="24"/>
      <c r="K242" s="24"/>
      <c r="L242" s="22"/>
    </row>
    <row r="243" spans="1:12" s="20" customFormat="1" ht="333.5" x14ac:dyDescent="0.4">
      <c r="A243" s="14" t="s">
        <v>273</v>
      </c>
      <c r="B243" s="14"/>
      <c r="C243" s="23"/>
      <c r="D243" s="36">
        <v>4</v>
      </c>
      <c r="E243" s="37" t="s">
        <v>442</v>
      </c>
      <c r="F243" s="37" t="s">
        <v>444</v>
      </c>
      <c r="G243" s="37" t="s">
        <v>443</v>
      </c>
      <c r="H243" s="36"/>
      <c r="I243" s="23"/>
      <c r="J243" s="24"/>
      <c r="K243" s="24"/>
      <c r="L243" s="22"/>
    </row>
    <row r="244" spans="1:12" s="20" customFormat="1" ht="377" x14ac:dyDescent="0.4">
      <c r="A244" s="14" t="s">
        <v>273</v>
      </c>
      <c r="B244" s="14"/>
      <c r="C244" s="23"/>
      <c r="D244" s="36">
        <v>5</v>
      </c>
      <c r="E244" s="37" t="s">
        <v>449</v>
      </c>
      <c r="F244" s="37" t="s">
        <v>450</v>
      </c>
      <c r="G244" s="37" t="s">
        <v>553</v>
      </c>
      <c r="H244" s="36"/>
      <c r="I244" s="23"/>
      <c r="J244" s="24"/>
      <c r="K244" s="24"/>
      <c r="L244" s="22"/>
    </row>
    <row r="245" spans="1:12" s="20" customFormat="1" ht="72.5" x14ac:dyDescent="0.4">
      <c r="A245" s="14" t="s">
        <v>273</v>
      </c>
      <c r="B245" s="14"/>
      <c r="C245" s="23"/>
      <c r="D245" s="36">
        <v>6</v>
      </c>
      <c r="E245" s="91" t="s">
        <v>456</v>
      </c>
      <c r="F245" s="37" t="s">
        <v>452</v>
      </c>
      <c r="G245" s="37" t="s">
        <v>466</v>
      </c>
      <c r="H245" s="36"/>
      <c r="I245" s="23"/>
      <c r="J245" s="24"/>
      <c r="K245" s="24"/>
      <c r="L245" s="22"/>
    </row>
    <row r="246" spans="1:12" s="20" customFormat="1" ht="58" x14ac:dyDescent="0.4">
      <c r="A246" s="14" t="s">
        <v>273</v>
      </c>
      <c r="B246" s="14"/>
      <c r="C246" s="23"/>
      <c r="D246" s="36">
        <v>7</v>
      </c>
      <c r="E246" s="90" t="s">
        <v>455</v>
      </c>
      <c r="F246" s="37" t="s">
        <v>454</v>
      </c>
      <c r="G246" s="37"/>
      <c r="H246" s="36"/>
      <c r="I246" s="23"/>
      <c r="J246" s="24"/>
      <c r="K246" s="24"/>
      <c r="L246" s="22"/>
    </row>
    <row r="247" spans="1:12" s="20" customFormat="1" ht="43.5" x14ac:dyDescent="0.45">
      <c r="A247" s="39"/>
      <c r="B247" s="39" t="s">
        <v>263</v>
      </c>
      <c r="C247" s="39" t="s">
        <v>882</v>
      </c>
      <c r="D247" s="40"/>
      <c r="E247" s="41"/>
      <c r="F247" s="45"/>
      <c r="G247" s="46"/>
      <c r="H247" s="46"/>
      <c r="I247" s="47"/>
      <c r="J247" s="24"/>
      <c r="K247" s="24"/>
      <c r="L247" s="22"/>
    </row>
    <row r="248" spans="1:12" s="20" customFormat="1" ht="72.5" x14ac:dyDescent="0.4">
      <c r="A248" s="14" t="s">
        <v>273</v>
      </c>
      <c r="B248" s="14"/>
      <c r="C248" s="23"/>
      <c r="D248" s="36">
        <v>1</v>
      </c>
      <c r="E248" s="37" t="s">
        <v>304</v>
      </c>
      <c r="F248" s="37" t="s">
        <v>302</v>
      </c>
      <c r="G248" s="37" t="s">
        <v>303</v>
      </c>
      <c r="H248" s="36" t="s">
        <v>293</v>
      </c>
      <c r="I248" s="23" t="s">
        <v>123</v>
      </c>
      <c r="J248" s="24"/>
      <c r="K248" s="24"/>
      <c r="L248" s="22"/>
    </row>
    <row r="249" spans="1:12" s="20" customFormat="1" ht="246.5" x14ac:dyDescent="0.4">
      <c r="A249" s="14" t="s">
        <v>273</v>
      </c>
      <c r="B249" s="14"/>
      <c r="C249" s="23"/>
      <c r="D249" s="36">
        <v>2</v>
      </c>
      <c r="E249" s="37" t="s">
        <v>305</v>
      </c>
      <c r="F249" s="81" t="s">
        <v>306</v>
      </c>
      <c r="G249" s="37" t="s">
        <v>352</v>
      </c>
      <c r="H249" s="36"/>
      <c r="I249" s="23"/>
      <c r="J249" s="24"/>
      <c r="K249" s="24"/>
      <c r="L249" s="22"/>
    </row>
    <row r="250" spans="1:12" s="20" customFormat="1" ht="391.5" x14ac:dyDescent="0.4">
      <c r="A250" s="14" t="s">
        <v>273</v>
      </c>
      <c r="B250" s="14"/>
      <c r="C250" s="23"/>
      <c r="D250" s="36">
        <v>3</v>
      </c>
      <c r="E250" s="37" t="s">
        <v>440</v>
      </c>
      <c r="F250" s="37" t="s">
        <v>441</v>
      </c>
      <c r="G250" s="37"/>
      <c r="H250" s="36"/>
      <c r="I250" s="23"/>
      <c r="J250" s="24"/>
      <c r="K250" s="24"/>
      <c r="L250" s="22"/>
    </row>
    <row r="251" spans="1:12" s="20" customFormat="1" ht="333.5" x14ac:dyDescent="0.4">
      <c r="A251" s="14" t="s">
        <v>273</v>
      </c>
      <c r="B251" s="14"/>
      <c r="C251" s="23"/>
      <c r="D251" s="36">
        <v>4</v>
      </c>
      <c r="E251" s="37" t="s">
        <v>442</v>
      </c>
      <c r="F251" s="37" t="s">
        <v>444</v>
      </c>
      <c r="G251" s="37" t="s">
        <v>443</v>
      </c>
      <c r="H251" s="36"/>
      <c r="I251" s="23"/>
      <c r="J251" s="24"/>
      <c r="K251" s="24"/>
      <c r="L251" s="22"/>
    </row>
    <row r="252" spans="1:12" s="20" customFormat="1" ht="150" x14ac:dyDescent="0.4">
      <c r="A252" s="14" t="s">
        <v>273</v>
      </c>
      <c r="B252" s="14"/>
      <c r="C252" s="23"/>
      <c r="D252" s="36">
        <v>5</v>
      </c>
      <c r="E252" s="37" t="s">
        <v>449</v>
      </c>
      <c r="F252" s="88" t="s">
        <v>889</v>
      </c>
      <c r="G252" s="37" t="s">
        <v>1159</v>
      </c>
      <c r="H252" s="36"/>
      <c r="I252" s="23"/>
      <c r="J252" s="24"/>
      <c r="K252" s="24"/>
      <c r="L252" s="22"/>
    </row>
    <row r="253" spans="1:12" s="20" customFormat="1" ht="43.5" x14ac:dyDescent="0.45">
      <c r="A253" s="39"/>
      <c r="B253" s="39" t="s">
        <v>264</v>
      </c>
      <c r="C253" s="39" t="s">
        <v>860</v>
      </c>
      <c r="D253" s="40"/>
      <c r="E253" s="41"/>
      <c r="F253" s="45"/>
      <c r="G253" s="46"/>
      <c r="H253" s="46"/>
      <c r="I253" s="47"/>
      <c r="J253" s="24"/>
      <c r="K253" s="24"/>
      <c r="L253" s="22"/>
    </row>
    <row r="254" spans="1:12" s="20" customFormat="1" ht="72.5" x14ac:dyDescent="0.4">
      <c r="A254" s="14" t="s">
        <v>273</v>
      </c>
      <c r="B254" s="14"/>
      <c r="C254" s="23"/>
      <c r="D254" s="36">
        <v>1</v>
      </c>
      <c r="E254" s="37" t="s">
        <v>304</v>
      </c>
      <c r="F254" s="37" t="s">
        <v>302</v>
      </c>
      <c r="G254" s="37" t="s">
        <v>303</v>
      </c>
      <c r="H254" s="36" t="s">
        <v>293</v>
      </c>
      <c r="I254" s="23" t="s">
        <v>123</v>
      </c>
      <c r="J254" s="24"/>
      <c r="K254" s="24"/>
      <c r="L254" s="22"/>
    </row>
    <row r="255" spans="1:12" s="20" customFormat="1" ht="246.5" x14ac:dyDescent="0.4">
      <c r="A255" s="14" t="s">
        <v>273</v>
      </c>
      <c r="B255" s="14"/>
      <c r="C255" s="23"/>
      <c r="D255" s="36">
        <v>2</v>
      </c>
      <c r="E255" s="37" t="s">
        <v>305</v>
      </c>
      <c r="F255" s="81" t="s">
        <v>306</v>
      </c>
      <c r="G255" s="37" t="s">
        <v>352</v>
      </c>
      <c r="H255" s="36"/>
      <c r="I255" s="23"/>
      <c r="J255" s="24"/>
      <c r="K255" s="24"/>
      <c r="L255" s="22"/>
    </row>
    <row r="256" spans="1:12" s="20" customFormat="1" ht="391.5" x14ac:dyDescent="0.4">
      <c r="A256" s="14" t="s">
        <v>273</v>
      </c>
      <c r="B256" s="14"/>
      <c r="C256" s="23"/>
      <c r="D256" s="36">
        <v>3</v>
      </c>
      <c r="E256" s="37" t="s">
        <v>440</v>
      </c>
      <c r="F256" s="37" t="s">
        <v>441</v>
      </c>
      <c r="G256" s="37"/>
      <c r="H256" s="36"/>
      <c r="I256" s="23"/>
      <c r="J256" s="24"/>
      <c r="K256" s="24"/>
      <c r="L256" s="22"/>
    </row>
    <row r="257" spans="1:12" s="20" customFormat="1" ht="333.5" x14ac:dyDescent="0.4">
      <c r="A257" s="14" t="s">
        <v>273</v>
      </c>
      <c r="B257" s="14"/>
      <c r="C257" s="23"/>
      <c r="D257" s="36">
        <v>4</v>
      </c>
      <c r="E257" s="37" t="s">
        <v>442</v>
      </c>
      <c r="F257" s="37" t="s">
        <v>444</v>
      </c>
      <c r="G257" s="37" t="s">
        <v>443</v>
      </c>
      <c r="H257" s="36"/>
      <c r="I257" s="23"/>
      <c r="J257" s="24"/>
      <c r="K257" s="24"/>
      <c r="L257" s="22"/>
    </row>
    <row r="258" spans="1:12" s="20" customFormat="1" ht="225" x14ac:dyDescent="0.4">
      <c r="A258" s="14" t="s">
        <v>273</v>
      </c>
      <c r="B258" s="14"/>
      <c r="C258" s="23"/>
      <c r="D258" s="36">
        <v>5</v>
      </c>
      <c r="E258" s="37" t="s">
        <v>449</v>
      </c>
      <c r="F258" s="88" t="s">
        <v>558</v>
      </c>
      <c r="G258" s="37"/>
      <c r="H258" s="36"/>
      <c r="I258" s="23"/>
      <c r="J258" s="24"/>
      <c r="K258" s="24"/>
      <c r="L258" s="22"/>
    </row>
    <row r="259" spans="1:12" s="20" customFormat="1" ht="116" x14ac:dyDescent="0.4">
      <c r="A259" s="14" t="s">
        <v>273</v>
      </c>
      <c r="B259" s="14"/>
      <c r="C259" s="23"/>
      <c r="D259" s="36">
        <v>6</v>
      </c>
      <c r="E259" s="37" t="s">
        <v>859</v>
      </c>
      <c r="F259" s="37" t="s">
        <v>840</v>
      </c>
      <c r="G259" s="37"/>
      <c r="H259" s="36"/>
      <c r="I259" s="23"/>
      <c r="J259" s="24"/>
      <c r="K259" s="24"/>
      <c r="L259" s="22"/>
    </row>
    <row r="260" spans="1:12" s="20" customFormat="1" ht="29" x14ac:dyDescent="0.45">
      <c r="A260" s="39"/>
      <c r="B260" s="39" t="s">
        <v>514</v>
      </c>
      <c r="C260" s="39" t="s">
        <v>457</v>
      </c>
      <c r="D260" s="40"/>
      <c r="E260" s="41"/>
      <c r="F260" s="45"/>
      <c r="G260" s="46"/>
      <c r="H260" s="46"/>
      <c r="I260" s="47"/>
      <c r="J260" s="24"/>
      <c r="K260" s="24"/>
      <c r="L260" s="22"/>
    </row>
    <row r="261" spans="1:12" s="20" customFormat="1" ht="72.5" x14ac:dyDescent="0.4">
      <c r="A261" s="14" t="s">
        <v>273</v>
      </c>
      <c r="B261" s="14"/>
      <c r="C261" s="23"/>
      <c r="D261" s="36">
        <v>1</v>
      </c>
      <c r="E261" s="37" t="s">
        <v>304</v>
      </c>
      <c r="F261" s="37" t="s">
        <v>302</v>
      </c>
      <c r="G261" s="37" t="s">
        <v>303</v>
      </c>
      <c r="H261" s="36" t="s">
        <v>293</v>
      </c>
      <c r="I261" s="23" t="s">
        <v>123</v>
      </c>
      <c r="J261" s="24"/>
      <c r="K261" s="24"/>
      <c r="L261" s="22"/>
    </row>
    <row r="262" spans="1:12" s="20" customFormat="1" ht="246.5" x14ac:dyDescent="0.4">
      <c r="A262" s="14" t="s">
        <v>273</v>
      </c>
      <c r="B262" s="14"/>
      <c r="C262" s="23"/>
      <c r="D262" s="36">
        <v>2</v>
      </c>
      <c r="E262" s="37" t="s">
        <v>305</v>
      </c>
      <c r="F262" s="81" t="s">
        <v>306</v>
      </c>
      <c r="G262" s="37" t="s">
        <v>352</v>
      </c>
      <c r="H262" s="36"/>
      <c r="I262" s="23"/>
      <c r="J262" s="24"/>
      <c r="K262" s="24"/>
      <c r="L262" s="22"/>
    </row>
    <row r="263" spans="1:12" s="20" customFormat="1" ht="391.5" x14ac:dyDescent="0.4">
      <c r="A263" s="14" t="s">
        <v>273</v>
      </c>
      <c r="B263" s="14"/>
      <c r="C263" s="23"/>
      <c r="D263" s="36">
        <v>3</v>
      </c>
      <c r="E263" s="37" t="s">
        <v>440</v>
      </c>
      <c r="F263" s="37" t="s">
        <v>441</v>
      </c>
      <c r="G263" s="37"/>
      <c r="H263" s="36"/>
      <c r="I263" s="23"/>
      <c r="J263" s="24"/>
      <c r="K263" s="24"/>
      <c r="L263" s="22"/>
    </row>
    <row r="264" spans="1:12" s="20" customFormat="1" ht="333.5" x14ac:dyDescent="0.4">
      <c r="A264" s="14" t="s">
        <v>273</v>
      </c>
      <c r="B264" s="14"/>
      <c r="C264" s="23"/>
      <c r="D264" s="36">
        <v>4</v>
      </c>
      <c r="E264" s="37" t="s">
        <v>442</v>
      </c>
      <c r="F264" s="37" t="s">
        <v>444</v>
      </c>
      <c r="G264" s="37" t="s">
        <v>898</v>
      </c>
      <c r="H264" s="36"/>
      <c r="I264" s="23"/>
      <c r="J264" s="24"/>
      <c r="K264" s="24"/>
      <c r="L264" s="22"/>
    </row>
    <row r="265" spans="1:12" s="20" customFormat="1" ht="409.5" x14ac:dyDescent="0.4">
      <c r="A265" s="14" t="s">
        <v>273</v>
      </c>
      <c r="B265" s="14"/>
      <c r="C265" s="23"/>
      <c r="D265" s="36">
        <v>5</v>
      </c>
      <c r="E265" s="37" t="s">
        <v>460</v>
      </c>
      <c r="F265" s="88" t="s">
        <v>465</v>
      </c>
      <c r="G265" s="37" t="s">
        <v>552</v>
      </c>
      <c r="H265" s="36"/>
      <c r="I265" s="23"/>
      <c r="J265" s="24"/>
      <c r="K265" s="24"/>
      <c r="L265" s="22"/>
    </row>
    <row r="266" spans="1:12" s="20" customFormat="1" ht="72.5" x14ac:dyDescent="0.4">
      <c r="A266" s="14" t="s">
        <v>273</v>
      </c>
      <c r="B266" s="14"/>
      <c r="C266" s="23"/>
      <c r="D266" s="36">
        <v>6</v>
      </c>
      <c r="E266" s="37" t="s">
        <v>468</v>
      </c>
      <c r="F266" s="37" t="s">
        <v>461</v>
      </c>
      <c r="G266" s="37"/>
      <c r="H266" s="36"/>
      <c r="I266" s="23"/>
      <c r="J266" s="24"/>
      <c r="K266" s="24"/>
      <c r="L266" s="22"/>
    </row>
    <row r="267" spans="1:12" s="20" customFormat="1" ht="174" x14ac:dyDescent="0.4">
      <c r="A267" s="14" t="s">
        <v>273</v>
      </c>
      <c r="B267" s="14"/>
      <c r="C267" s="23"/>
      <c r="D267" s="36">
        <v>7</v>
      </c>
      <c r="E267" s="90" t="s">
        <v>462</v>
      </c>
      <c r="F267" s="37" t="s">
        <v>463</v>
      </c>
      <c r="G267" s="37" t="s">
        <v>464</v>
      </c>
      <c r="H267" s="36"/>
      <c r="I267" s="23"/>
      <c r="J267" s="24"/>
      <c r="K267" s="24"/>
      <c r="L267" s="22"/>
    </row>
    <row r="268" spans="1:12" s="20" customFormat="1" ht="159.5" x14ac:dyDescent="0.4">
      <c r="A268" s="14" t="s">
        <v>273</v>
      </c>
      <c r="B268" s="14"/>
      <c r="C268" s="23"/>
      <c r="D268" s="36">
        <v>8</v>
      </c>
      <c r="E268" s="37" t="s">
        <v>354</v>
      </c>
      <c r="F268" s="37" t="s">
        <v>356</v>
      </c>
      <c r="G268" s="37" t="s">
        <v>407</v>
      </c>
      <c r="H268" s="36"/>
      <c r="I268" s="23"/>
      <c r="J268" s="24"/>
      <c r="K268" s="24"/>
      <c r="L268" s="22"/>
    </row>
    <row r="269" spans="1:12" s="20" customFormat="1" ht="72.5" x14ac:dyDescent="0.4">
      <c r="A269" s="14" t="s">
        <v>273</v>
      </c>
      <c r="B269" s="14"/>
      <c r="C269" s="23"/>
      <c r="D269" s="36">
        <v>9</v>
      </c>
      <c r="E269" s="37" t="s">
        <v>357</v>
      </c>
      <c r="F269" s="37" t="s">
        <v>467</v>
      </c>
      <c r="G269" s="37" t="s">
        <v>466</v>
      </c>
      <c r="H269" s="36"/>
      <c r="I269" s="23"/>
      <c r="J269" s="24"/>
      <c r="K269" s="24"/>
      <c r="L269" s="22"/>
    </row>
    <row r="270" spans="1:12" s="20" customFormat="1" ht="43.5" x14ac:dyDescent="0.45">
      <c r="A270" s="39"/>
      <c r="B270" s="39" t="s">
        <v>544</v>
      </c>
      <c r="C270" s="39" t="s">
        <v>892</v>
      </c>
      <c r="D270" s="40"/>
      <c r="E270" s="41"/>
      <c r="F270" s="45"/>
      <c r="G270" s="46"/>
      <c r="H270" s="46"/>
      <c r="I270" s="47"/>
      <c r="J270" s="24"/>
      <c r="K270" s="24"/>
      <c r="L270" s="22"/>
    </row>
    <row r="271" spans="1:12" s="20" customFormat="1" ht="72.5" x14ac:dyDescent="0.4">
      <c r="A271" s="14" t="s">
        <v>273</v>
      </c>
      <c r="B271" s="14"/>
      <c r="C271" s="23"/>
      <c r="D271" s="36">
        <v>1</v>
      </c>
      <c r="E271" s="37" t="s">
        <v>304</v>
      </c>
      <c r="F271" s="37" t="s">
        <v>302</v>
      </c>
      <c r="G271" s="37" t="s">
        <v>303</v>
      </c>
      <c r="H271" s="36" t="s">
        <v>293</v>
      </c>
      <c r="I271" s="23" t="s">
        <v>123</v>
      </c>
      <c r="J271" s="24"/>
      <c r="K271" s="24"/>
      <c r="L271" s="22"/>
    </row>
    <row r="272" spans="1:12" s="20" customFormat="1" ht="246.5" x14ac:dyDescent="0.4">
      <c r="A272" s="14" t="s">
        <v>273</v>
      </c>
      <c r="B272" s="14"/>
      <c r="C272" s="23"/>
      <c r="D272" s="36">
        <v>2</v>
      </c>
      <c r="E272" s="37" t="s">
        <v>305</v>
      </c>
      <c r="F272" s="81" t="s">
        <v>306</v>
      </c>
      <c r="G272" s="37" t="s">
        <v>352</v>
      </c>
      <c r="H272" s="36"/>
      <c r="I272" s="23"/>
      <c r="J272" s="24"/>
      <c r="K272" s="24"/>
      <c r="L272" s="22"/>
    </row>
    <row r="273" spans="1:12" s="20" customFormat="1" ht="391.5" x14ac:dyDescent="0.4">
      <c r="A273" s="14" t="s">
        <v>273</v>
      </c>
      <c r="B273" s="14"/>
      <c r="C273" s="23"/>
      <c r="D273" s="36">
        <v>3</v>
      </c>
      <c r="E273" s="37" t="s">
        <v>440</v>
      </c>
      <c r="F273" s="37" t="s">
        <v>441</v>
      </c>
      <c r="G273" s="37"/>
      <c r="H273" s="36"/>
      <c r="I273" s="23"/>
      <c r="J273" s="24"/>
      <c r="K273" s="24"/>
      <c r="L273" s="22"/>
    </row>
    <row r="274" spans="1:12" s="20" customFormat="1" ht="333.5" x14ac:dyDescent="0.4">
      <c r="A274" s="14" t="s">
        <v>273</v>
      </c>
      <c r="B274" s="14"/>
      <c r="C274" s="23"/>
      <c r="D274" s="36">
        <v>4</v>
      </c>
      <c r="E274" s="37" t="s">
        <v>442</v>
      </c>
      <c r="F274" s="37" t="s">
        <v>444</v>
      </c>
      <c r="G274" s="37" t="s">
        <v>898</v>
      </c>
      <c r="H274" s="36"/>
      <c r="I274" s="23"/>
      <c r="J274" s="24"/>
      <c r="K274" s="24"/>
      <c r="L274" s="22"/>
    </row>
    <row r="275" spans="1:12" s="20" customFormat="1" ht="345" x14ac:dyDescent="0.4">
      <c r="A275" s="14" t="s">
        <v>273</v>
      </c>
      <c r="B275" s="14"/>
      <c r="C275" s="23"/>
      <c r="D275" s="36">
        <v>5</v>
      </c>
      <c r="E275" s="37" t="s">
        <v>460</v>
      </c>
      <c r="F275" s="92" t="s">
        <v>557</v>
      </c>
      <c r="G275" s="37" t="s">
        <v>1158</v>
      </c>
      <c r="H275" s="36"/>
      <c r="I275" s="23"/>
      <c r="J275" s="24"/>
      <c r="K275" s="24"/>
      <c r="L275" s="22"/>
    </row>
    <row r="276" spans="1:12" s="20" customFormat="1" ht="43.5" x14ac:dyDescent="0.45">
      <c r="A276" s="39"/>
      <c r="B276" s="39" t="s">
        <v>545</v>
      </c>
      <c r="C276" s="39" t="s">
        <v>890</v>
      </c>
      <c r="D276" s="40"/>
      <c r="E276" s="41"/>
      <c r="F276" s="45"/>
      <c r="G276" s="46"/>
      <c r="H276" s="46"/>
      <c r="I276" s="47"/>
      <c r="J276" s="24"/>
      <c r="K276" s="24"/>
      <c r="L276" s="22"/>
    </row>
    <row r="277" spans="1:12" s="20" customFormat="1" ht="72.5" x14ac:dyDescent="0.4">
      <c r="A277" s="14" t="s">
        <v>273</v>
      </c>
      <c r="B277" s="14"/>
      <c r="C277" s="23"/>
      <c r="D277" s="36">
        <v>1</v>
      </c>
      <c r="E277" s="37" t="s">
        <v>304</v>
      </c>
      <c r="F277" s="37" t="s">
        <v>302</v>
      </c>
      <c r="G277" s="37" t="s">
        <v>303</v>
      </c>
      <c r="H277" s="36" t="s">
        <v>293</v>
      </c>
      <c r="I277" s="23" t="s">
        <v>123</v>
      </c>
      <c r="J277" s="24"/>
      <c r="K277" s="24"/>
      <c r="L277" s="22"/>
    </row>
    <row r="278" spans="1:12" s="20" customFormat="1" ht="246.5" x14ac:dyDescent="0.4">
      <c r="A278" s="14" t="s">
        <v>273</v>
      </c>
      <c r="B278" s="14"/>
      <c r="C278" s="23"/>
      <c r="D278" s="36">
        <v>2</v>
      </c>
      <c r="E278" s="37" t="s">
        <v>305</v>
      </c>
      <c r="F278" s="81" t="s">
        <v>306</v>
      </c>
      <c r="G278" s="37" t="s">
        <v>352</v>
      </c>
      <c r="H278" s="36"/>
      <c r="I278" s="23"/>
      <c r="J278" s="24"/>
      <c r="K278" s="24"/>
      <c r="L278" s="22"/>
    </row>
    <row r="279" spans="1:12" s="20" customFormat="1" ht="391.5" x14ac:dyDescent="0.4">
      <c r="A279" s="14" t="s">
        <v>273</v>
      </c>
      <c r="B279" s="14"/>
      <c r="C279" s="23"/>
      <c r="D279" s="36">
        <v>3</v>
      </c>
      <c r="E279" s="37" t="s">
        <v>440</v>
      </c>
      <c r="F279" s="37" t="s">
        <v>441</v>
      </c>
      <c r="G279" s="37"/>
      <c r="H279" s="36"/>
      <c r="I279" s="23"/>
      <c r="J279" s="24"/>
      <c r="K279" s="24"/>
      <c r="L279" s="22"/>
    </row>
    <row r="280" spans="1:12" s="20" customFormat="1" ht="333.5" x14ac:dyDescent="0.4">
      <c r="A280" s="14" t="s">
        <v>273</v>
      </c>
      <c r="B280" s="14"/>
      <c r="C280" s="23"/>
      <c r="D280" s="36">
        <v>4</v>
      </c>
      <c r="E280" s="37" t="s">
        <v>442</v>
      </c>
      <c r="F280" s="37" t="s">
        <v>444</v>
      </c>
      <c r="G280" s="37" t="s">
        <v>898</v>
      </c>
      <c r="H280" s="36"/>
      <c r="I280" s="23"/>
      <c r="J280" s="24"/>
      <c r="K280" s="24"/>
      <c r="L280" s="22"/>
    </row>
    <row r="281" spans="1:12" s="20" customFormat="1" ht="345" x14ac:dyDescent="0.4">
      <c r="A281" s="14" t="s">
        <v>273</v>
      </c>
      <c r="B281" s="14"/>
      <c r="C281" s="23"/>
      <c r="D281" s="36">
        <v>5</v>
      </c>
      <c r="E281" s="37" t="s">
        <v>555</v>
      </c>
      <c r="F281" s="92" t="s">
        <v>557</v>
      </c>
      <c r="G281" s="37" t="s">
        <v>552</v>
      </c>
      <c r="H281" s="36"/>
      <c r="I281" s="23"/>
      <c r="J281" s="24"/>
      <c r="K281" s="24"/>
      <c r="L281" s="22"/>
    </row>
    <row r="282" spans="1:12" s="20" customFormat="1" ht="72.5" x14ac:dyDescent="0.4">
      <c r="A282" s="14" t="s">
        <v>273</v>
      </c>
      <c r="B282" s="14"/>
      <c r="C282" s="23"/>
      <c r="D282" s="36">
        <v>6</v>
      </c>
      <c r="E282" s="93" t="s">
        <v>893</v>
      </c>
      <c r="F282" s="37" t="s">
        <v>894</v>
      </c>
      <c r="G282" s="37"/>
      <c r="H282" s="36"/>
      <c r="I282" s="23"/>
      <c r="J282" s="24"/>
      <c r="K282" s="24"/>
      <c r="L282" s="22"/>
    </row>
    <row r="283" spans="1:12" s="20" customFormat="1" ht="43.5" x14ac:dyDescent="0.45">
      <c r="A283" s="39"/>
      <c r="B283" s="39" t="s">
        <v>546</v>
      </c>
      <c r="C283" s="39" t="s">
        <v>891</v>
      </c>
      <c r="D283" s="40"/>
      <c r="E283" s="41"/>
      <c r="F283" s="45"/>
      <c r="G283" s="46"/>
      <c r="H283" s="46"/>
      <c r="I283" s="47"/>
      <c r="J283" s="24"/>
      <c r="K283" s="24"/>
      <c r="L283" s="22"/>
    </row>
    <row r="284" spans="1:12" s="20" customFormat="1" ht="72.5" x14ac:dyDescent="0.4">
      <c r="A284" s="14" t="s">
        <v>273</v>
      </c>
      <c r="B284" s="14"/>
      <c r="C284" s="23"/>
      <c r="D284" s="36">
        <v>1</v>
      </c>
      <c r="E284" s="37" t="s">
        <v>304</v>
      </c>
      <c r="F284" s="37" t="s">
        <v>302</v>
      </c>
      <c r="G284" s="37" t="s">
        <v>303</v>
      </c>
      <c r="H284" s="36" t="s">
        <v>293</v>
      </c>
      <c r="I284" s="23" t="s">
        <v>123</v>
      </c>
      <c r="J284" s="24"/>
      <c r="K284" s="24"/>
      <c r="L284" s="22"/>
    </row>
    <row r="285" spans="1:12" s="20" customFormat="1" ht="246.5" x14ac:dyDescent="0.4">
      <c r="A285" s="14" t="s">
        <v>273</v>
      </c>
      <c r="B285" s="14"/>
      <c r="C285" s="23"/>
      <c r="D285" s="36">
        <v>2</v>
      </c>
      <c r="E285" s="37" t="s">
        <v>305</v>
      </c>
      <c r="F285" s="81" t="s">
        <v>306</v>
      </c>
      <c r="G285" s="37" t="s">
        <v>352</v>
      </c>
      <c r="H285" s="36"/>
      <c r="I285" s="23"/>
      <c r="J285" s="24"/>
      <c r="K285" s="24"/>
      <c r="L285" s="22"/>
    </row>
    <row r="286" spans="1:12" s="20" customFormat="1" ht="391.5" x14ac:dyDescent="0.4">
      <c r="A286" s="14" t="s">
        <v>273</v>
      </c>
      <c r="B286" s="14"/>
      <c r="C286" s="23"/>
      <c r="D286" s="36">
        <v>3</v>
      </c>
      <c r="E286" s="37" t="s">
        <v>440</v>
      </c>
      <c r="F286" s="37" t="s">
        <v>441</v>
      </c>
      <c r="G286" s="37"/>
      <c r="H286" s="36"/>
      <c r="I286" s="23"/>
      <c r="J286" s="24"/>
      <c r="K286" s="24"/>
      <c r="L286" s="22"/>
    </row>
    <row r="287" spans="1:12" s="20" customFormat="1" ht="333.5" x14ac:dyDescent="0.4">
      <c r="A287" s="14" t="s">
        <v>273</v>
      </c>
      <c r="B287" s="14"/>
      <c r="C287" s="23"/>
      <c r="D287" s="36">
        <v>4</v>
      </c>
      <c r="E287" s="37" t="s">
        <v>442</v>
      </c>
      <c r="F287" s="37" t="s">
        <v>444</v>
      </c>
      <c r="G287" s="37" t="s">
        <v>898</v>
      </c>
      <c r="H287" s="36"/>
      <c r="I287" s="23"/>
      <c r="J287" s="24"/>
      <c r="K287" s="24"/>
      <c r="L287" s="22"/>
    </row>
    <row r="288" spans="1:12" s="20" customFormat="1" ht="345" x14ac:dyDescent="0.4">
      <c r="A288" s="14" t="s">
        <v>273</v>
      </c>
      <c r="B288" s="14"/>
      <c r="C288" s="23"/>
      <c r="D288" s="36">
        <v>5</v>
      </c>
      <c r="E288" s="37" t="s">
        <v>460</v>
      </c>
      <c r="F288" s="92" t="s">
        <v>557</v>
      </c>
      <c r="G288" s="37" t="s">
        <v>897</v>
      </c>
      <c r="H288" s="36"/>
      <c r="I288" s="23"/>
      <c r="J288" s="24"/>
      <c r="K288" s="24"/>
      <c r="L288" s="22"/>
    </row>
    <row r="289" spans="1:12" s="20" customFormat="1" ht="145" x14ac:dyDescent="0.4">
      <c r="A289" s="14" t="s">
        <v>273</v>
      </c>
      <c r="B289" s="14"/>
      <c r="C289" s="23"/>
      <c r="D289" s="36">
        <v>6</v>
      </c>
      <c r="E289" s="93" t="s">
        <v>895</v>
      </c>
      <c r="F289" s="37" t="s">
        <v>896</v>
      </c>
      <c r="G289" s="37"/>
      <c r="H289" s="36"/>
      <c r="I289" s="23"/>
      <c r="J289" s="24"/>
      <c r="K289" s="24"/>
      <c r="L289" s="22"/>
    </row>
    <row r="290" spans="1:12" s="20" customFormat="1" ht="29" x14ac:dyDescent="0.4">
      <c r="A290" s="39"/>
      <c r="B290" s="39" t="s">
        <v>547</v>
      </c>
      <c r="C290" s="39" t="s">
        <v>469</v>
      </c>
      <c r="D290" s="40"/>
      <c r="E290" s="41"/>
      <c r="F290" s="41"/>
      <c r="G290" s="41"/>
      <c r="H290" s="40"/>
      <c r="I290" s="32"/>
      <c r="J290" s="24"/>
      <c r="K290" s="24"/>
      <c r="L290" s="22"/>
    </row>
    <row r="291" spans="1:12" s="20" customFormat="1" ht="72.5" x14ac:dyDescent="0.4">
      <c r="A291" s="14" t="s">
        <v>273</v>
      </c>
      <c r="B291" s="14"/>
      <c r="C291" s="23"/>
      <c r="D291" s="36">
        <v>1</v>
      </c>
      <c r="E291" s="37" t="s">
        <v>304</v>
      </c>
      <c r="F291" s="37" t="s">
        <v>302</v>
      </c>
      <c r="G291" s="37" t="s">
        <v>303</v>
      </c>
      <c r="H291" s="36" t="s">
        <v>293</v>
      </c>
      <c r="I291" s="23" t="s">
        <v>123</v>
      </c>
      <c r="J291" s="24"/>
      <c r="K291" s="24"/>
      <c r="L291" s="22"/>
    </row>
    <row r="292" spans="1:12" s="20" customFormat="1" ht="246.5" x14ac:dyDescent="0.4">
      <c r="A292" s="14" t="s">
        <v>273</v>
      </c>
      <c r="B292" s="14"/>
      <c r="C292" s="23"/>
      <c r="D292" s="36">
        <v>2</v>
      </c>
      <c r="E292" s="37" t="s">
        <v>305</v>
      </c>
      <c r="F292" s="81" t="s">
        <v>306</v>
      </c>
      <c r="G292" s="37" t="s">
        <v>352</v>
      </c>
      <c r="H292" s="36"/>
      <c r="I292" s="23"/>
      <c r="J292" s="24"/>
      <c r="K292" s="24"/>
      <c r="L292" s="22"/>
    </row>
    <row r="293" spans="1:12" s="20" customFormat="1" ht="391.5" x14ac:dyDescent="0.4">
      <c r="A293" s="14" t="s">
        <v>273</v>
      </c>
      <c r="B293" s="14"/>
      <c r="C293" s="23"/>
      <c r="D293" s="36">
        <v>3</v>
      </c>
      <c r="E293" s="37" t="s">
        <v>440</v>
      </c>
      <c r="F293" s="37" t="s">
        <v>441</v>
      </c>
      <c r="G293" s="37"/>
      <c r="H293" s="36"/>
      <c r="I293" s="23"/>
      <c r="J293" s="24"/>
      <c r="K293" s="24"/>
      <c r="L293" s="22"/>
    </row>
    <row r="294" spans="1:12" s="20" customFormat="1" ht="333.5" x14ac:dyDescent="0.4">
      <c r="A294" s="14" t="s">
        <v>273</v>
      </c>
      <c r="B294" s="14"/>
      <c r="C294" s="23"/>
      <c r="D294" s="36">
        <v>4</v>
      </c>
      <c r="E294" s="37" t="s">
        <v>442</v>
      </c>
      <c r="F294" s="37" t="s">
        <v>444</v>
      </c>
      <c r="G294" s="37" t="s">
        <v>443</v>
      </c>
      <c r="H294" s="36"/>
      <c r="I294" s="23"/>
      <c r="J294" s="24"/>
      <c r="K294" s="24"/>
      <c r="L294" s="22"/>
    </row>
    <row r="295" spans="1:12" s="20" customFormat="1" ht="409.5" x14ac:dyDescent="0.4">
      <c r="A295" s="14" t="s">
        <v>273</v>
      </c>
      <c r="B295" s="14"/>
      <c r="C295" s="23"/>
      <c r="D295" s="36">
        <v>5</v>
      </c>
      <c r="E295" s="37" t="s">
        <v>470</v>
      </c>
      <c r="F295" s="92" t="s">
        <v>471</v>
      </c>
      <c r="G295" s="37"/>
      <c r="H295" s="36"/>
      <c r="I295" s="23"/>
      <c r="J295" s="24"/>
      <c r="K295" s="24"/>
      <c r="L295" s="22"/>
    </row>
    <row r="296" spans="1:12" s="20" customFormat="1" ht="90" x14ac:dyDescent="0.4">
      <c r="A296" s="14" t="s">
        <v>273</v>
      </c>
      <c r="B296" s="14"/>
      <c r="C296" s="23"/>
      <c r="D296" s="36">
        <v>6</v>
      </c>
      <c r="E296" s="93" t="s">
        <v>477</v>
      </c>
      <c r="F296" s="92" t="s">
        <v>476</v>
      </c>
      <c r="G296" s="37"/>
      <c r="H296" s="36"/>
      <c r="I296" s="23"/>
      <c r="J296" s="24"/>
      <c r="K296" s="24"/>
      <c r="L296" s="22"/>
    </row>
    <row r="297" spans="1:12" s="20" customFormat="1" ht="105" x14ac:dyDescent="0.4">
      <c r="A297" s="14" t="s">
        <v>273</v>
      </c>
      <c r="B297" s="14"/>
      <c r="C297" s="23"/>
      <c r="D297" s="36">
        <v>7</v>
      </c>
      <c r="E297" s="93" t="s">
        <v>478</v>
      </c>
      <c r="F297" s="92" t="s">
        <v>479</v>
      </c>
      <c r="G297" s="37"/>
      <c r="H297" s="36"/>
      <c r="I297" s="23"/>
      <c r="J297" s="24"/>
      <c r="K297" s="24"/>
      <c r="L297" s="22"/>
    </row>
    <row r="298" spans="1:12" s="20" customFormat="1" ht="58" x14ac:dyDescent="0.4">
      <c r="A298" s="14" t="s">
        <v>273</v>
      </c>
      <c r="B298" s="14"/>
      <c r="C298" s="23"/>
      <c r="D298" s="36">
        <v>8</v>
      </c>
      <c r="E298" s="90" t="s">
        <v>472</v>
      </c>
      <c r="F298" s="92" t="s">
        <v>473</v>
      </c>
      <c r="G298" s="37"/>
      <c r="H298" s="36"/>
      <c r="I298" s="23"/>
      <c r="J298" s="24"/>
      <c r="K298" s="24"/>
      <c r="L298" s="22"/>
    </row>
    <row r="299" spans="1:12" s="20" customFormat="1" ht="174" x14ac:dyDescent="0.4">
      <c r="A299" s="14" t="s">
        <v>273</v>
      </c>
      <c r="B299" s="14"/>
      <c r="C299" s="23"/>
      <c r="D299" s="36">
        <v>9</v>
      </c>
      <c r="E299" s="93" t="s">
        <v>462</v>
      </c>
      <c r="F299" s="37" t="s">
        <v>474</v>
      </c>
      <c r="G299" s="93"/>
      <c r="H299" s="36"/>
      <c r="I299" s="23"/>
      <c r="J299" s="24"/>
      <c r="K299" s="24"/>
      <c r="L299" s="22"/>
    </row>
    <row r="300" spans="1:12" s="20" customFormat="1" ht="159.5" x14ac:dyDescent="0.4">
      <c r="A300" s="14" t="s">
        <v>273</v>
      </c>
      <c r="B300" s="14"/>
      <c r="C300" s="14"/>
      <c r="D300" s="36">
        <v>10</v>
      </c>
      <c r="E300" s="37" t="s">
        <v>354</v>
      </c>
      <c r="F300" s="37" t="s">
        <v>356</v>
      </c>
      <c r="G300" s="37" t="s">
        <v>407</v>
      </c>
      <c r="H300" s="36"/>
      <c r="I300" s="23"/>
      <c r="J300" s="24"/>
      <c r="K300" s="24"/>
      <c r="L300" s="22"/>
    </row>
    <row r="301" spans="1:12" s="20" customFormat="1" ht="165" customHeight="1" x14ac:dyDescent="0.4">
      <c r="A301" s="14" t="s">
        <v>273</v>
      </c>
      <c r="B301" s="14"/>
      <c r="C301" s="14"/>
      <c r="D301" s="36">
        <v>11</v>
      </c>
      <c r="E301" s="37" t="s">
        <v>357</v>
      </c>
      <c r="F301" s="37" t="s">
        <v>475</v>
      </c>
      <c r="G301" s="37"/>
      <c r="H301" s="36"/>
      <c r="I301" s="23"/>
      <c r="J301" s="24"/>
      <c r="K301" s="24"/>
      <c r="L301" s="22"/>
    </row>
    <row r="302" spans="1:12" s="20" customFormat="1" ht="43.5" x14ac:dyDescent="0.4">
      <c r="A302" s="39"/>
      <c r="B302" s="39" t="s">
        <v>559</v>
      </c>
      <c r="C302" s="39" t="s">
        <v>944</v>
      </c>
      <c r="D302" s="40"/>
      <c r="E302" s="41"/>
      <c r="F302" s="41"/>
      <c r="G302" s="41"/>
      <c r="H302" s="40"/>
      <c r="I302" s="32"/>
      <c r="J302" s="24"/>
      <c r="K302" s="24"/>
      <c r="L302" s="22"/>
    </row>
    <row r="303" spans="1:12" s="20" customFormat="1" ht="72.5" x14ac:dyDescent="0.4">
      <c r="A303" s="14" t="s">
        <v>273</v>
      </c>
      <c r="B303" s="14"/>
      <c r="C303" s="23"/>
      <c r="D303" s="36">
        <v>1</v>
      </c>
      <c r="E303" s="37" t="s">
        <v>304</v>
      </c>
      <c r="F303" s="37" t="s">
        <v>302</v>
      </c>
      <c r="G303" s="37" t="s">
        <v>303</v>
      </c>
      <c r="H303" s="36" t="s">
        <v>293</v>
      </c>
      <c r="I303" s="23" t="s">
        <v>123</v>
      </c>
      <c r="J303" s="24"/>
      <c r="K303" s="24"/>
      <c r="L303" s="22"/>
    </row>
    <row r="304" spans="1:12" s="20" customFormat="1" ht="246.5" x14ac:dyDescent="0.4">
      <c r="A304" s="14" t="s">
        <v>273</v>
      </c>
      <c r="B304" s="14"/>
      <c r="C304" s="23"/>
      <c r="D304" s="36">
        <v>2</v>
      </c>
      <c r="E304" s="37" t="s">
        <v>305</v>
      </c>
      <c r="F304" s="81" t="s">
        <v>306</v>
      </c>
      <c r="G304" s="37" t="s">
        <v>352</v>
      </c>
      <c r="H304" s="36"/>
      <c r="I304" s="23"/>
      <c r="J304" s="24"/>
      <c r="K304" s="24"/>
      <c r="L304" s="22"/>
    </row>
    <row r="305" spans="1:12" s="20" customFormat="1" ht="391.5" x14ac:dyDescent="0.4">
      <c r="A305" s="14" t="s">
        <v>273</v>
      </c>
      <c r="B305" s="14"/>
      <c r="C305" s="23"/>
      <c r="D305" s="36">
        <v>3</v>
      </c>
      <c r="E305" s="37" t="s">
        <v>440</v>
      </c>
      <c r="F305" s="37" t="s">
        <v>441</v>
      </c>
      <c r="G305" s="37"/>
      <c r="H305" s="36"/>
      <c r="I305" s="23"/>
      <c r="J305" s="24"/>
      <c r="K305" s="24"/>
      <c r="L305" s="22"/>
    </row>
    <row r="306" spans="1:12" s="20" customFormat="1" ht="333.5" x14ac:dyDescent="0.4">
      <c r="A306" s="14" t="s">
        <v>273</v>
      </c>
      <c r="B306" s="14"/>
      <c r="C306" s="23"/>
      <c r="D306" s="36">
        <v>4</v>
      </c>
      <c r="E306" s="37" t="s">
        <v>442</v>
      </c>
      <c r="F306" s="37" t="s">
        <v>444</v>
      </c>
      <c r="G306" s="37" t="s">
        <v>443</v>
      </c>
      <c r="H306" s="36"/>
      <c r="I306" s="23"/>
      <c r="J306" s="24"/>
      <c r="K306" s="24"/>
      <c r="L306" s="22"/>
    </row>
    <row r="307" spans="1:12" s="20" customFormat="1" ht="409.5" x14ac:dyDescent="0.4">
      <c r="A307" s="14" t="s">
        <v>273</v>
      </c>
      <c r="B307" s="14"/>
      <c r="C307" s="23"/>
      <c r="D307" s="36">
        <v>5</v>
      </c>
      <c r="E307" s="37" t="s">
        <v>470</v>
      </c>
      <c r="F307" s="92" t="s">
        <v>471</v>
      </c>
      <c r="G307" s="37" t="s">
        <v>1157</v>
      </c>
      <c r="H307" s="36"/>
      <c r="I307" s="23"/>
      <c r="J307" s="24"/>
      <c r="K307" s="24"/>
      <c r="L307" s="22"/>
    </row>
    <row r="308" spans="1:12" s="20" customFormat="1" ht="43.5" x14ac:dyDescent="0.4">
      <c r="A308" s="39"/>
      <c r="B308" s="39" t="s">
        <v>560</v>
      </c>
      <c r="C308" s="39" t="s">
        <v>899</v>
      </c>
      <c r="D308" s="40"/>
      <c r="E308" s="41"/>
      <c r="F308" s="41"/>
      <c r="G308" s="41"/>
      <c r="H308" s="40"/>
      <c r="I308" s="32"/>
      <c r="J308" s="24"/>
      <c r="K308" s="24"/>
      <c r="L308" s="22"/>
    </row>
    <row r="309" spans="1:12" s="20" customFormat="1" ht="72.5" x14ac:dyDescent="0.4">
      <c r="A309" s="14" t="s">
        <v>273</v>
      </c>
      <c r="B309" s="14"/>
      <c r="C309" s="23"/>
      <c r="D309" s="36">
        <v>1</v>
      </c>
      <c r="E309" s="37" t="s">
        <v>304</v>
      </c>
      <c r="F309" s="37" t="s">
        <v>302</v>
      </c>
      <c r="G309" s="37" t="s">
        <v>303</v>
      </c>
      <c r="H309" s="36" t="s">
        <v>293</v>
      </c>
      <c r="I309" s="23" t="s">
        <v>123</v>
      </c>
      <c r="J309" s="24"/>
      <c r="K309" s="24"/>
      <c r="L309" s="22"/>
    </row>
    <row r="310" spans="1:12" s="20" customFormat="1" ht="246.5" x14ac:dyDescent="0.4">
      <c r="A310" s="14" t="s">
        <v>273</v>
      </c>
      <c r="B310" s="14"/>
      <c r="C310" s="23"/>
      <c r="D310" s="36">
        <v>2</v>
      </c>
      <c r="E310" s="37" t="s">
        <v>305</v>
      </c>
      <c r="F310" s="81" t="s">
        <v>306</v>
      </c>
      <c r="G310" s="37" t="s">
        <v>352</v>
      </c>
      <c r="H310" s="36"/>
      <c r="I310" s="23"/>
      <c r="J310" s="24"/>
      <c r="K310" s="24"/>
      <c r="L310" s="22"/>
    </row>
    <row r="311" spans="1:12" s="20" customFormat="1" ht="391.5" x14ac:dyDescent="0.4">
      <c r="A311" s="14" t="s">
        <v>273</v>
      </c>
      <c r="B311" s="14"/>
      <c r="C311" s="23"/>
      <c r="D311" s="36">
        <v>3</v>
      </c>
      <c r="E311" s="37" t="s">
        <v>440</v>
      </c>
      <c r="F311" s="37" t="s">
        <v>441</v>
      </c>
      <c r="G311" s="37"/>
      <c r="H311" s="36"/>
      <c r="I311" s="23"/>
      <c r="J311" s="24"/>
      <c r="K311" s="24"/>
      <c r="L311" s="22"/>
    </row>
    <row r="312" spans="1:12" s="20" customFormat="1" ht="333.5" x14ac:dyDescent="0.4">
      <c r="A312" s="14" t="s">
        <v>273</v>
      </c>
      <c r="B312" s="14"/>
      <c r="C312" s="23"/>
      <c r="D312" s="36">
        <v>4</v>
      </c>
      <c r="E312" s="37" t="s">
        <v>442</v>
      </c>
      <c r="F312" s="37" t="s">
        <v>444</v>
      </c>
      <c r="G312" s="37" t="s">
        <v>898</v>
      </c>
      <c r="H312" s="36"/>
      <c r="I312" s="23"/>
      <c r="J312" s="24"/>
      <c r="K312" s="24"/>
      <c r="L312" s="22"/>
    </row>
    <row r="313" spans="1:12" s="20" customFormat="1" ht="409.5" x14ac:dyDescent="0.4">
      <c r="A313" s="14" t="s">
        <v>273</v>
      </c>
      <c r="B313" s="14"/>
      <c r="C313" s="23"/>
      <c r="D313" s="36">
        <v>5</v>
      </c>
      <c r="E313" s="37" t="s">
        <v>470</v>
      </c>
      <c r="F313" s="92" t="s">
        <v>471</v>
      </c>
      <c r="G313" s="37"/>
      <c r="H313" s="36"/>
      <c r="I313" s="23"/>
      <c r="J313" s="24"/>
      <c r="K313" s="24"/>
      <c r="L313" s="22"/>
    </row>
    <row r="314" spans="1:12" s="20" customFormat="1" ht="75" x14ac:dyDescent="0.4">
      <c r="A314" s="14" t="s">
        <v>273</v>
      </c>
      <c r="B314" s="14"/>
      <c r="C314" s="23"/>
      <c r="D314" s="36">
        <v>6</v>
      </c>
      <c r="E314" s="93" t="s">
        <v>900</v>
      </c>
      <c r="F314" s="92" t="s">
        <v>905</v>
      </c>
      <c r="G314" s="37"/>
      <c r="H314" s="36"/>
      <c r="I314" s="23"/>
      <c r="J314" s="24"/>
      <c r="K314" s="24"/>
      <c r="L314" s="22"/>
    </row>
    <row r="315" spans="1:12" s="20" customFormat="1" ht="105" x14ac:dyDescent="0.4">
      <c r="A315" s="14" t="s">
        <v>273</v>
      </c>
      <c r="B315" s="14"/>
      <c r="C315" s="23"/>
      <c r="D315" s="36">
        <v>7</v>
      </c>
      <c r="E315" s="93" t="s">
        <v>906</v>
      </c>
      <c r="F315" s="92" t="s">
        <v>901</v>
      </c>
      <c r="G315" s="37"/>
      <c r="H315" s="36"/>
      <c r="I315" s="23"/>
      <c r="J315" s="24"/>
      <c r="K315" s="24"/>
      <c r="L315" s="22"/>
    </row>
    <row r="316" spans="1:12" s="20" customFormat="1" ht="43.5" x14ac:dyDescent="0.4">
      <c r="A316" s="39"/>
      <c r="B316" s="39" t="s">
        <v>579</v>
      </c>
      <c r="C316" s="39" t="s">
        <v>902</v>
      </c>
      <c r="D316" s="40"/>
      <c r="E316" s="41"/>
      <c r="F316" s="41"/>
      <c r="G316" s="41"/>
      <c r="H316" s="40"/>
      <c r="I316" s="32"/>
      <c r="J316" s="24"/>
      <c r="K316" s="24"/>
      <c r="L316" s="22"/>
    </row>
    <row r="317" spans="1:12" s="20" customFormat="1" ht="72.5" x14ac:dyDescent="0.4">
      <c r="A317" s="14" t="s">
        <v>273</v>
      </c>
      <c r="B317" s="14"/>
      <c r="C317" s="23"/>
      <c r="D317" s="36">
        <v>1</v>
      </c>
      <c r="E317" s="37" t="s">
        <v>304</v>
      </c>
      <c r="F317" s="37" t="s">
        <v>302</v>
      </c>
      <c r="G317" s="37" t="s">
        <v>303</v>
      </c>
      <c r="H317" s="36" t="s">
        <v>293</v>
      </c>
      <c r="I317" s="23" t="s">
        <v>123</v>
      </c>
      <c r="J317" s="24"/>
      <c r="K317" s="24"/>
      <c r="L317" s="22"/>
    </row>
    <row r="318" spans="1:12" s="20" customFormat="1" ht="246.5" x14ac:dyDescent="0.4">
      <c r="A318" s="14" t="s">
        <v>273</v>
      </c>
      <c r="B318" s="14"/>
      <c r="C318" s="23"/>
      <c r="D318" s="36">
        <v>2</v>
      </c>
      <c r="E318" s="37" t="s">
        <v>305</v>
      </c>
      <c r="F318" s="81" t="s">
        <v>306</v>
      </c>
      <c r="G318" s="37" t="s">
        <v>352</v>
      </c>
      <c r="H318" s="36"/>
      <c r="I318" s="23"/>
      <c r="J318" s="24"/>
      <c r="K318" s="24"/>
      <c r="L318" s="22"/>
    </row>
    <row r="319" spans="1:12" s="20" customFormat="1" ht="391.5" x14ac:dyDescent="0.4">
      <c r="A319" s="14" t="s">
        <v>273</v>
      </c>
      <c r="B319" s="14"/>
      <c r="C319" s="23"/>
      <c r="D319" s="36">
        <v>3</v>
      </c>
      <c r="E319" s="37" t="s">
        <v>440</v>
      </c>
      <c r="F319" s="37" t="s">
        <v>441</v>
      </c>
      <c r="G319" s="37"/>
      <c r="H319" s="36"/>
      <c r="I319" s="23"/>
      <c r="J319" s="24"/>
      <c r="K319" s="24"/>
      <c r="L319" s="22"/>
    </row>
    <row r="320" spans="1:12" s="20" customFormat="1" ht="333.5" x14ac:dyDescent="0.4">
      <c r="A320" s="14" t="s">
        <v>273</v>
      </c>
      <c r="B320" s="14"/>
      <c r="C320" s="23"/>
      <c r="D320" s="36">
        <v>4</v>
      </c>
      <c r="E320" s="37" t="s">
        <v>442</v>
      </c>
      <c r="F320" s="37" t="s">
        <v>444</v>
      </c>
      <c r="G320" s="37"/>
      <c r="H320" s="36"/>
      <c r="I320" s="23"/>
      <c r="J320" s="24"/>
      <c r="K320" s="24"/>
      <c r="L320" s="22"/>
    </row>
    <row r="321" spans="1:12" s="20" customFormat="1" ht="409.5" x14ac:dyDescent="0.4">
      <c r="A321" s="14" t="s">
        <v>273</v>
      </c>
      <c r="B321" s="14"/>
      <c r="C321" s="23"/>
      <c r="D321" s="36">
        <v>5</v>
      </c>
      <c r="E321" s="37" t="s">
        <v>470</v>
      </c>
      <c r="F321" s="92" t="s">
        <v>471</v>
      </c>
      <c r="G321" s="37"/>
      <c r="H321" s="36"/>
      <c r="I321" s="23"/>
      <c r="J321" s="24"/>
      <c r="K321" s="24"/>
      <c r="L321" s="22"/>
    </row>
    <row r="322" spans="1:12" s="20" customFormat="1" ht="60" x14ac:dyDescent="0.4">
      <c r="A322" s="14" t="s">
        <v>273</v>
      </c>
      <c r="B322" s="14"/>
      <c r="C322" s="23"/>
      <c r="D322" s="36">
        <v>6</v>
      </c>
      <c r="E322" s="93" t="s">
        <v>903</v>
      </c>
      <c r="F322" s="92" t="s">
        <v>904</v>
      </c>
      <c r="G322" s="37"/>
      <c r="H322" s="36"/>
      <c r="I322" s="23"/>
      <c r="J322" s="24"/>
      <c r="K322" s="24"/>
      <c r="L322" s="22"/>
    </row>
    <row r="323" spans="1:12" s="20" customFormat="1" ht="120" x14ac:dyDescent="0.4">
      <c r="A323" s="14" t="s">
        <v>273</v>
      </c>
      <c r="B323" s="14"/>
      <c r="C323" s="23"/>
      <c r="D323" s="36">
        <v>7</v>
      </c>
      <c r="E323" s="93" t="s">
        <v>907</v>
      </c>
      <c r="F323" s="92" t="s">
        <v>901</v>
      </c>
      <c r="G323" s="37"/>
      <c r="H323" s="36"/>
      <c r="I323" s="23"/>
      <c r="J323" s="24"/>
      <c r="K323" s="24"/>
      <c r="L323" s="22"/>
    </row>
    <row r="324" spans="1:12" s="20" customFormat="1" ht="29" x14ac:dyDescent="0.4">
      <c r="A324" s="39"/>
      <c r="B324" s="39" t="s">
        <v>582</v>
      </c>
      <c r="C324" s="39" t="s">
        <v>838</v>
      </c>
      <c r="D324" s="40"/>
      <c r="E324" s="41"/>
      <c r="F324" s="41"/>
      <c r="G324" s="41"/>
      <c r="H324" s="40"/>
      <c r="I324" s="32"/>
      <c r="J324" s="24"/>
      <c r="K324" s="24"/>
      <c r="L324" s="22"/>
    </row>
    <row r="325" spans="1:12" s="20" customFormat="1" ht="72.5" x14ac:dyDescent="0.4">
      <c r="A325" s="14" t="s">
        <v>273</v>
      </c>
      <c r="B325" s="14"/>
      <c r="C325" s="23"/>
      <c r="D325" s="36">
        <v>1</v>
      </c>
      <c r="E325" s="37" t="s">
        <v>304</v>
      </c>
      <c r="F325" s="37" t="s">
        <v>302</v>
      </c>
      <c r="G325" s="37" t="s">
        <v>303</v>
      </c>
      <c r="H325" s="36" t="s">
        <v>293</v>
      </c>
      <c r="I325" s="23" t="s">
        <v>123</v>
      </c>
      <c r="J325" s="24"/>
      <c r="K325" s="24"/>
      <c r="L325" s="22"/>
    </row>
    <row r="326" spans="1:12" s="20" customFormat="1" ht="246.5" x14ac:dyDescent="0.4">
      <c r="A326" s="14" t="s">
        <v>273</v>
      </c>
      <c r="B326" s="14"/>
      <c r="C326" s="23"/>
      <c r="D326" s="36">
        <v>2</v>
      </c>
      <c r="E326" s="37" t="s">
        <v>305</v>
      </c>
      <c r="F326" s="81" t="s">
        <v>306</v>
      </c>
      <c r="G326" s="37" t="s">
        <v>352</v>
      </c>
      <c r="H326" s="36"/>
      <c r="I326" s="23"/>
      <c r="J326" s="24"/>
      <c r="K326" s="24"/>
      <c r="L326" s="22"/>
    </row>
    <row r="327" spans="1:12" s="20" customFormat="1" ht="391.5" x14ac:dyDescent="0.4">
      <c r="A327" s="14" t="s">
        <v>273</v>
      </c>
      <c r="B327" s="14"/>
      <c r="C327" s="23"/>
      <c r="D327" s="36">
        <v>3</v>
      </c>
      <c r="E327" s="37" t="s">
        <v>440</v>
      </c>
      <c r="F327" s="37" t="s">
        <v>441</v>
      </c>
      <c r="G327" s="37"/>
      <c r="H327" s="36"/>
      <c r="I327" s="23"/>
      <c r="J327" s="24"/>
      <c r="K327" s="24"/>
      <c r="L327" s="22"/>
    </row>
    <row r="328" spans="1:12" s="20" customFormat="1" ht="333.5" x14ac:dyDescent="0.4">
      <c r="A328" s="14" t="s">
        <v>273</v>
      </c>
      <c r="B328" s="14"/>
      <c r="C328" s="23"/>
      <c r="D328" s="36">
        <v>4</v>
      </c>
      <c r="E328" s="37" t="s">
        <v>442</v>
      </c>
      <c r="F328" s="37" t="s">
        <v>444</v>
      </c>
      <c r="G328" s="37" t="s">
        <v>898</v>
      </c>
      <c r="H328" s="36"/>
      <c r="I328" s="23"/>
      <c r="J328" s="24"/>
      <c r="K328" s="24"/>
      <c r="L328" s="22"/>
    </row>
    <row r="329" spans="1:12" s="20" customFormat="1" ht="409.5" x14ac:dyDescent="0.4">
      <c r="A329" s="14" t="s">
        <v>273</v>
      </c>
      <c r="B329" s="14"/>
      <c r="C329" s="23"/>
      <c r="D329" s="36">
        <v>5</v>
      </c>
      <c r="E329" s="37" t="s">
        <v>480</v>
      </c>
      <c r="F329" s="92" t="s">
        <v>481</v>
      </c>
      <c r="G329" s="37"/>
      <c r="H329" s="36"/>
      <c r="I329" s="23"/>
      <c r="J329" s="24"/>
      <c r="K329" s="24"/>
      <c r="L329" s="22"/>
    </row>
    <row r="330" spans="1:12" s="20" customFormat="1" ht="87" x14ac:dyDescent="0.4">
      <c r="A330" s="14" t="s">
        <v>273</v>
      </c>
      <c r="B330" s="14"/>
      <c r="C330" s="23"/>
      <c r="D330" s="36">
        <v>6</v>
      </c>
      <c r="E330" s="37" t="s">
        <v>482</v>
      </c>
      <c r="F330" s="37" t="s">
        <v>476</v>
      </c>
      <c r="G330" s="37"/>
      <c r="H330" s="36"/>
      <c r="I330" s="23"/>
      <c r="J330" s="24"/>
      <c r="K330" s="24"/>
      <c r="L330" s="22"/>
    </row>
    <row r="331" spans="1:12" s="20" customFormat="1" ht="130.5" x14ac:dyDescent="0.4">
      <c r="A331" s="14" t="s">
        <v>273</v>
      </c>
      <c r="B331" s="14"/>
      <c r="C331" s="69"/>
      <c r="D331" s="36">
        <v>7</v>
      </c>
      <c r="E331" s="37" t="s">
        <v>483</v>
      </c>
      <c r="F331" s="37" t="s">
        <v>484</v>
      </c>
      <c r="G331" s="37"/>
      <c r="H331" s="37"/>
      <c r="I331" s="37"/>
      <c r="J331" s="24"/>
      <c r="K331" s="24"/>
      <c r="L331" s="22"/>
    </row>
    <row r="332" spans="1:12" s="20" customFormat="1" ht="58" x14ac:dyDescent="0.4">
      <c r="A332" s="14" t="s">
        <v>273</v>
      </c>
      <c r="B332" s="14"/>
      <c r="C332" s="69"/>
      <c r="D332" s="36">
        <v>8</v>
      </c>
      <c r="E332" s="37" t="s">
        <v>911</v>
      </c>
      <c r="F332" s="37" t="s">
        <v>539</v>
      </c>
      <c r="G332" s="37"/>
      <c r="H332" s="37"/>
      <c r="I332" s="37"/>
      <c r="J332" s="24"/>
      <c r="K332" s="24"/>
      <c r="L332" s="22"/>
    </row>
    <row r="333" spans="1:12" s="20" customFormat="1" ht="29" x14ac:dyDescent="0.4">
      <c r="A333" s="39"/>
      <c r="B333" s="39" t="s">
        <v>586</v>
      </c>
      <c r="C333" s="39" t="s">
        <v>945</v>
      </c>
      <c r="D333" s="40"/>
      <c r="E333" s="41"/>
      <c r="F333" s="41"/>
      <c r="G333" s="41"/>
      <c r="H333" s="40"/>
      <c r="I333" s="32"/>
      <c r="J333" s="24"/>
      <c r="K333" s="24"/>
      <c r="L333" s="22"/>
    </row>
    <row r="334" spans="1:12" s="20" customFormat="1" ht="72.5" x14ac:dyDescent="0.4">
      <c r="A334" s="14" t="s">
        <v>273</v>
      </c>
      <c r="B334" s="14"/>
      <c r="C334" s="23"/>
      <c r="D334" s="36">
        <v>1</v>
      </c>
      <c r="E334" s="37" t="s">
        <v>304</v>
      </c>
      <c r="F334" s="37" t="s">
        <v>302</v>
      </c>
      <c r="G334" s="37" t="s">
        <v>303</v>
      </c>
      <c r="H334" s="36" t="s">
        <v>293</v>
      </c>
      <c r="I334" s="23" t="s">
        <v>123</v>
      </c>
      <c r="J334" s="24"/>
      <c r="K334" s="24"/>
      <c r="L334" s="22"/>
    </row>
    <row r="335" spans="1:12" s="20" customFormat="1" ht="246.5" x14ac:dyDescent="0.4">
      <c r="A335" s="14" t="s">
        <v>273</v>
      </c>
      <c r="B335" s="14"/>
      <c r="C335" s="23"/>
      <c r="D335" s="36">
        <v>2</v>
      </c>
      <c r="E335" s="37" t="s">
        <v>305</v>
      </c>
      <c r="F335" s="81" t="s">
        <v>306</v>
      </c>
      <c r="G335" s="37" t="s">
        <v>352</v>
      </c>
      <c r="H335" s="36"/>
      <c r="I335" s="23"/>
      <c r="J335" s="24"/>
      <c r="K335" s="24"/>
      <c r="L335" s="22"/>
    </row>
    <row r="336" spans="1:12" s="20" customFormat="1" ht="391.5" x14ac:dyDescent="0.4">
      <c r="A336" s="14" t="s">
        <v>273</v>
      </c>
      <c r="B336" s="14"/>
      <c r="C336" s="23"/>
      <c r="D336" s="36">
        <v>3</v>
      </c>
      <c r="E336" s="37" t="s">
        <v>440</v>
      </c>
      <c r="F336" s="37" t="s">
        <v>441</v>
      </c>
      <c r="G336" s="37"/>
      <c r="H336" s="36"/>
      <c r="I336" s="23"/>
      <c r="J336" s="24"/>
      <c r="K336" s="24"/>
      <c r="L336" s="22"/>
    </row>
    <row r="337" spans="1:12" s="20" customFormat="1" ht="333.5" x14ac:dyDescent="0.4">
      <c r="A337" s="14" t="s">
        <v>273</v>
      </c>
      <c r="B337" s="14"/>
      <c r="C337" s="23"/>
      <c r="D337" s="36">
        <v>4</v>
      </c>
      <c r="E337" s="37" t="s">
        <v>442</v>
      </c>
      <c r="F337" s="37" t="s">
        <v>444</v>
      </c>
      <c r="G337" s="37" t="s">
        <v>898</v>
      </c>
      <c r="H337" s="36"/>
      <c r="I337" s="23"/>
      <c r="J337" s="24"/>
      <c r="K337" s="24"/>
      <c r="L337" s="22"/>
    </row>
    <row r="338" spans="1:12" s="20" customFormat="1" ht="409.5" x14ac:dyDescent="0.4">
      <c r="A338" s="14" t="s">
        <v>273</v>
      </c>
      <c r="B338" s="14"/>
      <c r="C338" s="23"/>
      <c r="D338" s="36">
        <v>5</v>
      </c>
      <c r="E338" s="37" t="s">
        <v>480</v>
      </c>
      <c r="F338" s="92" t="s">
        <v>481</v>
      </c>
      <c r="G338" s="37" t="s">
        <v>1162</v>
      </c>
      <c r="H338" s="36"/>
      <c r="I338" s="23"/>
      <c r="J338" s="24"/>
      <c r="K338" s="24"/>
      <c r="L338" s="22"/>
    </row>
    <row r="339" spans="1:12" s="20" customFormat="1" ht="43.5" x14ac:dyDescent="0.4">
      <c r="A339" s="39"/>
      <c r="B339" s="39" t="s">
        <v>587</v>
      </c>
      <c r="C339" s="39" t="s">
        <v>908</v>
      </c>
      <c r="D339" s="40"/>
      <c r="E339" s="41"/>
      <c r="F339" s="41"/>
      <c r="G339" s="41"/>
      <c r="H339" s="40"/>
      <c r="I339" s="32"/>
      <c r="J339" s="24"/>
      <c r="K339" s="24"/>
      <c r="L339" s="22"/>
    </row>
    <row r="340" spans="1:12" s="20" customFormat="1" ht="72.5" x14ac:dyDescent="0.4">
      <c r="A340" s="14" t="s">
        <v>273</v>
      </c>
      <c r="B340" s="14"/>
      <c r="C340" s="23"/>
      <c r="D340" s="36">
        <v>1</v>
      </c>
      <c r="E340" s="37" t="s">
        <v>304</v>
      </c>
      <c r="F340" s="37" t="s">
        <v>302</v>
      </c>
      <c r="G340" s="37" t="s">
        <v>303</v>
      </c>
      <c r="H340" s="36" t="s">
        <v>293</v>
      </c>
      <c r="I340" s="23" t="s">
        <v>123</v>
      </c>
      <c r="J340" s="24"/>
      <c r="K340" s="24"/>
      <c r="L340" s="22"/>
    </row>
    <row r="341" spans="1:12" s="20" customFormat="1" ht="246.5" x14ac:dyDescent="0.4">
      <c r="A341" s="14" t="s">
        <v>273</v>
      </c>
      <c r="B341" s="14"/>
      <c r="C341" s="23"/>
      <c r="D341" s="36">
        <v>2</v>
      </c>
      <c r="E341" s="37" t="s">
        <v>305</v>
      </c>
      <c r="F341" s="81" t="s">
        <v>306</v>
      </c>
      <c r="G341" s="37" t="s">
        <v>352</v>
      </c>
      <c r="H341" s="36"/>
      <c r="I341" s="23"/>
      <c r="J341" s="24"/>
      <c r="K341" s="24"/>
      <c r="L341" s="22"/>
    </row>
    <row r="342" spans="1:12" s="20" customFormat="1" ht="391.5" x14ac:dyDescent="0.4">
      <c r="A342" s="14" t="s">
        <v>273</v>
      </c>
      <c r="B342" s="14"/>
      <c r="C342" s="23"/>
      <c r="D342" s="36">
        <v>3</v>
      </c>
      <c r="E342" s="37" t="s">
        <v>440</v>
      </c>
      <c r="F342" s="37" t="s">
        <v>441</v>
      </c>
      <c r="G342" s="37"/>
      <c r="H342" s="36"/>
      <c r="I342" s="23"/>
      <c r="J342" s="24"/>
      <c r="K342" s="24"/>
      <c r="L342" s="22"/>
    </row>
    <row r="343" spans="1:12" s="20" customFormat="1" ht="333.5" x14ac:dyDescent="0.4">
      <c r="A343" s="14" t="s">
        <v>273</v>
      </c>
      <c r="B343" s="14"/>
      <c r="C343" s="23"/>
      <c r="D343" s="36">
        <v>4</v>
      </c>
      <c r="E343" s="37" t="s">
        <v>442</v>
      </c>
      <c r="F343" s="37" t="s">
        <v>444</v>
      </c>
      <c r="G343" s="37" t="s">
        <v>898</v>
      </c>
      <c r="H343" s="36"/>
      <c r="I343" s="23"/>
      <c r="J343" s="24"/>
      <c r="K343" s="24"/>
      <c r="L343" s="22"/>
    </row>
    <row r="344" spans="1:12" s="20" customFormat="1" ht="409.5" x14ac:dyDescent="0.4">
      <c r="A344" s="14" t="s">
        <v>273</v>
      </c>
      <c r="B344" s="14"/>
      <c r="C344" s="23"/>
      <c r="D344" s="36">
        <v>5</v>
      </c>
      <c r="E344" s="37" t="s">
        <v>480</v>
      </c>
      <c r="F344" s="92" t="s">
        <v>481</v>
      </c>
      <c r="G344" s="37"/>
      <c r="H344" s="36"/>
      <c r="I344" s="23"/>
      <c r="J344" s="24"/>
      <c r="K344" s="24"/>
      <c r="L344" s="22"/>
    </row>
    <row r="345" spans="1:12" s="20" customFormat="1" ht="87" x14ac:dyDescent="0.4">
      <c r="A345" s="14" t="s">
        <v>273</v>
      </c>
      <c r="B345" s="14"/>
      <c r="C345" s="23"/>
      <c r="D345" s="36">
        <v>6</v>
      </c>
      <c r="E345" s="37" t="s">
        <v>482</v>
      </c>
      <c r="F345" s="37" t="s">
        <v>476</v>
      </c>
      <c r="G345" s="37"/>
      <c r="H345" s="36"/>
      <c r="I345" s="23"/>
      <c r="J345" s="24"/>
      <c r="K345" s="24"/>
      <c r="L345" s="22"/>
    </row>
    <row r="346" spans="1:12" s="20" customFormat="1" ht="130.5" x14ac:dyDescent="0.4">
      <c r="A346" s="14" t="s">
        <v>273</v>
      </c>
      <c r="B346" s="14"/>
      <c r="C346" s="69"/>
      <c r="D346" s="36">
        <v>7</v>
      </c>
      <c r="E346" s="37" t="s">
        <v>910</v>
      </c>
      <c r="F346" s="37" t="s">
        <v>484</v>
      </c>
      <c r="G346" s="37"/>
      <c r="H346" s="37"/>
      <c r="I346" s="37"/>
      <c r="J346" s="24"/>
      <c r="K346" s="24"/>
      <c r="L346" s="22"/>
    </row>
    <row r="347" spans="1:12" s="20" customFormat="1" ht="43.5" x14ac:dyDescent="0.4">
      <c r="A347" s="39"/>
      <c r="B347" s="39" t="s">
        <v>588</v>
      </c>
      <c r="C347" s="39" t="s">
        <v>909</v>
      </c>
      <c r="D347" s="40"/>
      <c r="E347" s="41"/>
      <c r="F347" s="41"/>
      <c r="G347" s="41"/>
      <c r="H347" s="40"/>
      <c r="I347" s="32"/>
      <c r="J347" s="24"/>
      <c r="K347" s="24"/>
      <c r="L347" s="22"/>
    </row>
    <row r="348" spans="1:12" s="20" customFormat="1" ht="72.5" x14ac:dyDescent="0.4">
      <c r="A348" s="14" t="s">
        <v>273</v>
      </c>
      <c r="B348" s="14"/>
      <c r="C348" s="23"/>
      <c r="D348" s="36">
        <v>1</v>
      </c>
      <c r="E348" s="37" t="s">
        <v>304</v>
      </c>
      <c r="F348" s="37" t="s">
        <v>302</v>
      </c>
      <c r="G348" s="37" t="s">
        <v>303</v>
      </c>
      <c r="H348" s="36" t="s">
        <v>293</v>
      </c>
      <c r="I348" s="23" t="s">
        <v>123</v>
      </c>
      <c r="J348" s="24"/>
      <c r="K348" s="24"/>
      <c r="L348" s="22"/>
    </row>
    <row r="349" spans="1:12" s="20" customFormat="1" ht="246.5" x14ac:dyDescent="0.4">
      <c r="A349" s="14" t="s">
        <v>273</v>
      </c>
      <c r="B349" s="14"/>
      <c r="C349" s="23"/>
      <c r="D349" s="36">
        <v>2</v>
      </c>
      <c r="E349" s="37" t="s">
        <v>305</v>
      </c>
      <c r="F349" s="81" t="s">
        <v>306</v>
      </c>
      <c r="G349" s="37" t="s">
        <v>352</v>
      </c>
      <c r="H349" s="36"/>
      <c r="I349" s="23"/>
      <c r="J349" s="24"/>
      <c r="K349" s="24"/>
      <c r="L349" s="22"/>
    </row>
    <row r="350" spans="1:12" s="20" customFormat="1" ht="391.5" x14ac:dyDescent="0.4">
      <c r="A350" s="14" t="s">
        <v>273</v>
      </c>
      <c r="B350" s="14"/>
      <c r="C350" s="23"/>
      <c r="D350" s="36">
        <v>3</v>
      </c>
      <c r="E350" s="37" t="s">
        <v>440</v>
      </c>
      <c r="F350" s="37" t="s">
        <v>441</v>
      </c>
      <c r="G350" s="37"/>
      <c r="H350" s="36"/>
      <c r="I350" s="23"/>
      <c r="J350" s="24"/>
      <c r="K350" s="24"/>
      <c r="L350" s="22"/>
    </row>
    <row r="351" spans="1:12" s="20" customFormat="1" ht="333.5" x14ac:dyDescent="0.4">
      <c r="A351" s="14" t="s">
        <v>273</v>
      </c>
      <c r="B351" s="14"/>
      <c r="C351" s="23"/>
      <c r="D351" s="36">
        <v>4</v>
      </c>
      <c r="E351" s="37" t="s">
        <v>442</v>
      </c>
      <c r="F351" s="37" t="s">
        <v>444</v>
      </c>
      <c r="G351" s="37" t="s">
        <v>898</v>
      </c>
      <c r="H351" s="36"/>
      <c r="I351" s="23"/>
      <c r="J351" s="24"/>
      <c r="K351" s="24"/>
      <c r="L351" s="22"/>
    </row>
    <row r="352" spans="1:12" s="20" customFormat="1" ht="409.5" x14ac:dyDescent="0.4">
      <c r="A352" s="14" t="s">
        <v>273</v>
      </c>
      <c r="B352" s="14"/>
      <c r="C352" s="23"/>
      <c r="D352" s="36">
        <v>5</v>
      </c>
      <c r="E352" s="37" t="s">
        <v>480</v>
      </c>
      <c r="F352" s="92" t="s">
        <v>481</v>
      </c>
      <c r="G352" s="37"/>
      <c r="H352" s="36"/>
      <c r="I352" s="23"/>
      <c r="J352" s="24"/>
      <c r="K352" s="24"/>
      <c r="L352" s="22"/>
    </row>
    <row r="353" spans="1:12" s="20" customFormat="1" ht="87" x14ac:dyDescent="0.4">
      <c r="A353" s="14" t="s">
        <v>273</v>
      </c>
      <c r="B353" s="14"/>
      <c r="C353" s="23"/>
      <c r="D353" s="36">
        <v>6</v>
      </c>
      <c r="E353" s="37" t="s">
        <v>482</v>
      </c>
      <c r="F353" s="37" t="s">
        <v>476</v>
      </c>
      <c r="G353" s="37"/>
      <c r="H353" s="36"/>
      <c r="I353" s="23"/>
      <c r="J353" s="24"/>
      <c r="K353" s="24"/>
      <c r="L353" s="22"/>
    </row>
    <row r="354" spans="1:12" s="20" customFormat="1" ht="130.5" x14ac:dyDescent="0.4">
      <c r="A354" s="14" t="s">
        <v>273</v>
      </c>
      <c r="B354" s="14"/>
      <c r="C354" s="69"/>
      <c r="D354" s="36">
        <v>7</v>
      </c>
      <c r="E354" s="37" t="s">
        <v>483</v>
      </c>
      <c r="F354" s="37" t="s">
        <v>484</v>
      </c>
      <c r="G354" s="37"/>
      <c r="H354" s="37"/>
      <c r="I354" s="37"/>
      <c r="J354" s="24"/>
      <c r="K354" s="24"/>
      <c r="L354" s="22"/>
    </row>
    <row r="355" spans="1:12" s="20" customFormat="1" ht="29" x14ac:dyDescent="0.4">
      <c r="A355" s="39"/>
      <c r="B355" s="39" t="s">
        <v>589</v>
      </c>
      <c r="C355" s="39" t="s">
        <v>491</v>
      </c>
      <c r="D355" s="40"/>
      <c r="E355" s="41"/>
      <c r="F355" s="41"/>
      <c r="G355" s="41"/>
      <c r="H355" s="40"/>
      <c r="I355" s="32"/>
      <c r="J355" s="24"/>
      <c r="K355" s="24"/>
      <c r="L355" s="22"/>
    </row>
    <row r="356" spans="1:12" s="20" customFormat="1" ht="72.5" x14ac:dyDescent="0.4">
      <c r="A356" s="14" t="s">
        <v>273</v>
      </c>
      <c r="B356" s="14"/>
      <c r="C356" s="23"/>
      <c r="D356" s="36">
        <v>1</v>
      </c>
      <c r="E356" s="37" t="s">
        <v>304</v>
      </c>
      <c r="F356" s="37" t="s">
        <v>302</v>
      </c>
      <c r="G356" s="37" t="s">
        <v>303</v>
      </c>
      <c r="H356" s="36" t="s">
        <v>293</v>
      </c>
      <c r="I356" s="23" t="s">
        <v>123</v>
      </c>
      <c r="J356" s="24"/>
      <c r="K356" s="24"/>
      <c r="L356" s="22"/>
    </row>
    <row r="357" spans="1:12" s="20" customFormat="1" ht="246.5" x14ac:dyDescent="0.4">
      <c r="A357" s="14" t="s">
        <v>273</v>
      </c>
      <c r="B357" s="14"/>
      <c r="C357" s="23"/>
      <c r="D357" s="36">
        <v>2</v>
      </c>
      <c r="E357" s="37" t="s">
        <v>305</v>
      </c>
      <c r="F357" s="81" t="s">
        <v>306</v>
      </c>
      <c r="G357" s="37" t="s">
        <v>352</v>
      </c>
      <c r="H357" s="36"/>
      <c r="I357" s="23"/>
      <c r="J357" s="24"/>
      <c r="K357" s="24"/>
      <c r="L357" s="22"/>
    </row>
    <row r="358" spans="1:12" s="20" customFormat="1" ht="391.5" x14ac:dyDescent="0.4">
      <c r="A358" s="14" t="s">
        <v>273</v>
      </c>
      <c r="B358" s="14"/>
      <c r="C358" s="23"/>
      <c r="D358" s="36">
        <v>3</v>
      </c>
      <c r="E358" s="37" t="s">
        <v>440</v>
      </c>
      <c r="F358" s="37" t="s">
        <v>441</v>
      </c>
      <c r="G358" s="37"/>
      <c r="H358" s="36"/>
      <c r="I358" s="23"/>
      <c r="J358" s="24"/>
      <c r="K358" s="24"/>
      <c r="L358" s="22"/>
    </row>
    <row r="359" spans="1:12" s="20" customFormat="1" ht="409.5" x14ac:dyDescent="0.4">
      <c r="A359" s="14" t="s">
        <v>273</v>
      </c>
      <c r="B359" s="14"/>
      <c r="C359" s="23"/>
      <c r="D359" s="36">
        <v>4</v>
      </c>
      <c r="E359" s="37" t="s">
        <v>490</v>
      </c>
      <c r="F359" s="37" t="s">
        <v>487</v>
      </c>
      <c r="G359" s="37" t="s">
        <v>912</v>
      </c>
      <c r="H359" s="36"/>
      <c r="I359" s="23"/>
      <c r="J359" s="24"/>
      <c r="K359" s="24"/>
      <c r="L359" s="22"/>
    </row>
    <row r="360" spans="1:12" s="20" customFormat="1" ht="43.5" x14ac:dyDescent="0.4">
      <c r="A360" s="39"/>
      <c r="B360" s="39" t="s">
        <v>590</v>
      </c>
      <c r="C360" s="39" t="s">
        <v>919</v>
      </c>
      <c r="D360" s="40"/>
      <c r="E360" s="41"/>
      <c r="F360" s="41"/>
      <c r="G360" s="41"/>
      <c r="H360" s="40"/>
      <c r="I360" s="32"/>
      <c r="J360" s="24"/>
      <c r="K360" s="24"/>
      <c r="L360" s="22"/>
    </row>
    <row r="361" spans="1:12" s="20" customFormat="1" ht="409.5" x14ac:dyDescent="0.4">
      <c r="A361" s="14" t="s">
        <v>273</v>
      </c>
      <c r="B361" s="14"/>
      <c r="C361" s="23"/>
      <c r="D361" s="36">
        <v>1</v>
      </c>
      <c r="E361" s="37" t="s">
        <v>485</v>
      </c>
      <c r="F361" s="37" t="s">
        <v>487</v>
      </c>
      <c r="G361" s="83"/>
      <c r="H361" s="36" t="s">
        <v>293</v>
      </c>
      <c r="I361" s="23"/>
      <c r="J361" s="24"/>
      <c r="K361" s="24"/>
      <c r="L361" s="22"/>
    </row>
    <row r="362" spans="1:12" s="20" customFormat="1" ht="391.5" x14ac:dyDescent="0.4">
      <c r="A362" s="14" t="s">
        <v>273</v>
      </c>
      <c r="B362" s="14"/>
      <c r="C362" s="23"/>
      <c r="D362" s="36">
        <v>2</v>
      </c>
      <c r="E362" s="37" t="s">
        <v>492</v>
      </c>
      <c r="F362" s="37" t="s">
        <v>488</v>
      </c>
      <c r="G362" s="37" t="s">
        <v>493</v>
      </c>
      <c r="H362" s="36"/>
      <c r="I362" s="23"/>
      <c r="J362" s="24"/>
      <c r="K362" s="24"/>
      <c r="L362" s="22"/>
    </row>
    <row r="363" spans="1:12" s="20" customFormat="1" ht="319" x14ac:dyDescent="0.4">
      <c r="A363" s="14" t="s">
        <v>273</v>
      </c>
      <c r="B363" s="14"/>
      <c r="C363" s="23"/>
      <c r="D363" s="36">
        <v>3</v>
      </c>
      <c r="E363" s="37" t="s">
        <v>498</v>
      </c>
      <c r="F363" s="37" t="s">
        <v>494</v>
      </c>
      <c r="G363" s="37"/>
      <c r="H363" s="36"/>
      <c r="I363" s="23"/>
      <c r="J363" s="24"/>
      <c r="K363" s="24"/>
      <c r="L363" s="22"/>
    </row>
    <row r="364" spans="1:12" s="20" customFormat="1" ht="72.5" x14ac:dyDescent="0.4">
      <c r="A364" s="14" t="s">
        <v>273</v>
      </c>
      <c r="B364" s="14"/>
      <c r="C364" s="23"/>
      <c r="D364" s="36">
        <v>4</v>
      </c>
      <c r="E364" s="37" t="s">
        <v>489</v>
      </c>
      <c r="F364" s="37" t="s">
        <v>476</v>
      </c>
      <c r="G364" s="37"/>
      <c r="H364" s="36"/>
      <c r="I364" s="23"/>
      <c r="J364" s="24"/>
      <c r="K364" s="24"/>
      <c r="L364" s="22"/>
    </row>
    <row r="365" spans="1:12" s="20" customFormat="1" ht="101.5" x14ac:dyDescent="0.4">
      <c r="A365" s="14" t="s">
        <v>273</v>
      </c>
      <c r="B365" s="14"/>
      <c r="C365" s="23"/>
      <c r="D365" s="36">
        <v>5</v>
      </c>
      <c r="E365" s="37" t="s">
        <v>478</v>
      </c>
      <c r="F365" s="37" t="s">
        <v>479</v>
      </c>
      <c r="G365" s="37"/>
      <c r="H365" s="36"/>
      <c r="I365" s="23"/>
      <c r="J365" s="24"/>
      <c r="K365" s="24"/>
      <c r="L365" s="22"/>
    </row>
    <row r="366" spans="1:12" s="20" customFormat="1" ht="58" x14ac:dyDescent="0.4">
      <c r="A366" s="14" t="s">
        <v>273</v>
      </c>
      <c r="B366" s="14"/>
      <c r="C366" s="23"/>
      <c r="D366" s="36">
        <v>6</v>
      </c>
      <c r="E366" s="37" t="s">
        <v>495</v>
      </c>
      <c r="F366" s="37" t="s">
        <v>496</v>
      </c>
      <c r="G366" s="37"/>
      <c r="H366" s="36"/>
      <c r="I366" s="23"/>
      <c r="J366" s="24"/>
      <c r="K366" s="24"/>
      <c r="L366" s="22"/>
    </row>
    <row r="367" spans="1:12" s="20" customFormat="1" ht="174" x14ac:dyDescent="0.4">
      <c r="A367" s="14" t="s">
        <v>273</v>
      </c>
      <c r="B367" s="14"/>
      <c r="C367" s="23"/>
      <c r="D367" s="36">
        <v>7</v>
      </c>
      <c r="E367" s="37" t="s">
        <v>462</v>
      </c>
      <c r="F367" s="37" t="s">
        <v>497</v>
      </c>
      <c r="G367" s="37"/>
      <c r="H367" s="36"/>
      <c r="I367" s="23"/>
      <c r="J367" s="24"/>
      <c r="K367" s="24"/>
      <c r="L367" s="22"/>
    </row>
    <row r="368" spans="1:12" s="20" customFormat="1" ht="159.5" x14ac:dyDescent="0.4">
      <c r="A368" s="14" t="s">
        <v>273</v>
      </c>
      <c r="B368" s="14"/>
      <c r="C368" s="23"/>
      <c r="D368" s="36">
        <v>8</v>
      </c>
      <c r="E368" s="37" t="s">
        <v>354</v>
      </c>
      <c r="F368" s="37" t="s">
        <v>356</v>
      </c>
      <c r="G368" s="37" t="s">
        <v>407</v>
      </c>
      <c r="H368" s="36"/>
      <c r="I368" s="23"/>
      <c r="J368" s="24"/>
      <c r="K368" s="24"/>
      <c r="L368" s="22"/>
    </row>
    <row r="369" spans="1:12" s="20" customFormat="1" ht="72.5" x14ac:dyDescent="0.4">
      <c r="A369" s="14" t="s">
        <v>273</v>
      </c>
      <c r="B369" s="14"/>
      <c r="C369" s="23"/>
      <c r="D369" s="36">
        <v>9</v>
      </c>
      <c r="E369" s="37" t="s">
        <v>357</v>
      </c>
      <c r="F369" s="37" t="s">
        <v>467</v>
      </c>
      <c r="G369" s="37" t="s">
        <v>513</v>
      </c>
      <c r="H369" s="36"/>
      <c r="I369" s="23"/>
      <c r="J369" s="24"/>
      <c r="K369" s="24"/>
      <c r="L369" s="22"/>
    </row>
    <row r="370" spans="1:12" s="20" customFormat="1" ht="43.5" x14ac:dyDescent="0.4">
      <c r="A370" s="39"/>
      <c r="B370" s="39" t="s">
        <v>591</v>
      </c>
      <c r="C370" s="39" t="s">
        <v>924</v>
      </c>
      <c r="D370" s="40"/>
      <c r="E370" s="41"/>
      <c r="F370" s="41"/>
      <c r="G370" s="41"/>
      <c r="H370" s="40"/>
      <c r="I370" s="32"/>
      <c r="J370" s="24"/>
      <c r="K370" s="24"/>
      <c r="L370" s="22"/>
    </row>
    <row r="371" spans="1:12" s="20" customFormat="1" ht="409.5" x14ac:dyDescent="0.4">
      <c r="A371" s="14" t="s">
        <v>273</v>
      </c>
      <c r="B371" s="14"/>
      <c r="C371" s="23"/>
      <c r="D371" s="36">
        <v>1</v>
      </c>
      <c r="E371" s="37" t="s">
        <v>485</v>
      </c>
      <c r="F371" s="37" t="s">
        <v>487</v>
      </c>
      <c r="G371" s="83"/>
      <c r="H371" s="36" t="s">
        <v>293</v>
      </c>
      <c r="I371" s="23"/>
      <c r="J371" s="24"/>
      <c r="K371" s="24"/>
      <c r="L371" s="22"/>
    </row>
    <row r="372" spans="1:12" s="20" customFormat="1" ht="391.5" x14ac:dyDescent="0.4">
      <c r="A372" s="14" t="s">
        <v>273</v>
      </c>
      <c r="B372" s="14"/>
      <c r="C372" s="23"/>
      <c r="D372" s="36">
        <v>2</v>
      </c>
      <c r="E372" s="37" t="s">
        <v>492</v>
      </c>
      <c r="F372" s="37" t="s">
        <v>488</v>
      </c>
      <c r="G372" s="37" t="s">
        <v>493</v>
      </c>
      <c r="H372" s="36"/>
      <c r="I372" s="23"/>
      <c r="J372" s="24"/>
      <c r="K372" s="24"/>
      <c r="L372" s="22"/>
    </row>
    <row r="373" spans="1:12" s="20" customFormat="1" ht="319" x14ac:dyDescent="0.4">
      <c r="A373" s="14" t="s">
        <v>273</v>
      </c>
      <c r="B373" s="14"/>
      <c r="C373" s="23"/>
      <c r="D373" s="36">
        <v>3</v>
      </c>
      <c r="E373" s="37" t="s">
        <v>498</v>
      </c>
      <c r="F373" s="37" t="s">
        <v>494</v>
      </c>
      <c r="G373" s="37"/>
      <c r="H373" s="36"/>
      <c r="I373" s="23"/>
      <c r="J373" s="24"/>
      <c r="K373" s="24"/>
      <c r="L373" s="22"/>
    </row>
    <row r="374" spans="1:12" s="20" customFormat="1" ht="72.5" x14ac:dyDescent="0.4">
      <c r="A374" s="14" t="s">
        <v>273</v>
      </c>
      <c r="B374" s="14"/>
      <c r="C374" s="23"/>
      <c r="D374" s="36">
        <v>4</v>
      </c>
      <c r="E374" s="37" t="s">
        <v>914</v>
      </c>
      <c r="F374" s="37" t="s">
        <v>915</v>
      </c>
      <c r="G374" s="37"/>
      <c r="H374" s="36"/>
      <c r="I374" s="23"/>
      <c r="J374" s="24"/>
      <c r="K374" s="24"/>
      <c r="L374" s="22"/>
    </row>
    <row r="375" spans="1:12" s="20" customFormat="1" ht="101.5" x14ac:dyDescent="0.4">
      <c r="A375" s="14" t="s">
        <v>273</v>
      </c>
      <c r="B375" s="14"/>
      <c r="C375" s="23"/>
      <c r="D375" s="36">
        <v>5</v>
      </c>
      <c r="E375" s="37" t="s">
        <v>913</v>
      </c>
      <c r="F375" s="37" t="s">
        <v>479</v>
      </c>
      <c r="G375" s="37"/>
      <c r="H375" s="36"/>
      <c r="I375" s="23"/>
      <c r="J375" s="24"/>
      <c r="K375" s="24"/>
      <c r="L375" s="22"/>
    </row>
    <row r="376" spans="1:12" s="20" customFormat="1" ht="43.5" x14ac:dyDescent="0.4">
      <c r="A376" s="39"/>
      <c r="B376" s="39" t="s">
        <v>592</v>
      </c>
      <c r="C376" s="39" t="s">
        <v>925</v>
      </c>
      <c r="D376" s="40"/>
      <c r="E376" s="41"/>
      <c r="F376" s="41"/>
      <c r="G376" s="41"/>
      <c r="H376" s="40"/>
      <c r="I376" s="32"/>
      <c r="J376" s="24"/>
      <c r="K376" s="24"/>
      <c r="L376" s="22"/>
    </row>
    <row r="377" spans="1:12" s="20" customFormat="1" ht="409.5" x14ac:dyDescent="0.4">
      <c r="A377" s="14" t="s">
        <v>273</v>
      </c>
      <c r="B377" s="14"/>
      <c r="C377" s="23"/>
      <c r="D377" s="36">
        <v>1</v>
      </c>
      <c r="E377" s="37" t="s">
        <v>485</v>
      </c>
      <c r="F377" s="37" t="s">
        <v>487</v>
      </c>
      <c r="G377" s="83"/>
      <c r="H377" s="36" t="s">
        <v>293</v>
      </c>
      <c r="I377" s="23"/>
      <c r="J377" s="24"/>
      <c r="K377" s="24"/>
      <c r="L377" s="22"/>
    </row>
    <row r="378" spans="1:12" s="20" customFormat="1" ht="391.5" x14ac:dyDescent="0.4">
      <c r="A378" s="14" t="s">
        <v>273</v>
      </c>
      <c r="B378" s="14"/>
      <c r="C378" s="23"/>
      <c r="D378" s="36">
        <v>2</v>
      </c>
      <c r="E378" s="37" t="s">
        <v>492</v>
      </c>
      <c r="F378" s="37" t="s">
        <v>488</v>
      </c>
      <c r="G378" s="37" t="s">
        <v>493</v>
      </c>
      <c r="H378" s="36"/>
      <c r="I378" s="23"/>
      <c r="J378" s="24"/>
      <c r="K378" s="24"/>
      <c r="L378" s="22"/>
    </row>
    <row r="379" spans="1:12" s="20" customFormat="1" ht="319" x14ac:dyDescent="0.4">
      <c r="A379" s="14" t="s">
        <v>273</v>
      </c>
      <c r="B379" s="14"/>
      <c r="C379" s="23"/>
      <c r="D379" s="36">
        <v>3</v>
      </c>
      <c r="E379" s="37" t="s">
        <v>498</v>
      </c>
      <c r="F379" s="37" t="s">
        <v>494</v>
      </c>
      <c r="G379" s="37"/>
      <c r="H379" s="36"/>
      <c r="I379" s="23"/>
      <c r="J379" s="24"/>
      <c r="K379" s="24"/>
      <c r="L379" s="22"/>
    </row>
    <row r="380" spans="1:12" s="20" customFormat="1" ht="72.5" x14ac:dyDescent="0.4">
      <c r="A380" s="14" t="s">
        <v>273</v>
      </c>
      <c r="B380" s="14"/>
      <c r="C380" s="23"/>
      <c r="D380" s="36">
        <v>4</v>
      </c>
      <c r="E380" s="37" t="s">
        <v>916</v>
      </c>
      <c r="F380" s="37" t="s">
        <v>917</v>
      </c>
      <c r="G380" s="37"/>
      <c r="H380" s="36"/>
      <c r="I380" s="23"/>
      <c r="J380" s="24"/>
      <c r="K380" s="24"/>
      <c r="L380" s="22"/>
    </row>
    <row r="381" spans="1:12" s="20" customFormat="1" ht="116" x14ac:dyDescent="0.4">
      <c r="A381" s="14" t="s">
        <v>273</v>
      </c>
      <c r="B381" s="14"/>
      <c r="C381" s="23"/>
      <c r="D381" s="36">
        <v>5</v>
      </c>
      <c r="E381" s="37" t="s">
        <v>918</v>
      </c>
      <c r="F381" s="37" t="s">
        <v>479</v>
      </c>
      <c r="G381" s="37"/>
      <c r="H381" s="36"/>
      <c r="I381" s="23"/>
      <c r="J381" s="24"/>
      <c r="K381" s="24"/>
      <c r="L381" s="22"/>
    </row>
    <row r="382" spans="1:12" s="20" customFormat="1" ht="43.5" x14ac:dyDescent="0.4">
      <c r="A382" s="39"/>
      <c r="B382" s="39" t="s">
        <v>593</v>
      </c>
      <c r="C382" s="39" t="s">
        <v>926</v>
      </c>
      <c r="D382" s="40"/>
      <c r="E382" s="41"/>
      <c r="F382" s="41"/>
      <c r="G382" s="41"/>
      <c r="H382" s="40"/>
      <c r="I382" s="32"/>
      <c r="J382" s="24"/>
      <c r="K382" s="24"/>
      <c r="L382" s="22"/>
    </row>
    <row r="383" spans="1:12" s="20" customFormat="1" ht="409.5" x14ac:dyDescent="0.4">
      <c r="A383" s="14" t="s">
        <v>273</v>
      </c>
      <c r="B383" s="14"/>
      <c r="C383" s="69"/>
      <c r="D383" s="36">
        <v>1</v>
      </c>
      <c r="E383" s="37" t="s">
        <v>485</v>
      </c>
      <c r="F383" s="37" t="s">
        <v>486</v>
      </c>
      <c r="G383" s="83"/>
      <c r="H383" s="36" t="s">
        <v>293</v>
      </c>
      <c r="I383" s="37"/>
      <c r="J383" s="24"/>
      <c r="K383" s="24"/>
      <c r="L383" s="22"/>
    </row>
    <row r="384" spans="1:12" s="20" customFormat="1" ht="276.5" customHeight="1" x14ac:dyDescent="0.4">
      <c r="A384" s="14" t="s">
        <v>273</v>
      </c>
      <c r="B384" s="14"/>
      <c r="C384" s="23"/>
      <c r="D384" s="36">
        <v>2</v>
      </c>
      <c r="E384" s="37" t="s">
        <v>505</v>
      </c>
      <c r="F384" s="37" t="s">
        <v>501</v>
      </c>
      <c r="G384" s="37" t="s">
        <v>493</v>
      </c>
      <c r="H384" s="36"/>
      <c r="I384" s="23"/>
      <c r="J384" s="24"/>
      <c r="K384" s="24"/>
      <c r="L384" s="22"/>
    </row>
    <row r="385" spans="1:12" s="20" customFormat="1" ht="304.5" x14ac:dyDescent="0.4">
      <c r="A385" s="14" t="s">
        <v>273</v>
      </c>
      <c r="B385" s="14"/>
      <c r="C385" s="23"/>
      <c r="D385" s="36">
        <v>3</v>
      </c>
      <c r="E385" s="37" t="s">
        <v>500</v>
      </c>
      <c r="F385" s="37" t="s">
        <v>502</v>
      </c>
      <c r="G385" s="37"/>
      <c r="H385" s="36"/>
      <c r="I385" s="23"/>
      <c r="J385" s="24"/>
      <c r="K385" s="24"/>
      <c r="L385" s="22"/>
    </row>
    <row r="386" spans="1:12" s="20" customFormat="1" ht="72.5" x14ac:dyDescent="0.4">
      <c r="A386" s="14" t="s">
        <v>273</v>
      </c>
      <c r="B386" s="14"/>
      <c r="C386" s="23"/>
      <c r="D386" s="36">
        <v>4</v>
      </c>
      <c r="E386" s="37" t="s">
        <v>920</v>
      </c>
      <c r="F386" s="37" t="s">
        <v>915</v>
      </c>
      <c r="G386" s="37"/>
      <c r="H386" s="36"/>
      <c r="I386" s="23"/>
      <c r="J386" s="24"/>
      <c r="K386" s="24"/>
      <c r="L386" s="22"/>
    </row>
    <row r="387" spans="1:12" s="20" customFormat="1" ht="348" x14ac:dyDescent="0.4">
      <c r="A387" s="14" t="s">
        <v>273</v>
      </c>
      <c r="B387" s="14"/>
      <c r="C387" s="23"/>
      <c r="D387" s="36">
        <v>5</v>
      </c>
      <c r="E387" s="37" t="s">
        <v>921</v>
      </c>
      <c r="F387" s="37" t="s">
        <v>503</v>
      </c>
      <c r="G387" s="84" t="s">
        <v>504</v>
      </c>
      <c r="H387" s="36"/>
      <c r="I387" s="23"/>
      <c r="J387" s="24"/>
      <c r="K387" s="24"/>
      <c r="L387" s="22"/>
    </row>
    <row r="388" spans="1:12" s="20" customFormat="1" ht="43.5" x14ac:dyDescent="0.4">
      <c r="A388" s="39"/>
      <c r="B388" s="39" t="s">
        <v>594</v>
      </c>
      <c r="C388" s="39" t="s">
        <v>927</v>
      </c>
      <c r="D388" s="40"/>
      <c r="E388" s="41"/>
      <c r="F388" s="41"/>
      <c r="G388" s="41"/>
      <c r="H388" s="40"/>
      <c r="I388" s="32"/>
      <c r="J388" s="24"/>
      <c r="K388" s="24"/>
      <c r="L388" s="22"/>
    </row>
    <row r="389" spans="1:12" s="20" customFormat="1" ht="409.5" x14ac:dyDescent="0.4">
      <c r="A389" s="14" t="s">
        <v>273</v>
      </c>
      <c r="B389" s="14"/>
      <c r="C389" s="69"/>
      <c r="D389" s="36">
        <v>1</v>
      </c>
      <c r="E389" s="37" t="s">
        <v>485</v>
      </c>
      <c r="F389" s="37" t="s">
        <v>486</v>
      </c>
      <c r="G389" s="83"/>
      <c r="H389" s="36" t="s">
        <v>293</v>
      </c>
      <c r="I389" s="37"/>
      <c r="J389" s="24"/>
      <c r="K389" s="24"/>
      <c r="L389" s="22"/>
    </row>
    <row r="390" spans="1:12" s="20" customFormat="1" ht="276.5" customHeight="1" x14ac:dyDescent="0.4">
      <c r="A390" s="14" t="s">
        <v>273</v>
      </c>
      <c r="B390" s="14"/>
      <c r="C390" s="23"/>
      <c r="D390" s="36">
        <v>2</v>
      </c>
      <c r="E390" s="37" t="s">
        <v>505</v>
      </c>
      <c r="F390" s="37" t="s">
        <v>501</v>
      </c>
      <c r="G390" s="37" t="s">
        <v>493</v>
      </c>
      <c r="H390" s="36"/>
      <c r="I390" s="23"/>
      <c r="J390" s="24"/>
      <c r="K390" s="24"/>
      <c r="L390" s="22"/>
    </row>
    <row r="391" spans="1:12" s="20" customFormat="1" ht="304.5" x14ac:dyDescent="0.4">
      <c r="A391" s="14" t="s">
        <v>273</v>
      </c>
      <c r="B391" s="14"/>
      <c r="C391" s="23"/>
      <c r="D391" s="36">
        <v>3</v>
      </c>
      <c r="E391" s="37" t="s">
        <v>500</v>
      </c>
      <c r="F391" s="37" t="s">
        <v>502</v>
      </c>
      <c r="G391" s="37"/>
      <c r="H391" s="36"/>
      <c r="I391" s="23"/>
      <c r="J391" s="24"/>
      <c r="K391" s="24"/>
      <c r="L391" s="22"/>
    </row>
    <row r="392" spans="1:12" s="20" customFormat="1" ht="72.5" x14ac:dyDescent="0.4">
      <c r="A392" s="14" t="s">
        <v>273</v>
      </c>
      <c r="B392" s="14"/>
      <c r="C392" s="23"/>
      <c r="D392" s="36">
        <v>4</v>
      </c>
      <c r="E392" s="37" t="s">
        <v>922</v>
      </c>
      <c r="F392" s="37" t="s">
        <v>923</v>
      </c>
      <c r="G392" s="37"/>
      <c r="H392" s="36"/>
      <c r="I392" s="23"/>
      <c r="J392" s="24"/>
      <c r="K392" s="24"/>
      <c r="L392" s="22"/>
    </row>
    <row r="393" spans="1:12" s="20" customFormat="1" ht="348" x14ac:dyDescent="0.4">
      <c r="A393" s="14" t="s">
        <v>273</v>
      </c>
      <c r="B393" s="14"/>
      <c r="C393" s="23"/>
      <c r="D393" s="36">
        <v>5</v>
      </c>
      <c r="E393" s="37" t="s">
        <v>921</v>
      </c>
      <c r="F393" s="37" t="s">
        <v>503</v>
      </c>
      <c r="G393" s="84" t="s">
        <v>504</v>
      </c>
      <c r="H393" s="36"/>
      <c r="I393" s="23"/>
      <c r="J393" s="24"/>
      <c r="K393" s="24"/>
      <c r="L393" s="22"/>
    </row>
    <row r="394" spans="1:12" s="20" customFormat="1" ht="43.5" x14ac:dyDescent="0.4">
      <c r="A394" s="39"/>
      <c r="B394" s="39" t="s">
        <v>630</v>
      </c>
      <c r="C394" s="39" t="s">
        <v>928</v>
      </c>
      <c r="D394" s="40"/>
      <c r="E394" s="41"/>
      <c r="F394" s="41"/>
      <c r="G394" s="41"/>
      <c r="H394" s="40"/>
      <c r="I394" s="32"/>
      <c r="J394" s="24"/>
      <c r="K394" s="24"/>
      <c r="L394" s="22"/>
    </row>
    <row r="395" spans="1:12" s="20" customFormat="1" ht="409.5" x14ac:dyDescent="0.4">
      <c r="A395" s="14" t="s">
        <v>273</v>
      </c>
      <c r="B395" s="14"/>
      <c r="C395" s="23"/>
      <c r="D395" s="36">
        <v>1</v>
      </c>
      <c r="E395" s="37" t="s">
        <v>485</v>
      </c>
      <c r="F395" s="37" t="s">
        <v>486</v>
      </c>
      <c r="G395" s="37"/>
      <c r="H395" s="36" t="s">
        <v>293</v>
      </c>
      <c r="I395" s="23"/>
      <c r="J395" s="24"/>
      <c r="K395" s="24"/>
      <c r="L395" s="22"/>
    </row>
    <row r="396" spans="1:12" s="20" customFormat="1" ht="362.5" x14ac:dyDescent="0.4">
      <c r="A396" s="14" t="s">
        <v>273</v>
      </c>
      <c r="B396" s="14"/>
      <c r="C396" s="23"/>
      <c r="D396" s="36">
        <v>2</v>
      </c>
      <c r="E396" s="37" t="s">
        <v>506</v>
      </c>
      <c r="F396" s="37" t="s">
        <v>778</v>
      </c>
      <c r="G396" s="37" t="s">
        <v>515</v>
      </c>
      <c r="H396" s="36"/>
      <c r="I396" s="23"/>
      <c r="J396" s="24"/>
      <c r="K396" s="24"/>
      <c r="L396" s="22"/>
    </row>
    <row r="397" spans="1:12" s="20" customFormat="1" ht="304.5" x14ac:dyDescent="0.4">
      <c r="A397" s="14" t="s">
        <v>273</v>
      </c>
      <c r="B397" s="14"/>
      <c r="C397" s="69"/>
      <c r="D397" s="36">
        <v>3</v>
      </c>
      <c r="E397" s="37" t="s">
        <v>936</v>
      </c>
      <c r="F397" s="37" t="s">
        <v>508</v>
      </c>
      <c r="G397" s="36"/>
      <c r="H397" s="36"/>
      <c r="I397" s="36"/>
      <c r="J397" s="24"/>
      <c r="K397" s="24"/>
      <c r="L397" s="22"/>
    </row>
    <row r="398" spans="1:12" s="20" customFormat="1" ht="72.5" x14ac:dyDescent="0.4">
      <c r="A398" s="14" t="s">
        <v>273</v>
      </c>
      <c r="B398" s="14"/>
      <c r="C398" s="23"/>
      <c r="D398" s="36">
        <v>4</v>
      </c>
      <c r="E398" s="37" t="s">
        <v>489</v>
      </c>
      <c r="F398" s="37" t="s">
        <v>476</v>
      </c>
      <c r="G398" s="37"/>
      <c r="H398" s="36"/>
      <c r="I398" s="23"/>
      <c r="J398" s="24"/>
      <c r="K398" s="24"/>
      <c r="L398" s="22"/>
    </row>
    <row r="399" spans="1:12" s="20" customFormat="1" ht="391.5" x14ac:dyDescent="0.4">
      <c r="A399" s="14" t="s">
        <v>273</v>
      </c>
      <c r="B399" s="14"/>
      <c r="C399" s="23"/>
      <c r="D399" s="36">
        <v>5</v>
      </c>
      <c r="E399" s="37" t="s">
        <v>478</v>
      </c>
      <c r="F399" s="37" t="s">
        <v>479</v>
      </c>
      <c r="G399" s="37" t="s">
        <v>509</v>
      </c>
      <c r="H399" s="36"/>
      <c r="I399" s="23"/>
      <c r="J399" s="24"/>
      <c r="K399" s="24"/>
      <c r="L399" s="22"/>
    </row>
    <row r="400" spans="1:12" s="20" customFormat="1" ht="58" x14ac:dyDescent="0.4">
      <c r="A400" s="14" t="s">
        <v>273</v>
      </c>
      <c r="B400" s="14"/>
      <c r="C400" s="23"/>
      <c r="D400" s="36">
        <v>6</v>
      </c>
      <c r="E400" s="37" t="s">
        <v>510</v>
      </c>
      <c r="F400" s="37" t="s">
        <v>511</v>
      </c>
      <c r="G400" s="37"/>
      <c r="H400" s="36"/>
      <c r="I400" s="23"/>
      <c r="J400" s="24"/>
      <c r="K400" s="24"/>
      <c r="L400" s="22"/>
    </row>
    <row r="401" spans="1:12" s="20" customFormat="1" ht="159.5" x14ac:dyDescent="0.4">
      <c r="A401" s="14" t="s">
        <v>273</v>
      </c>
      <c r="B401" s="14"/>
      <c r="C401" s="23"/>
      <c r="D401" s="36">
        <v>7</v>
      </c>
      <c r="E401" s="37" t="s">
        <v>780</v>
      </c>
      <c r="F401" s="37" t="s">
        <v>512</v>
      </c>
      <c r="G401" s="72"/>
      <c r="H401" s="36"/>
      <c r="I401" s="23"/>
      <c r="J401" s="24"/>
      <c r="K401" s="24"/>
      <c r="L401" s="22"/>
    </row>
    <row r="402" spans="1:12" s="20" customFormat="1" ht="159.5" x14ac:dyDescent="0.4">
      <c r="A402" s="14" t="s">
        <v>273</v>
      </c>
      <c r="B402" s="14"/>
      <c r="C402" s="23"/>
      <c r="D402" s="36">
        <v>8</v>
      </c>
      <c r="E402" s="37" t="s">
        <v>354</v>
      </c>
      <c r="F402" s="37" t="s">
        <v>356</v>
      </c>
      <c r="G402" s="37" t="s">
        <v>407</v>
      </c>
      <c r="H402" s="36"/>
      <c r="I402" s="23"/>
      <c r="J402" s="24"/>
      <c r="K402" s="24"/>
      <c r="L402" s="22"/>
    </row>
    <row r="403" spans="1:12" s="20" customFormat="1" ht="72.5" x14ac:dyDescent="0.4">
      <c r="A403" s="14" t="s">
        <v>273</v>
      </c>
      <c r="B403" s="14"/>
      <c r="C403" s="23"/>
      <c r="D403" s="36">
        <v>9</v>
      </c>
      <c r="E403" s="37" t="s">
        <v>357</v>
      </c>
      <c r="F403" s="37" t="s">
        <v>467</v>
      </c>
      <c r="G403" s="37" t="s">
        <v>513</v>
      </c>
      <c r="H403" s="36"/>
      <c r="I403" s="23"/>
      <c r="J403" s="24"/>
      <c r="K403" s="24"/>
      <c r="L403" s="22"/>
    </row>
    <row r="404" spans="1:12" s="20" customFormat="1" ht="43.5" x14ac:dyDescent="0.4">
      <c r="A404" s="39"/>
      <c r="B404" s="39" t="s">
        <v>647</v>
      </c>
      <c r="C404" s="39" t="s">
        <v>929</v>
      </c>
      <c r="D404" s="40"/>
      <c r="E404" s="41"/>
      <c r="F404" s="41"/>
      <c r="G404" s="41"/>
      <c r="H404" s="40"/>
      <c r="I404" s="32"/>
      <c r="J404" s="24"/>
      <c r="K404" s="24"/>
      <c r="L404" s="22"/>
    </row>
    <row r="405" spans="1:12" s="20" customFormat="1" ht="409.5" x14ac:dyDescent="0.4">
      <c r="A405" s="14" t="s">
        <v>273</v>
      </c>
      <c r="B405" s="14"/>
      <c r="C405" s="23"/>
      <c r="D405" s="36">
        <v>1</v>
      </c>
      <c r="E405" s="37" t="s">
        <v>485</v>
      </c>
      <c r="F405" s="37" t="s">
        <v>486</v>
      </c>
      <c r="G405" s="37"/>
      <c r="H405" s="36" t="s">
        <v>293</v>
      </c>
      <c r="I405" s="23"/>
      <c r="J405" s="24"/>
      <c r="K405" s="24"/>
      <c r="L405" s="22"/>
    </row>
    <row r="406" spans="1:12" s="20" customFormat="1" ht="362.5" x14ac:dyDescent="0.4">
      <c r="A406" s="14" t="s">
        <v>273</v>
      </c>
      <c r="B406" s="14"/>
      <c r="C406" s="23"/>
      <c r="D406" s="36">
        <v>2</v>
      </c>
      <c r="E406" s="37" t="s">
        <v>506</v>
      </c>
      <c r="F406" s="37" t="s">
        <v>507</v>
      </c>
      <c r="G406" s="37" t="s">
        <v>515</v>
      </c>
      <c r="H406" s="36"/>
      <c r="I406" s="23"/>
      <c r="J406" s="24"/>
      <c r="K406" s="24"/>
      <c r="L406" s="22"/>
    </row>
    <row r="407" spans="1:12" s="20" customFormat="1" ht="304.5" x14ac:dyDescent="0.4">
      <c r="A407" s="14" t="s">
        <v>273</v>
      </c>
      <c r="B407" s="14"/>
      <c r="C407" s="69"/>
      <c r="D407" s="36">
        <v>3</v>
      </c>
      <c r="E407" s="37" t="s">
        <v>935</v>
      </c>
      <c r="F407" s="37" t="s">
        <v>508</v>
      </c>
      <c r="G407" s="36"/>
      <c r="H407" s="36"/>
      <c r="I407" s="36"/>
      <c r="J407" s="24"/>
      <c r="K407" s="24"/>
      <c r="L407" s="22"/>
    </row>
    <row r="408" spans="1:12" s="20" customFormat="1" ht="72.5" x14ac:dyDescent="0.4">
      <c r="A408" s="14" t="s">
        <v>273</v>
      </c>
      <c r="B408" s="14"/>
      <c r="C408" s="23"/>
      <c r="D408" s="36">
        <v>4</v>
      </c>
      <c r="E408" s="37" t="s">
        <v>914</v>
      </c>
      <c r="F408" s="37" t="s">
        <v>931</v>
      </c>
      <c r="G408" s="37"/>
      <c r="H408" s="36"/>
      <c r="I408" s="23"/>
      <c r="J408" s="24"/>
      <c r="K408" s="24"/>
      <c r="L408" s="22"/>
    </row>
    <row r="409" spans="1:12" s="20" customFormat="1" ht="391.5" x14ac:dyDescent="0.4">
      <c r="A409" s="14" t="s">
        <v>273</v>
      </c>
      <c r="B409" s="14"/>
      <c r="C409" s="23"/>
      <c r="D409" s="36">
        <v>5</v>
      </c>
      <c r="E409" s="37" t="s">
        <v>932</v>
      </c>
      <c r="F409" s="37" t="s">
        <v>933</v>
      </c>
      <c r="G409" s="37" t="s">
        <v>509</v>
      </c>
      <c r="H409" s="36"/>
      <c r="I409" s="23"/>
      <c r="J409" s="24"/>
      <c r="K409" s="24"/>
      <c r="L409" s="22"/>
    </row>
    <row r="410" spans="1:12" s="20" customFormat="1" ht="43.5" x14ac:dyDescent="0.4">
      <c r="A410" s="39"/>
      <c r="B410" s="39" t="s">
        <v>648</v>
      </c>
      <c r="C410" s="39" t="s">
        <v>930</v>
      </c>
      <c r="D410" s="40"/>
      <c r="E410" s="41"/>
      <c r="F410" s="41"/>
      <c r="G410" s="41"/>
      <c r="H410" s="40"/>
      <c r="I410" s="32"/>
      <c r="J410" s="24"/>
      <c r="K410" s="24"/>
      <c r="L410" s="22"/>
    </row>
    <row r="411" spans="1:12" s="20" customFormat="1" ht="409.5" x14ac:dyDescent="0.4">
      <c r="A411" s="14" t="s">
        <v>273</v>
      </c>
      <c r="B411" s="14"/>
      <c r="C411" s="23"/>
      <c r="D411" s="36">
        <v>1</v>
      </c>
      <c r="E411" s="37" t="s">
        <v>485</v>
      </c>
      <c r="F411" s="37" t="s">
        <v>486</v>
      </c>
      <c r="G411" s="37"/>
      <c r="H411" s="36" t="s">
        <v>293</v>
      </c>
      <c r="I411" s="23"/>
      <c r="J411" s="24"/>
      <c r="K411" s="24"/>
      <c r="L411" s="22"/>
    </row>
    <row r="412" spans="1:12" s="20" customFormat="1" ht="362.5" x14ac:dyDescent="0.4">
      <c r="A412" s="14" t="s">
        <v>273</v>
      </c>
      <c r="B412" s="14"/>
      <c r="C412" s="23"/>
      <c r="D412" s="36">
        <v>2</v>
      </c>
      <c r="E412" s="37" t="s">
        <v>506</v>
      </c>
      <c r="F412" s="37" t="s">
        <v>507</v>
      </c>
      <c r="G412" s="37" t="s">
        <v>515</v>
      </c>
      <c r="H412" s="36"/>
      <c r="I412" s="23"/>
      <c r="J412" s="24"/>
      <c r="K412" s="24"/>
      <c r="L412" s="22"/>
    </row>
    <row r="413" spans="1:12" s="20" customFormat="1" ht="304.5" x14ac:dyDescent="0.4">
      <c r="A413" s="14" t="s">
        <v>273</v>
      </c>
      <c r="B413" s="14"/>
      <c r="C413" s="69"/>
      <c r="D413" s="36">
        <v>3</v>
      </c>
      <c r="E413" s="37" t="s">
        <v>934</v>
      </c>
      <c r="F413" s="37" t="s">
        <v>508</v>
      </c>
      <c r="G413" s="36"/>
      <c r="H413" s="36"/>
      <c r="I413" s="36"/>
      <c r="J413" s="24"/>
      <c r="K413" s="24"/>
      <c r="L413" s="22"/>
    </row>
    <row r="414" spans="1:12" s="20" customFormat="1" ht="72.5" x14ac:dyDescent="0.4">
      <c r="A414" s="14" t="s">
        <v>273</v>
      </c>
      <c r="B414" s="14"/>
      <c r="C414" s="23"/>
      <c r="D414" s="36">
        <v>4</v>
      </c>
      <c r="E414" s="37" t="s">
        <v>916</v>
      </c>
      <c r="F414" s="37" t="s">
        <v>937</v>
      </c>
      <c r="G414" s="37"/>
      <c r="H414" s="36"/>
      <c r="I414" s="23"/>
      <c r="J414" s="24"/>
      <c r="K414" s="24"/>
      <c r="L414" s="22"/>
    </row>
    <row r="415" spans="1:12" s="20" customFormat="1" ht="391.5" x14ac:dyDescent="0.4">
      <c r="A415" s="14" t="s">
        <v>273</v>
      </c>
      <c r="B415" s="14"/>
      <c r="C415" s="23"/>
      <c r="D415" s="36">
        <v>5</v>
      </c>
      <c r="E415" s="37" t="s">
        <v>932</v>
      </c>
      <c r="F415" s="37" t="s">
        <v>479</v>
      </c>
      <c r="G415" s="37" t="s">
        <v>509</v>
      </c>
      <c r="H415" s="36"/>
      <c r="I415" s="23"/>
      <c r="J415" s="24"/>
      <c r="K415" s="24"/>
      <c r="L415" s="22"/>
    </row>
    <row r="416" spans="1:12" s="20" customFormat="1" ht="43.5" x14ac:dyDescent="0.4">
      <c r="A416" s="39"/>
      <c r="B416" s="39" t="s">
        <v>649</v>
      </c>
      <c r="C416" s="39" t="s">
        <v>839</v>
      </c>
      <c r="D416" s="40"/>
      <c r="E416" s="41"/>
      <c r="F416" s="41"/>
      <c r="G416" s="41"/>
      <c r="H416" s="40"/>
      <c r="I416" s="32"/>
      <c r="J416" s="24"/>
      <c r="K416" s="24"/>
      <c r="L416" s="22"/>
    </row>
    <row r="417" spans="1:12" s="20" customFormat="1" ht="409.5" x14ac:dyDescent="0.4">
      <c r="A417" s="14" t="s">
        <v>273</v>
      </c>
      <c r="B417" s="14"/>
      <c r="C417" s="69"/>
      <c r="D417" s="36">
        <v>1</v>
      </c>
      <c r="E417" s="37" t="s">
        <v>485</v>
      </c>
      <c r="F417" s="37" t="s">
        <v>486</v>
      </c>
      <c r="G417" s="37"/>
      <c r="H417" s="36" t="s">
        <v>293</v>
      </c>
      <c r="I417" s="36"/>
    </row>
    <row r="418" spans="1:12" s="20" customFormat="1" ht="362.5" x14ac:dyDescent="0.4">
      <c r="A418" s="14" t="s">
        <v>273</v>
      </c>
      <c r="B418" s="14"/>
      <c r="C418" s="23"/>
      <c r="D418" s="36">
        <v>2</v>
      </c>
      <c r="E418" s="37" t="s">
        <v>506</v>
      </c>
      <c r="F418" s="37" t="s">
        <v>507</v>
      </c>
      <c r="G418" s="37" t="s">
        <v>516</v>
      </c>
      <c r="H418" s="36"/>
      <c r="I418" s="23"/>
    </row>
    <row r="419" spans="1:12" s="20" customFormat="1" ht="304.5" x14ac:dyDescent="0.4">
      <c r="A419" s="14" t="s">
        <v>273</v>
      </c>
      <c r="B419" s="14"/>
      <c r="C419" s="23"/>
      <c r="D419" s="36">
        <v>3</v>
      </c>
      <c r="E419" s="37" t="s">
        <v>517</v>
      </c>
      <c r="F419" s="37" t="s">
        <v>518</v>
      </c>
      <c r="G419" s="37"/>
      <c r="H419" s="36"/>
      <c r="I419" s="23"/>
    </row>
    <row r="420" spans="1:12" s="20" customFormat="1" ht="72.5" x14ac:dyDescent="0.4">
      <c r="A420" s="14" t="s">
        <v>273</v>
      </c>
      <c r="B420" s="14"/>
      <c r="C420" s="23"/>
      <c r="D420" s="36">
        <v>4</v>
      </c>
      <c r="E420" s="37" t="s">
        <v>489</v>
      </c>
      <c r="F420" s="37" t="s">
        <v>476</v>
      </c>
      <c r="G420" s="37"/>
      <c r="H420" s="36"/>
      <c r="I420" s="23"/>
    </row>
    <row r="421" spans="1:12" s="20" customFormat="1" ht="348" x14ac:dyDescent="0.4">
      <c r="A421" s="14" t="s">
        <v>273</v>
      </c>
      <c r="B421" s="14"/>
      <c r="C421" s="23"/>
      <c r="D421" s="36">
        <v>5</v>
      </c>
      <c r="E421" s="37" t="s">
        <v>519</v>
      </c>
      <c r="F421" s="37" t="s">
        <v>484</v>
      </c>
      <c r="G421" s="84" t="s">
        <v>504</v>
      </c>
      <c r="H421" s="36"/>
      <c r="I421" s="23"/>
    </row>
    <row r="422" spans="1:12" s="20" customFormat="1" ht="43.5" x14ac:dyDescent="0.4">
      <c r="A422" s="39"/>
      <c r="B422" s="39" t="s">
        <v>679</v>
      </c>
      <c r="C422" s="39" t="s">
        <v>938</v>
      </c>
      <c r="D422" s="40"/>
      <c r="E422" s="41"/>
      <c r="F422" s="41"/>
      <c r="G422" s="41"/>
      <c r="H422" s="40"/>
      <c r="I422" s="32"/>
      <c r="J422" s="24"/>
      <c r="K422" s="24"/>
      <c r="L422" s="22"/>
    </row>
    <row r="423" spans="1:12" s="20" customFormat="1" ht="409.5" x14ac:dyDescent="0.4">
      <c r="A423" s="14" t="s">
        <v>273</v>
      </c>
      <c r="B423" s="14"/>
      <c r="C423" s="69"/>
      <c r="D423" s="36">
        <v>1</v>
      </c>
      <c r="E423" s="37" t="s">
        <v>485</v>
      </c>
      <c r="F423" s="37" t="s">
        <v>486</v>
      </c>
      <c r="G423" s="37"/>
      <c r="H423" s="36" t="s">
        <v>293</v>
      </c>
      <c r="I423" s="36"/>
    </row>
    <row r="424" spans="1:12" s="20" customFormat="1" ht="362.5" x14ac:dyDescent="0.4">
      <c r="A424" s="14" t="s">
        <v>273</v>
      </c>
      <c r="B424" s="14"/>
      <c r="C424" s="23"/>
      <c r="D424" s="36">
        <v>2</v>
      </c>
      <c r="E424" s="37" t="s">
        <v>506</v>
      </c>
      <c r="F424" s="37" t="s">
        <v>507</v>
      </c>
      <c r="G424" s="37" t="s">
        <v>516</v>
      </c>
      <c r="H424" s="36"/>
      <c r="I424" s="23"/>
    </row>
    <row r="425" spans="1:12" s="20" customFormat="1" ht="304.5" x14ac:dyDescent="0.4">
      <c r="A425" s="14" t="s">
        <v>273</v>
      </c>
      <c r="B425" s="14"/>
      <c r="C425" s="23"/>
      <c r="D425" s="36">
        <v>3</v>
      </c>
      <c r="E425" s="37" t="s">
        <v>517</v>
      </c>
      <c r="F425" s="37" t="s">
        <v>518</v>
      </c>
      <c r="G425" s="37"/>
      <c r="H425" s="36"/>
      <c r="I425" s="23"/>
    </row>
    <row r="426" spans="1:12" s="20" customFormat="1" ht="72.5" x14ac:dyDescent="0.4">
      <c r="A426" s="14" t="s">
        <v>273</v>
      </c>
      <c r="B426" s="14"/>
      <c r="C426" s="23"/>
      <c r="D426" s="36">
        <v>4</v>
      </c>
      <c r="E426" s="37" t="s">
        <v>914</v>
      </c>
      <c r="F426" s="37" t="s">
        <v>915</v>
      </c>
      <c r="G426" s="37"/>
      <c r="H426" s="36"/>
      <c r="I426" s="23"/>
    </row>
    <row r="427" spans="1:12" s="20" customFormat="1" ht="348" x14ac:dyDescent="0.4">
      <c r="A427" s="14" t="s">
        <v>273</v>
      </c>
      <c r="B427" s="14"/>
      <c r="C427" s="23"/>
      <c r="D427" s="36">
        <v>5</v>
      </c>
      <c r="E427" s="37" t="s">
        <v>932</v>
      </c>
      <c r="F427" s="37" t="s">
        <v>484</v>
      </c>
      <c r="G427" s="84" t="s">
        <v>504</v>
      </c>
      <c r="H427" s="36"/>
      <c r="I427" s="23"/>
    </row>
    <row r="428" spans="1:12" s="20" customFormat="1" ht="43.5" x14ac:dyDescent="0.4">
      <c r="A428" s="39"/>
      <c r="B428" s="39" t="s">
        <v>680</v>
      </c>
      <c r="C428" s="39" t="s">
        <v>939</v>
      </c>
      <c r="D428" s="40"/>
      <c r="E428" s="41"/>
      <c r="F428" s="41"/>
      <c r="G428" s="41"/>
      <c r="H428" s="40"/>
      <c r="I428" s="32"/>
      <c r="J428" s="24"/>
      <c r="K428" s="24"/>
      <c r="L428" s="22"/>
    </row>
    <row r="429" spans="1:12" s="20" customFormat="1" ht="409.5" x14ac:dyDescent="0.4">
      <c r="A429" s="14" t="s">
        <v>273</v>
      </c>
      <c r="B429" s="14"/>
      <c r="C429" s="69"/>
      <c r="D429" s="36">
        <v>1</v>
      </c>
      <c r="E429" s="37" t="s">
        <v>485</v>
      </c>
      <c r="F429" s="37" t="s">
        <v>486</v>
      </c>
      <c r="G429" s="37"/>
      <c r="H429" s="36" t="s">
        <v>293</v>
      </c>
      <c r="I429" s="36"/>
    </row>
    <row r="430" spans="1:12" s="20" customFormat="1" ht="362.5" x14ac:dyDescent="0.4">
      <c r="A430" s="14" t="s">
        <v>273</v>
      </c>
      <c r="B430" s="14"/>
      <c r="C430" s="23"/>
      <c r="D430" s="36">
        <v>2</v>
      </c>
      <c r="E430" s="37" t="s">
        <v>506</v>
      </c>
      <c r="F430" s="37" t="s">
        <v>507</v>
      </c>
      <c r="G430" s="37" t="s">
        <v>516</v>
      </c>
      <c r="H430" s="36"/>
      <c r="I430" s="23"/>
    </row>
    <row r="431" spans="1:12" s="20" customFormat="1" ht="304.5" x14ac:dyDescent="0.4">
      <c r="A431" s="14" t="s">
        <v>273</v>
      </c>
      <c r="B431" s="14"/>
      <c r="C431" s="23"/>
      <c r="D431" s="36">
        <v>3</v>
      </c>
      <c r="E431" s="37" t="s">
        <v>517</v>
      </c>
      <c r="F431" s="37" t="s">
        <v>518</v>
      </c>
      <c r="G431" s="37"/>
      <c r="H431" s="36"/>
      <c r="I431" s="23"/>
    </row>
    <row r="432" spans="1:12" s="20" customFormat="1" ht="72.5" x14ac:dyDescent="0.4">
      <c r="A432" s="14" t="s">
        <v>273</v>
      </c>
      <c r="B432" s="14"/>
      <c r="C432" s="23"/>
      <c r="D432" s="36">
        <v>4</v>
      </c>
      <c r="E432" s="37" t="s">
        <v>916</v>
      </c>
      <c r="F432" s="37" t="s">
        <v>917</v>
      </c>
      <c r="G432" s="37"/>
      <c r="H432" s="36"/>
      <c r="I432" s="23"/>
    </row>
    <row r="433" spans="1:12" s="20" customFormat="1" ht="348" x14ac:dyDescent="0.4">
      <c r="A433" s="14" t="s">
        <v>273</v>
      </c>
      <c r="B433" s="14"/>
      <c r="C433" s="23"/>
      <c r="D433" s="36">
        <v>5</v>
      </c>
      <c r="E433" s="37" t="s">
        <v>932</v>
      </c>
      <c r="F433" s="37" t="s">
        <v>484</v>
      </c>
      <c r="G433" s="84" t="s">
        <v>504</v>
      </c>
      <c r="H433" s="36"/>
      <c r="I433" s="23"/>
    </row>
    <row r="434" spans="1:12" s="20" customFormat="1" ht="29" x14ac:dyDescent="0.4">
      <c r="A434" s="39"/>
      <c r="B434" s="32" t="s">
        <v>681</v>
      </c>
      <c r="C434" s="32" t="s">
        <v>940</v>
      </c>
      <c r="D434" s="40"/>
      <c r="E434" s="41"/>
      <c r="F434" s="41"/>
      <c r="G434" s="41"/>
      <c r="H434" s="40"/>
      <c r="I434" s="32"/>
      <c r="J434" s="24"/>
      <c r="K434" s="24"/>
      <c r="L434" s="22"/>
    </row>
    <row r="435" spans="1:12" s="20" customFormat="1" ht="58" x14ac:dyDescent="0.4">
      <c r="A435" s="14" t="s">
        <v>273</v>
      </c>
      <c r="B435" s="14"/>
      <c r="C435" s="23"/>
      <c r="D435" s="36">
        <v>1</v>
      </c>
      <c r="E435" s="37" t="s">
        <v>442</v>
      </c>
      <c r="F435" s="37" t="s">
        <v>941</v>
      </c>
      <c r="G435" s="37" t="s">
        <v>520</v>
      </c>
      <c r="H435" s="36"/>
      <c r="I435" s="23"/>
      <c r="J435" s="24"/>
      <c r="K435" s="24"/>
      <c r="L435" s="22"/>
    </row>
    <row r="436" spans="1:12" s="20" customFormat="1" ht="58" x14ac:dyDescent="0.4">
      <c r="A436" s="14" t="s">
        <v>273</v>
      </c>
      <c r="B436" s="14"/>
      <c r="C436" s="23"/>
      <c r="D436" s="36">
        <v>2</v>
      </c>
      <c r="E436" s="37" t="s">
        <v>442</v>
      </c>
      <c r="F436" s="37" t="s">
        <v>941</v>
      </c>
      <c r="G436" s="37" t="s">
        <v>521</v>
      </c>
      <c r="H436" s="36"/>
      <c r="I436" s="23"/>
      <c r="J436" s="24"/>
      <c r="K436" s="24"/>
      <c r="L436" s="22"/>
    </row>
    <row r="437" spans="1:12" s="20" customFormat="1" ht="58" x14ac:dyDescent="0.4">
      <c r="A437" s="14" t="s">
        <v>273</v>
      </c>
      <c r="B437" s="14"/>
      <c r="C437" s="23"/>
      <c r="D437" s="36">
        <v>3</v>
      </c>
      <c r="E437" s="37" t="s">
        <v>442</v>
      </c>
      <c r="F437" s="37" t="s">
        <v>941</v>
      </c>
      <c r="G437" s="37" t="s">
        <v>522</v>
      </c>
      <c r="H437" s="36"/>
      <c r="I437" s="23"/>
      <c r="J437" s="24"/>
      <c r="K437" s="24"/>
      <c r="L437" s="22"/>
    </row>
    <row r="438" spans="1:12" s="20" customFormat="1" ht="58" x14ac:dyDescent="0.4">
      <c r="A438" s="14" t="s">
        <v>273</v>
      </c>
      <c r="B438" s="14"/>
      <c r="C438" s="23"/>
      <c r="D438" s="36">
        <v>4</v>
      </c>
      <c r="E438" s="37" t="s">
        <v>549</v>
      </c>
      <c r="F438" s="37" t="s">
        <v>946</v>
      </c>
      <c r="G438" s="37" t="s">
        <v>543</v>
      </c>
      <c r="H438" s="36"/>
      <c r="I438" s="23"/>
      <c r="J438" s="24"/>
      <c r="K438" s="24"/>
      <c r="L438" s="22"/>
    </row>
    <row r="439" spans="1:12" s="20" customFormat="1" ht="116.25" customHeight="1" x14ac:dyDescent="0.4">
      <c r="A439" s="14" t="s">
        <v>273</v>
      </c>
      <c r="B439" s="14"/>
      <c r="C439" s="23"/>
      <c r="D439" s="36">
        <v>5</v>
      </c>
      <c r="E439" s="37" t="s">
        <v>480</v>
      </c>
      <c r="F439" s="37" t="s">
        <v>1165</v>
      </c>
      <c r="G439" s="37" t="s">
        <v>548</v>
      </c>
      <c r="H439" s="36"/>
      <c r="I439" s="23"/>
      <c r="J439" s="24"/>
      <c r="K439" s="24"/>
      <c r="L439" s="22"/>
    </row>
    <row r="440" spans="1:12" s="20" customFormat="1" ht="58" x14ac:dyDescent="0.4">
      <c r="A440" s="14" t="s">
        <v>273</v>
      </c>
      <c r="B440" s="14"/>
      <c r="C440" s="23"/>
      <c r="D440" s="36">
        <v>6</v>
      </c>
      <c r="E440" s="37" t="s">
        <v>551</v>
      </c>
      <c r="F440" s="37" t="s">
        <v>1164</v>
      </c>
      <c r="G440" s="37" t="s">
        <v>550</v>
      </c>
      <c r="H440" s="36"/>
      <c r="I440" s="23"/>
      <c r="J440" s="24"/>
      <c r="K440" s="24"/>
      <c r="L440" s="22"/>
    </row>
    <row r="441" spans="1:12" s="20" customFormat="1" ht="72.5" x14ac:dyDescent="0.4">
      <c r="A441" s="14" t="s">
        <v>273</v>
      </c>
      <c r="B441" s="14"/>
      <c r="C441" s="23"/>
      <c r="D441" s="36">
        <v>7</v>
      </c>
      <c r="E441" s="37" t="s">
        <v>555</v>
      </c>
      <c r="F441" s="37" t="s">
        <v>1163</v>
      </c>
      <c r="G441" s="37" t="s">
        <v>554</v>
      </c>
      <c r="H441" s="36"/>
      <c r="I441" s="23"/>
      <c r="J441" s="24"/>
      <c r="K441" s="24"/>
      <c r="L441" s="22"/>
    </row>
    <row r="442" spans="1:12" s="20" customFormat="1" ht="72.5" x14ac:dyDescent="0.4">
      <c r="A442" s="14" t="s">
        <v>273</v>
      </c>
      <c r="B442" s="14"/>
      <c r="C442" s="23"/>
      <c r="D442" s="36">
        <v>8</v>
      </c>
      <c r="E442" s="37" t="s">
        <v>549</v>
      </c>
      <c r="F442" s="37" t="s">
        <v>946</v>
      </c>
      <c r="G442" s="37" t="s">
        <v>556</v>
      </c>
      <c r="H442" s="36"/>
      <c r="I442" s="23"/>
      <c r="J442" s="24"/>
      <c r="K442" s="24"/>
      <c r="L442" s="22"/>
    </row>
    <row r="443" spans="1:12" s="20" customFormat="1" ht="29" x14ac:dyDescent="0.4">
      <c r="A443" s="32"/>
      <c r="B443" s="32" t="s">
        <v>688</v>
      </c>
      <c r="C443" s="32" t="s">
        <v>806</v>
      </c>
      <c r="D443" s="32"/>
      <c r="E443" s="32"/>
      <c r="F443" s="32"/>
      <c r="G443" s="32"/>
      <c r="H443" s="32"/>
      <c r="I443" s="32"/>
    </row>
    <row r="444" spans="1:12" s="20" customFormat="1" ht="261" x14ac:dyDescent="0.4">
      <c r="A444" s="14" t="s">
        <v>273</v>
      </c>
      <c r="B444" s="73"/>
      <c r="C444" s="14"/>
      <c r="D444" s="36">
        <v>1</v>
      </c>
      <c r="E444" s="37" t="s">
        <v>561</v>
      </c>
      <c r="F444" s="37" t="s">
        <v>784</v>
      </c>
      <c r="G444" s="37" t="s">
        <v>565</v>
      </c>
      <c r="H444" s="36" t="s">
        <v>293</v>
      </c>
      <c r="I444" s="23"/>
    </row>
    <row r="445" spans="1:12" s="20" customFormat="1" ht="174" x14ac:dyDescent="0.4">
      <c r="A445" s="14" t="s">
        <v>273</v>
      </c>
      <c r="B445" s="14"/>
      <c r="C445" s="14"/>
      <c r="D445" s="36">
        <v>2</v>
      </c>
      <c r="E445" s="23" t="s">
        <v>564</v>
      </c>
      <c r="F445" s="37" t="s">
        <v>566</v>
      </c>
      <c r="G445" s="14" t="s">
        <v>567</v>
      </c>
      <c r="H445" s="74"/>
      <c r="I445" s="75"/>
    </row>
    <row r="446" spans="1:12" s="20" customFormat="1" ht="232" x14ac:dyDescent="0.4">
      <c r="A446" s="14" t="s">
        <v>273</v>
      </c>
      <c r="B446" s="14"/>
      <c r="C446" s="14"/>
      <c r="D446" s="36">
        <v>3</v>
      </c>
      <c r="E446" s="23" t="s">
        <v>568</v>
      </c>
      <c r="F446" s="23" t="s">
        <v>570</v>
      </c>
      <c r="G446" s="23"/>
      <c r="H446" s="23"/>
      <c r="I446" s="23"/>
    </row>
    <row r="447" spans="1:12" s="20" customFormat="1" ht="116" x14ac:dyDescent="0.4">
      <c r="A447" s="14" t="s">
        <v>273</v>
      </c>
      <c r="B447" s="14"/>
      <c r="C447" s="14"/>
      <c r="D447" s="36">
        <v>4</v>
      </c>
      <c r="E447" s="23" t="s">
        <v>581</v>
      </c>
      <c r="F447" s="23" t="s">
        <v>571</v>
      </c>
      <c r="G447" s="23"/>
      <c r="H447" s="23"/>
      <c r="I447" s="23"/>
    </row>
    <row r="448" spans="1:12" s="20" customFormat="1" ht="58" x14ac:dyDescent="0.4">
      <c r="A448" s="14" t="s">
        <v>273</v>
      </c>
      <c r="B448" s="14"/>
      <c r="C448" s="14"/>
      <c r="D448" s="36">
        <v>5</v>
      </c>
      <c r="E448" s="23" t="s">
        <v>572</v>
      </c>
      <c r="F448" s="23" t="s">
        <v>573</v>
      </c>
      <c r="G448" s="23" t="s">
        <v>574</v>
      </c>
      <c r="H448" s="23"/>
      <c r="I448" s="23"/>
    </row>
    <row r="449" spans="1:9" s="20" customFormat="1" ht="130.5" x14ac:dyDescent="0.4">
      <c r="A449" s="14" t="s">
        <v>273</v>
      </c>
      <c r="B449" s="14"/>
      <c r="C449" s="14"/>
      <c r="D449" s="36">
        <v>6</v>
      </c>
      <c r="E449" s="37" t="s">
        <v>575</v>
      </c>
      <c r="F449" s="37" t="s">
        <v>576</v>
      </c>
      <c r="G449" s="37"/>
      <c r="H449" s="37"/>
      <c r="I449" s="37"/>
    </row>
    <row r="450" spans="1:9" s="20" customFormat="1" ht="159.5" x14ac:dyDescent="0.4">
      <c r="A450" s="14" t="s">
        <v>273</v>
      </c>
      <c r="B450" s="14"/>
      <c r="C450" s="14"/>
      <c r="D450" s="36">
        <v>7</v>
      </c>
      <c r="E450" s="37" t="s">
        <v>354</v>
      </c>
      <c r="F450" s="37" t="s">
        <v>356</v>
      </c>
      <c r="G450" s="37"/>
      <c r="H450" s="37"/>
      <c r="I450" s="37"/>
    </row>
    <row r="451" spans="1:9" s="20" customFormat="1" ht="58" x14ac:dyDescent="0.4">
      <c r="A451" s="14" t="s">
        <v>273</v>
      </c>
      <c r="B451" s="14"/>
      <c r="C451" s="14"/>
      <c r="D451" s="36">
        <v>8</v>
      </c>
      <c r="E451" s="37" t="s">
        <v>357</v>
      </c>
      <c r="F451" s="37" t="s">
        <v>577</v>
      </c>
      <c r="G451" s="86" t="s">
        <v>355</v>
      </c>
      <c r="H451" s="37"/>
      <c r="I451" s="37"/>
    </row>
    <row r="452" spans="1:9" s="20" customFormat="1" ht="58" x14ac:dyDescent="0.4">
      <c r="A452" s="14" t="s">
        <v>273</v>
      </c>
      <c r="B452" s="14"/>
      <c r="C452" s="14"/>
      <c r="D452" s="36">
        <v>9</v>
      </c>
      <c r="E452" s="37" t="s">
        <v>578</v>
      </c>
      <c r="F452" s="37" t="s">
        <v>499</v>
      </c>
      <c r="G452" s="37"/>
      <c r="H452" s="37"/>
      <c r="I452" s="37"/>
    </row>
    <row r="453" spans="1:9" s="20" customFormat="1" ht="29" x14ac:dyDescent="0.4">
      <c r="A453" s="32"/>
      <c r="B453" s="32" t="s">
        <v>689</v>
      </c>
      <c r="C453" s="32" t="s">
        <v>948</v>
      </c>
      <c r="D453" s="32"/>
      <c r="E453" s="32"/>
      <c r="F453" s="32"/>
      <c r="G453" s="32"/>
      <c r="H453" s="32"/>
      <c r="I453" s="32"/>
    </row>
    <row r="454" spans="1:9" s="20" customFormat="1" ht="261" x14ac:dyDescent="0.4">
      <c r="A454" s="14" t="s">
        <v>273</v>
      </c>
      <c r="B454" s="73"/>
      <c r="C454" s="14"/>
      <c r="D454" s="36">
        <v>1</v>
      </c>
      <c r="E454" s="37" t="s">
        <v>561</v>
      </c>
      <c r="F454" s="37" t="s">
        <v>784</v>
      </c>
      <c r="G454" s="37" t="s">
        <v>565</v>
      </c>
      <c r="H454" s="36" t="s">
        <v>293</v>
      </c>
      <c r="I454" s="23"/>
    </row>
    <row r="455" spans="1:9" s="20" customFormat="1" ht="174" x14ac:dyDescent="0.4">
      <c r="A455" s="14" t="s">
        <v>273</v>
      </c>
      <c r="B455" s="14"/>
      <c r="C455" s="14"/>
      <c r="D455" s="36">
        <v>2</v>
      </c>
      <c r="E455" s="23" t="s">
        <v>564</v>
      </c>
      <c r="F455" s="37" t="s">
        <v>566</v>
      </c>
      <c r="G455" s="14" t="s">
        <v>567</v>
      </c>
      <c r="H455" s="74"/>
      <c r="I455" s="75"/>
    </row>
    <row r="456" spans="1:9" s="20" customFormat="1" ht="232" x14ac:dyDescent="0.4">
      <c r="A456" s="14" t="s">
        <v>273</v>
      </c>
      <c r="B456" s="14"/>
      <c r="C456" s="14"/>
      <c r="D456" s="36">
        <v>3</v>
      </c>
      <c r="E456" s="23" t="s">
        <v>568</v>
      </c>
      <c r="F456" s="23" t="s">
        <v>570</v>
      </c>
      <c r="G456" s="23" t="s">
        <v>949</v>
      </c>
      <c r="H456" s="23"/>
      <c r="I456" s="23"/>
    </row>
    <row r="457" spans="1:9" s="20" customFormat="1" ht="29" x14ac:dyDescent="0.4">
      <c r="A457" s="32"/>
      <c r="B457" s="32" t="s">
        <v>696</v>
      </c>
      <c r="C457" s="32" t="s">
        <v>807</v>
      </c>
      <c r="D457" s="32"/>
      <c r="E457" s="32"/>
      <c r="F457" s="32"/>
      <c r="G457" s="32"/>
      <c r="H457" s="32"/>
      <c r="I457" s="32"/>
    </row>
    <row r="458" spans="1:9" s="20" customFormat="1" ht="275.5" x14ac:dyDescent="0.4">
      <c r="A458" s="14" t="s">
        <v>273</v>
      </c>
      <c r="B458" s="73"/>
      <c r="C458" s="14"/>
      <c r="D458" s="36">
        <v>1</v>
      </c>
      <c r="E458" s="37" t="s">
        <v>561</v>
      </c>
      <c r="F458" s="37" t="s">
        <v>563</v>
      </c>
      <c r="G458" s="37" t="s">
        <v>565</v>
      </c>
      <c r="H458" s="36" t="s">
        <v>293</v>
      </c>
      <c r="I458" s="23"/>
    </row>
    <row r="459" spans="1:9" s="20" customFormat="1" ht="174" x14ac:dyDescent="0.4">
      <c r="A459" s="14" t="s">
        <v>273</v>
      </c>
      <c r="B459" s="14"/>
      <c r="C459" s="14"/>
      <c r="D459" s="36">
        <v>2</v>
      </c>
      <c r="E459" s="37" t="s">
        <v>580</v>
      </c>
      <c r="F459" s="37" t="s">
        <v>566</v>
      </c>
      <c r="G459" s="14" t="s">
        <v>567</v>
      </c>
      <c r="H459" s="74"/>
      <c r="I459" s="75"/>
    </row>
    <row r="460" spans="1:9" s="20" customFormat="1" ht="232" x14ac:dyDescent="0.4">
      <c r="A460" s="14" t="s">
        <v>273</v>
      </c>
      <c r="B460" s="14"/>
      <c r="C460" s="14"/>
      <c r="D460" s="36">
        <v>3</v>
      </c>
      <c r="E460" s="23" t="s">
        <v>568</v>
      </c>
      <c r="F460" s="23" t="s">
        <v>570</v>
      </c>
      <c r="G460" s="23"/>
      <c r="H460" s="23"/>
      <c r="I460" s="23"/>
    </row>
    <row r="461" spans="1:9" s="20" customFormat="1" ht="116" x14ac:dyDescent="0.4">
      <c r="A461" s="14" t="s">
        <v>273</v>
      </c>
      <c r="B461" s="14"/>
      <c r="C461" s="14"/>
      <c r="D461" s="36">
        <v>4</v>
      </c>
      <c r="E461" s="23" t="s">
        <v>581</v>
      </c>
      <c r="F461" s="23" t="s">
        <v>571</v>
      </c>
      <c r="G461" s="23"/>
      <c r="H461" s="23"/>
      <c r="I461" s="23"/>
    </row>
    <row r="462" spans="1:9" s="20" customFormat="1" ht="58" x14ac:dyDescent="0.4">
      <c r="A462" s="14" t="s">
        <v>273</v>
      </c>
      <c r="B462" s="14"/>
      <c r="C462" s="14"/>
      <c r="D462" s="36">
        <v>5</v>
      </c>
      <c r="E462" s="23" t="s">
        <v>572</v>
      </c>
      <c r="F462" s="23" t="s">
        <v>573</v>
      </c>
      <c r="G462" s="23"/>
      <c r="H462" s="23"/>
      <c r="I462" s="23"/>
    </row>
    <row r="463" spans="1:9" s="20" customFormat="1" ht="130.5" x14ac:dyDescent="0.4">
      <c r="A463" s="14" t="s">
        <v>273</v>
      </c>
      <c r="B463" s="14"/>
      <c r="C463" s="14"/>
      <c r="D463" s="36">
        <v>6</v>
      </c>
      <c r="E463" s="37" t="s">
        <v>575</v>
      </c>
      <c r="F463" s="37" t="s">
        <v>576</v>
      </c>
      <c r="G463" s="37"/>
      <c r="H463" s="37"/>
      <c r="I463" s="37"/>
    </row>
    <row r="464" spans="1:9" s="20" customFormat="1" ht="159.5" x14ac:dyDescent="0.4">
      <c r="A464" s="14" t="s">
        <v>273</v>
      </c>
      <c r="B464" s="14"/>
      <c r="C464" s="14"/>
      <c r="D464" s="36">
        <v>7</v>
      </c>
      <c r="E464" s="37" t="s">
        <v>354</v>
      </c>
      <c r="F464" s="37" t="s">
        <v>356</v>
      </c>
      <c r="G464" s="37"/>
      <c r="H464" s="37"/>
      <c r="I464" s="37"/>
    </row>
    <row r="465" spans="1:9" s="20" customFormat="1" ht="58" x14ac:dyDescent="0.4">
      <c r="A465" s="14" t="s">
        <v>273</v>
      </c>
      <c r="B465" s="14"/>
      <c r="C465" s="14"/>
      <c r="D465" s="36">
        <v>8</v>
      </c>
      <c r="E465" s="37" t="s">
        <v>357</v>
      </c>
      <c r="F465" s="37" t="s">
        <v>577</v>
      </c>
      <c r="G465" s="86" t="s">
        <v>355</v>
      </c>
      <c r="H465" s="37"/>
      <c r="I465" s="37"/>
    </row>
    <row r="466" spans="1:9" s="20" customFormat="1" ht="58" x14ac:dyDescent="0.4">
      <c r="A466" s="14" t="s">
        <v>273</v>
      </c>
      <c r="B466" s="14"/>
      <c r="C466" s="14"/>
      <c r="D466" s="36">
        <v>9</v>
      </c>
      <c r="E466" s="37" t="s">
        <v>578</v>
      </c>
      <c r="F466" s="37" t="s">
        <v>499</v>
      </c>
      <c r="G466" s="37"/>
      <c r="H466" s="37"/>
      <c r="I466" s="37"/>
    </row>
    <row r="467" spans="1:9" s="20" customFormat="1" ht="29" x14ac:dyDescent="0.4">
      <c r="A467" s="32"/>
      <c r="B467" s="32" t="s">
        <v>697</v>
      </c>
      <c r="C467" s="32" t="s">
        <v>808</v>
      </c>
      <c r="D467" s="32"/>
      <c r="E467" s="32"/>
      <c r="F467" s="32"/>
      <c r="G467" s="32"/>
      <c r="H467" s="32"/>
      <c r="I467" s="32"/>
    </row>
    <row r="468" spans="1:9" s="20" customFormat="1" ht="275.5" x14ac:dyDescent="0.4">
      <c r="A468" s="14" t="s">
        <v>273</v>
      </c>
      <c r="B468" s="73"/>
      <c r="C468" s="14"/>
      <c r="D468" s="36">
        <v>1</v>
      </c>
      <c r="E468" s="37" t="s">
        <v>561</v>
      </c>
      <c r="F468" s="37" t="s">
        <v>563</v>
      </c>
      <c r="G468" s="37" t="s">
        <v>565</v>
      </c>
      <c r="H468" s="36" t="s">
        <v>293</v>
      </c>
      <c r="I468" s="23"/>
    </row>
    <row r="469" spans="1:9" s="20" customFormat="1" ht="174" x14ac:dyDescent="0.4">
      <c r="A469" s="14" t="s">
        <v>273</v>
      </c>
      <c r="B469" s="14"/>
      <c r="C469" s="14"/>
      <c r="D469" s="36">
        <v>2</v>
      </c>
      <c r="E469" s="37" t="s">
        <v>583</v>
      </c>
      <c r="F469" s="37" t="s">
        <v>566</v>
      </c>
      <c r="G469" s="14" t="s">
        <v>567</v>
      </c>
      <c r="H469" s="74"/>
      <c r="I469" s="75"/>
    </row>
    <row r="470" spans="1:9" s="20" customFormat="1" ht="232" x14ac:dyDescent="0.4">
      <c r="A470" s="14" t="s">
        <v>273</v>
      </c>
      <c r="B470" s="14"/>
      <c r="C470" s="14"/>
      <c r="D470" s="36">
        <v>3</v>
      </c>
      <c r="E470" s="23" t="s">
        <v>568</v>
      </c>
      <c r="F470" s="23" t="s">
        <v>570</v>
      </c>
      <c r="G470" s="23"/>
      <c r="H470" s="23"/>
      <c r="I470" s="23"/>
    </row>
    <row r="471" spans="1:9" s="20" customFormat="1" ht="116" x14ac:dyDescent="0.4">
      <c r="A471" s="14" t="s">
        <v>273</v>
      </c>
      <c r="B471" s="14"/>
      <c r="C471" s="14"/>
      <c r="D471" s="36">
        <v>4</v>
      </c>
      <c r="E471" s="23" t="s">
        <v>581</v>
      </c>
      <c r="F471" s="23" t="s">
        <v>571</v>
      </c>
      <c r="G471" s="23"/>
      <c r="H471" s="23"/>
      <c r="I471" s="23"/>
    </row>
    <row r="472" spans="1:9" s="20" customFormat="1" ht="58" x14ac:dyDescent="0.4">
      <c r="A472" s="14" t="s">
        <v>273</v>
      </c>
      <c r="B472" s="14"/>
      <c r="C472" s="14"/>
      <c r="D472" s="36">
        <v>5</v>
      </c>
      <c r="E472" s="23" t="s">
        <v>572</v>
      </c>
      <c r="F472" s="23" t="s">
        <v>573</v>
      </c>
      <c r="G472" s="23"/>
      <c r="H472" s="23"/>
      <c r="I472" s="23"/>
    </row>
    <row r="473" spans="1:9" s="20" customFormat="1" ht="130.5" x14ac:dyDescent="0.4">
      <c r="A473" s="14" t="s">
        <v>273</v>
      </c>
      <c r="B473" s="14"/>
      <c r="C473" s="14"/>
      <c r="D473" s="36">
        <v>6</v>
      </c>
      <c r="E473" s="37" t="s">
        <v>575</v>
      </c>
      <c r="F473" s="37" t="s">
        <v>576</v>
      </c>
      <c r="G473" s="37"/>
      <c r="H473" s="37"/>
      <c r="I473" s="37"/>
    </row>
    <row r="474" spans="1:9" s="20" customFormat="1" ht="159.5" x14ac:dyDescent="0.4">
      <c r="A474" s="14" t="s">
        <v>273</v>
      </c>
      <c r="B474" s="14"/>
      <c r="C474" s="14"/>
      <c r="D474" s="36">
        <v>7</v>
      </c>
      <c r="E474" s="37" t="s">
        <v>354</v>
      </c>
      <c r="F474" s="37" t="s">
        <v>356</v>
      </c>
      <c r="G474" s="37"/>
      <c r="H474" s="37"/>
      <c r="I474" s="37"/>
    </row>
    <row r="475" spans="1:9" s="20" customFormat="1" ht="58" x14ac:dyDescent="0.4">
      <c r="A475" s="14" t="s">
        <v>273</v>
      </c>
      <c r="B475" s="14"/>
      <c r="C475" s="14"/>
      <c r="D475" s="36">
        <v>8</v>
      </c>
      <c r="E475" s="37" t="s">
        <v>357</v>
      </c>
      <c r="F475" s="37" t="s">
        <v>577</v>
      </c>
      <c r="G475" s="86" t="s">
        <v>355</v>
      </c>
      <c r="H475" s="37"/>
      <c r="I475" s="37"/>
    </row>
    <row r="476" spans="1:9" s="20" customFormat="1" ht="58" x14ac:dyDescent="0.4">
      <c r="A476" s="14" t="s">
        <v>273</v>
      </c>
      <c r="B476" s="14"/>
      <c r="C476" s="14"/>
      <c r="D476" s="36">
        <v>9</v>
      </c>
      <c r="E476" s="37" t="s">
        <v>578</v>
      </c>
      <c r="F476" s="37" t="s">
        <v>499</v>
      </c>
      <c r="G476" s="37"/>
      <c r="H476" s="37"/>
      <c r="I476" s="37"/>
    </row>
    <row r="477" spans="1:9" s="20" customFormat="1" ht="29" x14ac:dyDescent="0.4">
      <c r="A477" s="32"/>
      <c r="B477" s="32" t="s">
        <v>700</v>
      </c>
      <c r="C477" s="32" t="s">
        <v>947</v>
      </c>
      <c r="D477" s="32"/>
      <c r="E477" s="32"/>
      <c r="F477" s="32"/>
      <c r="G477" s="32"/>
      <c r="H477" s="32"/>
      <c r="I477" s="32"/>
    </row>
    <row r="478" spans="1:9" s="20" customFormat="1" ht="275.5" x14ac:dyDescent="0.4">
      <c r="A478" s="14" t="s">
        <v>273</v>
      </c>
      <c r="B478" s="73"/>
      <c r="C478" s="14"/>
      <c r="D478" s="36">
        <v>1</v>
      </c>
      <c r="E478" s="37" t="s">
        <v>561</v>
      </c>
      <c r="F478" s="37" t="s">
        <v>563</v>
      </c>
      <c r="G478" s="37" t="s">
        <v>565</v>
      </c>
      <c r="H478" s="36" t="s">
        <v>293</v>
      </c>
      <c r="I478" s="23"/>
    </row>
    <row r="479" spans="1:9" s="20" customFormat="1" ht="174" x14ac:dyDescent="0.4">
      <c r="A479" s="14" t="s">
        <v>273</v>
      </c>
      <c r="B479" s="14"/>
      <c r="C479" s="14"/>
      <c r="D479" s="36">
        <v>2</v>
      </c>
      <c r="E479" s="37" t="s">
        <v>583</v>
      </c>
      <c r="F479" s="37" t="s">
        <v>566</v>
      </c>
      <c r="G479" s="14" t="s">
        <v>567</v>
      </c>
      <c r="H479" s="74"/>
      <c r="I479" s="75"/>
    </row>
    <row r="480" spans="1:9" s="20" customFormat="1" ht="232" x14ac:dyDescent="0.4">
      <c r="A480" s="14" t="s">
        <v>273</v>
      </c>
      <c r="B480" s="14"/>
      <c r="C480" s="14"/>
      <c r="D480" s="36">
        <v>3</v>
      </c>
      <c r="E480" s="23" t="s">
        <v>568</v>
      </c>
      <c r="F480" s="23" t="s">
        <v>570</v>
      </c>
      <c r="G480" s="23" t="s">
        <v>950</v>
      </c>
      <c r="H480" s="23"/>
      <c r="I480" s="23"/>
    </row>
    <row r="481" spans="1:9" s="20" customFormat="1" ht="29" x14ac:dyDescent="0.4">
      <c r="A481" s="32"/>
      <c r="B481" s="32" t="s">
        <v>703</v>
      </c>
      <c r="C481" s="32" t="s">
        <v>809</v>
      </c>
      <c r="D481" s="32"/>
      <c r="E481" s="32"/>
      <c r="F481" s="32"/>
      <c r="G481" s="32"/>
      <c r="H481" s="32"/>
      <c r="I481" s="32"/>
    </row>
    <row r="482" spans="1:9" s="20" customFormat="1" ht="275.5" x14ac:dyDescent="0.4">
      <c r="A482" s="14" t="s">
        <v>273</v>
      </c>
      <c r="B482" s="73"/>
      <c r="C482" s="14"/>
      <c r="D482" s="36">
        <v>1</v>
      </c>
      <c r="E482" s="37" t="s">
        <v>561</v>
      </c>
      <c r="F482" s="37" t="s">
        <v>563</v>
      </c>
      <c r="G482" s="37" t="s">
        <v>565</v>
      </c>
      <c r="H482" s="36"/>
      <c r="I482" s="23"/>
    </row>
    <row r="483" spans="1:9" s="20" customFormat="1" ht="130.5" x14ac:dyDescent="0.4">
      <c r="A483" s="14" t="s">
        <v>273</v>
      </c>
      <c r="B483" s="14"/>
      <c r="C483" s="14"/>
      <c r="D483" s="36">
        <v>2</v>
      </c>
      <c r="E483" s="37" t="s">
        <v>595</v>
      </c>
      <c r="F483" s="37" t="s">
        <v>596</v>
      </c>
      <c r="G483" s="14" t="s">
        <v>567</v>
      </c>
      <c r="H483" s="74"/>
      <c r="I483" s="75"/>
    </row>
    <row r="484" spans="1:9" s="20" customFormat="1" ht="232" x14ac:dyDescent="0.4">
      <c r="A484" s="14" t="s">
        <v>273</v>
      </c>
      <c r="B484" s="14"/>
      <c r="C484" s="14"/>
      <c r="D484" s="36">
        <v>3</v>
      </c>
      <c r="E484" s="23" t="s">
        <v>568</v>
      </c>
      <c r="F484" s="23" t="s">
        <v>597</v>
      </c>
      <c r="G484" s="23"/>
      <c r="H484" s="23"/>
      <c r="I484" s="23"/>
    </row>
    <row r="485" spans="1:9" s="20" customFormat="1" ht="58" x14ac:dyDescent="0.4">
      <c r="A485" s="14" t="s">
        <v>273</v>
      </c>
      <c r="B485" s="14"/>
      <c r="C485" s="14"/>
      <c r="D485" s="36">
        <v>4</v>
      </c>
      <c r="E485" s="23" t="s">
        <v>598</v>
      </c>
      <c r="F485" s="23" t="s">
        <v>599</v>
      </c>
      <c r="G485" s="23"/>
      <c r="H485" s="23"/>
      <c r="I485" s="23"/>
    </row>
    <row r="486" spans="1:9" s="20" customFormat="1" ht="29" x14ac:dyDescent="0.4">
      <c r="A486" s="32"/>
      <c r="B486" s="32" t="s">
        <v>709</v>
      </c>
      <c r="C486" s="32" t="s">
        <v>811</v>
      </c>
      <c r="D486" s="32"/>
      <c r="E486" s="32"/>
      <c r="F486" s="32"/>
      <c r="G486" s="32"/>
      <c r="H486" s="32"/>
      <c r="I486" s="32"/>
    </row>
    <row r="487" spans="1:9" s="20" customFormat="1" ht="275.5" x14ac:dyDescent="0.4">
      <c r="A487" s="14" t="s">
        <v>273</v>
      </c>
      <c r="B487" s="73"/>
      <c r="C487" s="14"/>
      <c r="D487" s="36">
        <v>1</v>
      </c>
      <c r="E487" s="37" t="s">
        <v>561</v>
      </c>
      <c r="F487" s="37" t="s">
        <v>563</v>
      </c>
      <c r="G487" s="37" t="s">
        <v>565</v>
      </c>
      <c r="H487" s="36" t="s">
        <v>293</v>
      </c>
      <c r="I487" s="23"/>
    </row>
    <row r="488" spans="1:9" s="20" customFormat="1" ht="130.5" x14ac:dyDescent="0.4">
      <c r="A488" s="14" t="s">
        <v>273</v>
      </c>
      <c r="B488" s="14"/>
      <c r="C488" s="14"/>
      <c r="D488" s="36">
        <v>2</v>
      </c>
      <c r="E488" s="37" t="s">
        <v>595</v>
      </c>
      <c r="F488" s="37" t="s">
        <v>596</v>
      </c>
      <c r="G488" s="14" t="s">
        <v>567</v>
      </c>
      <c r="H488" s="74"/>
      <c r="I488" s="75"/>
    </row>
    <row r="489" spans="1:9" s="20" customFormat="1" ht="232" x14ac:dyDescent="0.4">
      <c r="A489" s="14" t="s">
        <v>273</v>
      </c>
      <c r="B489" s="14"/>
      <c r="C489" s="14"/>
      <c r="D489" s="36">
        <v>3</v>
      </c>
      <c r="E489" s="23" t="s">
        <v>568</v>
      </c>
      <c r="F489" s="23" t="s">
        <v>597</v>
      </c>
      <c r="G489" s="23"/>
      <c r="H489" s="23"/>
      <c r="I489" s="23"/>
    </row>
    <row r="490" spans="1:9" s="20" customFormat="1" ht="58" x14ac:dyDescent="0.4">
      <c r="A490" s="14" t="s">
        <v>273</v>
      </c>
      <c r="B490" s="14"/>
      <c r="C490" s="14"/>
      <c r="D490" s="36">
        <v>4</v>
      </c>
      <c r="E490" s="23" t="s">
        <v>600</v>
      </c>
      <c r="F490" s="23" t="s">
        <v>601</v>
      </c>
      <c r="G490" s="23"/>
      <c r="H490" s="23"/>
      <c r="I490" s="23"/>
    </row>
    <row r="491" spans="1:9" s="20" customFormat="1" ht="14.5" x14ac:dyDescent="0.4">
      <c r="A491" s="32"/>
      <c r="B491" s="32" t="s">
        <v>710</v>
      </c>
      <c r="C491" s="32" t="s">
        <v>812</v>
      </c>
      <c r="D491" s="32"/>
      <c r="E491" s="32"/>
      <c r="F491" s="32"/>
      <c r="G491" s="32"/>
      <c r="H491" s="32"/>
      <c r="I491" s="32"/>
    </row>
    <row r="492" spans="1:9" s="20" customFormat="1" ht="275.5" x14ac:dyDescent="0.4">
      <c r="A492" s="14" t="s">
        <v>273</v>
      </c>
      <c r="B492" s="73"/>
      <c r="C492" s="14"/>
      <c r="D492" s="36">
        <v>1</v>
      </c>
      <c r="E492" s="37" t="s">
        <v>561</v>
      </c>
      <c r="F492" s="37" t="s">
        <v>563</v>
      </c>
      <c r="G492" s="37" t="s">
        <v>565</v>
      </c>
      <c r="H492" s="36" t="s">
        <v>293</v>
      </c>
      <c r="I492" s="23"/>
    </row>
    <row r="493" spans="1:9" s="20" customFormat="1" ht="58" x14ac:dyDescent="0.4">
      <c r="A493" s="14" t="s">
        <v>273</v>
      </c>
      <c r="B493" s="14"/>
      <c r="C493" s="14"/>
      <c r="D493" s="36">
        <v>2</v>
      </c>
      <c r="E493" s="37" t="s">
        <v>602</v>
      </c>
      <c r="F493" s="37" t="s">
        <v>603</v>
      </c>
      <c r="G493" s="14"/>
      <c r="H493" s="74"/>
      <c r="I493" s="75"/>
    </row>
    <row r="494" spans="1:9" s="20" customFormat="1" ht="159.5" x14ac:dyDescent="0.4">
      <c r="A494" s="14" t="s">
        <v>273</v>
      </c>
      <c r="B494" s="14"/>
      <c r="C494" s="14"/>
      <c r="D494" s="36">
        <v>3</v>
      </c>
      <c r="E494" s="23" t="s">
        <v>604</v>
      </c>
      <c r="F494" s="23" t="s">
        <v>803</v>
      </c>
      <c r="G494" s="23" t="s">
        <v>499</v>
      </c>
      <c r="H494" s="23"/>
      <c r="I494" s="23"/>
    </row>
    <row r="495" spans="1:9" s="20" customFormat="1" ht="29" x14ac:dyDescent="0.4">
      <c r="A495" s="32"/>
      <c r="B495" s="32" t="s">
        <v>713</v>
      </c>
      <c r="C495" s="32" t="s">
        <v>813</v>
      </c>
      <c r="D495" s="32"/>
      <c r="E495" s="32"/>
      <c r="F495" s="32"/>
      <c r="G495" s="32"/>
      <c r="H495" s="32"/>
      <c r="I495" s="32"/>
    </row>
    <row r="496" spans="1:9" s="20" customFormat="1" ht="275.5" x14ac:dyDescent="0.4">
      <c r="A496" s="14" t="s">
        <v>273</v>
      </c>
      <c r="B496" s="73"/>
      <c r="C496" s="14"/>
      <c r="D496" s="36">
        <v>1</v>
      </c>
      <c r="E496" s="37" t="s">
        <v>561</v>
      </c>
      <c r="F496" s="37" t="s">
        <v>563</v>
      </c>
      <c r="G496" s="37" t="s">
        <v>565</v>
      </c>
      <c r="H496" s="36" t="s">
        <v>293</v>
      </c>
      <c r="I496" s="23"/>
    </row>
    <row r="497" spans="1:12" s="20" customFormat="1" ht="174" x14ac:dyDescent="0.4">
      <c r="A497" s="14" t="s">
        <v>273</v>
      </c>
      <c r="B497" s="14"/>
      <c r="C497" s="14"/>
      <c r="D497" s="36">
        <v>2</v>
      </c>
      <c r="E497" s="23" t="s">
        <v>810</v>
      </c>
      <c r="F497" s="37" t="s">
        <v>566</v>
      </c>
      <c r="G497" s="14"/>
      <c r="H497" s="74"/>
      <c r="I497" s="75"/>
    </row>
    <row r="498" spans="1:12" s="20" customFormat="1" ht="232" x14ac:dyDescent="0.4">
      <c r="A498" s="14" t="s">
        <v>273</v>
      </c>
      <c r="B498" s="14"/>
      <c r="C498" s="14"/>
      <c r="D498" s="36">
        <v>3</v>
      </c>
      <c r="E498" s="23" t="s">
        <v>568</v>
      </c>
      <c r="F498" s="23" t="s">
        <v>570</v>
      </c>
      <c r="G498" s="23"/>
      <c r="H498" s="23"/>
      <c r="I498" s="23"/>
    </row>
    <row r="499" spans="1:12" s="20" customFormat="1" ht="217.5" x14ac:dyDescent="0.4">
      <c r="A499" s="14" t="s">
        <v>273</v>
      </c>
      <c r="B499" s="14"/>
      <c r="C499" s="14"/>
      <c r="D499" s="36">
        <v>4</v>
      </c>
      <c r="E499" s="23" t="s">
        <v>605</v>
      </c>
      <c r="F499" s="23" t="s">
        <v>606</v>
      </c>
      <c r="G499" s="23"/>
      <c r="H499" s="23"/>
      <c r="I499" s="23"/>
    </row>
    <row r="500" spans="1:12" s="20" customFormat="1" ht="58" x14ac:dyDescent="0.4">
      <c r="A500" s="14" t="s">
        <v>273</v>
      </c>
      <c r="B500" s="14"/>
      <c r="C500" s="14"/>
      <c r="D500" s="36">
        <v>5</v>
      </c>
      <c r="E500" s="23" t="s">
        <v>607</v>
      </c>
      <c r="F500" s="23" t="s">
        <v>608</v>
      </c>
      <c r="G500" s="23" t="s">
        <v>610</v>
      </c>
      <c r="H500" s="23"/>
      <c r="I500" s="23"/>
    </row>
    <row r="501" spans="1:12" s="20" customFormat="1" ht="29" x14ac:dyDescent="0.4">
      <c r="A501" s="32"/>
      <c r="B501" s="32" t="s">
        <v>715</v>
      </c>
      <c r="C501" s="32" t="s">
        <v>814</v>
      </c>
      <c r="D501" s="32"/>
      <c r="E501" s="32"/>
      <c r="F501" s="32"/>
      <c r="G501" s="32"/>
      <c r="H501" s="32"/>
      <c r="I501" s="32"/>
    </row>
    <row r="502" spans="1:12" s="20" customFormat="1" ht="275.5" x14ac:dyDescent="0.4">
      <c r="A502" s="14" t="s">
        <v>273</v>
      </c>
      <c r="B502" s="73"/>
      <c r="C502" s="14"/>
      <c r="D502" s="36">
        <v>1</v>
      </c>
      <c r="E502" s="37" t="s">
        <v>561</v>
      </c>
      <c r="F502" s="37" t="s">
        <v>563</v>
      </c>
      <c r="G502" s="37" t="s">
        <v>565</v>
      </c>
      <c r="H502" s="36" t="s">
        <v>293</v>
      </c>
      <c r="I502" s="23"/>
    </row>
    <row r="503" spans="1:12" s="20" customFormat="1" ht="174" x14ac:dyDescent="0.4">
      <c r="A503" s="14" t="s">
        <v>273</v>
      </c>
      <c r="B503" s="14"/>
      <c r="C503" s="14"/>
      <c r="D503" s="36">
        <v>2</v>
      </c>
      <c r="E503" s="23" t="s">
        <v>810</v>
      </c>
      <c r="F503" s="37" t="s">
        <v>566</v>
      </c>
      <c r="G503" s="14"/>
      <c r="H503" s="74"/>
      <c r="I503" s="75"/>
    </row>
    <row r="504" spans="1:12" s="20" customFormat="1" ht="232" x14ac:dyDescent="0.4">
      <c r="A504" s="14" t="s">
        <v>273</v>
      </c>
      <c r="B504" s="14"/>
      <c r="C504" s="14"/>
      <c r="D504" s="36">
        <v>3</v>
      </c>
      <c r="E504" s="23" t="s">
        <v>568</v>
      </c>
      <c r="F504" s="23" t="s">
        <v>570</v>
      </c>
      <c r="G504" s="23"/>
      <c r="H504" s="23"/>
      <c r="I504" s="23"/>
    </row>
    <row r="505" spans="1:12" s="20" customFormat="1" ht="58" x14ac:dyDescent="0.4">
      <c r="A505" s="14" t="s">
        <v>273</v>
      </c>
      <c r="B505" s="14"/>
      <c r="C505" s="14"/>
      <c r="D505" s="36">
        <v>4</v>
      </c>
      <c r="E505" s="23" t="s">
        <v>611</v>
      </c>
      <c r="F505" s="23" t="s">
        <v>601</v>
      </c>
      <c r="G505" s="23" t="s">
        <v>610</v>
      </c>
      <c r="H505" s="23"/>
      <c r="I505" s="23"/>
    </row>
    <row r="506" spans="1:12" s="20" customFormat="1" ht="29" x14ac:dyDescent="0.4">
      <c r="A506" s="32"/>
      <c r="B506" s="32" t="s">
        <v>717</v>
      </c>
      <c r="C506" s="32" t="s">
        <v>815</v>
      </c>
      <c r="D506" s="40"/>
      <c r="E506" s="41"/>
      <c r="F506" s="41"/>
      <c r="G506" s="41"/>
      <c r="H506" s="40"/>
      <c r="I506" s="32"/>
      <c r="J506" s="24"/>
      <c r="K506" s="24"/>
      <c r="L506" s="22"/>
    </row>
    <row r="507" spans="1:12" s="20" customFormat="1" ht="58" x14ac:dyDescent="0.4">
      <c r="A507" s="14" t="s">
        <v>273</v>
      </c>
      <c r="B507" s="14"/>
      <c r="C507" s="71"/>
      <c r="D507" s="36">
        <v>1</v>
      </c>
      <c r="E507" s="23" t="s">
        <v>568</v>
      </c>
      <c r="F507" s="37" t="s">
        <v>951</v>
      </c>
      <c r="G507" s="37" t="s">
        <v>569</v>
      </c>
      <c r="H507" s="36"/>
      <c r="I507" s="23"/>
      <c r="J507" s="24"/>
      <c r="K507" s="24"/>
      <c r="L507" s="22"/>
    </row>
    <row r="508" spans="1:12" s="20" customFormat="1" ht="58" x14ac:dyDescent="0.4">
      <c r="A508" s="14" t="s">
        <v>273</v>
      </c>
      <c r="B508" s="14"/>
      <c r="C508" s="23"/>
      <c r="D508" s="36">
        <v>2</v>
      </c>
      <c r="E508" s="23" t="s">
        <v>568</v>
      </c>
      <c r="F508" s="37" t="s">
        <v>952</v>
      </c>
      <c r="G508" s="37" t="s">
        <v>584</v>
      </c>
      <c r="H508" s="36"/>
      <c r="I508" s="23"/>
      <c r="J508" s="24"/>
      <c r="K508" s="24"/>
      <c r="L508" s="22"/>
    </row>
    <row r="509" spans="1:12" s="20" customFormat="1" ht="58" x14ac:dyDescent="0.4">
      <c r="A509" s="14" t="s">
        <v>273</v>
      </c>
      <c r="B509" s="14"/>
      <c r="C509" s="23"/>
      <c r="D509" s="36">
        <v>3</v>
      </c>
      <c r="E509" s="23" t="s">
        <v>568</v>
      </c>
      <c r="F509" s="37" t="s">
        <v>952</v>
      </c>
      <c r="G509" s="37" t="s">
        <v>585</v>
      </c>
      <c r="H509" s="36"/>
      <c r="I509" s="23"/>
      <c r="J509" s="24"/>
      <c r="K509" s="24"/>
      <c r="L509" s="22"/>
    </row>
    <row r="510" spans="1:12" s="20" customFormat="1" ht="29" x14ac:dyDescent="0.4">
      <c r="A510" s="32"/>
      <c r="B510" s="32" t="s">
        <v>718</v>
      </c>
      <c r="C510" s="32" t="s">
        <v>816</v>
      </c>
      <c r="D510" s="32"/>
      <c r="E510" s="32"/>
      <c r="F510" s="32"/>
      <c r="G510" s="32"/>
      <c r="H510" s="32"/>
      <c r="I510" s="32"/>
    </row>
    <row r="511" spans="1:12" s="20" customFormat="1" ht="275.5" x14ac:dyDescent="0.4">
      <c r="A511" s="14" t="s">
        <v>273</v>
      </c>
      <c r="B511" s="73"/>
      <c r="C511" s="14"/>
      <c r="D511" s="36">
        <v>1</v>
      </c>
      <c r="E511" s="37" t="s">
        <v>561</v>
      </c>
      <c r="F511" s="37" t="s">
        <v>563</v>
      </c>
      <c r="G511" s="37" t="s">
        <v>565</v>
      </c>
      <c r="H511" s="36" t="s">
        <v>293</v>
      </c>
      <c r="I511" s="23"/>
    </row>
    <row r="512" spans="1:12" s="20" customFormat="1" ht="362.5" x14ac:dyDescent="0.4">
      <c r="A512" s="14" t="s">
        <v>273</v>
      </c>
      <c r="B512" s="14"/>
      <c r="C512" s="14"/>
      <c r="D512" s="36">
        <v>2</v>
      </c>
      <c r="E512" s="23" t="s">
        <v>612</v>
      </c>
      <c r="F512" s="37" t="s">
        <v>613</v>
      </c>
      <c r="G512" s="14" t="s">
        <v>567</v>
      </c>
      <c r="H512" s="74"/>
      <c r="I512" s="75"/>
    </row>
    <row r="513" spans="1:12" s="20" customFormat="1" ht="232" x14ac:dyDescent="0.4">
      <c r="A513" s="14" t="s">
        <v>273</v>
      </c>
      <c r="B513" s="14"/>
      <c r="C513" s="14"/>
      <c r="D513" s="36">
        <v>3</v>
      </c>
      <c r="E513" s="23" t="s">
        <v>568</v>
      </c>
      <c r="F513" s="23" t="s">
        <v>570</v>
      </c>
      <c r="G513" s="23"/>
      <c r="H513" s="23"/>
      <c r="I513" s="23"/>
    </row>
    <row r="514" spans="1:12" s="20" customFormat="1" ht="101.5" x14ac:dyDescent="0.4">
      <c r="A514" s="14" t="s">
        <v>273</v>
      </c>
      <c r="B514" s="14"/>
      <c r="C514" s="14"/>
      <c r="D514" s="36">
        <v>4</v>
      </c>
      <c r="E514" s="23" t="s">
        <v>614</v>
      </c>
      <c r="F514" s="23" t="s">
        <v>617</v>
      </c>
      <c r="G514" s="23"/>
      <c r="H514" s="23"/>
      <c r="I514" s="23"/>
    </row>
    <row r="515" spans="1:12" s="20" customFormat="1" ht="188.5" x14ac:dyDescent="0.4">
      <c r="A515" s="14" t="s">
        <v>273</v>
      </c>
      <c r="B515" s="14"/>
      <c r="C515" s="14"/>
      <c r="D515" s="36">
        <v>5</v>
      </c>
      <c r="E515" s="23" t="s">
        <v>615</v>
      </c>
      <c r="F515" s="23" t="s">
        <v>616</v>
      </c>
      <c r="G515" s="23"/>
      <c r="H515" s="23"/>
      <c r="I515" s="23"/>
    </row>
    <row r="516" spans="1:12" s="20" customFormat="1" ht="159.5" x14ac:dyDescent="0.4">
      <c r="A516" s="14" t="s">
        <v>273</v>
      </c>
      <c r="B516" s="14"/>
      <c r="C516" s="14"/>
      <c r="D516" s="36">
        <v>6</v>
      </c>
      <c r="E516" s="37" t="s">
        <v>354</v>
      </c>
      <c r="F516" s="37" t="s">
        <v>356</v>
      </c>
      <c r="G516" s="37"/>
      <c r="H516" s="37"/>
      <c r="I516" s="37"/>
    </row>
    <row r="517" spans="1:12" s="20" customFormat="1" ht="58" x14ac:dyDescent="0.4">
      <c r="A517" s="14" t="s">
        <v>273</v>
      </c>
      <c r="B517" s="14"/>
      <c r="C517" s="14"/>
      <c r="D517" s="36">
        <v>7</v>
      </c>
      <c r="E517" s="37" t="s">
        <v>357</v>
      </c>
      <c r="F517" s="37" t="s">
        <v>618</v>
      </c>
      <c r="G517" s="86" t="s">
        <v>954</v>
      </c>
      <c r="H517" s="37"/>
      <c r="I517" s="37"/>
    </row>
    <row r="518" spans="1:12" s="20" customFormat="1" ht="72.5" x14ac:dyDescent="0.4">
      <c r="A518" s="14" t="s">
        <v>273</v>
      </c>
      <c r="B518" s="14"/>
      <c r="C518" s="14"/>
      <c r="D518" s="36">
        <v>8</v>
      </c>
      <c r="E518" s="37" t="s">
        <v>619</v>
      </c>
      <c r="F518" s="37" t="s">
        <v>620</v>
      </c>
      <c r="G518" s="37"/>
      <c r="H518" s="37"/>
      <c r="I518" s="37"/>
    </row>
    <row r="519" spans="1:12" s="20" customFormat="1" ht="58" x14ac:dyDescent="0.4">
      <c r="A519" s="14" t="s">
        <v>273</v>
      </c>
      <c r="B519" s="14"/>
      <c r="C519" s="14"/>
      <c r="D519" s="36">
        <v>9</v>
      </c>
      <c r="E519" s="37" t="s">
        <v>621</v>
      </c>
      <c r="F519" s="37" t="s">
        <v>622</v>
      </c>
      <c r="G519" s="37" t="s">
        <v>610</v>
      </c>
      <c r="H519" s="37"/>
      <c r="I519" s="37"/>
    </row>
    <row r="520" spans="1:12" s="20" customFormat="1" ht="29" x14ac:dyDescent="0.4">
      <c r="A520" s="32"/>
      <c r="B520" s="32" t="s">
        <v>724</v>
      </c>
      <c r="C520" s="32" t="s">
        <v>953</v>
      </c>
      <c r="D520" s="32"/>
      <c r="E520" s="32"/>
      <c r="F520" s="32"/>
      <c r="G520" s="32"/>
      <c r="H520" s="32"/>
      <c r="I520" s="32"/>
    </row>
    <row r="521" spans="1:12" s="20" customFormat="1" ht="275.5" x14ac:dyDescent="0.4">
      <c r="A521" s="14" t="s">
        <v>273</v>
      </c>
      <c r="B521" s="73"/>
      <c r="C521" s="14"/>
      <c r="D521" s="36">
        <v>1</v>
      </c>
      <c r="E521" s="37" t="s">
        <v>561</v>
      </c>
      <c r="F521" s="37" t="s">
        <v>563</v>
      </c>
      <c r="G521" s="37" t="s">
        <v>565</v>
      </c>
      <c r="H521" s="36" t="s">
        <v>293</v>
      </c>
      <c r="I521" s="23"/>
    </row>
    <row r="522" spans="1:12" s="20" customFormat="1" ht="362.5" x14ac:dyDescent="0.4">
      <c r="A522" s="14" t="s">
        <v>273</v>
      </c>
      <c r="B522" s="14"/>
      <c r="C522" s="14"/>
      <c r="D522" s="36">
        <v>2</v>
      </c>
      <c r="E522" s="23" t="s">
        <v>612</v>
      </c>
      <c r="F522" s="37" t="s">
        <v>613</v>
      </c>
      <c r="G522" s="14" t="s">
        <v>567</v>
      </c>
      <c r="H522" s="74"/>
      <c r="I522" s="75"/>
    </row>
    <row r="523" spans="1:12" s="20" customFormat="1" ht="232" x14ac:dyDescent="0.4">
      <c r="A523" s="14" t="s">
        <v>273</v>
      </c>
      <c r="B523" s="14"/>
      <c r="C523" s="14"/>
      <c r="D523" s="36">
        <v>3</v>
      </c>
      <c r="E523" s="23" t="s">
        <v>568</v>
      </c>
      <c r="F523" s="23" t="s">
        <v>570</v>
      </c>
      <c r="G523" s="23"/>
      <c r="H523" s="23"/>
      <c r="I523" s="23"/>
    </row>
    <row r="524" spans="1:12" s="20" customFormat="1" ht="101.5" x14ac:dyDescent="0.4">
      <c r="A524" s="14" t="s">
        <v>273</v>
      </c>
      <c r="B524" s="14"/>
      <c r="C524" s="14"/>
      <c r="D524" s="36">
        <v>4</v>
      </c>
      <c r="E524" s="23" t="s">
        <v>614</v>
      </c>
      <c r="F524" s="23" t="s">
        <v>617</v>
      </c>
      <c r="G524" s="23"/>
      <c r="H524" s="23"/>
      <c r="I524" s="23"/>
    </row>
    <row r="525" spans="1:12" s="20" customFormat="1" ht="188.5" x14ac:dyDescent="0.4">
      <c r="A525" s="14" t="s">
        <v>273</v>
      </c>
      <c r="B525" s="14"/>
      <c r="C525" s="14"/>
      <c r="D525" s="36">
        <v>5</v>
      </c>
      <c r="E525" s="23" t="s">
        <v>615</v>
      </c>
      <c r="F525" s="23" t="s">
        <v>616</v>
      </c>
      <c r="G525" s="23"/>
      <c r="H525" s="23"/>
      <c r="I525" s="23"/>
    </row>
    <row r="526" spans="1:12" s="20" customFormat="1" ht="159.5" x14ac:dyDescent="0.4">
      <c r="A526" s="14" t="s">
        <v>273</v>
      </c>
      <c r="B526" s="14"/>
      <c r="C526" s="14"/>
      <c r="D526" s="36">
        <v>6</v>
      </c>
      <c r="E526" s="37" t="s">
        <v>354</v>
      </c>
      <c r="F526" s="37" t="s">
        <v>356</v>
      </c>
      <c r="G526" s="37"/>
      <c r="H526" s="37"/>
      <c r="I526" s="37"/>
    </row>
    <row r="527" spans="1:12" s="20" customFormat="1" ht="101.5" x14ac:dyDescent="0.4">
      <c r="A527" s="14" t="s">
        <v>273</v>
      </c>
      <c r="B527" s="14"/>
      <c r="C527" s="14"/>
      <c r="D527" s="36">
        <v>7</v>
      </c>
      <c r="E527" s="37" t="s">
        <v>357</v>
      </c>
      <c r="F527" s="86" t="s">
        <v>955</v>
      </c>
      <c r="G527" s="86"/>
      <c r="H527" s="37"/>
      <c r="I527" s="37"/>
    </row>
    <row r="528" spans="1:12" s="20" customFormat="1" ht="29" x14ac:dyDescent="0.4">
      <c r="A528" s="32"/>
      <c r="B528" s="32" t="s">
        <v>725</v>
      </c>
      <c r="C528" s="32" t="s">
        <v>960</v>
      </c>
      <c r="D528" s="32"/>
      <c r="E528" s="32"/>
      <c r="F528" s="32"/>
      <c r="G528" s="32"/>
      <c r="H528" s="32"/>
      <c r="I528" s="32"/>
      <c r="J528" s="24"/>
      <c r="K528" s="24"/>
      <c r="L528" s="22"/>
    </row>
    <row r="529" spans="1:12" s="20" customFormat="1" ht="174" x14ac:dyDescent="0.4">
      <c r="A529" s="14" t="s">
        <v>273</v>
      </c>
      <c r="B529" s="14"/>
      <c r="C529" s="14"/>
      <c r="D529" s="36">
        <v>1</v>
      </c>
      <c r="E529" s="37" t="s">
        <v>959</v>
      </c>
      <c r="F529" s="37" t="s">
        <v>957</v>
      </c>
      <c r="G529" s="14" t="s">
        <v>958</v>
      </c>
      <c r="H529" s="36" t="s">
        <v>628</v>
      </c>
      <c r="I529" s="14"/>
      <c r="J529" s="24"/>
      <c r="K529" s="24"/>
      <c r="L529" s="22"/>
    </row>
    <row r="530" spans="1:12" s="20" customFormat="1" ht="180" x14ac:dyDescent="0.4">
      <c r="A530" s="14" t="s">
        <v>273</v>
      </c>
      <c r="B530" s="43"/>
      <c r="C530" s="43"/>
      <c r="D530" s="36">
        <v>2</v>
      </c>
      <c r="E530" s="78" t="s">
        <v>439</v>
      </c>
      <c r="F530" s="79" t="s">
        <v>295</v>
      </c>
      <c r="G530" s="14"/>
      <c r="H530" s="14"/>
      <c r="I530" s="14"/>
      <c r="J530" s="24"/>
      <c r="K530" s="24"/>
      <c r="L530" s="22"/>
    </row>
    <row r="531" spans="1:12" s="20" customFormat="1" ht="246.5" x14ac:dyDescent="0.4">
      <c r="A531" s="14" t="s">
        <v>273</v>
      </c>
      <c r="B531" s="43"/>
      <c r="C531" s="43"/>
      <c r="D531" s="36">
        <v>3</v>
      </c>
      <c r="E531" s="37" t="s">
        <v>623</v>
      </c>
      <c r="F531" s="37" t="s">
        <v>624</v>
      </c>
      <c r="G531" s="37"/>
      <c r="H531" s="36"/>
      <c r="I531" s="23"/>
      <c r="J531" s="24"/>
      <c r="K531" s="24"/>
      <c r="L531" s="22"/>
    </row>
    <row r="532" spans="1:12" s="20" customFormat="1" ht="145" x14ac:dyDescent="0.4">
      <c r="A532" s="14" t="s">
        <v>273</v>
      </c>
      <c r="B532" s="14"/>
      <c r="C532" s="23"/>
      <c r="D532" s="36">
        <v>4</v>
      </c>
      <c r="E532" s="37" t="s">
        <v>625</v>
      </c>
      <c r="F532" s="37" t="s">
        <v>631</v>
      </c>
      <c r="G532" s="37"/>
      <c r="H532" s="36"/>
      <c r="I532" s="23"/>
      <c r="J532" s="24"/>
      <c r="K532" s="24"/>
      <c r="L532" s="22"/>
    </row>
    <row r="533" spans="1:12" s="20" customFormat="1" ht="29" x14ac:dyDescent="0.4">
      <c r="A533" s="32"/>
      <c r="B533" s="32" t="s">
        <v>726</v>
      </c>
      <c r="C533" s="32" t="s">
        <v>817</v>
      </c>
      <c r="D533" s="32"/>
      <c r="E533" s="32"/>
      <c r="F533" s="32"/>
      <c r="G533" s="32"/>
      <c r="H533" s="32"/>
      <c r="I533" s="32"/>
      <c r="J533" s="24"/>
      <c r="K533" s="24"/>
      <c r="L533" s="22"/>
    </row>
    <row r="534" spans="1:12" s="20" customFormat="1" ht="246.5" x14ac:dyDescent="0.4">
      <c r="A534" s="14" t="s">
        <v>273</v>
      </c>
      <c r="B534" s="14"/>
      <c r="C534" s="23"/>
      <c r="D534" s="36">
        <v>1</v>
      </c>
      <c r="E534" s="37" t="s">
        <v>623</v>
      </c>
      <c r="F534" s="37" t="s">
        <v>624</v>
      </c>
      <c r="G534" s="37" t="s">
        <v>562</v>
      </c>
      <c r="H534" s="36" t="s">
        <v>628</v>
      </c>
      <c r="I534" s="23"/>
      <c r="J534" s="24"/>
      <c r="K534" s="24"/>
      <c r="L534" s="22"/>
    </row>
    <row r="535" spans="1:12" s="20" customFormat="1" ht="261" x14ac:dyDescent="0.4">
      <c r="A535" s="14" t="s">
        <v>273</v>
      </c>
      <c r="B535" s="14"/>
      <c r="C535" s="23"/>
      <c r="D535" s="36">
        <v>2</v>
      </c>
      <c r="E535" s="37" t="s">
        <v>625</v>
      </c>
      <c r="F535" s="37" t="s">
        <v>626</v>
      </c>
      <c r="G535" s="37"/>
      <c r="H535" s="36"/>
      <c r="I535" s="23"/>
      <c r="J535" s="24"/>
      <c r="K535" s="24"/>
      <c r="L535" s="22"/>
    </row>
    <row r="536" spans="1:12" s="20" customFormat="1" ht="58" x14ac:dyDescent="0.4">
      <c r="A536" s="14" t="s">
        <v>273</v>
      </c>
      <c r="B536" s="14"/>
      <c r="C536" s="23"/>
      <c r="D536" s="36">
        <v>3</v>
      </c>
      <c r="E536" s="37" t="s">
        <v>627</v>
      </c>
      <c r="F536" s="37" t="s">
        <v>632</v>
      </c>
      <c r="G536" s="37" t="s">
        <v>629</v>
      </c>
      <c r="H536" s="36"/>
      <c r="I536" s="23"/>
      <c r="J536" s="24"/>
      <c r="K536" s="24"/>
      <c r="L536" s="22"/>
    </row>
    <row r="537" spans="1:12" s="20" customFormat="1" ht="29" x14ac:dyDescent="0.4">
      <c r="A537" s="32"/>
      <c r="B537" s="32" t="s">
        <v>727</v>
      </c>
      <c r="C537" s="32" t="s">
        <v>818</v>
      </c>
      <c r="D537" s="32"/>
      <c r="E537" s="32"/>
      <c r="F537" s="32"/>
      <c r="G537" s="32"/>
      <c r="H537" s="32"/>
      <c r="I537" s="32"/>
      <c r="J537" s="24"/>
      <c r="K537" s="24"/>
      <c r="L537" s="22"/>
    </row>
    <row r="538" spans="1:12" s="20" customFormat="1" ht="246.5" x14ac:dyDescent="0.4">
      <c r="A538" s="14" t="s">
        <v>273</v>
      </c>
      <c r="B538" s="14"/>
      <c r="C538" s="23"/>
      <c r="D538" s="36">
        <v>1</v>
      </c>
      <c r="E538" s="37" t="s">
        <v>623</v>
      </c>
      <c r="F538" s="37" t="s">
        <v>624</v>
      </c>
      <c r="G538" s="37" t="s">
        <v>562</v>
      </c>
      <c r="H538" s="36" t="s">
        <v>628</v>
      </c>
      <c r="I538" s="23"/>
      <c r="J538" s="24"/>
      <c r="K538" s="24"/>
      <c r="L538" s="22"/>
    </row>
    <row r="539" spans="1:12" s="20" customFormat="1" ht="261" x14ac:dyDescent="0.4">
      <c r="A539" s="14" t="s">
        <v>273</v>
      </c>
      <c r="B539" s="14"/>
      <c r="C539" s="23"/>
      <c r="D539" s="36">
        <v>2</v>
      </c>
      <c r="E539" s="37" t="s">
        <v>625</v>
      </c>
      <c r="F539" s="37" t="s">
        <v>626</v>
      </c>
      <c r="G539" s="37"/>
      <c r="H539" s="36"/>
      <c r="I539" s="23"/>
      <c r="J539" s="24"/>
      <c r="K539" s="24"/>
      <c r="L539" s="22"/>
    </row>
    <row r="540" spans="1:12" s="20" customFormat="1" ht="246.5" x14ac:dyDescent="0.4">
      <c r="A540" s="14" t="s">
        <v>273</v>
      </c>
      <c r="B540" s="14"/>
      <c r="C540" s="23"/>
      <c r="D540" s="36">
        <v>3</v>
      </c>
      <c r="E540" s="37" t="s">
        <v>633</v>
      </c>
      <c r="F540" s="37" t="s">
        <v>635</v>
      </c>
      <c r="G540" s="37" t="s">
        <v>634</v>
      </c>
      <c r="H540" s="36"/>
      <c r="I540" s="23"/>
      <c r="J540" s="24"/>
      <c r="K540" s="24"/>
      <c r="L540" s="22"/>
    </row>
    <row r="541" spans="1:12" s="20" customFormat="1" ht="58" x14ac:dyDescent="0.4">
      <c r="A541" s="14" t="s">
        <v>273</v>
      </c>
      <c r="B541" s="14"/>
      <c r="C541" s="23"/>
      <c r="D541" s="36">
        <v>4</v>
      </c>
      <c r="E541" s="37" t="s">
        <v>636</v>
      </c>
      <c r="F541" s="37" t="s">
        <v>637</v>
      </c>
      <c r="G541" s="37"/>
      <c r="H541" s="36"/>
      <c r="I541" s="23"/>
      <c r="J541" s="24"/>
      <c r="K541" s="24"/>
      <c r="L541" s="22"/>
    </row>
    <row r="542" spans="1:12" s="20" customFormat="1" ht="29" x14ac:dyDescent="0.4">
      <c r="A542" s="32"/>
      <c r="B542" s="32" t="s">
        <v>728</v>
      </c>
      <c r="C542" s="32" t="s">
        <v>819</v>
      </c>
      <c r="D542" s="32"/>
      <c r="E542" s="32"/>
      <c r="F542" s="32"/>
      <c r="G542" s="32"/>
      <c r="H542" s="32"/>
      <c r="I542" s="32"/>
      <c r="J542" s="24"/>
      <c r="K542" s="24"/>
      <c r="L542" s="22"/>
    </row>
    <row r="543" spans="1:12" s="20" customFormat="1" ht="246.5" x14ac:dyDescent="0.4">
      <c r="A543" s="14" t="s">
        <v>273</v>
      </c>
      <c r="B543" s="14"/>
      <c r="C543" s="23"/>
      <c r="D543" s="36">
        <v>1</v>
      </c>
      <c r="E543" s="37" t="s">
        <v>623</v>
      </c>
      <c r="F543" s="37" t="s">
        <v>624</v>
      </c>
      <c r="G543" s="37" t="s">
        <v>562</v>
      </c>
      <c r="H543" s="36" t="s">
        <v>628</v>
      </c>
      <c r="I543" s="23"/>
      <c r="J543" s="24"/>
      <c r="K543" s="24"/>
      <c r="L543" s="22"/>
    </row>
    <row r="544" spans="1:12" s="20" customFormat="1" ht="261" x14ac:dyDescent="0.4">
      <c r="A544" s="14" t="s">
        <v>273</v>
      </c>
      <c r="B544" s="14"/>
      <c r="C544" s="23"/>
      <c r="D544" s="36">
        <v>2</v>
      </c>
      <c r="E544" s="37" t="s">
        <v>625</v>
      </c>
      <c r="F544" s="37" t="s">
        <v>626</v>
      </c>
      <c r="G544" s="37"/>
      <c r="H544" s="36"/>
      <c r="I544" s="23"/>
      <c r="J544" s="24"/>
      <c r="K544" s="24"/>
      <c r="L544" s="22"/>
    </row>
    <row r="545" spans="1:12" s="20" customFormat="1" ht="232" x14ac:dyDescent="0.4">
      <c r="A545" s="14" t="s">
        <v>273</v>
      </c>
      <c r="B545" s="14"/>
      <c r="C545" s="23"/>
      <c r="D545" s="36">
        <v>3</v>
      </c>
      <c r="E545" s="37" t="s">
        <v>639</v>
      </c>
      <c r="F545" s="37" t="s">
        <v>638</v>
      </c>
      <c r="G545" s="37"/>
      <c r="H545" s="36"/>
      <c r="I545" s="23"/>
      <c r="J545" s="24"/>
      <c r="K545" s="24"/>
      <c r="L545" s="22"/>
    </row>
    <row r="546" spans="1:12" s="20" customFormat="1" ht="58" x14ac:dyDescent="0.4">
      <c r="A546" s="14" t="s">
        <v>273</v>
      </c>
      <c r="B546" s="14"/>
      <c r="C546" s="23"/>
      <c r="D546" s="36">
        <v>4</v>
      </c>
      <c r="E546" s="37" t="s">
        <v>636</v>
      </c>
      <c r="F546" s="37" t="s">
        <v>640</v>
      </c>
      <c r="G546" s="37" t="s">
        <v>610</v>
      </c>
      <c r="H546" s="36"/>
      <c r="I546" s="23"/>
      <c r="J546" s="24"/>
      <c r="K546" s="24"/>
      <c r="L546" s="22"/>
    </row>
    <row r="547" spans="1:12" s="20" customFormat="1" ht="29" x14ac:dyDescent="0.4">
      <c r="A547" s="32"/>
      <c r="B547" s="32" t="s">
        <v>729</v>
      </c>
      <c r="C547" s="32" t="s">
        <v>820</v>
      </c>
      <c r="D547" s="32"/>
      <c r="E547" s="32"/>
      <c r="F547" s="32"/>
      <c r="G547" s="32"/>
      <c r="H547" s="32"/>
      <c r="I547" s="32"/>
      <c r="J547" s="24"/>
      <c r="K547" s="24"/>
      <c r="L547" s="22"/>
    </row>
    <row r="548" spans="1:12" s="20" customFormat="1" ht="246.5" x14ac:dyDescent="0.4">
      <c r="A548" s="14" t="s">
        <v>273</v>
      </c>
      <c r="B548" s="14"/>
      <c r="C548" s="23"/>
      <c r="D548" s="36">
        <v>1</v>
      </c>
      <c r="E548" s="37" t="s">
        <v>623</v>
      </c>
      <c r="F548" s="37" t="s">
        <v>624</v>
      </c>
      <c r="G548" s="37" t="s">
        <v>562</v>
      </c>
      <c r="H548" s="36" t="s">
        <v>628</v>
      </c>
      <c r="I548" s="23"/>
      <c r="J548" s="24"/>
      <c r="K548" s="24"/>
      <c r="L548" s="22"/>
    </row>
    <row r="549" spans="1:12" s="20" customFormat="1" ht="261" x14ac:dyDescent="0.4">
      <c r="A549" s="14" t="s">
        <v>273</v>
      </c>
      <c r="B549" s="14"/>
      <c r="C549" s="23"/>
      <c r="D549" s="36">
        <v>2</v>
      </c>
      <c r="E549" s="37" t="s">
        <v>625</v>
      </c>
      <c r="F549" s="37" t="s">
        <v>626</v>
      </c>
      <c r="G549" s="37"/>
      <c r="H549" s="36"/>
      <c r="I549" s="23"/>
      <c r="J549" s="24"/>
      <c r="K549" s="24"/>
      <c r="L549" s="22"/>
    </row>
    <row r="550" spans="1:12" s="20" customFormat="1" ht="87" x14ac:dyDescent="0.4">
      <c r="A550" s="14" t="s">
        <v>273</v>
      </c>
      <c r="B550" s="14"/>
      <c r="C550" s="23"/>
      <c r="D550" s="36">
        <v>3</v>
      </c>
      <c r="E550" s="37" t="s">
        <v>641</v>
      </c>
      <c r="F550" s="37" t="s">
        <v>642</v>
      </c>
      <c r="G550" s="37"/>
      <c r="H550" s="36"/>
      <c r="I550" s="23"/>
      <c r="J550" s="24"/>
      <c r="K550" s="24"/>
      <c r="L550" s="22"/>
    </row>
    <row r="551" spans="1:12" s="20" customFormat="1" ht="58" x14ac:dyDescent="0.4">
      <c r="A551" s="14" t="s">
        <v>273</v>
      </c>
      <c r="B551" s="14"/>
      <c r="C551" s="23"/>
      <c r="D551" s="36">
        <v>4</v>
      </c>
      <c r="E551" s="37" t="s">
        <v>636</v>
      </c>
      <c r="F551" s="37" t="s">
        <v>640</v>
      </c>
      <c r="G551" s="37"/>
      <c r="H551" s="36"/>
      <c r="I551" s="23"/>
      <c r="J551" s="24"/>
      <c r="K551" s="24"/>
      <c r="L551" s="22"/>
    </row>
    <row r="552" spans="1:12" s="20" customFormat="1" ht="130.5" x14ac:dyDescent="0.4">
      <c r="A552" s="14" t="s">
        <v>273</v>
      </c>
      <c r="B552" s="14"/>
      <c r="C552" s="23"/>
      <c r="D552" s="36">
        <v>5</v>
      </c>
      <c r="E552" s="37" t="s">
        <v>643</v>
      </c>
      <c r="F552" s="37" t="s">
        <v>644</v>
      </c>
      <c r="G552" s="37"/>
      <c r="H552" s="36"/>
      <c r="I552" s="23"/>
      <c r="J552" s="24"/>
      <c r="K552" s="24"/>
      <c r="L552" s="22"/>
    </row>
    <row r="553" spans="1:12" s="20" customFormat="1" ht="58" x14ac:dyDescent="0.4">
      <c r="A553" s="14" t="s">
        <v>273</v>
      </c>
      <c r="B553" s="14"/>
      <c r="C553" s="23"/>
      <c r="D553" s="36">
        <v>6</v>
      </c>
      <c r="E553" s="37" t="s">
        <v>645</v>
      </c>
      <c r="F553" s="37" t="s">
        <v>646</v>
      </c>
      <c r="G553" s="37"/>
      <c r="H553" s="36"/>
      <c r="I553" s="23"/>
      <c r="J553" s="24"/>
      <c r="K553" s="24"/>
      <c r="L553" s="22"/>
    </row>
    <row r="554" spans="1:12" s="20" customFormat="1" ht="14.5" x14ac:dyDescent="0.4">
      <c r="A554" s="32"/>
      <c r="B554" s="32" t="s">
        <v>730</v>
      </c>
      <c r="C554" s="32" t="s">
        <v>961</v>
      </c>
      <c r="D554" s="32"/>
      <c r="E554" s="32"/>
      <c r="F554" s="32"/>
      <c r="G554" s="32"/>
      <c r="H554" s="32"/>
      <c r="I554" s="32"/>
    </row>
    <row r="555" spans="1:12" s="20" customFormat="1" ht="188.5" x14ac:dyDescent="0.4">
      <c r="A555" s="14" t="s">
        <v>273</v>
      </c>
      <c r="B555" s="73"/>
      <c r="C555" s="14"/>
      <c r="D555" s="36">
        <v>1</v>
      </c>
      <c r="E555" s="37" t="s">
        <v>651</v>
      </c>
      <c r="F555" s="37" t="s">
        <v>962</v>
      </c>
      <c r="G555" s="37" t="s">
        <v>650</v>
      </c>
      <c r="H555" s="36" t="s">
        <v>293</v>
      </c>
      <c r="I555" s="23"/>
    </row>
    <row r="556" spans="1:12" s="20" customFormat="1" ht="58" x14ac:dyDescent="0.4">
      <c r="A556" s="14" t="s">
        <v>273</v>
      </c>
      <c r="B556" s="14"/>
      <c r="C556" s="14"/>
      <c r="D556" s="36">
        <v>2</v>
      </c>
      <c r="E556" s="23" t="s">
        <v>653</v>
      </c>
      <c r="F556" s="37" t="s">
        <v>654</v>
      </c>
      <c r="G556" s="14"/>
      <c r="H556" s="74"/>
      <c r="I556" s="75"/>
    </row>
    <row r="557" spans="1:12" s="20" customFormat="1" ht="237.5" customHeight="1" x14ac:dyDescent="0.4">
      <c r="A557" s="14" t="s">
        <v>273</v>
      </c>
      <c r="B557" s="14"/>
      <c r="C557" s="14"/>
      <c r="D557" s="36">
        <v>3</v>
      </c>
      <c r="E557" s="23" t="s">
        <v>655</v>
      </c>
      <c r="F557" s="23" t="s">
        <v>966</v>
      </c>
      <c r="G557" s="85"/>
      <c r="H557" s="23"/>
      <c r="I557" s="23"/>
    </row>
    <row r="558" spans="1:12" s="20" customFormat="1" ht="72.5" x14ac:dyDescent="0.4">
      <c r="A558" s="14" t="s">
        <v>273</v>
      </c>
      <c r="B558" s="14"/>
      <c r="C558" s="14"/>
      <c r="D558" s="36">
        <v>4</v>
      </c>
      <c r="E558" s="23" t="s">
        <v>659</v>
      </c>
      <c r="F558" s="95" t="s">
        <v>660</v>
      </c>
      <c r="G558" s="95"/>
      <c r="H558" s="23"/>
      <c r="I558" s="23"/>
    </row>
    <row r="559" spans="1:12" s="20" customFormat="1" ht="145" x14ac:dyDescent="0.4">
      <c r="A559" s="14" t="s">
        <v>273</v>
      </c>
      <c r="B559" s="14"/>
      <c r="C559" s="14"/>
      <c r="D559" s="36">
        <v>5</v>
      </c>
      <c r="E559" s="23" t="s">
        <v>659</v>
      </c>
      <c r="F559" s="23" t="s">
        <v>965</v>
      </c>
      <c r="G559" s="95"/>
      <c r="H559" s="23"/>
      <c r="I559" s="23"/>
    </row>
    <row r="560" spans="1:12" s="20" customFormat="1" ht="261" x14ac:dyDescent="0.4">
      <c r="A560" s="14" t="s">
        <v>273</v>
      </c>
      <c r="B560" s="14"/>
      <c r="C560" s="14"/>
      <c r="D560" s="36">
        <v>6</v>
      </c>
      <c r="E560" s="23" t="s">
        <v>662</v>
      </c>
      <c r="F560" s="37" t="s">
        <v>963</v>
      </c>
      <c r="G560" s="37"/>
      <c r="H560" s="37"/>
      <c r="I560" s="37"/>
    </row>
    <row r="561" spans="1:9" s="20" customFormat="1" ht="188.5" x14ac:dyDescent="0.4">
      <c r="A561" s="14" t="s">
        <v>273</v>
      </c>
      <c r="B561" s="14"/>
      <c r="C561" s="14"/>
      <c r="D561" s="36">
        <v>7</v>
      </c>
      <c r="E561" s="37" t="s">
        <v>665</v>
      </c>
      <c r="F561" s="37" t="s">
        <v>964</v>
      </c>
      <c r="G561" s="86"/>
      <c r="H561" s="37"/>
      <c r="I561" s="37"/>
    </row>
    <row r="562" spans="1:9" s="20" customFormat="1" ht="159.5" x14ac:dyDescent="0.4">
      <c r="A562" s="14" t="s">
        <v>273</v>
      </c>
      <c r="B562" s="14"/>
      <c r="C562" s="14"/>
      <c r="D562" s="36">
        <v>8</v>
      </c>
      <c r="E562" s="37" t="s">
        <v>667</v>
      </c>
      <c r="F562" s="37" t="s">
        <v>356</v>
      </c>
      <c r="G562" s="37" t="s">
        <v>407</v>
      </c>
      <c r="H562" s="37"/>
      <c r="I562" s="37"/>
    </row>
    <row r="563" spans="1:9" s="20" customFormat="1" ht="58" x14ac:dyDescent="0.4">
      <c r="A563" s="14" t="s">
        <v>273</v>
      </c>
      <c r="B563" s="14"/>
      <c r="C563" s="14"/>
      <c r="D563" s="36">
        <v>9</v>
      </c>
      <c r="E563" s="37" t="s">
        <v>357</v>
      </c>
      <c r="F563" s="37" t="s">
        <v>668</v>
      </c>
      <c r="G563" s="37"/>
      <c r="H563" s="37"/>
      <c r="I563" s="37"/>
    </row>
    <row r="564" spans="1:9" s="20" customFormat="1" ht="145" x14ac:dyDescent="0.4">
      <c r="A564" s="14" t="s">
        <v>273</v>
      </c>
      <c r="B564" s="14"/>
      <c r="C564" s="14"/>
      <c r="D564" s="36">
        <v>10</v>
      </c>
      <c r="E564" s="94" t="s">
        <v>669</v>
      </c>
      <c r="F564" s="37" t="s">
        <v>672</v>
      </c>
      <c r="G564" s="37"/>
      <c r="H564" s="37"/>
      <c r="I564" s="37"/>
    </row>
    <row r="565" spans="1:9" s="20" customFormat="1" ht="58" x14ac:dyDescent="0.4">
      <c r="A565" s="14" t="s">
        <v>273</v>
      </c>
      <c r="B565" s="14"/>
      <c r="C565" s="14"/>
      <c r="D565" s="36">
        <v>11</v>
      </c>
      <c r="E565" s="37" t="s">
        <v>671</v>
      </c>
      <c r="F565" s="37" t="s">
        <v>670</v>
      </c>
      <c r="G565" s="37"/>
      <c r="H565" s="37"/>
      <c r="I565" s="37"/>
    </row>
    <row r="566" spans="1:9" s="20" customFormat="1" ht="29" x14ac:dyDescent="0.4">
      <c r="A566" s="32"/>
      <c r="B566" s="32" t="s">
        <v>731</v>
      </c>
      <c r="C566" s="32" t="s">
        <v>821</v>
      </c>
      <c r="D566" s="32"/>
      <c r="E566" s="32"/>
      <c r="F566" s="32"/>
      <c r="G566" s="32"/>
      <c r="H566" s="32"/>
      <c r="I566" s="32"/>
    </row>
    <row r="567" spans="1:9" s="20" customFormat="1" ht="188.5" x14ac:dyDescent="0.4">
      <c r="A567" s="14" t="s">
        <v>273</v>
      </c>
      <c r="B567" s="73"/>
      <c r="C567" s="14"/>
      <c r="D567" s="36">
        <v>1</v>
      </c>
      <c r="E567" s="37" t="s">
        <v>651</v>
      </c>
      <c r="F567" s="37" t="s">
        <v>652</v>
      </c>
      <c r="G567" s="37" t="s">
        <v>650</v>
      </c>
      <c r="H567" s="36" t="s">
        <v>293</v>
      </c>
      <c r="I567" s="23"/>
    </row>
    <row r="568" spans="1:9" s="20" customFormat="1" ht="58" x14ac:dyDescent="0.4">
      <c r="A568" s="14" t="s">
        <v>273</v>
      </c>
      <c r="B568" s="14"/>
      <c r="C568" s="14"/>
      <c r="D568" s="36">
        <v>2</v>
      </c>
      <c r="E568" s="23" t="s">
        <v>653</v>
      </c>
      <c r="F568" s="37" t="s">
        <v>654</v>
      </c>
      <c r="G568" s="14"/>
      <c r="H568" s="74"/>
      <c r="I568" s="75"/>
    </row>
    <row r="569" spans="1:9" s="20" customFormat="1" ht="237.5" customHeight="1" x14ac:dyDescent="0.4">
      <c r="A569" s="14" t="s">
        <v>273</v>
      </c>
      <c r="B569" s="14"/>
      <c r="C569" s="14"/>
      <c r="D569" s="36">
        <v>3</v>
      </c>
      <c r="E569" s="23" t="s">
        <v>655</v>
      </c>
      <c r="F569" s="23" t="s">
        <v>966</v>
      </c>
      <c r="G569" s="85"/>
      <c r="H569" s="23"/>
      <c r="I569" s="23"/>
    </row>
    <row r="570" spans="1:9" s="20" customFormat="1" ht="72.5" x14ac:dyDescent="0.4">
      <c r="A570" s="14" t="s">
        <v>273</v>
      </c>
      <c r="B570" s="14"/>
      <c r="C570" s="14"/>
      <c r="D570" s="36">
        <v>4</v>
      </c>
      <c r="E570" s="23" t="s">
        <v>659</v>
      </c>
      <c r="F570" s="23" t="s">
        <v>660</v>
      </c>
      <c r="G570" s="85"/>
      <c r="H570" s="23"/>
      <c r="I570" s="23"/>
    </row>
    <row r="571" spans="1:9" s="20" customFormat="1" ht="101.5" x14ac:dyDescent="0.4">
      <c r="A571" s="14" t="s">
        <v>273</v>
      </c>
      <c r="B571" s="14"/>
      <c r="C571" s="14"/>
      <c r="D571" s="36">
        <v>5</v>
      </c>
      <c r="E571" s="23" t="s">
        <v>659</v>
      </c>
      <c r="F571" s="23" t="s">
        <v>663</v>
      </c>
      <c r="G571" s="85"/>
      <c r="H571" s="23"/>
      <c r="I571" s="23"/>
    </row>
    <row r="572" spans="1:9" s="20" customFormat="1" ht="290" x14ac:dyDescent="0.4">
      <c r="A572" s="14" t="s">
        <v>273</v>
      </c>
      <c r="B572" s="14"/>
      <c r="C572" s="14"/>
      <c r="D572" s="36">
        <v>6</v>
      </c>
      <c r="E572" s="23" t="s">
        <v>662</v>
      </c>
      <c r="F572" s="37" t="s">
        <v>673</v>
      </c>
      <c r="G572" s="85"/>
      <c r="H572" s="37"/>
      <c r="I572" s="37"/>
    </row>
    <row r="573" spans="1:9" s="20" customFormat="1" ht="58" x14ac:dyDescent="0.4">
      <c r="A573" s="14" t="s">
        <v>273</v>
      </c>
      <c r="B573" s="14"/>
      <c r="C573" s="14"/>
      <c r="D573" s="36">
        <v>7</v>
      </c>
      <c r="E573" s="37" t="s">
        <v>674</v>
      </c>
      <c r="F573" s="37" t="s">
        <v>675</v>
      </c>
      <c r="G573" s="86"/>
      <c r="H573" s="37"/>
      <c r="I573" s="37"/>
    </row>
    <row r="574" spans="1:9" s="20" customFormat="1" ht="14.5" x14ac:dyDescent="0.4">
      <c r="A574" s="32"/>
      <c r="B574" s="32" t="s">
        <v>732</v>
      </c>
      <c r="C574" s="32" t="s">
        <v>823</v>
      </c>
      <c r="D574" s="32"/>
      <c r="E574" s="32"/>
      <c r="F574" s="32"/>
      <c r="G574" s="32"/>
      <c r="H574" s="32"/>
      <c r="I574" s="32"/>
    </row>
    <row r="575" spans="1:9" s="20" customFormat="1" ht="188.5" x14ac:dyDescent="0.4">
      <c r="A575" s="14" t="s">
        <v>273</v>
      </c>
      <c r="B575" s="73"/>
      <c r="C575" s="14"/>
      <c r="D575" s="36">
        <v>1</v>
      </c>
      <c r="E575" s="37" t="s">
        <v>651</v>
      </c>
      <c r="F575" s="37" t="s">
        <v>652</v>
      </c>
      <c r="G575" s="37" t="s">
        <v>650</v>
      </c>
      <c r="H575" s="36" t="s">
        <v>293</v>
      </c>
      <c r="I575" s="23"/>
    </row>
    <row r="576" spans="1:9" s="20" customFormat="1" ht="58" x14ac:dyDescent="0.4">
      <c r="A576" s="14" t="s">
        <v>273</v>
      </c>
      <c r="B576" s="14"/>
      <c r="C576" s="14"/>
      <c r="D576" s="36">
        <v>2</v>
      </c>
      <c r="E576" s="23" t="s">
        <v>653</v>
      </c>
      <c r="F576" s="37" t="s">
        <v>654</v>
      </c>
      <c r="G576" s="14"/>
      <c r="H576" s="74"/>
      <c r="I576" s="75"/>
    </row>
    <row r="577" spans="1:9" s="20" customFormat="1" ht="237.5" customHeight="1" x14ac:dyDescent="0.4">
      <c r="A577" s="14" t="s">
        <v>273</v>
      </c>
      <c r="B577" s="14"/>
      <c r="C577" s="14"/>
      <c r="D577" s="36">
        <v>3</v>
      </c>
      <c r="E577" s="23" t="s">
        <v>655</v>
      </c>
      <c r="F577" s="23" t="s">
        <v>966</v>
      </c>
      <c r="G577" s="85"/>
      <c r="H577" s="23"/>
      <c r="I577" s="23"/>
    </row>
    <row r="578" spans="1:9" s="20" customFormat="1" ht="159.5" x14ac:dyDescent="0.4">
      <c r="A578" s="14" t="s">
        <v>273</v>
      </c>
      <c r="B578" s="14"/>
      <c r="C578" s="14"/>
      <c r="D578" s="36">
        <v>4</v>
      </c>
      <c r="E578" s="23" t="s">
        <v>971</v>
      </c>
      <c r="F578" s="23" t="s">
        <v>660</v>
      </c>
      <c r="G578" s="85" t="s">
        <v>973</v>
      </c>
      <c r="H578" s="23"/>
      <c r="I578" s="23"/>
    </row>
    <row r="579" spans="1:9" s="20" customFormat="1" ht="188.5" x14ac:dyDescent="0.4">
      <c r="A579" s="14" t="s">
        <v>273</v>
      </c>
      <c r="B579" s="14"/>
      <c r="C579" s="14"/>
      <c r="D579" s="36">
        <v>5</v>
      </c>
      <c r="E579" s="23" t="s">
        <v>971</v>
      </c>
      <c r="F579" s="23" t="s">
        <v>663</v>
      </c>
      <c r="G579" s="85" t="s">
        <v>972</v>
      </c>
      <c r="H579" s="23"/>
      <c r="I579" s="23"/>
    </row>
    <row r="580" spans="1:9" s="20" customFormat="1" ht="290" x14ac:dyDescent="0.4">
      <c r="A580" s="14" t="s">
        <v>273</v>
      </c>
      <c r="B580" s="14"/>
      <c r="C580" s="14"/>
      <c r="D580" s="36">
        <v>6</v>
      </c>
      <c r="E580" s="23" t="s">
        <v>662</v>
      </c>
      <c r="F580" s="37" t="s">
        <v>673</v>
      </c>
      <c r="G580" s="85"/>
      <c r="H580" s="37"/>
      <c r="I580" s="37"/>
    </row>
    <row r="581" spans="1:9" s="20" customFormat="1" ht="188.5" x14ac:dyDescent="0.4">
      <c r="A581" s="14" t="s">
        <v>273</v>
      </c>
      <c r="B581" s="14"/>
      <c r="C581" s="14"/>
      <c r="D581" s="36">
        <v>7</v>
      </c>
      <c r="E581" s="37" t="s">
        <v>665</v>
      </c>
      <c r="F581" s="37" t="s">
        <v>964</v>
      </c>
      <c r="G581" s="86"/>
      <c r="H581" s="37"/>
      <c r="I581" s="37"/>
    </row>
    <row r="582" spans="1:9" s="20" customFormat="1" ht="159.5" x14ac:dyDescent="0.4">
      <c r="A582" s="14" t="s">
        <v>273</v>
      </c>
      <c r="B582" s="14"/>
      <c r="C582" s="14"/>
      <c r="D582" s="36">
        <v>8</v>
      </c>
      <c r="E582" s="37" t="s">
        <v>667</v>
      </c>
      <c r="F582" s="37" t="s">
        <v>356</v>
      </c>
      <c r="G582" s="37" t="s">
        <v>407</v>
      </c>
      <c r="H582" s="37"/>
      <c r="I582" s="37"/>
    </row>
    <row r="583" spans="1:9" s="20" customFormat="1" ht="58" x14ac:dyDescent="0.4">
      <c r="A583" s="14" t="s">
        <v>273</v>
      </c>
      <c r="B583" s="14"/>
      <c r="C583" s="14"/>
      <c r="D583" s="36">
        <v>9</v>
      </c>
      <c r="E583" s="37" t="s">
        <v>357</v>
      </c>
      <c r="F583" s="37" t="s">
        <v>678</v>
      </c>
      <c r="G583" s="85" t="s">
        <v>976</v>
      </c>
      <c r="H583" s="37"/>
      <c r="I583" s="37"/>
    </row>
    <row r="584" spans="1:9" s="20" customFormat="1" ht="14.5" x14ac:dyDescent="0.4">
      <c r="A584" s="32"/>
      <c r="B584" s="32" t="s">
        <v>738</v>
      </c>
      <c r="C584" s="32" t="s">
        <v>822</v>
      </c>
      <c r="D584" s="32"/>
      <c r="E584" s="32"/>
      <c r="F584" s="32"/>
      <c r="G584" s="32"/>
      <c r="H584" s="32"/>
      <c r="I584" s="32"/>
    </row>
    <row r="585" spans="1:9" s="20" customFormat="1" ht="188.5" x14ac:dyDescent="0.4">
      <c r="A585" s="14" t="s">
        <v>273</v>
      </c>
      <c r="B585" s="73"/>
      <c r="C585" s="14"/>
      <c r="D585" s="36">
        <v>1</v>
      </c>
      <c r="E585" s="37" t="s">
        <v>651</v>
      </c>
      <c r="F585" s="37" t="s">
        <v>652</v>
      </c>
      <c r="G585" s="37" t="s">
        <v>650</v>
      </c>
      <c r="H585" s="36" t="s">
        <v>293</v>
      </c>
      <c r="I585" s="23"/>
    </row>
    <row r="586" spans="1:9" s="20" customFormat="1" ht="58" x14ac:dyDescent="0.4">
      <c r="A586" s="14" t="s">
        <v>273</v>
      </c>
      <c r="B586" s="14"/>
      <c r="C586" s="14"/>
      <c r="D586" s="36">
        <v>2</v>
      </c>
      <c r="E586" s="23" t="s">
        <v>653</v>
      </c>
      <c r="F586" s="37" t="s">
        <v>654</v>
      </c>
      <c r="G586" s="14"/>
      <c r="H586" s="74"/>
      <c r="I586" s="75"/>
    </row>
    <row r="587" spans="1:9" s="20" customFormat="1" ht="237.5" customHeight="1" x14ac:dyDescent="0.4">
      <c r="A587" s="14" t="s">
        <v>273</v>
      </c>
      <c r="B587" s="14"/>
      <c r="C587" s="14"/>
      <c r="D587" s="36">
        <v>3</v>
      </c>
      <c r="E587" s="23" t="s">
        <v>655</v>
      </c>
      <c r="F587" s="23" t="s">
        <v>966</v>
      </c>
      <c r="G587" s="85"/>
      <c r="H587" s="23"/>
      <c r="I587" s="23"/>
    </row>
    <row r="588" spans="1:9" s="20" customFormat="1" ht="72.5" x14ac:dyDescent="0.4">
      <c r="A588" s="14" t="s">
        <v>273</v>
      </c>
      <c r="B588" s="14"/>
      <c r="C588" s="14"/>
      <c r="D588" s="36">
        <v>4</v>
      </c>
      <c r="E588" s="23" t="s">
        <v>659</v>
      </c>
      <c r="F588" s="23" t="s">
        <v>660</v>
      </c>
      <c r="G588" s="85"/>
      <c r="H588" s="23"/>
      <c r="I588" s="23"/>
    </row>
    <row r="589" spans="1:9" s="20" customFormat="1" ht="101.5" x14ac:dyDescent="0.4">
      <c r="A589" s="14" t="s">
        <v>273</v>
      </c>
      <c r="B589" s="14"/>
      <c r="C589" s="14"/>
      <c r="D589" s="36">
        <v>5</v>
      </c>
      <c r="E589" s="23" t="s">
        <v>659</v>
      </c>
      <c r="F589" s="23" t="s">
        <v>663</v>
      </c>
      <c r="G589" s="85"/>
      <c r="H589" s="23"/>
      <c r="I589" s="23"/>
    </row>
    <row r="590" spans="1:9" s="20" customFormat="1" ht="203" x14ac:dyDescent="0.4">
      <c r="A590" s="14" t="s">
        <v>273</v>
      </c>
      <c r="B590" s="14"/>
      <c r="C590" s="14"/>
      <c r="D590" s="36">
        <v>6</v>
      </c>
      <c r="E590" s="23" t="s">
        <v>662</v>
      </c>
      <c r="F590" s="37" t="s">
        <v>664</v>
      </c>
      <c r="G590" s="37"/>
      <c r="H590" s="37"/>
      <c r="I590" s="37"/>
    </row>
    <row r="591" spans="1:9" s="20" customFormat="1" ht="188.5" x14ac:dyDescent="0.4">
      <c r="A591" s="14" t="s">
        <v>273</v>
      </c>
      <c r="B591" s="14"/>
      <c r="C591" s="14"/>
      <c r="D591" s="36">
        <v>7</v>
      </c>
      <c r="E591" s="37" t="s">
        <v>665</v>
      </c>
      <c r="F591" s="37" t="s">
        <v>666</v>
      </c>
      <c r="G591" s="86"/>
      <c r="H591" s="37"/>
      <c r="I591" s="37"/>
    </row>
    <row r="592" spans="1:9" s="20" customFormat="1" ht="159.5" x14ac:dyDescent="0.4">
      <c r="A592" s="14" t="s">
        <v>273</v>
      </c>
      <c r="B592" s="14"/>
      <c r="C592" s="14"/>
      <c r="D592" s="36">
        <v>8</v>
      </c>
      <c r="E592" s="37" t="s">
        <v>667</v>
      </c>
      <c r="F592" s="37" t="s">
        <v>356</v>
      </c>
      <c r="G592" s="37" t="s">
        <v>407</v>
      </c>
      <c r="H592" s="37"/>
      <c r="I592" s="37"/>
    </row>
    <row r="593" spans="1:12" s="20" customFormat="1" ht="58" x14ac:dyDescent="0.4">
      <c r="A593" s="14" t="s">
        <v>273</v>
      </c>
      <c r="B593" s="14"/>
      <c r="C593" s="14"/>
      <c r="D593" s="36">
        <v>9</v>
      </c>
      <c r="E593" s="37" t="s">
        <v>357</v>
      </c>
      <c r="F593" s="37" t="s">
        <v>668</v>
      </c>
      <c r="G593" s="37"/>
      <c r="H593" s="37"/>
      <c r="I593" s="37"/>
    </row>
    <row r="594" spans="1:12" s="20" customFormat="1" ht="145" x14ac:dyDescent="0.4">
      <c r="A594" s="14" t="s">
        <v>273</v>
      </c>
      <c r="B594" s="14"/>
      <c r="C594" s="14"/>
      <c r="D594" s="36">
        <v>10</v>
      </c>
      <c r="E594" s="94" t="s">
        <v>669</v>
      </c>
      <c r="F594" s="37" t="s">
        <v>672</v>
      </c>
      <c r="G594" s="37"/>
      <c r="H594" s="37"/>
      <c r="I594" s="37"/>
    </row>
    <row r="595" spans="1:12" s="20" customFormat="1" ht="58" x14ac:dyDescent="0.4">
      <c r="A595" s="14" t="s">
        <v>273</v>
      </c>
      <c r="B595" s="14"/>
      <c r="C595" s="14"/>
      <c r="D595" s="36">
        <v>11</v>
      </c>
      <c r="E595" s="37" t="s">
        <v>676</v>
      </c>
      <c r="F595" s="37" t="s">
        <v>677</v>
      </c>
      <c r="G595" s="37" t="s">
        <v>629</v>
      </c>
      <c r="H595" s="37"/>
      <c r="I595" s="37"/>
    </row>
    <row r="596" spans="1:12" s="20" customFormat="1" ht="29" x14ac:dyDescent="0.4">
      <c r="A596" s="39"/>
      <c r="B596" s="32" t="s">
        <v>742</v>
      </c>
      <c r="C596" s="32" t="s">
        <v>967</v>
      </c>
      <c r="D596" s="40"/>
      <c r="E596" s="41"/>
      <c r="F596" s="41"/>
      <c r="G596" s="41"/>
      <c r="H596" s="40"/>
      <c r="I596" s="32"/>
      <c r="J596" s="24"/>
      <c r="K596" s="24"/>
      <c r="L596" s="22"/>
    </row>
    <row r="597" spans="1:12" s="20" customFormat="1" ht="58" x14ac:dyDescent="0.4">
      <c r="A597" s="14" t="s">
        <v>273</v>
      </c>
      <c r="B597" s="14"/>
      <c r="C597" s="23"/>
      <c r="D597" s="36">
        <v>1</v>
      </c>
      <c r="E597" s="23" t="s">
        <v>659</v>
      </c>
      <c r="F597" s="37" t="s">
        <v>969</v>
      </c>
      <c r="G597" s="37" t="s">
        <v>657</v>
      </c>
      <c r="H597" s="36"/>
      <c r="I597" s="23"/>
      <c r="J597" s="24"/>
      <c r="K597" s="24"/>
      <c r="L597" s="22"/>
    </row>
    <row r="598" spans="1:12" s="20" customFormat="1" ht="58" x14ac:dyDescent="0.4">
      <c r="A598" s="14" t="s">
        <v>273</v>
      </c>
      <c r="B598" s="14"/>
      <c r="C598" s="23"/>
      <c r="D598" s="36">
        <v>2</v>
      </c>
      <c r="E598" s="23" t="s">
        <v>659</v>
      </c>
      <c r="F598" s="37" t="s">
        <v>968</v>
      </c>
      <c r="G598" s="37" t="s">
        <v>658</v>
      </c>
      <c r="H598" s="36"/>
      <c r="I598" s="23"/>
      <c r="J598" s="24"/>
      <c r="K598" s="24"/>
      <c r="L598" s="22"/>
    </row>
    <row r="599" spans="1:12" s="20" customFormat="1" ht="58" x14ac:dyDescent="0.4">
      <c r="A599" s="14" t="s">
        <v>273</v>
      </c>
      <c r="B599" s="14"/>
      <c r="C599" s="23"/>
      <c r="D599" s="36">
        <v>3</v>
      </c>
      <c r="E599" s="23" t="s">
        <v>659</v>
      </c>
      <c r="F599" s="37" t="s">
        <v>969</v>
      </c>
      <c r="G599" s="37" t="s">
        <v>970</v>
      </c>
      <c r="H599" s="36"/>
      <c r="I599" s="23"/>
      <c r="J599" s="24"/>
      <c r="K599" s="24"/>
      <c r="L599" s="22"/>
    </row>
    <row r="600" spans="1:12" s="20" customFormat="1" ht="132.75" customHeight="1" x14ac:dyDescent="0.4">
      <c r="A600" s="14" t="s">
        <v>273</v>
      </c>
      <c r="B600" s="14"/>
      <c r="C600" s="23"/>
      <c r="D600" s="36">
        <v>4</v>
      </c>
      <c r="E600" s="23" t="s">
        <v>662</v>
      </c>
      <c r="F600" s="37" t="s">
        <v>968</v>
      </c>
      <c r="G600" s="37" t="s">
        <v>656</v>
      </c>
      <c r="H600" s="36"/>
      <c r="I600" s="23"/>
      <c r="J600" s="24"/>
      <c r="K600" s="24"/>
      <c r="L600" s="22"/>
    </row>
    <row r="601" spans="1:12" s="20" customFormat="1" ht="126" customHeight="1" x14ac:dyDescent="0.4">
      <c r="A601" s="14" t="s">
        <v>273</v>
      </c>
      <c r="B601" s="14"/>
      <c r="C601" s="23"/>
      <c r="D601" s="36">
        <v>5</v>
      </c>
      <c r="E601" s="37" t="s">
        <v>357</v>
      </c>
      <c r="F601" s="37" t="s">
        <v>975</v>
      </c>
      <c r="G601" s="37" t="s">
        <v>974</v>
      </c>
      <c r="H601" s="36"/>
      <c r="I601" s="23"/>
      <c r="J601" s="24"/>
      <c r="K601" s="24"/>
      <c r="L601" s="22"/>
    </row>
    <row r="602" spans="1:12" s="20" customFormat="1" ht="58" x14ac:dyDescent="0.4">
      <c r="A602" s="14" t="s">
        <v>273</v>
      </c>
      <c r="B602" s="14"/>
      <c r="C602" s="23"/>
      <c r="D602" s="36">
        <v>6</v>
      </c>
      <c r="E602" s="23" t="s">
        <v>662</v>
      </c>
      <c r="F602" s="37" t="s">
        <v>968</v>
      </c>
      <c r="G602" s="37" t="s">
        <v>661</v>
      </c>
      <c r="H602" s="36"/>
      <c r="I602" s="23"/>
      <c r="J602" s="24"/>
      <c r="K602" s="24"/>
      <c r="L602" s="22"/>
    </row>
    <row r="603" spans="1:12" s="20" customFormat="1" ht="14.5" x14ac:dyDescent="0.4">
      <c r="A603" s="32"/>
      <c r="B603" s="32" t="s">
        <v>744</v>
      </c>
      <c r="C603" s="32" t="s">
        <v>824</v>
      </c>
      <c r="D603" s="32"/>
      <c r="E603" s="32"/>
      <c r="F603" s="32"/>
      <c r="G603" s="32"/>
      <c r="H603" s="32"/>
      <c r="I603" s="32"/>
    </row>
    <row r="604" spans="1:12" s="20" customFormat="1" ht="232" x14ac:dyDescent="0.4">
      <c r="A604" s="14" t="s">
        <v>273</v>
      </c>
      <c r="B604" s="73"/>
      <c r="C604" s="14"/>
      <c r="D604" s="36">
        <v>1</v>
      </c>
      <c r="E604" s="37" t="s">
        <v>682</v>
      </c>
      <c r="F604" s="37" t="s">
        <v>683</v>
      </c>
      <c r="G604" s="37" t="s">
        <v>650</v>
      </c>
      <c r="H604" s="36" t="s">
        <v>293</v>
      </c>
      <c r="I604" s="23"/>
    </row>
    <row r="605" spans="1:12" s="20" customFormat="1" ht="261" x14ac:dyDescent="0.4">
      <c r="A605" s="14" t="s">
        <v>273</v>
      </c>
      <c r="B605" s="14"/>
      <c r="C605" s="14"/>
      <c r="D605" s="36">
        <v>2</v>
      </c>
      <c r="E605" s="23" t="s">
        <v>684</v>
      </c>
      <c r="F605" s="37" t="s">
        <v>685</v>
      </c>
      <c r="G605" s="14"/>
      <c r="H605" s="74"/>
      <c r="I605" s="75"/>
    </row>
    <row r="606" spans="1:12" s="20" customFormat="1" ht="237.5" customHeight="1" x14ac:dyDescent="0.4">
      <c r="A606" s="14" t="s">
        <v>273</v>
      </c>
      <c r="B606" s="14"/>
      <c r="C606" s="14"/>
      <c r="D606" s="36">
        <v>3</v>
      </c>
      <c r="E606" s="23" t="s">
        <v>686</v>
      </c>
      <c r="F606" s="23" t="s">
        <v>687</v>
      </c>
      <c r="G606" s="23" t="s">
        <v>539</v>
      </c>
      <c r="H606" s="23"/>
      <c r="I606" s="23"/>
    </row>
    <row r="607" spans="1:12" s="20" customFormat="1" ht="14.5" x14ac:dyDescent="0.4">
      <c r="A607" s="32"/>
      <c r="B607" s="32" t="s">
        <v>746</v>
      </c>
      <c r="C607" s="32" t="s">
        <v>977</v>
      </c>
      <c r="D607" s="32"/>
      <c r="E607" s="32"/>
      <c r="F607" s="32"/>
      <c r="G607" s="32"/>
      <c r="H607" s="32"/>
      <c r="I607" s="32"/>
    </row>
    <row r="608" spans="1:12" s="20" customFormat="1" ht="232" x14ac:dyDescent="0.4">
      <c r="A608" s="14" t="s">
        <v>273</v>
      </c>
      <c r="B608" s="73"/>
      <c r="C608" s="14"/>
      <c r="D608" s="36">
        <v>1</v>
      </c>
      <c r="E608" s="37" t="s">
        <v>682</v>
      </c>
      <c r="F608" s="37" t="s">
        <v>683</v>
      </c>
      <c r="G608" s="37" t="s">
        <v>650</v>
      </c>
      <c r="H608" s="36" t="s">
        <v>293</v>
      </c>
      <c r="I608" s="23"/>
    </row>
    <row r="609" spans="1:9" s="20" customFormat="1" ht="261" x14ac:dyDescent="0.4">
      <c r="A609" s="14" t="s">
        <v>273</v>
      </c>
      <c r="B609" s="14"/>
      <c r="C609" s="14"/>
      <c r="D609" s="36">
        <v>2</v>
      </c>
      <c r="E609" s="23" t="s">
        <v>684</v>
      </c>
      <c r="F609" s="37" t="s">
        <v>685</v>
      </c>
      <c r="G609" s="14" t="s">
        <v>690</v>
      </c>
      <c r="H609" s="74"/>
      <c r="I609" s="75"/>
    </row>
    <row r="610" spans="1:9" s="20" customFormat="1" ht="29" x14ac:dyDescent="0.4">
      <c r="A610" s="32"/>
      <c r="B610" s="32" t="s">
        <v>747</v>
      </c>
      <c r="C610" s="32" t="s">
        <v>825</v>
      </c>
      <c r="D610" s="32"/>
      <c r="E610" s="32"/>
      <c r="F610" s="32"/>
      <c r="G610" s="32"/>
      <c r="H610" s="32"/>
      <c r="I610" s="32"/>
    </row>
    <row r="611" spans="1:9" s="20" customFormat="1" ht="232" x14ac:dyDescent="0.4">
      <c r="A611" s="14" t="s">
        <v>273</v>
      </c>
      <c r="B611" s="73"/>
      <c r="C611" s="14"/>
      <c r="D611" s="36">
        <v>1</v>
      </c>
      <c r="E611" s="37" t="s">
        <v>682</v>
      </c>
      <c r="F611" s="37" t="s">
        <v>683</v>
      </c>
      <c r="G611" s="37" t="s">
        <v>650</v>
      </c>
      <c r="H611" s="36" t="s">
        <v>293</v>
      </c>
      <c r="I611" s="23"/>
    </row>
    <row r="612" spans="1:9" s="20" customFormat="1" ht="261" x14ac:dyDescent="0.4">
      <c r="A612" s="14" t="s">
        <v>273</v>
      </c>
      <c r="B612" s="14"/>
      <c r="C612" s="14"/>
      <c r="D612" s="36">
        <v>2</v>
      </c>
      <c r="E612" s="23" t="s">
        <v>684</v>
      </c>
      <c r="F612" s="37" t="s">
        <v>685</v>
      </c>
      <c r="G612" s="14"/>
      <c r="H612" s="74"/>
      <c r="I612" s="75"/>
    </row>
    <row r="613" spans="1:9" s="20" customFormat="1" ht="377" x14ac:dyDescent="0.4">
      <c r="A613" s="14" t="s">
        <v>273</v>
      </c>
      <c r="B613" s="14"/>
      <c r="C613" s="14"/>
      <c r="D613" s="36">
        <v>3</v>
      </c>
      <c r="E613" s="23" t="s">
        <v>691</v>
      </c>
      <c r="F613" s="23" t="s">
        <v>692</v>
      </c>
      <c r="G613" s="23"/>
      <c r="H613" s="23"/>
      <c r="I613" s="23"/>
    </row>
    <row r="614" spans="1:9" s="20" customFormat="1" ht="58" x14ac:dyDescent="0.4">
      <c r="A614" s="14" t="s">
        <v>273</v>
      </c>
      <c r="B614" s="14"/>
      <c r="C614" s="14"/>
      <c r="D614" s="36">
        <v>4</v>
      </c>
      <c r="E614" s="23" t="s">
        <v>693</v>
      </c>
      <c r="F614" s="37" t="s">
        <v>694</v>
      </c>
      <c r="G614" s="14" t="s">
        <v>695</v>
      </c>
      <c r="H614" s="74"/>
      <c r="I614" s="75"/>
    </row>
    <row r="615" spans="1:9" s="20" customFormat="1" ht="29" x14ac:dyDescent="0.4">
      <c r="A615" s="32"/>
      <c r="B615" s="32" t="s">
        <v>749</v>
      </c>
      <c r="C615" s="32" t="s">
        <v>826</v>
      </c>
      <c r="D615" s="32"/>
      <c r="E615" s="32"/>
      <c r="F615" s="32"/>
      <c r="G615" s="32"/>
      <c r="H615" s="32"/>
      <c r="I615" s="32"/>
    </row>
    <row r="616" spans="1:9" s="20" customFormat="1" ht="232" x14ac:dyDescent="0.4">
      <c r="A616" s="14" t="s">
        <v>273</v>
      </c>
      <c r="B616" s="73"/>
      <c r="C616" s="14"/>
      <c r="D616" s="36">
        <v>1</v>
      </c>
      <c r="E616" s="37" t="s">
        <v>682</v>
      </c>
      <c r="F616" s="37" t="s">
        <v>683</v>
      </c>
      <c r="G616" s="37" t="s">
        <v>650</v>
      </c>
      <c r="H616" s="36" t="s">
        <v>293</v>
      </c>
      <c r="I616" s="23"/>
    </row>
    <row r="617" spans="1:9" s="20" customFormat="1" ht="261" x14ac:dyDescent="0.4">
      <c r="A617" s="14" t="s">
        <v>273</v>
      </c>
      <c r="B617" s="14"/>
      <c r="C617" s="14"/>
      <c r="D617" s="36">
        <v>2</v>
      </c>
      <c r="E617" s="23" t="s">
        <v>684</v>
      </c>
      <c r="F617" s="37" t="s">
        <v>685</v>
      </c>
      <c r="G617" s="14"/>
      <c r="H617" s="74"/>
      <c r="I617" s="75"/>
    </row>
    <row r="618" spans="1:9" s="20" customFormat="1" ht="377" x14ac:dyDescent="0.4">
      <c r="A618" s="14" t="s">
        <v>273</v>
      </c>
      <c r="B618" s="14"/>
      <c r="C618" s="14"/>
      <c r="D618" s="36">
        <v>3</v>
      </c>
      <c r="E618" s="23" t="s">
        <v>698</v>
      </c>
      <c r="F618" s="23" t="s">
        <v>699</v>
      </c>
      <c r="G618" s="23"/>
      <c r="H618" s="23"/>
      <c r="I618" s="23"/>
    </row>
    <row r="619" spans="1:9" s="20" customFormat="1" ht="58" x14ac:dyDescent="0.4">
      <c r="A619" s="14" t="s">
        <v>273</v>
      </c>
      <c r="B619" s="14"/>
      <c r="C619" s="14"/>
      <c r="D619" s="36">
        <v>4</v>
      </c>
      <c r="E619" s="23" t="s">
        <v>693</v>
      </c>
      <c r="F619" s="37" t="s">
        <v>694</v>
      </c>
      <c r="G619" s="14"/>
      <c r="H619" s="74"/>
      <c r="I619" s="75"/>
    </row>
    <row r="620" spans="1:9" s="20" customFormat="1" ht="29" x14ac:dyDescent="0.4">
      <c r="A620" s="32"/>
      <c r="B620" s="32" t="s">
        <v>751</v>
      </c>
      <c r="C620" s="32" t="s">
        <v>827</v>
      </c>
      <c r="D620" s="32"/>
      <c r="E620" s="32"/>
      <c r="F620" s="32"/>
      <c r="G620" s="32"/>
      <c r="H620" s="32"/>
      <c r="I620" s="32"/>
    </row>
    <row r="621" spans="1:9" s="20" customFormat="1" ht="232" x14ac:dyDescent="0.4">
      <c r="A621" s="14" t="s">
        <v>273</v>
      </c>
      <c r="B621" s="73"/>
      <c r="C621" s="14"/>
      <c r="D621" s="36">
        <v>1</v>
      </c>
      <c r="E621" s="37" t="s">
        <v>682</v>
      </c>
      <c r="F621" s="37" t="s">
        <v>683</v>
      </c>
      <c r="G621" s="37" t="s">
        <v>650</v>
      </c>
      <c r="H621" s="36" t="s">
        <v>293</v>
      </c>
      <c r="I621" s="23"/>
    </row>
    <row r="622" spans="1:9" s="20" customFormat="1" ht="261" x14ac:dyDescent="0.4">
      <c r="A622" s="14" t="s">
        <v>273</v>
      </c>
      <c r="B622" s="14"/>
      <c r="C622" s="14"/>
      <c r="D622" s="36">
        <v>2</v>
      </c>
      <c r="E622" s="23" t="s">
        <v>684</v>
      </c>
      <c r="F622" s="37" t="s">
        <v>685</v>
      </c>
      <c r="G622" s="14"/>
      <c r="H622" s="74"/>
      <c r="I622" s="75"/>
    </row>
    <row r="623" spans="1:9" s="20" customFormat="1" ht="377" x14ac:dyDescent="0.4">
      <c r="A623" s="14" t="s">
        <v>273</v>
      </c>
      <c r="B623" s="14"/>
      <c r="C623" s="14"/>
      <c r="D623" s="36">
        <v>3</v>
      </c>
      <c r="E623" s="23" t="s">
        <v>701</v>
      </c>
      <c r="F623" s="23" t="s">
        <v>702</v>
      </c>
      <c r="G623" s="23"/>
      <c r="H623" s="23"/>
      <c r="I623" s="23"/>
    </row>
    <row r="624" spans="1:9" s="20" customFormat="1" ht="58" x14ac:dyDescent="0.4">
      <c r="A624" s="14" t="s">
        <v>273</v>
      </c>
      <c r="B624" s="14"/>
      <c r="C624" s="14"/>
      <c r="D624" s="36">
        <v>4</v>
      </c>
      <c r="E624" s="23" t="s">
        <v>693</v>
      </c>
      <c r="F624" s="37" t="s">
        <v>694</v>
      </c>
      <c r="G624" s="14"/>
      <c r="H624" s="74"/>
      <c r="I624" s="75"/>
    </row>
    <row r="625" spans="1:12" s="20" customFormat="1" ht="29" x14ac:dyDescent="0.4">
      <c r="A625" s="32"/>
      <c r="B625" s="32" t="s">
        <v>752</v>
      </c>
      <c r="C625" s="32" t="s">
        <v>828</v>
      </c>
      <c r="D625" s="32"/>
      <c r="E625" s="32"/>
      <c r="F625" s="32"/>
      <c r="G625" s="32"/>
      <c r="H625" s="32"/>
      <c r="I625" s="32"/>
    </row>
    <row r="626" spans="1:12" s="20" customFormat="1" ht="232" x14ac:dyDescent="0.4">
      <c r="A626" s="14" t="s">
        <v>273</v>
      </c>
      <c r="B626" s="73"/>
      <c r="C626" s="14"/>
      <c r="D626" s="36">
        <v>1</v>
      </c>
      <c r="E626" s="37" t="s">
        <v>682</v>
      </c>
      <c r="F626" s="37" t="s">
        <v>683</v>
      </c>
      <c r="G626" s="37" t="s">
        <v>650</v>
      </c>
      <c r="H626" s="36" t="s">
        <v>293</v>
      </c>
      <c r="I626" s="23"/>
    </row>
    <row r="627" spans="1:12" s="20" customFormat="1" ht="261" x14ac:dyDescent="0.4">
      <c r="A627" s="14" t="s">
        <v>273</v>
      </c>
      <c r="B627" s="14"/>
      <c r="C627" s="14"/>
      <c r="D627" s="36">
        <v>2</v>
      </c>
      <c r="E627" s="23" t="s">
        <v>684</v>
      </c>
      <c r="F627" s="37" t="s">
        <v>685</v>
      </c>
      <c r="G627" s="14"/>
      <c r="H627" s="74"/>
      <c r="I627" s="75"/>
    </row>
    <row r="628" spans="1:12" s="20" customFormat="1" ht="87" x14ac:dyDescent="0.4">
      <c r="A628" s="14" t="s">
        <v>273</v>
      </c>
      <c r="B628" s="14"/>
      <c r="C628" s="14"/>
      <c r="D628" s="36">
        <v>3</v>
      </c>
      <c r="E628" s="23" t="s">
        <v>704</v>
      </c>
      <c r="F628" s="23" t="s">
        <v>419</v>
      </c>
      <c r="G628" s="23"/>
      <c r="H628" s="23"/>
      <c r="I628" s="23"/>
    </row>
    <row r="629" spans="1:12" s="20" customFormat="1" ht="145" x14ac:dyDescent="0.4">
      <c r="A629" s="14" t="s">
        <v>273</v>
      </c>
      <c r="B629" s="14"/>
      <c r="C629" s="14"/>
      <c r="D629" s="36">
        <v>4</v>
      </c>
      <c r="E629" s="23" t="s">
        <v>705</v>
      </c>
      <c r="F629" s="37" t="s">
        <v>706</v>
      </c>
      <c r="G629" s="14"/>
      <c r="H629" s="74"/>
      <c r="I629" s="75"/>
    </row>
    <row r="630" spans="1:12" s="20" customFormat="1" ht="101.5" x14ac:dyDescent="0.4">
      <c r="A630" s="14" t="s">
        <v>273</v>
      </c>
      <c r="B630" s="14"/>
      <c r="C630" s="14"/>
      <c r="D630" s="36">
        <v>5</v>
      </c>
      <c r="E630" s="23" t="s">
        <v>707</v>
      </c>
      <c r="F630" s="37" t="s">
        <v>708</v>
      </c>
      <c r="G630" s="37" t="s">
        <v>609</v>
      </c>
      <c r="H630" s="74"/>
      <c r="I630" s="75"/>
    </row>
    <row r="631" spans="1:12" s="20" customFormat="1" ht="14.5" x14ac:dyDescent="0.4">
      <c r="A631" s="39"/>
      <c r="B631" s="39" t="s">
        <v>754</v>
      </c>
      <c r="C631" s="39" t="s">
        <v>711</v>
      </c>
      <c r="D631" s="40"/>
      <c r="E631" s="41"/>
      <c r="F631" s="41"/>
      <c r="G631" s="41"/>
      <c r="H631" s="40"/>
      <c r="I631" s="32"/>
      <c r="J631" s="24"/>
      <c r="K631" s="24"/>
      <c r="L631" s="22"/>
    </row>
    <row r="632" spans="1:12" s="20" customFormat="1" ht="72.5" x14ac:dyDescent="0.4">
      <c r="A632" s="14" t="s">
        <v>273</v>
      </c>
      <c r="B632" s="14"/>
      <c r="C632" s="23"/>
      <c r="D632" s="36">
        <v>1</v>
      </c>
      <c r="E632" s="37" t="s">
        <v>304</v>
      </c>
      <c r="F632" s="37" t="s">
        <v>1041</v>
      </c>
      <c r="G632" s="37" t="s">
        <v>303</v>
      </c>
      <c r="H632" s="36" t="s">
        <v>293</v>
      </c>
      <c r="I632" s="23" t="s">
        <v>123</v>
      </c>
      <c r="J632" s="24"/>
      <c r="K632" s="24"/>
      <c r="L632" s="22"/>
    </row>
    <row r="633" spans="1:12" s="20" customFormat="1" ht="267" customHeight="1" x14ac:dyDescent="0.4">
      <c r="A633" s="14" t="s">
        <v>273</v>
      </c>
      <c r="B633" s="14"/>
      <c r="C633" s="23"/>
      <c r="D633" s="36">
        <v>2</v>
      </c>
      <c r="E633" s="37" t="s">
        <v>1033</v>
      </c>
      <c r="F633" s="81" t="s">
        <v>716</v>
      </c>
      <c r="G633" s="37" t="s">
        <v>1047</v>
      </c>
      <c r="H633" s="36"/>
      <c r="I633" s="23"/>
      <c r="J633" s="24"/>
      <c r="K633" s="24"/>
      <c r="L633" s="22"/>
    </row>
    <row r="634" spans="1:12" s="20" customFormat="1" ht="174" x14ac:dyDescent="0.4">
      <c r="A634" s="14" t="s">
        <v>273</v>
      </c>
      <c r="B634" s="14"/>
      <c r="C634" s="23"/>
      <c r="D634" s="36">
        <v>3</v>
      </c>
      <c r="E634" s="37" t="s">
        <v>721</v>
      </c>
      <c r="F634" s="37" t="s">
        <v>1048</v>
      </c>
      <c r="G634" s="37"/>
      <c r="H634" s="36"/>
      <c r="I634" s="23"/>
      <c r="J634" s="24"/>
      <c r="K634" s="24"/>
      <c r="L634" s="22"/>
    </row>
    <row r="635" spans="1:12" s="20" customFormat="1" ht="58" x14ac:dyDescent="0.4">
      <c r="A635" s="14" t="s">
        <v>273</v>
      </c>
      <c r="B635" s="14"/>
      <c r="C635" s="23"/>
      <c r="D635" s="36">
        <v>4</v>
      </c>
      <c r="E635" s="37" t="s">
        <v>313</v>
      </c>
      <c r="F635" s="37" t="s">
        <v>309</v>
      </c>
      <c r="G635" s="37" t="s">
        <v>308</v>
      </c>
      <c r="H635" s="36"/>
      <c r="I635" s="23"/>
      <c r="J635" s="24"/>
      <c r="K635" s="24"/>
      <c r="L635" s="22"/>
    </row>
    <row r="636" spans="1:12" s="20" customFormat="1" ht="246" customHeight="1" x14ac:dyDescent="0.4">
      <c r="A636" s="14" t="s">
        <v>273</v>
      </c>
      <c r="B636" s="14"/>
      <c r="C636" s="23"/>
      <c r="D636" s="36">
        <v>5</v>
      </c>
      <c r="E636" s="37" t="s">
        <v>310</v>
      </c>
      <c r="F636" s="82" t="s">
        <v>714</v>
      </c>
      <c r="G636" s="37" t="s">
        <v>312</v>
      </c>
      <c r="H636" s="36"/>
      <c r="I636" s="23"/>
      <c r="J636" s="24"/>
      <c r="K636" s="24"/>
      <c r="L636" s="22"/>
    </row>
    <row r="637" spans="1:12" s="20" customFormat="1" ht="58" x14ac:dyDescent="0.4">
      <c r="A637" s="14" t="s">
        <v>273</v>
      </c>
      <c r="B637" s="14"/>
      <c r="C637" s="23"/>
      <c r="D637" s="36">
        <v>6</v>
      </c>
      <c r="E637" s="37" t="s">
        <v>316</v>
      </c>
      <c r="F637" s="37" t="s">
        <v>299</v>
      </c>
      <c r="G637" s="14" t="s">
        <v>300</v>
      </c>
      <c r="H637" s="36"/>
      <c r="I637" s="23"/>
      <c r="J637" s="24"/>
      <c r="K637" s="24"/>
      <c r="L637" s="22"/>
    </row>
    <row r="638" spans="1:12" s="20" customFormat="1" ht="14.5" x14ac:dyDescent="0.4">
      <c r="A638" s="39"/>
      <c r="B638" s="39" t="s">
        <v>759</v>
      </c>
      <c r="C638" s="39" t="s">
        <v>1182</v>
      </c>
      <c r="D638" s="40"/>
      <c r="E638" s="41"/>
      <c r="F638" s="41"/>
      <c r="G638" s="41"/>
      <c r="H638" s="40"/>
      <c r="I638" s="32"/>
      <c r="J638" s="24"/>
      <c r="K638" s="24"/>
      <c r="L638" s="22"/>
    </row>
    <row r="639" spans="1:12" s="20" customFormat="1" ht="239.5" customHeight="1" x14ac:dyDescent="0.4">
      <c r="A639" s="14" t="s">
        <v>273</v>
      </c>
      <c r="B639" s="14"/>
      <c r="C639" s="70"/>
      <c r="D639" s="36">
        <v>1</v>
      </c>
      <c r="E639" s="37" t="s">
        <v>712</v>
      </c>
      <c r="F639" s="81" t="s">
        <v>306</v>
      </c>
      <c r="G639" s="37" t="s">
        <v>303</v>
      </c>
      <c r="H639" s="36" t="s">
        <v>293</v>
      </c>
      <c r="I639" s="23"/>
      <c r="J639" s="24"/>
      <c r="K639" s="24"/>
      <c r="L639" s="22"/>
    </row>
    <row r="640" spans="1:12" s="20" customFormat="1" ht="239.5" customHeight="1" x14ac:dyDescent="0.4">
      <c r="A640" s="14" t="s">
        <v>273</v>
      </c>
      <c r="B640" s="14"/>
      <c r="C640" s="70"/>
      <c r="D640" s="36">
        <v>2</v>
      </c>
      <c r="E640" s="37" t="s">
        <v>313</v>
      </c>
      <c r="F640" s="37" t="s">
        <v>309</v>
      </c>
      <c r="G640" s="37" t="s">
        <v>308</v>
      </c>
      <c r="H640" s="36"/>
      <c r="I640" s="23"/>
      <c r="J640" s="24"/>
      <c r="K640" s="24"/>
      <c r="L640" s="22"/>
    </row>
    <row r="641" spans="1:12" s="20" customFormat="1" ht="239.5" customHeight="1" x14ac:dyDescent="0.4">
      <c r="A641" s="14" t="s">
        <v>273</v>
      </c>
      <c r="B641" s="14"/>
      <c r="C641" s="70"/>
      <c r="D641" s="36">
        <v>3</v>
      </c>
      <c r="E641" s="37" t="s">
        <v>310</v>
      </c>
      <c r="F641" s="82" t="s">
        <v>714</v>
      </c>
      <c r="G641" s="37" t="s">
        <v>312</v>
      </c>
      <c r="H641" s="36"/>
      <c r="I641" s="23"/>
      <c r="J641" s="24"/>
      <c r="K641" s="24"/>
      <c r="L641" s="22"/>
    </row>
    <row r="642" spans="1:12" s="20" customFormat="1" ht="203" x14ac:dyDescent="0.4">
      <c r="A642" s="14" t="s">
        <v>273</v>
      </c>
      <c r="B642" s="14"/>
      <c r="C642" s="23"/>
      <c r="D642" s="36">
        <v>4</v>
      </c>
      <c r="E642" s="37" t="s">
        <v>314</v>
      </c>
      <c r="F642" s="82" t="s">
        <v>1111</v>
      </c>
      <c r="G642" s="84" t="s">
        <v>344</v>
      </c>
      <c r="H642" s="36"/>
      <c r="I642" s="23"/>
      <c r="J642" s="24"/>
      <c r="K642" s="24"/>
      <c r="L642" s="22"/>
    </row>
    <row r="643" spans="1:12" s="20" customFormat="1" ht="159.5" x14ac:dyDescent="0.4">
      <c r="A643" s="14" t="s">
        <v>273</v>
      </c>
      <c r="B643" s="14"/>
      <c r="C643" s="23"/>
      <c r="D643" s="36">
        <v>5</v>
      </c>
      <c r="E643" s="37" t="s">
        <v>435</v>
      </c>
      <c r="F643" s="82" t="s">
        <v>1112</v>
      </c>
      <c r="G643" s="84" t="s">
        <v>723</v>
      </c>
      <c r="H643" s="36"/>
      <c r="I643" s="23"/>
      <c r="J643" s="24"/>
      <c r="K643" s="24"/>
      <c r="L643" s="22"/>
    </row>
    <row r="644" spans="1:12" s="20" customFormat="1" ht="58" x14ac:dyDescent="0.4">
      <c r="A644" s="14" t="s">
        <v>273</v>
      </c>
      <c r="B644" s="14"/>
      <c r="C644" s="23"/>
      <c r="D644" s="36">
        <v>6</v>
      </c>
      <c r="E644" s="37" t="s">
        <v>316</v>
      </c>
      <c r="F644" s="37" t="s">
        <v>299</v>
      </c>
      <c r="G644" s="14" t="s">
        <v>300</v>
      </c>
      <c r="H644" s="36"/>
      <c r="I644" s="23"/>
      <c r="J644" s="24"/>
      <c r="K644" s="24"/>
      <c r="L644" s="22"/>
    </row>
    <row r="645" spans="1:12" s="20" customFormat="1" ht="14.5" x14ac:dyDescent="0.4">
      <c r="A645" s="39"/>
      <c r="B645" s="39" t="s">
        <v>761</v>
      </c>
      <c r="C645" s="39" t="s">
        <v>983</v>
      </c>
      <c r="D645" s="40"/>
      <c r="E645" s="41"/>
      <c r="F645" s="41"/>
      <c r="G645" s="41"/>
      <c r="H645" s="40"/>
      <c r="I645" s="32"/>
      <c r="J645" s="24"/>
      <c r="K645" s="24"/>
      <c r="L645" s="22"/>
    </row>
    <row r="646" spans="1:12" s="20" customFormat="1" ht="239.5" customHeight="1" x14ac:dyDescent="0.4">
      <c r="A646" s="14" t="s">
        <v>273</v>
      </c>
      <c r="B646" s="14"/>
      <c r="C646" s="70"/>
      <c r="D646" s="36">
        <v>1</v>
      </c>
      <c r="E646" s="37" t="s">
        <v>712</v>
      </c>
      <c r="F646" s="81" t="s">
        <v>306</v>
      </c>
      <c r="G646" s="37" t="s">
        <v>303</v>
      </c>
      <c r="H646" s="36" t="s">
        <v>293</v>
      </c>
      <c r="I646" s="23"/>
      <c r="J646" s="24"/>
      <c r="K646" s="24"/>
      <c r="L646" s="22"/>
    </row>
    <row r="647" spans="1:12" s="20" customFormat="1" ht="239.5" customHeight="1" x14ac:dyDescent="0.4">
      <c r="A647" s="14" t="s">
        <v>273</v>
      </c>
      <c r="B647" s="14"/>
      <c r="C647" s="70"/>
      <c r="D647" s="36">
        <v>2</v>
      </c>
      <c r="E647" s="37" t="s">
        <v>313</v>
      </c>
      <c r="F647" s="37" t="s">
        <v>309</v>
      </c>
      <c r="G647" s="37" t="s">
        <v>308</v>
      </c>
      <c r="H647" s="36"/>
      <c r="I647" s="23"/>
      <c r="J647" s="24"/>
      <c r="K647" s="24"/>
      <c r="L647" s="22"/>
    </row>
    <row r="648" spans="1:12" s="20" customFormat="1" ht="239.5" customHeight="1" x14ac:dyDescent="0.4">
      <c r="A648" s="14" t="s">
        <v>273</v>
      </c>
      <c r="B648" s="14"/>
      <c r="C648" s="70"/>
      <c r="D648" s="36">
        <v>3</v>
      </c>
      <c r="E648" s="37" t="s">
        <v>310</v>
      </c>
      <c r="F648" s="82" t="s">
        <v>714</v>
      </c>
      <c r="G648" s="37" t="s">
        <v>312</v>
      </c>
      <c r="H648" s="36"/>
      <c r="I648" s="23"/>
      <c r="J648" s="24"/>
      <c r="K648" s="24"/>
      <c r="L648" s="22"/>
    </row>
    <row r="649" spans="1:12" s="20" customFormat="1" ht="154" customHeight="1" x14ac:dyDescent="0.4">
      <c r="A649" s="14" t="s">
        <v>273</v>
      </c>
      <c r="B649" s="14"/>
      <c r="C649" s="23"/>
      <c r="D649" s="36">
        <v>4</v>
      </c>
      <c r="E649" s="37" t="s">
        <v>311</v>
      </c>
      <c r="F649" s="82" t="s">
        <v>1111</v>
      </c>
      <c r="G649" s="83" t="s">
        <v>1113</v>
      </c>
      <c r="H649" s="36"/>
      <c r="I649" s="23"/>
      <c r="J649" s="24"/>
      <c r="K649" s="24"/>
      <c r="L649" s="22"/>
    </row>
    <row r="650" spans="1:12" s="20" customFormat="1" ht="159.5" x14ac:dyDescent="0.4">
      <c r="A650" s="14" t="s">
        <v>273</v>
      </c>
      <c r="B650" s="14"/>
      <c r="C650" s="23"/>
      <c r="D650" s="36">
        <v>5</v>
      </c>
      <c r="E650" s="37" t="s">
        <v>435</v>
      </c>
      <c r="F650" s="82" t="s">
        <v>1117</v>
      </c>
      <c r="G650" s="83" t="s">
        <v>1114</v>
      </c>
      <c r="H650" s="36"/>
      <c r="I650" s="23"/>
      <c r="J650" s="24"/>
      <c r="K650" s="24"/>
      <c r="L650" s="22"/>
    </row>
    <row r="651" spans="1:12" s="20" customFormat="1" ht="14.5" x14ac:dyDescent="0.4">
      <c r="A651" s="39"/>
      <c r="B651" s="39" t="s">
        <v>762</v>
      </c>
      <c r="C651" s="39" t="s">
        <v>984</v>
      </c>
      <c r="D651" s="40"/>
      <c r="E651" s="41"/>
      <c r="F651" s="41"/>
      <c r="G651" s="41"/>
      <c r="H651" s="40"/>
      <c r="I651" s="32"/>
      <c r="J651" s="24"/>
      <c r="K651" s="24"/>
      <c r="L651" s="22"/>
    </row>
    <row r="652" spans="1:12" s="20" customFormat="1" ht="217.5" x14ac:dyDescent="0.4">
      <c r="A652" s="14" t="s">
        <v>273</v>
      </c>
      <c r="B652" s="14"/>
      <c r="C652" s="70"/>
      <c r="D652" s="36">
        <v>1</v>
      </c>
      <c r="E652" s="37" t="s">
        <v>712</v>
      </c>
      <c r="F652" s="81" t="s">
        <v>716</v>
      </c>
      <c r="G652" s="37" t="s">
        <v>303</v>
      </c>
      <c r="H652" s="36" t="s">
        <v>293</v>
      </c>
      <c r="I652" s="23"/>
      <c r="J652" s="24"/>
      <c r="K652" s="24"/>
      <c r="L652" s="22"/>
    </row>
    <row r="653" spans="1:12" s="20" customFormat="1" ht="58" x14ac:dyDescent="0.4">
      <c r="A653" s="14" t="s">
        <v>273</v>
      </c>
      <c r="B653" s="14"/>
      <c r="C653" s="70"/>
      <c r="D653" s="36">
        <v>2</v>
      </c>
      <c r="E653" s="37" t="s">
        <v>313</v>
      </c>
      <c r="F653" s="37" t="s">
        <v>309</v>
      </c>
      <c r="G653" s="37" t="s">
        <v>308</v>
      </c>
      <c r="H653" s="36"/>
      <c r="I653" s="23"/>
      <c r="J653" s="24"/>
      <c r="K653" s="24"/>
      <c r="L653" s="22"/>
    </row>
    <row r="654" spans="1:12" s="20" customFormat="1" ht="188.5" x14ac:dyDescent="0.4">
      <c r="A654" s="14" t="s">
        <v>273</v>
      </c>
      <c r="B654" s="14"/>
      <c r="C654" s="70"/>
      <c r="D654" s="36">
        <v>3</v>
      </c>
      <c r="E654" s="37" t="s">
        <v>310</v>
      </c>
      <c r="F654" s="82" t="s">
        <v>714</v>
      </c>
      <c r="G654" s="37" t="s">
        <v>312</v>
      </c>
      <c r="H654" s="36"/>
      <c r="I654" s="23"/>
      <c r="J654" s="24"/>
      <c r="K654" s="24"/>
      <c r="L654" s="22"/>
    </row>
    <row r="655" spans="1:12" s="20" customFormat="1" ht="203" x14ac:dyDescent="0.4">
      <c r="A655" s="14" t="s">
        <v>273</v>
      </c>
      <c r="B655" s="14"/>
      <c r="C655" s="23"/>
      <c r="D655" s="36">
        <v>4</v>
      </c>
      <c r="E655" s="37" t="s">
        <v>314</v>
      </c>
      <c r="F655" s="82" t="s">
        <v>980</v>
      </c>
      <c r="G655" s="84" t="s">
        <v>343</v>
      </c>
      <c r="H655" s="36"/>
      <c r="I655" s="23"/>
      <c r="J655" s="24"/>
      <c r="K655" s="24"/>
      <c r="L655" s="22"/>
    </row>
    <row r="656" spans="1:12" s="20" customFormat="1" ht="256" customHeight="1" x14ac:dyDescent="0.4">
      <c r="A656" s="14" t="s">
        <v>273</v>
      </c>
      <c r="B656" s="14"/>
      <c r="C656" s="23"/>
      <c r="D656" s="36">
        <v>5</v>
      </c>
      <c r="E656" s="37" t="s">
        <v>319</v>
      </c>
      <c r="F656" s="82" t="s">
        <v>981</v>
      </c>
      <c r="G656" s="37" t="s">
        <v>324</v>
      </c>
      <c r="H656" s="36"/>
      <c r="I656" s="23"/>
      <c r="J656" s="24"/>
      <c r="K656" s="24"/>
      <c r="L656" s="22"/>
    </row>
    <row r="657" spans="1:12" s="20" customFormat="1" ht="72.5" x14ac:dyDescent="0.4">
      <c r="A657" s="14" t="s">
        <v>273</v>
      </c>
      <c r="B657" s="14"/>
      <c r="C657" s="23"/>
      <c r="D657" s="36">
        <v>6</v>
      </c>
      <c r="E657" s="37" t="s">
        <v>321</v>
      </c>
      <c r="F657" s="82" t="s">
        <v>322</v>
      </c>
      <c r="G657" s="37" t="s">
        <v>323</v>
      </c>
      <c r="H657" s="36"/>
      <c r="I657" s="23"/>
      <c r="J657" s="24"/>
      <c r="K657" s="24"/>
      <c r="L657" s="22"/>
    </row>
    <row r="658" spans="1:12" s="20" customFormat="1" ht="58" x14ac:dyDescent="0.4">
      <c r="A658" s="14" t="s">
        <v>273</v>
      </c>
      <c r="B658" s="14"/>
      <c r="C658" s="23"/>
      <c r="D658" s="36">
        <v>7</v>
      </c>
      <c r="E658" s="37" t="s">
        <v>316</v>
      </c>
      <c r="F658" s="37" t="s">
        <v>299</v>
      </c>
      <c r="G658" s="14" t="s">
        <v>300</v>
      </c>
      <c r="H658" s="36"/>
      <c r="I658" s="23"/>
      <c r="J658" s="24"/>
      <c r="K658" s="24"/>
      <c r="L658" s="22"/>
    </row>
    <row r="659" spans="1:12" s="20" customFormat="1" ht="14.5" x14ac:dyDescent="0.4">
      <c r="A659" s="39"/>
      <c r="B659" s="39" t="s">
        <v>764</v>
      </c>
      <c r="C659" s="39" t="s">
        <v>985</v>
      </c>
      <c r="D659" s="40"/>
      <c r="E659" s="41"/>
      <c r="F659" s="41"/>
      <c r="G659" s="41"/>
      <c r="H659" s="40"/>
      <c r="I659" s="32"/>
      <c r="J659" s="24"/>
      <c r="K659" s="24"/>
      <c r="L659" s="22"/>
    </row>
    <row r="660" spans="1:12" s="20" customFormat="1" ht="58" x14ac:dyDescent="0.4">
      <c r="A660" s="14" t="s">
        <v>273</v>
      </c>
      <c r="B660" s="14"/>
      <c r="C660" s="23"/>
      <c r="D660" s="36">
        <v>1</v>
      </c>
      <c r="E660" s="37" t="s">
        <v>311</v>
      </c>
      <c r="F660" s="37" t="s">
        <v>1115</v>
      </c>
      <c r="G660" s="37" t="s">
        <v>863</v>
      </c>
      <c r="H660" s="36" t="s">
        <v>293</v>
      </c>
      <c r="I660" s="23"/>
      <c r="J660" s="24"/>
      <c r="K660" s="24"/>
      <c r="L660" s="22"/>
    </row>
    <row r="661" spans="1:12" s="20" customFormat="1" ht="72.5" x14ac:dyDescent="0.4">
      <c r="A661" s="14" t="s">
        <v>273</v>
      </c>
      <c r="B661" s="14"/>
      <c r="C661" s="23"/>
      <c r="D661" s="36">
        <v>2</v>
      </c>
      <c r="E661" s="37" t="s">
        <v>311</v>
      </c>
      <c r="F661" s="37" t="s">
        <v>1115</v>
      </c>
      <c r="G661" s="37" t="s">
        <v>864</v>
      </c>
      <c r="H661" s="36"/>
      <c r="I661" s="23"/>
      <c r="J661" s="24"/>
      <c r="K661" s="24"/>
      <c r="L661" s="22"/>
    </row>
    <row r="662" spans="1:12" s="20" customFormat="1" ht="58" x14ac:dyDescent="0.4">
      <c r="A662" s="14" t="s">
        <v>273</v>
      </c>
      <c r="B662" s="14"/>
      <c r="C662" s="23"/>
      <c r="D662" s="36">
        <v>3</v>
      </c>
      <c r="E662" s="37" t="s">
        <v>435</v>
      </c>
      <c r="F662" s="37" t="s">
        <v>1116</v>
      </c>
      <c r="G662" s="37" t="s">
        <v>866</v>
      </c>
      <c r="H662" s="36"/>
      <c r="I662" s="23"/>
      <c r="J662" s="24"/>
      <c r="K662" s="24"/>
      <c r="L662" s="22"/>
    </row>
    <row r="663" spans="1:12" s="20" customFormat="1" ht="58" x14ac:dyDescent="0.4">
      <c r="A663" s="14" t="s">
        <v>273</v>
      </c>
      <c r="B663" s="14"/>
      <c r="C663" s="23"/>
      <c r="D663" s="36">
        <v>4</v>
      </c>
      <c r="E663" s="37" t="s">
        <v>435</v>
      </c>
      <c r="F663" s="37" t="s">
        <v>1116</v>
      </c>
      <c r="G663" s="37" t="s">
        <v>867</v>
      </c>
      <c r="H663" s="36"/>
      <c r="I663" s="23"/>
      <c r="J663" s="24"/>
      <c r="K663" s="24"/>
      <c r="L663" s="22"/>
    </row>
    <row r="664" spans="1:12" s="20" customFormat="1" ht="14.5" x14ac:dyDescent="0.4">
      <c r="A664" s="39"/>
      <c r="B664" s="39" t="s">
        <v>766</v>
      </c>
      <c r="C664" s="39" t="s">
        <v>986</v>
      </c>
      <c r="D664" s="40"/>
      <c r="E664" s="41"/>
      <c r="F664" s="41"/>
      <c r="G664" s="41"/>
      <c r="H664" s="40"/>
      <c r="I664" s="32"/>
      <c r="J664" s="24"/>
      <c r="K664" s="24"/>
      <c r="L664" s="22"/>
    </row>
    <row r="665" spans="1:12" s="20" customFormat="1" ht="130.5" customHeight="1" x14ac:dyDescent="0.4">
      <c r="A665" s="14" t="s">
        <v>273</v>
      </c>
      <c r="B665" s="14"/>
      <c r="C665" s="23"/>
      <c r="D665" s="36">
        <v>1</v>
      </c>
      <c r="E665" s="37" t="s">
        <v>311</v>
      </c>
      <c r="F665" s="82" t="s">
        <v>979</v>
      </c>
      <c r="G665" s="84" t="s">
        <v>1121</v>
      </c>
      <c r="H665" s="36" t="s">
        <v>293</v>
      </c>
      <c r="I665" s="23"/>
      <c r="J665" s="24"/>
      <c r="K665" s="24"/>
      <c r="L665" s="22"/>
    </row>
    <row r="666" spans="1:12" s="20" customFormat="1" ht="409.5" x14ac:dyDescent="0.4">
      <c r="A666" s="14" t="s">
        <v>273</v>
      </c>
      <c r="B666" s="14"/>
      <c r="C666" s="23"/>
      <c r="D666" s="36">
        <v>2</v>
      </c>
      <c r="E666" s="37" t="s">
        <v>321</v>
      </c>
      <c r="F666" s="82" t="s">
        <v>337</v>
      </c>
      <c r="G666" s="84" t="s">
        <v>351</v>
      </c>
      <c r="H666" s="36"/>
      <c r="I666" s="23"/>
      <c r="J666" s="24"/>
      <c r="K666" s="24"/>
      <c r="L666" s="22"/>
    </row>
    <row r="667" spans="1:12" s="20" customFormat="1" ht="275.5" x14ac:dyDescent="0.4">
      <c r="A667" s="14" t="s">
        <v>273</v>
      </c>
      <c r="B667" s="14"/>
      <c r="C667" s="23"/>
      <c r="D667" s="36">
        <v>3</v>
      </c>
      <c r="E667" s="37" t="s">
        <v>336</v>
      </c>
      <c r="F667" s="82" t="s">
        <v>349</v>
      </c>
      <c r="G667" s="84" t="s">
        <v>350</v>
      </c>
      <c r="H667" s="36"/>
      <c r="I667" s="23"/>
      <c r="J667" s="24"/>
      <c r="K667" s="24"/>
      <c r="L667" s="22"/>
    </row>
    <row r="668" spans="1:12" s="20" customFormat="1" ht="261" x14ac:dyDescent="0.4">
      <c r="A668" s="14" t="s">
        <v>273</v>
      </c>
      <c r="B668" s="14"/>
      <c r="C668" s="23"/>
      <c r="D668" s="36">
        <v>4</v>
      </c>
      <c r="E668" s="37" t="s">
        <v>321</v>
      </c>
      <c r="F668" s="82" t="s">
        <v>338</v>
      </c>
      <c r="G668" s="83"/>
      <c r="H668" s="36"/>
      <c r="I668" s="23"/>
      <c r="J668" s="24"/>
      <c r="K668" s="24"/>
      <c r="L668" s="22"/>
    </row>
    <row r="669" spans="1:12" s="20" customFormat="1" ht="58" x14ac:dyDescent="0.4">
      <c r="A669" s="14" t="s">
        <v>273</v>
      </c>
      <c r="B669" s="14"/>
      <c r="C669" s="23"/>
      <c r="D669" s="36">
        <v>5</v>
      </c>
      <c r="E669" s="37" t="s">
        <v>316</v>
      </c>
      <c r="F669" s="37" t="s">
        <v>299</v>
      </c>
      <c r="G669" s="14" t="s">
        <v>300</v>
      </c>
      <c r="H669" s="36"/>
      <c r="I669" s="23"/>
      <c r="J669" s="24"/>
      <c r="K669" s="24"/>
      <c r="L669" s="22"/>
    </row>
    <row r="670" spans="1:12" s="20" customFormat="1" ht="14.5" x14ac:dyDescent="0.4">
      <c r="A670" s="39"/>
      <c r="B670" s="39" t="s">
        <v>768</v>
      </c>
      <c r="C670" s="39" t="s">
        <v>987</v>
      </c>
      <c r="D670" s="40"/>
      <c r="E670" s="41"/>
      <c r="F670" s="41"/>
      <c r="G670" s="41"/>
      <c r="H670" s="40"/>
      <c r="I670" s="32"/>
      <c r="J670" s="24"/>
      <c r="K670" s="24"/>
      <c r="L670" s="22"/>
    </row>
    <row r="671" spans="1:12" s="20" customFormat="1" ht="159.5" x14ac:dyDescent="0.4">
      <c r="A671" s="14" t="s">
        <v>273</v>
      </c>
      <c r="B671" s="14"/>
      <c r="C671" s="23"/>
      <c r="D671" s="36">
        <v>1</v>
      </c>
      <c r="E671" s="37" t="s">
        <v>314</v>
      </c>
      <c r="F671" s="82" t="s">
        <v>1117</v>
      </c>
      <c r="G671" s="84" t="s">
        <v>1121</v>
      </c>
      <c r="H671" s="36" t="s">
        <v>293</v>
      </c>
      <c r="I671" s="85" t="s">
        <v>339</v>
      </c>
      <c r="J671" s="24"/>
      <c r="K671" s="24"/>
      <c r="L671" s="22"/>
    </row>
    <row r="672" spans="1:12" s="20" customFormat="1" ht="409.5" x14ac:dyDescent="0.4">
      <c r="A672" s="14" t="s">
        <v>273</v>
      </c>
      <c r="B672" s="14"/>
      <c r="C672" s="23"/>
      <c r="D672" s="36">
        <v>2</v>
      </c>
      <c r="E672" s="37" t="s">
        <v>321</v>
      </c>
      <c r="F672" s="82" t="s">
        <v>340</v>
      </c>
      <c r="G672" s="84" t="s">
        <v>868</v>
      </c>
      <c r="H672" s="36"/>
      <c r="I672" s="23"/>
      <c r="J672" s="24"/>
      <c r="K672" s="24"/>
      <c r="L672" s="22"/>
    </row>
    <row r="673" spans="1:12" s="20" customFormat="1" ht="130.5" x14ac:dyDescent="0.4">
      <c r="A673" s="14"/>
      <c r="B673" s="14"/>
      <c r="C673" s="23"/>
      <c r="D673" s="36">
        <v>3</v>
      </c>
      <c r="E673" s="37" t="s">
        <v>346</v>
      </c>
      <c r="F673" s="82" t="s">
        <v>347</v>
      </c>
      <c r="G673" s="84"/>
      <c r="H673" s="36"/>
      <c r="I673" s="23"/>
      <c r="J673" s="24"/>
      <c r="K673" s="24"/>
      <c r="L673" s="22"/>
    </row>
    <row r="674" spans="1:12" s="20" customFormat="1" ht="362.5" x14ac:dyDescent="0.4">
      <c r="A674" s="14" t="s">
        <v>273</v>
      </c>
      <c r="B674" s="14"/>
      <c r="C674" s="23"/>
      <c r="D674" s="36">
        <v>4</v>
      </c>
      <c r="E674" s="37" t="s">
        <v>341</v>
      </c>
      <c r="F674" s="84" t="s">
        <v>1034</v>
      </c>
      <c r="G674" s="84" t="s">
        <v>348</v>
      </c>
      <c r="H674" s="36"/>
      <c r="I674" s="23"/>
      <c r="J674" s="24"/>
      <c r="K674" s="24"/>
      <c r="L674" s="22"/>
    </row>
    <row r="675" spans="1:12" s="20" customFormat="1" ht="58" x14ac:dyDescent="0.4">
      <c r="A675" s="14" t="s">
        <v>273</v>
      </c>
      <c r="B675" s="14"/>
      <c r="C675" s="23"/>
      <c r="D675" s="36">
        <v>5</v>
      </c>
      <c r="E675" s="37" t="s">
        <v>316</v>
      </c>
      <c r="F675" s="37" t="s">
        <v>299</v>
      </c>
      <c r="G675" s="14" t="s">
        <v>300</v>
      </c>
      <c r="H675" s="36"/>
      <c r="I675" s="23"/>
      <c r="J675" s="24"/>
      <c r="K675" s="24"/>
      <c r="L675" s="22"/>
    </row>
    <row r="676" spans="1:12" s="20" customFormat="1" ht="29" x14ac:dyDescent="0.4">
      <c r="A676" s="39"/>
      <c r="B676" s="39" t="s">
        <v>771</v>
      </c>
      <c r="C676" s="39" t="s">
        <v>988</v>
      </c>
      <c r="D676" s="40"/>
      <c r="E676" s="41"/>
      <c r="F676" s="41"/>
      <c r="G676" s="41"/>
      <c r="H676" s="40"/>
      <c r="I676" s="32"/>
      <c r="J676" s="24"/>
      <c r="K676" s="24"/>
      <c r="L676" s="22"/>
    </row>
    <row r="677" spans="1:12" s="20" customFormat="1" ht="159.5" x14ac:dyDescent="0.4">
      <c r="A677" s="14" t="s">
        <v>273</v>
      </c>
      <c r="B677" s="14"/>
      <c r="C677" s="23"/>
      <c r="D677" s="36">
        <v>1</v>
      </c>
      <c r="E677" s="37" t="s">
        <v>314</v>
      </c>
      <c r="F677" s="82" t="s">
        <v>1117</v>
      </c>
      <c r="G677" s="84" t="s">
        <v>1121</v>
      </c>
      <c r="H677" s="36" t="s">
        <v>293</v>
      </c>
      <c r="I677" s="85" t="s">
        <v>339</v>
      </c>
      <c r="J677" s="24"/>
      <c r="K677" s="24"/>
      <c r="L677" s="22"/>
    </row>
    <row r="678" spans="1:12" s="20" customFormat="1" ht="409.5" x14ac:dyDescent="0.4">
      <c r="A678" s="14" t="s">
        <v>273</v>
      </c>
      <c r="B678" s="14"/>
      <c r="C678" s="23"/>
      <c r="D678" s="36">
        <v>2</v>
      </c>
      <c r="E678" s="37" t="s">
        <v>321</v>
      </c>
      <c r="F678" s="82" t="s">
        <v>340</v>
      </c>
      <c r="G678" s="84" t="s">
        <v>868</v>
      </c>
      <c r="H678" s="36"/>
      <c r="I678" s="23"/>
      <c r="J678" s="24"/>
      <c r="K678" s="24"/>
      <c r="L678" s="22"/>
    </row>
    <row r="679" spans="1:12" s="20" customFormat="1" ht="130.5" x14ac:dyDescent="0.4">
      <c r="A679" s="14" t="s">
        <v>273</v>
      </c>
      <c r="B679" s="14"/>
      <c r="C679" s="23"/>
      <c r="D679" s="36">
        <v>3</v>
      </c>
      <c r="E679" s="37" t="s">
        <v>346</v>
      </c>
      <c r="F679" s="82" t="s">
        <v>347</v>
      </c>
      <c r="G679" s="84"/>
      <c r="H679" s="36"/>
      <c r="I679" s="23"/>
      <c r="J679" s="24"/>
      <c r="K679" s="24"/>
      <c r="L679" s="22"/>
    </row>
    <row r="680" spans="1:12" s="20" customFormat="1" ht="14.5" x14ac:dyDescent="0.4">
      <c r="A680" s="39"/>
      <c r="B680" s="39" t="s">
        <v>772</v>
      </c>
      <c r="C680" s="39" t="s">
        <v>989</v>
      </c>
      <c r="D680" s="40"/>
      <c r="E680" s="41"/>
      <c r="F680" s="41"/>
      <c r="G680" s="41"/>
      <c r="H680" s="40"/>
      <c r="I680" s="32"/>
      <c r="J680" s="24"/>
      <c r="K680" s="24"/>
      <c r="L680" s="22"/>
    </row>
    <row r="681" spans="1:12" s="20" customFormat="1" ht="159.5" x14ac:dyDescent="0.4">
      <c r="A681" s="14" t="s">
        <v>273</v>
      </c>
      <c r="B681" s="14"/>
      <c r="C681" s="23"/>
      <c r="D681" s="36">
        <v>1</v>
      </c>
      <c r="E681" s="37" t="s">
        <v>314</v>
      </c>
      <c r="F681" s="82" t="s">
        <v>1117</v>
      </c>
      <c r="G681" s="84" t="s">
        <v>1121</v>
      </c>
      <c r="H681" s="36" t="s">
        <v>293</v>
      </c>
      <c r="I681" s="85" t="s">
        <v>339</v>
      </c>
      <c r="J681" s="24"/>
      <c r="K681" s="24"/>
      <c r="L681" s="22"/>
    </row>
    <row r="682" spans="1:12" s="20" customFormat="1" ht="409.5" x14ac:dyDescent="0.4">
      <c r="A682" s="14" t="s">
        <v>273</v>
      </c>
      <c r="B682" s="14"/>
      <c r="C682" s="23"/>
      <c r="D682" s="36">
        <v>2</v>
      </c>
      <c r="E682" s="37" t="s">
        <v>321</v>
      </c>
      <c r="F682" s="82" t="s">
        <v>340</v>
      </c>
      <c r="G682" s="83" t="s">
        <v>1118</v>
      </c>
      <c r="H682" s="36"/>
      <c r="I682" s="23"/>
      <c r="J682" s="24"/>
      <c r="K682" s="24"/>
      <c r="L682" s="22"/>
    </row>
    <row r="683" spans="1:12" s="20" customFormat="1" ht="14.5" x14ac:dyDescent="0.4">
      <c r="A683" s="39"/>
      <c r="B683" s="39" t="s">
        <v>774</v>
      </c>
      <c r="C683" s="39" t="s">
        <v>990</v>
      </c>
      <c r="D683" s="40"/>
      <c r="E683" s="41"/>
      <c r="F683" s="41"/>
      <c r="G683" s="41"/>
      <c r="H683" s="40"/>
      <c r="I683" s="32"/>
      <c r="J683" s="24"/>
      <c r="K683" s="24"/>
      <c r="L683" s="22"/>
    </row>
    <row r="684" spans="1:12" s="20" customFormat="1" ht="58" x14ac:dyDescent="0.4">
      <c r="A684" s="14" t="s">
        <v>273</v>
      </c>
      <c r="B684" s="14"/>
      <c r="C684" s="23"/>
      <c r="D684" s="36">
        <v>1</v>
      </c>
      <c r="E684" s="37" t="s">
        <v>321</v>
      </c>
      <c r="F684" s="37" t="s">
        <v>1119</v>
      </c>
      <c r="G684" s="37" t="s">
        <v>325</v>
      </c>
      <c r="H684" s="36"/>
      <c r="I684" s="23"/>
      <c r="J684" s="24"/>
      <c r="K684" s="24"/>
      <c r="L684" s="22"/>
    </row>
    <row r="685" spans="1:12" s="20" customFormat="1" ht="58" x14ac:dyDescent="0.4">
      <c r="A685" s="14" t="s">
        <v>273</v>
      </c>
      <c r="B685" s="14"/>
      <c r="C685" s="23"/>
      <c r="D685" s="36">
        <v>2</v>
      </c>
      <c r="E685" s="37" t="s">
        <v>321</v>
      </c>
      <c r="F685" s="37" t="s">
        <v>1119</v>
      </c>
      <c r="G685" s="37" t="s">
        <v>326</v>
      </c>
      <c r="H685" s="36"/>
      <c r="I685" s="23"/>
      <c r="J685" s="24"/>
      <c r="K685" s="24"/>
      <c r="L685" s="22"/>
    </row>
    <row r="686" spans="1:12" s="20" customFormat="1" ht="58" x14ac:dyDescent="0.4">
      <c r="A686" s="14" t="s">
        <v>273</v>
      </c>
      <c r="B686" s="14"/>
      <c r="C686" s="23"/>
      <c r="D686" s="36">
        <v>3</v>
      </c>
      <c r="E686" s="37" t="s">
        <v>321</v>
      </c>
      <c r="F686" s="37" t="s">
        <v>1119</v>
      </c>
      <c r="G686" s="37" t="s">
        <v>327</v>
      </c>
      <c r="H686" s="36"/>
      <c r="I686" s="23"/>
      <c r="J686" s="24"/>
      <c r="K686" s="24"/>
      <c r="L686" s="22"/>
    </row>
    <row r="687" spans="1:12" s="20" customFormat="1" ht="58" x14ac:dyDescent="0.4">
      <c r="A687" s="14" t="s">
        <v>273</v>
      </c>
      <c r="B687" s="14"/>
      <c r="C687" s="23"/>
      <c r="D687" s="36">
        <v>4</v>
      </c>
      <c r="E687" s="37" t="s">
        <v>321</v>
      </c>
      <c r="F687" s="37" t="s">
        <v>1119</v>
      </c>
      <c r="G687" s="37" t="s">
        <v>328</v>
      </c>
      <c r="H687" s="36"/>
      <c r="I687" s="23"/>
      <c r="J687" s="24"/>
      <c r="K687" s="24"/>
      <c r="L687" s="22"/>
    </row>
    <row r="688" spans="1:12" s="20" customFormat="1" ht="58" x14ac:dyDescent="0.4">
      <c r="A688" s="14" t="s">
        <v>273</v>
      </c>
      <c r="B688" s="14"/>
      <c r="C688" s="23"/>
      <c r="D688" s="36">
        <v>5</v>
      </c>
      <c r="E688" s="37" t="s">
        <v>321</v>
      </c>
      <c r="F688" s="37" t="s">
        <v>1119</v>
      </c>
      <c r="G688" s="37" t="s">
        <v>329</v>
      </c>
      <c r="H688" s="36"/>
      <c r="I688" s="23"/>
      <c r="J688" s="24"/>
      <c r="K688" s="24"/>
      <c r="L688" s="22"/>
    </row>
    <row r="689" spans="1:12" s="20" customFormat="1" ht="58" x14ac:dyDescent="0.4">
      <c r="A689" s="14" t="s">
        <v>273</v>
      </c>
      <c r="B689" s="14"/>
      <c r="C689" s="23"/>
      <c r="D689" s="36">
        <v>6</v>
      </c>
      <c r="E689" s="37" t="s">
        <v>321</v>
      </c>
      <c r="F689" s="37" t="s">
        <v>1119</v>
      </c>
      <c r="G689" s="37" t="s">
        <v>330</v>
      </c>
      <c r="H689" s="36"/>
      <c r="I689" s="23"/>
      <c r="J689" s="24"/>
      <c r="K689" s="24"/>
      <c r="L689" s="22"/>
    </row>
    <row r="690" spans="1:12" s="20" customFormat="1" ht="58" x14ac:dyDescent="0.4">
      <c r="A690" s="14" t="s">
        <v>273</v>
      </c>
      <c r="B690" s="14"/>
      <c r="C690" s="23"/>
      <c r="D690" s="36">
        <v>7</v>
      </c>
      <c r="E690" s="37" t="s">
        <v>321</v>
      </c>
      <c r="F690" s="37" t="s">
        <v>1119</v>
      </c>
      <c r="G690" s="37" t="s">
        <v>331</v>
      </c>
      <c r="H690" s="36"/>
      <c r="I690" s="23"/>
      <c r="J690" s="24"/>
      <c r="K690" s="24"/>
      <c r="L690" s="22"/>
    </row>
    <row r="691" spans="1:12" s="20" customFormat="1" ht="58" x14ac:dyDescent="0.4">
      <c r="A691" s="14" t="s">
        <v>273</v>
      </c>
      <c r="B691" s="14"/>
      <c r="C691" s="23"/>
      <c r="D691" s="36">
        <v>8</v>
      </c>
      <c r="E691" s="37" t="s">
        <v>321</v>
      </c>
      <c r="F691" s="37" t="s">
        <v>1119</v>
      </c>
      <c r="G691" s="37" t="s">
        <v>332</v>
      </c>
      <c r="H691" s="36"/>
      <c r="I691" s="23"/>
      <c r="J691" s="24"/>
      <c r="K691" s="24"/>
      <c r="L691" s="22"/>
    </row>
    <row r="692" spans="1:12" s="20" customFormat="1" ht="58" x14ac:dyDescent="0.4">
      <c r="A692" s="14" t="s">
        <v>273</v>
      </c>
      <c r="B692" s="14"/>
      <c r="C692" s="23"/>
      <c r="D692" s="36">
        <v>9</v>
      </c>
      <c r="E692" s="37" t="s">
        <v>321</v>
      </c>
      <c r="F692" s="37" t="s">
        <v>1119</v>
      </c>
      <c r="G692" s="37" t="s">
        <v>333</v>
      </c>
      <c r="H692" s="36"/>
      <c r="I692" s="23"/>
      <c r="J692" s="24"/>
      <c r="K692" s="24"/>
      <c r="L692" s="22"/>
    </row>
    <row r="693" spans="1:12" s="20" customFormat="1" ht="58" x14ac:dyDescent="0.4">
      <c r="A693" s="14" t="s">
        <v>273</v>
      </c>
      <c r="B693" s="14"/>
      <c r="C693" s="23"/>
      <c r="D693" s="36">
        <v>10</v>
      </c>
      <c r="E693" s="37" t="s">
        <v>321</v>
      </c>
      <c r="F693" s="37" t="s">
        <v>1119</v>
      </c>
      <c r="G693" s="37" t="s">
        <v>334</v>
      </c>
      <c r="H693" s="36"/>
      <c r="I693" s="23"/>
      <c r="J693" s="24"/>
      <c r="K693" s="24"/>
      <c r="L693" s="22"/>
    </row>
    <row r="694" spans="1:12" s="20" customFormat="1" ht="58" x14ac:dyDescent="0.4">
      <c r="A694" s="14" t="s">
        <v>273</v>
      </c>
      <c r="B694" s="14"/>
      <c r="C694" s="23"/>
      <c r="D694" s="36">
        <v>11</v>
      </c>
      <c r="E694" s="37" t="s">
        <v>321</v>
      </c>
      <c r="F694" s="37" t="s">
        <v>1119</v>
      </c>
      <c r="G694" s="37" t="s">
        <v>335</v>
      </c>
      <c r="H694" s="36"/>
      <c r="I694" s="23"/>
      <c r="J694" s="24"/>
      <c r="K694" s="24"/>
      <c r="L694" s="22"/>
    </row>
    <row r="695" spans="1:12" s="20" customFormat="1" ht="14.5" x14ac:dyDescent="0.4">
      <c r="A695" s="39"/>
      <c r="B695" s="39" t="s">
        <v>776</v>
      </c>
      <c r="C695" s="39" t="s">
        <v>991</v>
      </c>
      <c r="D695" s="40"/>
      <c r="E695" s="41"/>
      <c r="F695" s="41"/>
      <c r="G695" s="41"/>
      <c r="H695" s="40"/>
      <c r="I695" s="32"/>
      <c r="J695" s="24"/>
      <c r="K695" s="24"/>
      <c r="L695" s="22"/>
    </row>
    <row r="696" spans="1:12" s="20" customFormat="1" ht="275.5" x14ac:dyDescent="0.4">
      <c r="A696" s="14" t="s">
        <v>273</v>
      </c>
      <c r="B696" s="14"/>
      <c r="C696" s="23"/>
      <c r="D696" s="36">
        <v>1</v>
      </c>
      <c r="E696" s="37" t="s">
        <v>336</v>
      </c>
      <c r="F696" s="82" t="s">
        <v>349</v>
      </c>
      <c r="G696" s="37" t="s">
        <v>1120</v>
      </c>
      <c r="H696" s="36" t="s">
        <v>293</v>
      </c>
      <c r="I696" s="23"/>
      <c r="J696" s="24"/>
      <c r="K696" s="24"/>
      <c r="L696" s="22"/>
    </row>
    <row r="697" spans="1:12" s="20" customFormat="1" ht="261" x14ac:dyDescent="0.4">
      <c r="A697" s="14" t="s">
        <v>273</v>
      </c>
      <c r="B697" s="14"/>
      <c r="C697" s="23"/>
      <c r="D697" s="36">
        <v>2</v>
      </c>
      <c r="E697" s="37" t="s">
        <v>321</v>
      </c>
      <c r="F697" s="82" t="s">
        <v>338</v>
      </c>
      <c r="G697" s="37"/>
      <c r="H697" s="36"/>
      <c r="I697" s="23"/>
      <c r="J697" s="24"/>
      <c r="K697" s="24"/>
      <c r="L697" s="22"/>
    </row>
    <row r="698" spans="1:12" s="20" customFormat="1" ht="159.5" x14ac:dyDescent="0.4">
      <c r="A698" s="14" t="s">
        <v>273</v>
      </c>
      <c r="B698" s="14"/>
      <c r="C698" s="23"/>
      <c r="D698" s="36">
        <v>3</v>
      </c>
      <c r="E698" s="37" t="s">
        <v>354</v>
      </c>
      <c r="F698" s="37" t="s">
        <v>356</v>
      </c>
      <c r="G698" s="37"/>
      <c r="H698" s="36"/>
      <c r="I698" s="23"/>
      <c r="J698" s="24"/>
      <c r="K698" s="24"/>
      <c r="L698" s="22"/>
    </row>
    <row r="699" spans="1:12" s="20" customFormat="1" ht="409.5" x14ac:dyDescent="0.4">
      <c r="A699" s="14" t="s">
        <v>273</v>
      </c>
      <c r="B699" s="14"/>
      <c r="C699" s="23"/>
      <c r="D699" s="36">
        <v>4</v>
      </c>
      <c r="E699" s="37" t="s">
        <v>357</v>
      </c>
      <c r="F699" s="37" t="s">
        <v>1122</v>
      </c>
      <c r="G699" s="86" t="s">
        <v>879</v>
      </c>
      <c r="H699" s="36"/>
      <c r="I699" s="23"/>
      <c r="J699" s="24"/>
      <c r="K699" s="24"/>
      <c r="L699" s="22"/>
    </row>
    <row r="700" spans="1:12" s="20" customFormat="1" ht="130.5" customHeight="1" x14ac:dyDescent="0.4">
      <c r="A700" s="14" t="s">
        <v>273</v>
      </c>
      <c r="B700" s="14"/>
      <c r="C700" s="23"/>
      <c r="D700" s="36">
        <v>5</v>
      </c>
      <c r="E700" s="37" t="s">
        <v>366</v>
      </c>
      <c r="F700" s="37" t="s">
        <v>367</v>
      </c>
      <c r="G700" s="37"/>
      <c r="H700" s="36"/>
      <c r="I700" s="23"/>
      <c r="J700" s="24"/>
      <c r="K700" s="24"/>
      <c r="L700" s="22"/>
    </row>
    <row r="701" spans="1:12" s="20" customFormat="1" ht="58" x14ac:dyDescent="0.4">
      <c r="A701" s="14" t="s">
        <v>273</v>
      </c>
      <c r="B701" s="14"/>
      <c r="C701" s="23"/>
      <c r="D701" s="36">
        <v>6</v>
      </c>
      <c r="E701" s="37" t="s">
        <v>316</v>
      </c>
      <c r="F701" s="37" t="s">
        <v>299</v>
      </c>
      <c r="G701" s="14" t="s">
        <v>300</v>
      </c>
      <c r="H701" s="36"/>
      <c r="I701" s="23"/>
      <c r="J701" s="24"/>
      <c r="K701" s="24"/>
      <c r="L701" s="22"/>
    </row>
    <row r="702" spans="1:12" s="20" customFormat="1" ht="29" x14ac:dyDescent="0.4">
      <c r="A702" s="39"/>
      <c r="B702" s="39" t="s">
        <v>781</v>
      </c>
      <c r="C702" s="39" t="s">
        <v>737</v>
      </c>
      <c r="D702" s="40"/>
      <c r="E702" s="41"/>
      <c r="F702" s="41"/>
      <c r="G702" s="41"/>
      <c r="H702" s="40"/>
      <c r="I702" s="32"/>
      <c r="J702" s="24"/>
      <c r="K702" s="24"/>
      <c r="L702" s="22"/>
    </row>
    <row r="703" spans="1:12" s="20" customFormat="1" ht="275.5" x14ac:dyDescent="0.4">
      <c r="A703" s="14" t="s">
        <v>273</v>
      </c>
      <c r="B703" s="14"/>
      <c r="C703" s="23"/>
      <c r="D703" s="36">
        <v>1</v>
      </c>
      <c r="E703" s="37" t="s">
        <v>336</v>
      </c>
      <c r="F703" s="82" t="s">
        <v>349</v>
      </c>
      <c r="G703" s="37" t="s">
        <v>1120</v>
      </c>
      <c r="H703" s="36" t="s">
        <v>293</v>
      </c>
      <c r="I703" s="23"/>
      <c r="J703" s="24"/>
      <c r="K703" s="24"/>
      <c r="L703" s="22"/>
    </row>
    <row r="704" spans="1:12" s="20" customFormat="1" ht="246.5" x14ac:dyDescent="0.4">
      <c r="A704" s="14" t="s">
        <v>273</v>
      </c>
      <c r="B704" s="14"/>
      <c r="C704" s="23"/>
      <c r="D704" s="36">
        <v>2</v>
      </c>
      <c r="E704" s="37" t="s">
        <v>321</v>
      </c>
      <c r="F704" s="82" t="s">
        <v>1123</v>
      </c>
      <c r="G704" s="37"/>
      <c r="H704" s="36"/>
      <c r="I704" s="23"/>
      <c r="J704" s="24"/>
      <c r="K704" s="24"/>
      <c r="L704" s="22"/>
    </row>
    <row r="705" spans="1:12" s="20" customFormat="1" ht="159.5" x14ac:dyDescent="0.4">
      <c r="A705" s="14" t="s">
        <v>273</v>
      </c>
      <c r="B705" s="14"/>
      <c r="C705" s="23"/>
      <c r="D705" s="36">
        <v>3</v>
      </c>
      <c r="E705" s="37" t="s">
        <v>354</v>
      </c>
      <c r="F705" s="37" t="s">
        <v>356</v>
      </c>
      <c r="G705" s="37"/>
      <c r="H705" s="36"/>
      <c r="I705" s="23"/>
      <c r="J705" s="24"/>
      <c r="K705" s="24"/>
      <c r="L705" s="22"/>
    </row>
    <row r="706" spans="1:12" s="20" customFormat="1" ht="409.5" x14ac:dyDescent="0.4">
      <c r="A706" s="14" t="s">
        <v>273</v>
      </c>
      <c r="B706" s="14"/>
      <c r="C706" s="23"/>
      <c r="D706" s="36">
        <v>4</v>
      </c>
      <c r="E706" s="37" t="s">
        <v>357</v>
      </c>
      <c r="F706" s="37" t="s">
        <v>1124</v>
      </c>
      <c r="G706" s="86" t="s">
        <v>878</v>
      </c>
      <c r="H706" s="36"/>
      <c r="I706" s="23"/>
      <c r="J706" s="24"/>
      <c r="K706" s="24"/>
      <c r="L706" s="22"/>
    </row>
    <row r="707" spans="1:12" s="20" customFormat="1" ht="130.5" customHeight="1" x14ac:dyDescent="0.4">
      <c r="A707" s="14" t="s">
        <v>273</v>
      </c>
      <c r="B707" s="14"/>
      <c r="C707" s="23"/>
      <c r="D707" s="36">
        <v>5</v>
      </c>
      <c r="E707" s="37" t="s">
        <v>369</v>
      </c>
      <c r="F707" s="37" t="s">
        <v>370</v>
      </c>
      <c r="G707" s="37"/>
      <c r="H707" s="36"/>
      <c r="I707" s="23"/>
      <c r="J707" s="24"/>
      <c r="K707" s="24"/>
      <c r="L707" s="22"/>
    </row>
    <row r="708" spans="1:12" s="20" customFormat="1" ht="58" x14ac:dyDescent="0.4">
      <c r="A708" s="14" t="s">
        <v>273</v>
      </c>
      <c r="B708" s="14"/>
      <c r="C708" s="23"/>
      <c r="D708" s="36">
        <v>6</v>
      </c>
      <c r="E708" s="37" t="s">
        <v>316</v>
      </c>
      <c r="F708" s="37" t="s">
        <v>299</v>
      </c>
      <c r="G708" s="14" t="s">
        <v>300</v>
      </c>
      <c r="H708" s="36"/>
      <c r="I708" s="23"/>
      <c r="J708" s="24"/>
      <c r="K708" s="24"/>
      <c r="L708" s="22"/>
    </row>
    <row r="709" spans="1:12" s="20" customFormat="1" ht="29" x14ac:dyDescent="0.4">
      <c r="A709" s="39"/>
      <c r="B709" s="39" t="s">
        <v>782</v>
      </c>
      <c r="C709" s="39" t="s">
        <v>736</v>
      </c>
      <c r="D709" s="40"/>
      <c r="E709" s="41"/>
      <c r="F709" s="41"/>
      <c r="G709" s="41"/>
      <c r="H709" s="40"/>
      <c r="I709" s="32"/>
      <c r="J709" s="24"/>
      <c r="K709" s="24"/>
      <c r="L709" s="22"/>
    </row>
    <row r="710" spans="1:12" s="20" customFormat="1" ht="275.5" x14ac:dyDescent="0.4">
      <c r="A710" s="14" t="s">
        <v>273</v>
      </c>
      <c r="B710" s="14"/>
      <c r="C710" s="23"/>
      <c r="D710" s="36">
        <v>1</v>
      </c>
      <c r="E710" s="37" t="s">
        <v>336</v>
      </c>
      <c r="F710" s="82" t="s">
        <v>349</v>
      </c>
      <c r="G710" s="37" t="s">
        <v>1120</v>
      </c>
      <c r="H710" s="36" t="s">
        <v>293</v>
      </c>
      <c r="I710" s="23"/>
      <c r="J710" s="24"/>
      <c r="K710" s="24"/>
      <c r="L710" s="22"/>
    </row>
    <row r="711" spans="1:12" s="20" customFormat="1" ht="261" x14ac:dyDescent="0.4">
      <c r="A711" s="14" t="s">
        <v>273</v>
      </c>
      <c r="B711" s="14"/>
      <c r="C711" s="23"/>
      <c r="D711" s="36">
        <v>2</v>
      </c>
      <c r="E711" s="37" t="s">
        <v>321</v>
      </c>
      <c r="F711" s="82" t="s">
        <v>338</v>
      </c>
      <c r="G711" s="37"/>
      <c r="H711" s="36"/>
      <c r="I711" s="23"/>
      <c r="J711" s="24"/>
      <c r="K711" s="24"/>
      <c r="L711" s="22"/>
    </row>
    <row r="712" spans="1:12" s="20" customFormat="1" ht="159.5" x14ac:dyDescent="0.4">
      <c r="A712" s="14" t="s">
        <v>273</v>
      </c>
      <c r="B712" s="14"/>
      <c r="C712" s="23"/>
      <c r="D712" s="36">
        <v>3</v>
      </c>
      <c r="E712" s="37" t="s">
        <v>354</v>
      </c>
      <c r="F712" s="37" t="s">
        <v>356</v>
      </c>
      <c r="G712" s="37"/>
      <c r="H712" s="36"/>
      <c r="I712" s="23"/>
      <c r="J712" s="24"/>
      <c r="K712" s="24"/>
      <c r="L712" s="22"/>
    </row>
    <row r="713" spans="1:12" s="20" customFormat="1" ht="409.5" x14ac:dyDescent="0.4">
      <c r="A713" s="14" t="s">
        <v>273</v>
      </c>
      <c r="B713" s="14"/>
      <c r="C713" s="23"/>
      <c r="D713" s="36">
        <v>4</v>
      </c>
      <c r="E713" s="37" t="s">
        <v>357</v>
      </c>
      <c r="F713" s="37" t="s">
        <v>1125</v>
      </c>
      <c r="G713" s="86" t="s">
        <v>358</v>
      </c>
      <c r="H713" s="36"/>
      <c r="I713" s="23"/>
      <c r="J713" s="24"/>
      <c r="K713" s="24"/>
      <c r="L713" s="22"/>
    </row>
    <row r="714" spans="1:12" s="20" customFormat="1" ht="130.5" customHeight="1" x14ac:dyDescent="0.4">
      <c r="A714" s="14" t="s">
        <v>273</v>
      </c>
      <c r="B714" s="14"/>
      <c r="C714" s="23"/>
      <c r="D714" s="36">
        <v>5</v>
      </c>
      <c r="E714" s="37" t="s">
        <v>365</v>
      </c>
      <c r="F714" s="37" t="s">
        <v>1035</v>
      </c>
      <c r="G714" s="37"/>
      <c r="H714" s="36"/>
      <c r="I714" s="23"/>
      <c r="J714" s="24"/>
      <c r="K714" s="24"/>
      <c r="L714" s="22"/>
    </row>
    <row r="715" spans="1:12" s="20" customFormat="1" ht="58" x14ac:dyDescent="0.4">
      <c r="A715" s="14" t="s">
        <v>273</v>
      </c>
      <c r="B715" s="14"/>
      <c r="C715" s="23"/>
      <c r="D715" s="36">
        <v>6</v>
      </c>
      <c r="E715" s="37" t="s">
        <v>316</v>
      </c>
      <c r="F715" s="37" t="s">
        <v>299</v>
      </c>
      <c r="G715" s="14" t="s">
        <v>300</v>
      </c>
      <c r="H715" s="36"/>
      <c r="I715" s="23"/>
      <c r="J715" s="24"/>
      <c r="K715" s="24"/>
      <c r="L715" s="22"/>
    </row>
    <row r="716" spans="1:12" s="20" customFormat="1" ht="29" x14ac:dyDescent="0.4">
      <c r="A716" s="39"/>
      <c r="B716" s="39" t="s">
        <v>783</v>
      </c>
      <c r="C716" s="39" t="s">
        <v>735</v>
      </c>
      <c r="D716" s="40"/>
      <c r="E716" s="41"/>
      <c r="F716" s="41"/>
      <c r="G716" s="41"/>
      <c r="H716" s="40"/>
      <c r="I716" s="32"/>
      <c r="J716" s="24"/>
      <c r="K716" s="24"/>
      <c r="L716" s="22"/>
    </row>
    <row r="717" spans="1:12" s="20" customFormat="1" ht="275.5" x14ac:dyDescent="0.4">
      <c r="A717" s="14" t="s">
        <v>273</v>
      </c>
      <c r="B717" s="14"/>
      <c r="C717" s="23"/>
      <c r="D717" s="36">
        <v>1</v>
      </c>
      <c r="E717" s="37" t="s">
        <v>336</v>
      </c>
      <c r="F717" s="82" t="s">
        <v>349</v>
      </c>
      <c r="G717" s="37" t="s">
        <v>1120</v>
      </c>
      <c r="H717" s="36" t="s">
        <v>293</v>
      </c>
      <c r="I717" s="23"/>
      <c r="J717" s="24"/>
      <c r="K717" s="24"/>
      <c r="L717" s="22"/>
    </row>
    <row r="718" spans="1:12" s="20" customFormat="1" ht="261" x14ac:dyDescent="0.4">
      <c r="A718" s="14" t="s">
        <v>273</v>
      </c>
      <c r="B718" s="14"/>
      <c r="C718" s="23"/>
      <c r="D718" s="36">
        <v>2</v>
      </c>
      <c r="E718" s="37" t="s">
        <v>321</v>
      </c>
      <c r="F718" s="82" t="s">
        <v>338</v>
      </c>
      <c r="G718" s="37"/>
      <c r="H718" s="36"/>
      <c r="I718" s="23"/>
      <c r="J718" s="24"/>
      <c r="K718" s="24"/>
      <c r="L718" s="22"/>
    </row>
    <row r="719" spans="1:12" s="20" customFormat="1" ht="159.5" x14ac:dyDescent="0.4">
      <c r="A719" s="14" t="s">
        <v>273</v>
      </c>
      <c r="B719" s="14"/>
      <c r="C719" s="23"/>
      <c r="D719" s="36">
        <v>3</v>
      </c>
      <c r="E719" s="37" t="s">
        <v>354</v>
      </c>
      <c r="F719" s="37" t="s">
        <v>356</v>
      </c>
      <c r="G719" s="37"/>
      <c r="H719" s="36"/>
      <c r="I719" s="23"/>
      <c r="J719" s="24"/>
      <c r="K719" s="24"/>
      <c r="L719" s="22"/>
    </row>
    <row r="720" spans="1:12" s="20" customFormat="1" ht="409.5" x14ac:dyDescent="0.4">
      <c r="A720" s="14" t="s">
        <v>273</v>
      </c>
      <c r="B720" s="14"/>
      <c r="C720" s="23"/>
      <c r="D720" s="36">
        <v>4</v>
      </c>
      <c r="E720" s="37" t="s">
        <v>357</v>
      </c>
      <c r="F720" s="37" t="s">
        <v>1124</v>
      </c>
      <c r="G720" s="86" t="s">
        <v>876</v>
      </c>
      <c r="H720" s="36"/>
      <c r="I720" s="23"/>
      <c r="J720" s="24"/>
      <c r="K720" s="24"/>
      <c r="L720" s="22"/>
    </row>
    <row r="721" spans="1:12" s="20" customFormat="1" ht="130.5" customHeight="1" x14ac:dyDescent="0.4">
      <c r="A721" s="14" t="s">
        <v>273</v>
      </c>
      <c r="B721" s="14"/>
      <c r="C721" s="23"/>
      <c r="D721" s="36">
        <v>5</v>
      </c>
      <c r="E721" s="37" t="s">
        <v>365</v>
      </c>
      <c r="F721" s="37" t="s">
        <v>370</v>
      </c>
      <c r="G721" s="37"/>
      <c r="H721" s="36"/>
      <c r="I721" s="23"/>
      <c r="J721" s="24"/>
      <c r="K721" s="24"/>
      <c r="L721" s="22"/>
    </row>
    <row r="722" spans="1:12" s="20" customFormat="1" ht="58" x14ac:dyDescent="0.4">
      <c r="A722" s="14" t="s">
        <v>273</v>
      </c>
      <c r="B722" s="14"/>
      <c r="C722" s="23"/>
      <c r="D722" s="36">
        <v>6</v>
      </c>
      <c r="E722" s="37" t="s">
        <v>316</v>
      </c>
      <c r="F722" s="37" t="s">
        <v>299</v>
      </c>
      <c r="G722" s="14" t="s">
        <v>300</v>
      </c>
      <c r="H722" s="36"/>
      <c r="I722" s="23"/>
      <c r="J722" s="24"/>
      <c r="K722" s="24"/>
      <c r="L722" s="22"/>
    </row>
    <row r="723" spans="1:12" s="20" customFormat="1" ht="29" x14ac:dyDescent="0.4">
      <c r="A723" s="39"/>
      <c r="B723" s="39" t="s">
        <v>787</v>
      </c>
      <c r="C723" s="39" t="s">
        <v>992</v>
      </c>
      <c r="D723" s="40"/>
      <c r="E723" s="41"/>
      <c r="F723" s="41"/>
      <c r="G723" s="41"/>
      <c r="H723" s="40"/>
      <c r="I723" s="32"/>
      <c r="J723" s="24"/>
      <c r="K723" s="24"/>
      <c r="L723" s="22"/>
    </row>
    <row r="724" spans="1:12" s="20" customFormat="1" ht="275.5" x14ac:dyDescent="0.4">
      <c r="A724" s="14" t="s">
        <v>273</v>
      </c>
      <c r="B724" s="14"/>
      <c r="C724" s="23"/>
      <c r="D724" s="36">
        <v>1</v>
      </c>
      <c r="E724" s="37" t="s">
        <v>336</v>
      </c>
      <c r="F724" s="82" t="s">
        <v>349</v>
      </c>
      <c r="G724" s="37" t="s">
        <v>1120</v>
      </c>
      <c r="H724" s="36" t="s">
        <v>293</v>
      </c>
      <c r="I724" s="23"/>
      <c r="J724" s="24"/>
      <c r="K724" s="24"/>
      <c r="L724" s="22"/>
    </row>
    <row r="725" spans="1:12" s="20" customFormat="1" ht="261" x14ac:dyDescent="0.4">
      <c r="A725" s="14" t="s">
        <v>273</v>
      </c>
      <c r="B725" s="14"/>
      <c r="C725" s="23"/>
      <c r="D725" s="36">
        <v>2</v>
      </c>
      <c r="E725" s="37" t="s">
        <v>321</v>
      </c>
      <c r="F725" s="82" t="s">
        <v>338</v>
      </c>
      <c r="G725" s="37"/>
      <c r="H725" s="36"/>
      <c r="I725" s="23"/>
      <c r="J725" s="24"/>
      <c r="K725" s="24"/>
      <c r="L725" s="22"/>
    </row>
    <row r="726" spans="1:12" s="20" customFormat="1" ht="159.5" x14ac:dyDescent="0.4">
      <c r="A726" s="14" t="s">
        <v>273</v>
      </c>
      <c r="B726" s="14"/>
      <c r="C726" s="23"/>
      <c r="D726" s="36">
        <v>3</v>
      </c>
      <c r="E726" s="37" t="s">
        <v>354</v>
      </c>
      <c r="F726" s="37" t="s">
        <v>356</v>
      </c>
      <c r="G726" s="37" t="s">
        <v>355</v>
      </c>
      <c r="H726" s="36"/>
      <c r="I726" s="23"/>
      <c r="J726" s="24"/>
      <c r="K726" s="24"/>
      <c r="L726" s="22"/>
    </row>
    <row r="727" spans="1:12" s="20" customFormat="1" ht="377" x14ac:dyDescent="0.4">
      <c r="A727" s="14" t="s">
        <v>273</v>
      </c>
      <c r="B727" s="14"/>
      <c r="C727" s="23"/>
      <c r="D727" s="36">
        <v>4</v>
      </c>
      <c r="E727" s="37" t="s">
        <v>1109</v>
      </c>
      <c r="F727" s="37" t="s">
        <v>1126</v>
      </c>
      <c r="G727" s="37" t="s">
        <v>1127</v>
      </c>
      <c r="H727" s="36"/>
      <c r="I727" s="23"/>
      <c r="J727" s="24"/>
      <c r="K727" s="24"/>
      <c r="L727" s="22"/>
    </row>
    <row r="728" spans="1:12" s="20" customFormat="1" ht="29" x14ac:dyDescent="0.4">
      <c r="A728" s="39"/>
      <c r="B728" s="39" t="s">
        <v>788</v>
      </c>
      <c r="C728" s="39" t="s">
        <v>734</v>
      </c>
      <c r="D728" s="40"/>
      <c r="E728" s="41"/>
      <c r="F728" s="41"/>
      <c r="G728" s="41"/>
      <c r="H728" s="40"/>
      <c r="I728" s="32"/>
      <c r="J728" s="24"/>
      <c r="K728" s="24"/>
      <c r="L728" s="22"/>
    </row>
    <row r="729" spans="1:12" s="20" customFormat="1" ht="58" x14ac:dyDescent="0.4">
      <c r="A729" s="14" t="s">
        <v>273</v>
      </c>
      <c r="B729" s="14"/>
      <c r="C729" s="23"/>
      <c r="D729" s="36">
        <v>1</v>
      </c>
      <c r="E729" s="37" t="s">
        <v>357</v>
      </c>
      <c r="F729" s="37" t="s">
        <v>1110</v>
      </c>
      <c r="G729" s="37" t="s">
        <v>1105</v>
      </c>
      <c r="H729" s="36"/>
      <c r="I729" s="23"/>
      <c r="J729" s="24"/>
      <c r="K729" s="24"/>
      <c r="L729" s="22"/>
    </row>
    <row r="730" spans="1:12" s="20" customFormat="1" ht="58" x14ac:dyDescent="0.4">
      <c r="A730" s="14" t="s">
        <v>273</v>
      </c>
      <c r="B730" s="14"/>
      <c r="C730" s="23"/>
      <c r="D730" s="36">
        <v>2</v>
      </c>
      <c r="E730" s="37" t="s">
        <v>357</v>
      </c>
      <c r="F730" s="37" t="s">
        <v>1110</v>
      </c>
      <c r="G730" s="37" t="s">
        <v>1106</v>
      </c>
      <c r="H730" s="36"/>
      <c r="I730" s="23"/>
      <c r="J730" s="24"/>
      <c r="K730" s="24"/>
      <c r="L730" s="22"/>
    </row>
    <row r="731" spans="1:12" s="20" customFormat="1" ht="58" x14ac:dyDescent="0.4">
      <c r="A731" s="14" t="s">
        <v>273</v>
      </c>
      <c r="B731" s="14"/>
      <c r="C731" s="23"/>
      <c r="D731" s="36">
        <v>3</v>
      </c>
      <c r="E731" s="37" t="s">
        <v>357</v>
      </c>
      <c r="F731" s="37" t="s">
        <v>1110</v>
      </c>
      <c r="G731" s="37" t="s">
        <v>1107</v>
      </c>
      <c r="H731" s="36"/>
      <c r="I731" s="23"/>
      <c r="J731" s="24"/>
      <c r="K731" s="24"/>
      <c r="L731" s="22"/>
    </row>
    <row r="732" spans="1:12" s="20" customFormat="1" ht="72.5" x14ac:dyDescent="0.4">
      <c r="A732" s="14" t="s">
        <v>273</v>
      </c>
      <c r="B732" s="14"/>
      <c r="C732" s="23"/>
      <c r="D732" s="36">
        <v>4</v>
      </c>
      <c r="E732" s="37" t="s">
        <v>357</v>
      </c>
      <c r="F732" s="37" t="s">
        <v>1110</v>
      </c>
      <c r="G732" s="37" t="s">
        <v>1100</v>
      </c>
      <c r="H732" s="36"/>
      <c r="I732" s="23"/>
      <c r="J732" s="24"/>
      <c r="K732" s="24"/>
      <c r="L732" s="22"/>
    </row>
    <row r="733" spans="1:12" s="20" customFormat="1" ht="116.25" customHeight="1" x14ac:dyDescent="0.4">
      <c r="A733" s="14" t="s">
        <v>273</v>
      </c>
      <c r="B733" s="14"/>
      <c r="C733" s="23"/>
      <c r="D733" s="36">
        <v>5</v>
      </c>
      <c r="E733" s="37" t="s">
        <v>357</v>
      </c>
      <c r="F733" s="37" t="s">
        <v>1110</v>
      </c>
      <c r="G733" s="37" t="s">
        <v>1101</v>
      </c>
      <c r="H733" s="36"/>
      <c r="I733" s="23"/>
      <c r="J733" s="24"/>
      <c r="K733" s="24"/>
      <c r="L733" s="22"/>
    </row>
    <row r="734" spans="1:12" s="20" customFormat="1" ht="141" customHeight="1" x14ac:dyDescent="0.4">
      <c r="A734" s="14" t="s">
        <v>273</v>
      </c>
      <c r="B734" s="14"/>
      <c r="C734" s="23"/>
      <c r="D734" s="36">
        <v>6</v>
      </c>
      <c r="E734" s="37" t="s">
        <v>357</v>
      </c>
      <c r="F734" s="37" t="s">
        <v>1110</v>
      </c>
      <c r="G734" s="37" t="s">
        <v>1102</v>
      </c>
      <c r="H734" s="36"/>
      <c r="I734" s="23"/>
      <c r="J734" s="24"/>
      <c r="K734" s="24"/>
      <c r="L734" s="22"/>
    </row>
    <row r="735" spans="1:12" s="20" customFormat="1" ht="72.5" x14ac:dyDescent="0.4">
      <c r="A735" s="14" t="s">
        <v>273</v>
      </c>
      <c r="B735" s="14"/>
      <c r="C735" s="23"/>
      <c r="D735" s="36">
        <v>7</v>
      </c>
      <c r="E735" s="37" t="s">
        <v>357</v>
      </c>
      <c r="F735" s="37" t="s">
        <v>1110</v>
      </c>
      <c r="G735" s="37" t="s">
        <v>1103</v>
      </c>
      <c r="H735" s="36"/>
      <c r="I735" s="23"/>
      <c r="J735" s="24"/>
      <c r="K735" s="24"/>
      <c r="L735" s="22"/>
    </row>
    <row r="736" spans="1:12" s="20" customFormat="1" ht="58" x14ac:dyDescent="0.4">
      <c r="A736" s="14" t="s">
        <v>273</v>
      </c>
      <c r="B736" s="14"/>
      <c r="C736" s="23"/>
      <c r="D736" s="36">
        <v>8</v>
      </c>
      <c r="E736" s="37" t="s">
        <v>357</v>
      </c>
      <c r="F736" s="37" t="s">
        <v>1110</v>
      </c>
      <c r="G736" s="37" t="s">
        <v>1104</v>
      </c>
      <c r="H736" s="36"/>
      <c r="I736" s="23"/>
      <c r="J736" s="24"/>
      <c r="K736" s="24"/>
      <c r="L736" s="22"/>
    </row>
    <row r="737" spans="1:12" s="20" customFormat="1" ht="72.5" x14ac:dyDescent="0.4">
      <c r="A737" s="14" t="s">
        <v>273</v>
      </c>
      <c r="B737" s="14"/>
      <c r="C737" s="23"/>
      <c r="D737" s="36">
        <v>9</v>
      </c>
      <c r="E737" s="37" t="s">
        <v>357</v>
      </c>
      <c r="F737" s="37" t="s">
        <v>1110</v>
      </c>
      <c r="G737" s="84" t="s">
        <v>1108</v>
      </c>
      <c r="H737" s="36"/>
      <c r="I737" s="23"/>
      <c r="J737" s="24"/>
      <c r="K737" s="24"/>
      <c r="L737" s="22"/>
    </row>
    <row r="738" spans="1:12" s="20" customFormat="1" ht="58" x14ac:dyDescent="0.4">
      <c r="A738" s="14" t="s">
        <v>273</v>
      </c>
      <c r="B738" s="14"/>
      <c r="C738" s="23"/>
      <c r="D738" s="36">
        <v>10</v>
      </c>
      <c r="E738" s="37" t="s">
        <v>357</v>
      </c>
      <c r="F738" s="37" t="s">
        <v>1110</v>
      </c>
      <c r="G738" s="37" t="s">
        <v>1096</v>
      </c>
      <c r="H738" s="36"/>
      <c r="I738" s="23"/>
      <c r="J738" s="24"/>
      <c r="K738" s="24"/>
      <c r="L738" s="22"/>
    </row>
    <row r="739" spans="1:12" s="20" customFormat="1" ht="72.5" x14ac:dyDescent="0.4">
      <c r="A739" s="14" t="s">
        <v>273</v>
      </c>
      <c r="B739" s="14"/>
      <c r="C739" s="23"/>
      <c r="D739" s="36">
        <v>11</v>
      </c>
      <c r="E739" s="37" t="s">
        <v>357</v>
      </c>
      <c r="F739" s="37" t="s">
        <v>1110</v>
      </c>
      <c r="G739" s="37" t="s">
        <v>1097</v>
      </c>
      <c r="H739" s="36"/>
      <c r="I739" s="23"/>
      <c r="J739" s="24"/>
      <c r="K739" s="24"/>
      <c r="L739" s="22"/>
    </row>
    <row r="740" spans="1:12" s="20" customFormat="1" ht="87" x14ac:dyDescent="0.4">
      <c r="A740" s="14" t="s">
        <v>273</v>
      </c>
      <c r="B740" s="14"/>
      <c r="C740" s="23"/>
      <c r="D740" s="36">
        <v>12</v>
      </c>
      <c r="E740" s="37" t="s">
        <v>357</v>
      </c>
      <c r="F740" s="37" t="s">
        <v>1110</v>
      </c>
      <c r="G740" s="37" t="s">
        <v>1098</v>
      </c>
      <c r="H740" s="36"/>
      <c r="I740" s="23"/>
      <c r="J740" s="24"/>
      <c r="K740" s="24"/>
      <c r="L740" s="22"/>
    </row>
    <row r="741" spans="1:12" s="20" customFormat="1" ht="87" x14ac:dyDescent="0.4">
      <c r="A741" s="14" t="s">
        <v>273</v>
      </c>
      <c r="B741" s="14"/>
      <c r="C741" s="23"/>
      <c r="D741" s="36">
        <v>13</v>
      </c>
      <c r="E741" s="37" t="s">
        <v>357</v>
      </c>
      <c r="F741" s="37" t="s">
        <v>1110</v>
      </c>
      <c r="G741" s="37" t="s">
        <v>1099</v>
      </c>
      <c r="H741" s="36"/>
      <c r="I741" s="23"/>
      <c r="J741" s="24"/>
      <c r="K741" s="24"/>
      <c r="L741" s="22"/>
    </row>
    <row r="742" spans="1:12" s="20" customFormat="1" ht="29" x14ac:dyDescent="0.4">
      <c r="A742" s="39"/>
      <c r="B742" s="39" t="s">
        <v>789</v>
      </c>
      <c r="C742" s="39" t="s">
        <v>733</v>
      </c>
      <c r="D742" s="40"/>
      <c r="E742" s="41"/>
      <c r="F742" s="41"/>
      <c r="G742" s="41"/>
      <c r="H742" s="40"/>
      <c r="I742" s="32"/>
      <c r="J742" s="24"/>
      <c r="K742" s="24"/>
      <c r="L742" s="22"/>
    </row>
    <row r="743" spans="1:12" s="20" customFormat="1" ht="261" x14ac:dyDescent="0.4">
      <c r="A743" s="14" t="s">
        <v>273</v>
      </c>
      <c r="B743" s="14"/>
      <c r="C743" s="71"/>
      <c r="D743" s="36">
        <v>1</v>
      </c>
      <c r="E743" s="37" t="s">
        <v>381</v>
      </c>
      <c r="F743" s="82" t="s">
        <v>382</v>
      </c>
      <c r="G743" s="37" t="s">
        <v>380</v>
      </c>
      <c r="H743" s="36" t="s">
        <v>293</v>
      </c>
      <c r="I743" s="23"/>
      <c r="J743" s="24"/>
      <c r="K743" s="24"/>
      <c r="L743" s="22"/>
    </row>
    <row r="744" spans="1:12" s="20" customFormat="1" ht="159.5" x14ac:dyDescent="0.4">
      <c r="A744" s="14" t="s">
        <v>273</v>
      </c>
      <c r="B744" s="14"/>
      <c r="C744" s="23"/>
      <c r="D744" s="36">
        <v>2</v>
      </c>
      <c r="E744" s="37" t="s">
        <v>354</v>
      </c>
      <c r="F744" s="37" t="s">
        <v>356</v>
      </c>
      <c r="G744" s="37" t="s">
        <v>383</v>
      </c>
      <c r="H744" s="36"/>
      <c r="I744" s="23"/>
      <c r="J744" s="24"/>
      <c r="K744" s="24"/>
      <c r="L744" s="22"/>
    </row>
    <row r="745" spans="1:12" s="20" customFormat="1" ht="101.5" x14ac:dyDescent="0.4">
      <c r="A745" s="14" t="s">
        <v>273</v>
      </c>
      <c r="B745" s="14"/>
      <c r="C745" s="23"/>
      <c r="D745" s="36">
        <v>3</v>
      </c>
      <c r="E745" s="37" t="s">
        <v>357</v>
      </c>
      <c r="F745" s="37" t="s">
        <v>982</v>
      </c>
      <c r="G745" s="37" t="s">
        <v>384</v>
      </c>
      <c r="H745" s="36"/>
      <c r="I745" s="23"/>
      <c r="J745" s="24"/>
      <c r="K745" s="24"/>
      <c r="L745" s="22"/>
    </row>
    <row r="746" spans="1:12" s="20" customFormat="1" ht="232" x14ac:dyDescent="0.4">
      <c r="A746" s="14" t="s">
        <v>273</v>
      </c>
      <c r="B746" s="14"/>
      <c r="C746" s="23"/>
      <c r="D746" s="36">
        <v>4</v>
      </c>
      <c r="E746" s="37" t="s">
        <v>386</v>
      </c>
      <c r="F746" s="37" t="s">
        <v>388</v>
      </c>
      <c r="G746" s="37" t="s">
        <v>387</v>
      </c>
      <c r="H746" s="36"/>
      <c r="I746" s="23"/>
      <c r="J746" s="24"/>
      <c r="K746" s="24"/>
      <c r="L746" s="22"/>
    </row>
    <row r="747" spans="1:12" s="20" customFormat="1" ht="58" x14ac:dyDescent="0.4">
      <c r="A747" s="14" t="s">
        <v>273</v>
      </c>
      <c r="B747" s="14"/>
      <c r="C747" s="23"/>
      <c r="D747" s="36">
        <v>5</v>
      </c>
      <c r="E747" s="37" t="s">
        <v>316</v>
      </c>
      <c r="F747" s="37" t="s">
        <v>299</v>
      </c>
      <c r="G747" s="14" t="s">
        <v>300</v>
      </c>
      <c r="H747" s="36"/>
      <c r="I747" s="23"/>
      <c r="J747" s="24"/>
      <c r="K747" s="24"/>
      <c r="L747" s="22"/>
    </row>
    <row r="748" spans="1:12" s="20" customFormat="1" ht="29" x14ac:dyDescent="0.4">
      <c r="A748" s="39"/>
      <c r="B748" s="39" t="s">
        <v>791</v>
      </c>
      <c r="C748" s="39" t="s">
        <v>739</v>
      </c>
      <c r="D748" s="40"/>
      <c r="E748" s="41"/>
      <c r="F748" s="41"/>
      <c r="G748" s="41"/>
      <c r="H748" s="40"/>
      <c r="I748" s="32"/>
      <c r="J748" s="24"/>
      <c r="K748" s="24"/>
      <c r="L748" s="22"/>
    </row>
    <row r="749" spans="1:12" s="20" customFormat="1" ht="72.5" x14ac:dyDescent="0.4">
      <c r="A749" s="14" t="s">
        <v>273</v>
      </c>
      <c r="B749" s="14"/>
      <c r="C749" s="23"/>
      <c r="D749" s="36">
        <v>1</v>
      </c>
      <c r="E749" s="37" t="s">
        <v>391</v>
      </c>
      <c r="F749" s="37" t="s">
        <v>1041</v>
      </c>
      <c r="G749" s="37" t="s">
        <v>303</v>
      </c>
      <c r="H749" s="36" t="s">
        <v>293</v>
      </c>
      <c r="I749" s="23"/>
      <c r="J749" s="24"/>
      <c r="K749" s="24"/>
      <c r="L749" s="22"/>
    </row>
    <row r="750" spans="1:12" s="20" customFormat="1" ht="246.5" x14ac:dyDescent="0.4">
      <c r="A750" s="14" t="s">
        <v>273</v>
      </c>
      <c r="B750" s="14"/>
      <c r="C750" s="23"/>
      <c r="D750" s="36">
        <v>2</v>
      </c>
      <c r="E750" s="37" t="s">
        <v>740</v>
      </c>
      <c r="F750" s="81" t="s">
        <v>716</v>
      </c>
      <c r="G750" s="37" t="s">
        <v>1047</v>
      </c>
      <c r="H750" s="36"/>
      <c r="I750" s="23"/>
      <c r="J750" s="24"/>
      <c r="K750" s="24"/>
      <c r="L750" s="22"/>
    </row>
    <row r="751" spans="1:12" s="20" customFormat="1" ht="246.5" x14ac:dyDescent="0.4">
      <c r="A751" s="14" t="s">
        <v>273</v>
      </c>
      <c r="B751" s="14"/>
      <c r="C751" s="23"/>
      <c r="D751" s="36">
        <v>3</v>
      </c>
      <c r="E751" s="37" t="s">
        <v>392</v>
      </c>
      <c r="F751" s="37" t="s">
        <v>1128</v>
      </c>
      <c r="G751" s="37"/>
      <c r="H751" s="36"/>
      <c r="I751" s="23"/>
      <c r="J751" s="24"/>
      <c r="K751" s="24"/>
      <c r="L751" s="22"/>
    </row>
    <row r="752" spans="1:12" s="20" customFormat="1" ht="304.5" x14ac:dyDescent="0.4">
      <c r="A752" s="14" t="s">
        <v>273</v>
      </c>
      <c r="B752" s="14"/>
      <c r="C752" s="23"/>
      <c r="D752" s="36">
        <v>4</v>
      </c>
      <c r="E752" s="37" t="s">
        <v>393</v>
      </c>
      <c r="F752" s="37" t="s">
        <v>1129</v>
      </c>
      <c r="G752" s="86" t="s">
        <v>886</v>
      </c>
      <c r="H752" s="36"/>
      <c r="I752" s="23"/>
      <c r="J752" s="24"/>
      <c r="K752" s="24"/>
      <c r="L752" s="22"/>
    </row>
    <row r="753" spans="1:12" s="20" customFormat="1" ht="132.75" customHeight="1" x14ac:dyDescent="0.4">
      <c r="A753" s="14" t="s">
        <v>273</v>
      </c>
      <c r="B753" s="14"/>
      <c r="C753" s="23"/>
      <c r="D753" s="36">
        <v>5</v>
      </c>
      <c r="E753" s="37" t="s">
        <v>395</v>
      </c>
      <c r="F753" s="20" t="s">
        <v>1130</v>
      </c>
      <c r="G753" s="37"/>
      <c r="H753" s="36"/>
      <c r="I753" s="23"/>
      <c r="J753" s="24"/>
      <c r="K753" s="24"/>
      <c r="L753" s="22"/>
    </row>
    <row r="754" spans="1:12" s="20" customFormat="1" ht="126" customHeight="1" x14ac:dyDescent="0.4">
      <c r="A754" s="14" t="s">
        <v>273</v>
      </c>
      <c r="B754" s="14"/>
      <c r="C754" s="23"/>
      <c r="D754" s="36">
        <v>6</v>
      </c>
      <c r="E754" s="37" t="s">
        <v>397</v>
      </c>
      <c r="F754" s="37" t="s">
        <v>398</v>
      </c>
      <c r="G754" s="37"/>
      <c r="H754" s="36"/>
      <c r="I754" s="23"/>
      <c r="J754" s="24"/>
      <c r="K754" s="24"/>
      <c r="L754" s="22"/>
    </row>
    <row r="755" spans="1:12" s="20" customFormat="1" ht="319" x14ac:dyDescent="0.4">
      <c r="A755" s="14" t="s">
        <v>273</v>
      </c>
      <c r="B755" s="14"/>
      <c r="C755" s="23"/>
      <c r="D755" s="36">
        <v>7</v>
      </c>
      <c r="E755" s="37" t="s">
        <v>399</v>
      </c>
      <c r="F755" s="37" t="s">
        <v>1131</v>
      </c>
      <c r="G755" s="37" t="s">
        <v>403</v>
      </c>
      <c r="H755" s="36"/>
      <c r="I755" s="23"/>
      <c r="J755" s="24"/>
      <c r="K755" s="24"/>
      <c r="L755" s="22"/>
    </row>
    <row r="756" spans="1:12" s="20" customFormat="1" ht="304.5" x14ac:dyDescent="0.4">
      <c r="A756" s="14" t="s">
        <v>273</v>
      </c>
      <c r="B756" s="14"/>
      <c r="C756" s="23"/>
      <c r="D756" s="36">
        <v>8</v>
      </c>
      <c r="E756" s="37" t="s">
        <v>401</v>
      </c>
      <c r="F756" s="37" t="s">
        <v>1132</v>
      </c>
      <c r="G756" s="37" t="s">
        <v>885</v>
      </c>
      <c r="H756" s="36"/>
      <c r="I756" s="23"/>
      <c r="J756" s="24"/>
      <c r="K756" s="24"/>
      <c r="L756" s="22"/>
    </row>
    <row r="757" spans="1:12" s="20" customFormat="1" ht="246.5" x14ac:dyDescent="0.4">
      <c r="A757" s="14" t="s">
        <v>273</v>
      </c>
      <c r="B757" s="14"/>
      <c r="C757" s="23"/>
      <c r="D757" s="36">
        <v>9</v>
      </c>
      <c r="E757" s="37" t="s">
        <v>402</v>
      </c>
      <c r="F757" s="37" t="s">
        <v>1133</v>
      </c>
      <c r="G757" s="37" t="s">
        <v>404</v>
      </c>
      <c r="H757" s="36"/>
      <c r="I757" s="23"/>
      <c r="J757" s="24"/>
      <c r="K757" s="24"/>
      <c r="L757" s="22"/>
    </row>
    <row r="758" spans="1:12" s="20" customFormat="1" ht="159.5" x14ac:dyDescent="0.4">
      <c r="A758" s="14" t="s">
        <v>273</v>
      </c>
      <c r="B758" s="14"/>
      <c r="C758" s="23"/>
      <c r="D758" s="36">
        <v>10</v>
      </c>
      <c r="E758" s="37" t="s">
        <v>354</v>
      </c>
      <c r="F758" s="37" t="s">
        <v>356</v>
      </c>
      <c r="G758" s="37" t="s">
        <v>405</v>
      </c>
      <c r="H758" s="36"/>
      <c r="I758" s="23"/>
      <c r="J758" s="24"/>
      <c r="K758" s="24"/>
      <c r="L758" s="22"/>
    </row>
    <row r="759" spans="1:12" s="20" customFormat="1" ht="319" x14ac:dyDescent="0.4">
      <c r="A759" s="14" t="s">
        <v>273</v>
      </c>
      <c r="B759" s="14"/>
      <c r="C759" s="23"/>
      <c r="D759" s="36">
        <v>11</v>
      </c>
      <c r="E759" s="37" t="s">
        <v>357</v>
      </c>
      <c r="F759" s="37" t="s">
        <v>1043</v>
      </c>
      <c r="G759" s="37"/>
      <c r="H759" s="36"/>
      <c r="I759" s="23"/>
      <c r="J759" s="24"/>
      <c r="K759" s="24"/>
      <c r="L759" s="22"/>
    </row>
    <row r="760" spans="1:12" s="20" customFormat="1" ht="246.5" x14ac:dyDescent="0.4">
      <c r="A760" s="14" t="s">
        <v>273</v>
      </c>
      <c r="B760" s="14"/>
      <c r="C760" s="23"/>
      <c r="D760" s="36">
        <v>12</v>
      </c>
      <c r="E760" s="37" t="s">
        <v>406</v>
      </c>
      <c r="F760" s="37" t="s">
        <v>1133</v>
      </c>
      <c r="G760" s="37"/>
      <c r="H760" s="36"/>
      <c r="I760" s="23"/>
      <c r="J760" s="24"/>
      <c r="K760" s="24"/>
      <c r="L760" s="22"/>
    </row>
    <row r="761" spans="1:12" s="20" customFormat="1" ht="159.5" x14ac:dyDescent="0.4">
      <c r="A761" s="14" t="s">
        <v>273</v>
      </c>
      <c r="B761" s="14"/>
      <c r="C761" s="23"/>
      <c r="D761" s="36">
        <v>13</v>
      </c>
      <c r="E761" s="37" t="s">
        <v>354</v>
      </c>
      <c r="F761" s="37" t="s">
        <v>356</v>
      </c>
      <c r="G761" s="37" t="s">
        <v>407</v>
      </c>
      <c r="H761" s="36"/>
      <c r="I761" s="23"/>
      <c r="J761" s="24"/>
      <c r="K761" s="24"/>
      <c r="L761" s="22"/>
    </row>
    <row r="762" spans="1:12" s="20" customFormat="1" ht="72.5" x14ac:dyDescent="0.4">
      <c r="A762" s="14" t="s">
        <v>273</v>
      </c>
      <c r="B762" s="14"/>
      <c r="C762" s="23"/>
      <c r="D762" s="36">
        <v>14</v>
      </c>
      <c r="E762" s="37" t="s">
        <v>357</v>
      </c>
      <c r="F762" s="37" t="s">
        <v>1134</v>
      </c>
      <c r="G762" s="37" t="s">
        <v>408</v>
      </c>
      <c r="H762" s="36"/>
      <c r="I762" s="23"/>
      <c r="J762" s="24"/>
      <c r="K762" s="24"/>
      <c r="L762" s="22"/>
    </row>
    <row r="763" spans="1:12" s="20" customFormat="1" ht="58" x14ac:dyDescent="0.4">
      <c r="A763" s="14" t="s">
        <v>273</v>
      </c>
      <c r="B763" s="14"/>
      <c r="C763" s="23"/>
      <c r="D763" s="36">
        <v>15</v>
      </c>
      <c r="E763" s="37" t="s">
        <v>316</v>
      </c>
      <c r="F763" s="37" t="s">
        <v>299</v>
      </c>
      <c r="G763" s="14" t="s">
        <v>300</v>
      </c>
      <c r="H763" s="36"/>
      <c r="I763" s="23"/>
      <c r="J763" s="24"/>
      <c r="K763" s="24"/>
      <c r="L763" s="22"/>
    </row>
    <row r="764" spans="1:12" s="20" customFormat="1" ht="29" x14ac:dyDescent="0.4">
      <c r="A764" s="39"/>
      <c r="B764" s="39" t="s">
        <v>793</v>
      </c>
      <c r="C764" s="39" t="s">
        <v>993</v>
      </c>
      <c r="D764" s="40"/>
      <c r="E764" s="41"/>
      <c r="F764" s="41"/>
      <c r="G764" s="41"/>
      <c r="H764" s="40"/>
      <c r="I764" s="32"/>
      <c r="J764" s="24"/>
      <c r="K764" s="24"/>
      <c r="L764" s="22"/>
    </row>
    <row r="765" spans="1:12" s="20" customFormat="1" ht="72.5" x14ac:dyDescent="0.4">
      <c r="A765" s="14" t="s">
        <v>273</v>
      </c>
      <c r="B765" s="14"/>
      <c r="C765" s="23"/>
      <c r="D765" s="36">
        <v>1</v>
      </c>
      <c r="E765" s="37" t="s">
        <v>391</v>
      </c>
      <c r="F765" s="37" t="s">
        <v>1046</v>
      </c>
      <c r="G765" s="37" t="s">
        <v>303</v>
      </c>
      <c r="H765" s="36" t="s">
        <v>293</v>
      </c>
      <c r="I765" s="23"/>
      <c r="J765" s="24"/>
      <c r="K765" s="24"/>
      <c r="L765" s="22"/>
    </row>
    <row r="766" spans="1:12" s="20" customFormat="1" ht="246.5" x14ac:dyDescent="0.4">
      <c r="A766" s="14" t="s">
        <v>273</v>
      </c>
      <c r="B766" s="14"/>
      <c r="C766" s="23"/>
      <c r="D766" s="36">
        <v>2</v>
      </c>
      <c r="E766" s="37" t="s">
        <v>740</v>
      </c>
      <c r="F766" s="81" t="s">
        <v>716</v>
      </c>
      <c r="G766" s="37" t="s">
        <v>1135</v>
      </c>
      <c r="H766" s="36"/>
      <c r="I766" s="23"/>
      <c r="J766" s="24"/>
      <c r="K766" s="24"/>
      <c r="L766" s="22"/>
    </row>
    <row r="767" spans="1:12" s="20" customFormat="1" ht="246.5" x14ac:dyDescent="0.4">
      <c r="A767" s="14" t="s">
        <v>273</v>
      </c>
      <c r="B767" s="14"/>
      <c r="C767" s="23"/>
      <c r="D767" s="36">
        <v>3</v>
      </c>
      <c r="E767" s="37" t="s">
        <v>392</v>
      </c>
      <c r="F767" s="37" t="s">
        <v>1128</v>
      </c>
      <c r="G767" s="37"/>
      <c r="H767" s="36"/>
      <c r="I767" s="23"/>
      <c r="J767" s="24"/>
      <c r="K767" s="24"/>
      <c r="L767" s="22"/>
    </row>
    <row r="768" spans="1:12" s="20" customFormat="1" ht="304.5" x14ac:dyDescent="0.4">
      <c r="A768" s="14" t="s">
        <v>273</v>
      </c>
      <c r="B768" s="14"/>
      <c r="C768" s="23"/>
      <c r="D768" s="36">
        <v>4</v>
      </c>
      <c r="E768" s="37" t="s">
        <v>393</v>
      </c>
      <c r="F768" s="37" t="s">
        <v>1129</v>
      </c>
      <c r="G768" s="86" t="s">
        <v>1140</v>
      </c>
      <c r="H768" s="36"/>
      <c r="I768" s="23"/>
      <c r="J768" s="24"/>
      <c r="K768" s="24"/>
      <c r="L768" s="22"/>
    </row>
    <row r="769" spans="1:12" s="20" customFormat="1" ht="132.75" customHeight="1" x14ac:dyDescent="0.4">
      <c r="A769" s="14" t="s">
        <v>273</v>
      </c>
      <c r="B769" s="14"/>
      <c r="C769" s="23"/>
      <c r="D769" s="36">
        <v>5</v>
      </c>
      <c r="E769" s="37" t="s">
        <v>395</v>
      </c>
      <c r="F769" s="20" t="s">
        <v>1136</v>
      </c>
      <c r="G769" s="37"/>
      <c r="H769" s="36"/>
      <c r="I769" s="23"/>
      <c r="J769" s="24"/>
      <c r="K769" s="24"/>
      <c r="L769" s="22"/>
    </row>
    <row r="770" spans="1:12" s="20" customFormat="1" ht="126" customHeight="1" x14ac:dyDescent="0.4">
      <c r="A770" s="14" t="s">
        <v>273</v>
      </c>
      <c r="B770" s="14"/>
      <c r="C770" s="23"/>
      <c r="D770" s="36">
        <v>6</v>
      </c>
      <c r="E770" s="37" t="s">
        <v>397</v>
      </c>
      <c r="F770" s="37" t="s">
        <v>398</v>
      </c>
      <c r="G770" s="37"/>
      <c r="H770" s="36"/>
      <c r="I770" s="23"/>
      <c r="J770" s="24"/>
      <c r="K770" s="24"/>
      <c r="L770" s="22"/>
    </row>
    <row r="771" spans="1:12" s="20" customFormat="1" ht="333.5" x14ac:dyDescent="0.4">
      <c r="A771" s="14" t="s">
        <v>273</v>
      </c>
      <c r="B771" s="14"/>
      <c r="C771" s="23"/>
      <c r="D771" s="36">
        <v>7</v>
      </c>
      <c r="E771" s="37" t="s">
        <v>399</v>
      </c>
      <c r="F771" s="37" t="s">
        <v>741</v>
      </c>
      <c r="G771" s="37" t="s">
        <v>403</v>
      </c>
      <c r="H771" s="36"/>
      <c r="I771" s="23"/>
      <c r="J771" s="24"/>
      <c r="K771" s="24"/>
      <c r="L771" s="22"/>
    </row>
    <row r="772" spans="1:12" s="20" customFormat="1" ht="319" x14ac:dyDescent="0.4">
      <c r="A772" s="14" t="s">
        <v>273</v>
      </c>
      <c r="B772" s="14"/>
      <c r="C772" s="23"/>
      <c r="D772" s="36">
        <v>8</v>
      </c>
      <c r="E772" s="37" t="s">
        <v>401</v>
      </c>
      <c r="F772" s="37" t="s">
        <v>1042</v>
      </c>
      <c r="G772" s="83" t="s">
        <v>1141</v>
      </c>
      <c r="H772" s="36"/>
      <c r="I772" s="23"/>
      <c r="J772" s="24"/>
      <c r="K772" s="24"/>
      <c r="L772" s="22"/>
    </row>
    <row r="773" spans="1:12" s="20" customFormat="1" ht="29" x14ac:dyDescent="0.4">
      <c r="A773" s="39"/>
      <c r="B773" s="39" t="s">
        <v>794</v>
      </c>
      <c r="C773" s="39" t="s">
        <v>743</v>
      </c>
      <c r="D773" s="40"/>
      <c r="E773" s="41"/>
      <c r="F773" s="41"/>
      <c r="G773" s="41"/>
      <c r="H773" s="40"/>
      <c r="I773" s="32"/>
      <c r="J773" s="24"/>
      <c r="K773" s="24"/>
      <c r="L773" s="22"/>
    </row>
    <row r="774" spans="1:12" s="20" customFormat="1" ht="72.5" x14ac:dyDescent="0.4">
      <c r="A774" s="14" t="s">
        <v>273</v>
      </c>
      <c r="B774" s="14"/>
      <c r="C774" s="23"/>
      <c r="D774" s="36">
        <v>1</v>
      </c>
      <c r="E774" s="37" t="s">
        <v>391</v>
      </c>
      <c r="F774" s="37" t="s">
        <v>1041</v>
      </c>
      <c r="G774" s="37" t="s">
        <v>303</v>
      </c>
      <c r="H774" s="36" t="s">
        <v>293</v>
      </c>
      <c r="I774" s="23"/>
      <c r="J774" s="24"/>
      <c r="K774" s="24"/>
      <c r="L774" s="22"/>
    </row>
    <row r="775" spans="1:12" s="20" customFormat="1" ht="246.5" x14ac:dyDescent="0.4">
      <c r="A775" s="14" t="s">
        <v>273</v>
      </c>
      <c r="B775" s="14"/>
      <c r="C775" s="23"/>
      <c r="D775" s="36">
        <v>2</v>
      </c>
      <c r="E775" s="37" t="s">
        <v>740</v>
      </c>
      <c r="F775" s="81" t="s">
        <v>716</v>
      </c>
      <c r="G775" s="37" t="s">
        <v>352</v>
      </c>
      <c r="H775" s="36"/>
      <c r="I775" s="23"/>
      <c r="J775" s="24"/>
      <c r="K775" s="24"/>
      <c r="L775" s="22"/>
    </row>
    <row r="776" spans="1:12" s="20" customFormat="1" ht="246.5" x14ac:dyDescent="0.4">
      <c r="A776" s="14" t="s">
        <v>273</v>
      </c>
      <c r="B776" s="14"/>
      <c r="C776" s="23"/>
      <c r="D776" s="36">
        <v>3</v>
      </c>
      <c r="E776" s="37" t="s">
        <v>392</v>
      </c>
      <c r="F776" s="37" t="s">
        <v>1128</v>
      </c>
      <c r="G776" s="37"/>
      <c r="H776" s="36"/>
      <c r="I776" s="23"/>
      <c r="J776" s="24"/>
      <c r="K776" s="24"/>
      <c r="L776" s="22"/>
    </row>
    <row r="777" spans="1:12" s="20" customFormat="1" ht="304.5" x14ac:dyDescent="0.4">
      <c r="A777" s="14" t="s">
        <v>273</v>
      </c>
      <c r="B777" s="14"/>
      <c r="C777" s="23"/>
      <c r="D777" s="36">
        <v>4</v>
      </c>
      <c r="E777" s="37" t="s">
        <v>393</v>
      </c>
      <c r="F777" s="37" t="s">
        <v>1129</v>
      </c>
      <c r="G777" s="86" t="s">
        <v>886</v>
      </c>
      <c r="H777" s="36"/>
      <c r="I777" s="23"/>
      <c r="J777" s="24"/>
      <c r="K777" s="24"/>
      <c r="L777" s="22"/>
    </row>
    <row r="778" spans="1:12" s="20" customFormat="1" ht="246.5" x14ac:dyDescent="0.4">
      <c r="A778" s="14" t="s">
        <v>273</v>
      </c>
      <c r="B778" s="14"/>
      <c r="C778" s="23"/>
      <c r="D778" s="36">
        <v>5</v>
      </c>
      <c r="E778" s="37" t="s">
        <v>410</v>
      </c>
      <c r="F778" s="37" t="s">
        <v>1142</v>
      </c>
      <c r="H778" s="36"/>
      <c r="I778" s="23"/>
      <c r="J778" s="24"/>
      <c r="K778" s="24"/>
      <c r="L778" s="22"/>
    </row>
    <row r="779" spans="1:12" s="20" customFormat="1" ht="58" x14ac:dyDescent="0.4">
      <c r="A779" s="14" t="s">
        <v>273</v>
      </c>
      <c r="B779" s="14"/>
      <c r="C779" s="23"/>
      <c r="D779" s="36">
        <v>6</v>
      </c>
      <c r="E779" s="37" t="s">
        <v>411</v>
      </c>
      <c r="F779" s="37" t="s">
        <v>412</v>
      </c>
      <c r="G779" s="37"/>
      <c r="H779" s="36"/>
      <c r="I779" s="23"/>
      <c r="J779" s="24"/>
      <c r="K779" s="24"/>
      <c r="L779" s="22"/>
    </row>
    <row r="780" spans="1:12" s="20" customFormat="1" ht="203" x14ac:dyDescent="0.4">
      <c r="A780" s="14" t="s">
        <v>273</v>
      </c>
      <c r="B780" s="14"/>
      <c r="C780" s="23"/>
      <c r="D780" s="36">
        <v>7</v>
      </c>
      <c r="E780" s="37" t="s">
        <v>416</v>
      </c>
      <c r="F780" s="37" t="s">
        <v>1143</v>
      </c>
      <c r="G780" s="37"/>
      <c r="H780" s="36"/>
      <c r="I780" s="23"/>
      <c r="J780" s="24"/>
      <c r="K780" s="24"/>
      <c r="L780" s="22"/>
    </row>
    <row r="781" spans="1:12" s="20" customFormat="1" ht="58" x14ac:dyDescent="0.4">
      <c r="A781" s="14" t="s">
        <v>273</v>
      </c>
      <c r="B781" s="14"/>
      <c r="C781" s="23"/>
      <c r="D781" s="36">
        <v>8</v>
      </c>
      <c r="E781" s="37" t="s">
        <v>316</v>
      </c>
      <c r="F781" s="37" t="s">
        <v>299</v>
      </c>
      <c r="G781" s="14" t="s">
        <v>300</v>
      </c>
      <c r="H781" s="36"/>
      <c r="I781" s="23"/>
      <c r="J781" s="24"/>
      <c r="K781" s="24"/>
      <c r="L781" s="22"/>
    </row>
    <row r="782" spans="1:12" s="20" customFormat="1" ht="29" x14ac:dyDescent="0.4">
      <c r="A782" s="39"/>
      <c r="B782" s="39" t="s">
        <v>796</v>
      </c>
      <c r="C782" s="39" t="s">
        <v>745</v>
      </c>
      <c r="D782" s="40"/>
      <c r="E782" s="41"/>
      <c r="F782" s="41"/>
      <c r="G782" s="41"/>
      <c r="H782" s="40"/>
      <c r="I782" s="32"/>
      <c r="J782" s="24"/>
      <c r="K782" s="24"/>
      <c r="L782" s="22"/>
    </row>
    <row r="783" spans="1:12" s="20" customFormat="1" ht="72.5" x14ac:dyDescent="0.4">
      <c r="A783" s="14" t="s">
        <v>273</v>
      </c>
      <c r="B783" s="14"/>
      <c r="C783" s="23"/>
      <c r="D783" s="36">
        <v>1</v>
      </c>
      <c r="E783" s="37" t="s">
        <v>391</v>
      </c>
      <c r="F783" s="37" t="s">
        <v>1041</v>
      </c>
      <c r="G783" s="37" t="s">
        <v>303</v>
      </c>
      <c r="H783" s="36" t="s">
        <v>293</v>
      </c>
      <c r="I783" s="23"/>
      <c r="J783" s="24"/>
      <c r="K783" s="24"/>
      <c r="L783" s="22"/>
    </row>
    <row r="784" spans="1:12" s="20" customFormat="1" ht="246.5" x14ac:dyDescent="0.4">
      <c r="A784" s="14" t="s">
        <v>273</v>
      </c>
      <c r="B784" s="14"/>
      <c r="C784" s="23"/>
      <c r="D784" s="36">
        <v>2</v>
      </c>
      <c r="E784" s="37" t="s">
        <v>740</v>
      </c>
      <c r="F784" s="81" t="s">
        <v>716</v>
      </c>
      <c r="G784" s="37" t="s">
        <v>1047</v>
      </c>
      <c r="H784" s="36"/>
      <c r="I784" s="23"/>
      <c r="J784" s="24"/>
      <c r="K784" s="24"/>
      <c r="L784" s="22"/>
    </row>
    <row r="785" spans="1:12" s="20" customFormat="1" ht="246.5" x14ac:dyDescent="0.4">
      <c r="A785" s="14" t="s">
        <v>273</v>
      </c>
      <c r="B785" s="14"/>
      <c r="C785" s="23"/>
      <c r="D785" s="36">
        <v>3</v>
      </c>
      <c r="E785" s="37" t="s">
        <v>392</v>
      </c>
      <c r="F785" s="37" t="s">
        <v>1128</v>
      </c>
      <c r="G785" s="37"/>
      <c r="H785" s="36"/>
      <c r="I785" s="23"/>
      <c r="J785" s="24"/>
      <c r="K785" s="24"/>
      <c r="L785" s="22"/>
    </row>
    <row r="786" spans="1:12" s="20" customFormat="1" ht="304.5" x14ac:dyDescent="0.4">
      <c r="A786" s="14" t="s">
        <v>273</v>
      </c>
      <c r="B786" s="14"/>
      <c r="C786" s="23"/>
      <c r="D786" s="36">
        <v>4</v>
      </c>
      <c r="E786" s="37" t="s">
        <v>393</v>
      </c>
      <c r="F786" s="37" t="s">
        <v>1129</v>
      </c>
      <c r="G786" s="86"/>
      <c r="H786" s="36"/>
      <c r="I786" s="23"/>
      <c r="J786" s="24"/>
      <c r="K786" s="24"/>
      <c r="L786" s="22"/>
    </row>
    <row r="787" spans="1:12" s="20" customFormat="1" ht="87" x14ac:dyDescent="0.4">
      <c r="A787" s="14" t="s">
        <v>273</v>
      </c>
      <c r="B787" s="14"/>
      <c r="D787" s="36">
        <v>5</v>
      </c>
      <c r="E787" s="37" t="s">
        <v>418</v>
      </c>
      <c r="F787" s="37" t="s">
        <v>419</v>
      </c>
      <c r="G787" s="37"/>
      <c r="H787" s="36"/>
      <c r="I787" s="23"/>
      <c r="J787" s="24"/>
      <c r="K787" s="24"/>
      <c r="L787" s="22"/>
    </row>
    <row r="788" spans="1:12" s="20" customFormat="1" ht="145" x14ac:dyDescent="0.4">
      <c r="A788" s="14" t="s">
        <v>273</v>
      </c>
      <c r="B788" s="23"/>
      <c r="C788" s="23"/>
      <c r="D788" s="36">
        <v>6</v>
      </c>
      <c r="E788" s="37" t="s">
        <v>420</v>
      </c>
      <c r="F788" s="37" t="s">
        <v>421</v>
      </c>
      <c r="G788" s="37"/>
      <c r="H788" s="36"/>
      <c r="I788" s="23"/>
      <c r="J788" s="24"/>
      <c r="K788" s="24"/>
      <c r="L788" s="22"/>
    </row>
    <row r="789" spans="1:12" s="20" customFormat="1" ht="58" x14ac:dyDescent="0.4">
      <c r="A789" s="14" t="s">
        <v>273</v>
      </c>
      <c r="B789" s="14"/>
      <c r="C789" s="23"/>
      <c r="D789" s="36">
        <v>7</v>
      </c>
      <c r="E789" s="37" t="s">
        <v>422</v>
      </c>
      <c r="F789" s="37" t="s">
        <v>423</v>
      </c>
      <c r="G789" s="37"/>
      <c r="H789" s="36"/>
      <c r="I789" s="23"/>
      <c r="J789" s="24"/>
      <c r="K789" s="24"/>
      <c r="L789" s="22"/>
    </row>
    <row r="790" spans="1:12" s="20" customFormat="1" ht="58" x14ac:dyDescent="0.4">
      <c r="A790" s="14" t="s">
        <v>273</v>
      </c>
      <c r="B790" s="14"/>
      <c r="C790" s="23"/>
      <c r="D790" s="36">
        <v>8</v>
      </c>
      <c r="E790" s="37" t="s">
        <v>316</v>
      </c>
      <c r="F790" s="37" t="s">
        <v>299</v>
      </c>
      <c r="G790" s="14" t="s">
        <v>300</v>
      </c>
      <c r="H790" s="36"/>
      <c r="I790" s="23"/>
      <c r="J790" s="24"/>
      <c r="K790" s="24"/>
      <c r="L790" s="22"/>
    </row>
    <row r="791" spans="1:12" s="20" customFormat="1" ht="29" x14ac:dyDescent="0.4">
      <c r="A791" s="39"/>
      <c r="B791" s="39" t="s">
        <v>786</v>
      </c>
      <c r="C791" s="39" t="s">
        <v>994</v>
      </c>
      <c r="D791" s="40"/>
      <c r="E791" s="41"/>
      <c r="F791" s="41"/>
      <c r="G791" s="41"/>
      <c r="H791" s="40"/>
      <c r="I791" s="32"/>
      <c r="J791" s="24"/>
      <c r="K791" s="24"/>
      <c r="L791" s="22"/>
    </row>
    <row r="792" spans="1:12" s="20" customFormat="1" ht="58" x14ac:dyDescent="0.4">
      <c r="A792" s="14" t="s">
        <v>273</v>
      </c>
      <c r="B792" s="14"/>
      <c r="C792" s="23"/>
      <c r="D792" s="36">
        <v>1</v>
      </c>
      <c r="E792" s="37" t="s">
        <v>393</v>
      </c>
      <c r="F792" s="37" t="s">
        <v>1137</v>
      </c>
      <c r="G792" s="83" t="s">
        <v>427</v>
      </c>
      <c r="H792" s="36"/>
      <c r="I792" s="23"/>
      <c r="J792" s="24"/>
      <c r="K792" s="24"/>
      <c r="L792" s="22"/>
    </row>
    <row r="793" spans="1:12" s="20" customFormat="1" ht="58" x14ac:dyDescent="0.4">
      <c r="A793" s="14" t="s">
        <v>273</v>
      </c>
      <c r="B793" s="14"/>
      <c r="C793" s="23"/>
      <c r="D793" s="36">
        <v>2</v>
      </c>
      <c r="E793" s="37" t="s">
        <v>393</v>
      </c>
      <c r="F793" s="37" t="s">
        <v>1137</v>
      </c>
      <c r="G793" s="83" t="s">
        <v>426</v>
      </c>
      <c r="H793" s="36"/>
      <c r="I793" s="23"/>
      <c r="J793" s="24"/>
      <c r="K793" s="24"/>
      <c r="L793" s="22"/>
    </row>
    <row r="794" spans="1:12" s="20" customFormat="1" ht="73" thickBot="1" x14ac:dyDescent="0.45">
      <c r="A794" s="14" t="s">
        <v>273</v>
      </c>
      <c r="B794" s="14"/>
      <c r="C794" s="23"/>
      <c r="D794" s="36">
        <v>3</v>
      </c>
      <c r="E794" s="37" t="s">
        <v>393</v>
      </c>
      <c r="F794" s="37" t="s">
        <v>1137</v>
      </c>
      <c r="G794" s="44" t="s">
        <v>425</v>
      </c>
      <c r="H794" s="36"/>
      <c r="I794" s="23"/>
      <c r="J794" s="24"/>
      <c r="K794" s="24"/>
      <c r="L794" s="22"/>
    </row>
    <row r="795" spans="1:12" s="20" customFormat="1" ht="60.5" thickBot="1" x14ac:dyDescent="0.45">
      <c r="A795" s="14" t="s">
        <v>273</v>
      </c>
      <c r="B795" s="14"/>
      <c r="C795" s="23"/>
      <c r="D795" s="36">
        <v>4</v>
      </c>
      <c r="E795" s="37" t="s">
        <v>393</v>
      </c>
      <c r="F795" s="37" t="s">
        <v>1137</v>
      </c>
      <c r="G795" s="87" t="s">
        <v>1139</v>
      </c>
      <c r="H795" s="36"/>
      <c r="I795" s="23"/>
      <c r="J795" s="24"/>
      <c r="K795" s="24"/>
      <c r="L795" s="22"/>
    </row>
    <row r="796" spans="1:12" s="20" customFormat="1" ht="58" x14ac:dyDescent="0.4">
      <c r="A796" s="14" t="s">
        <v>273</v>
      </c>
      <c r="B796" s="14"/>
      <c r="C796" s="23"/>
      <c r="D796" s="36">
        <v>5</v>
      </c>
      <c r="E796" s="37" t="s">
        <v>393</v>
      </c>
      <c r="F796" s="37" t="s">
        <v>1137</v>
      </c>
      <c r="G796" s="83" t="s">
        <v>424</v>
      </c>
      <c r="H796" s="36"/>
      <c r="I796" s="23"/>
      <c r="J796" s="24"/>
      <c r="K796" s="24"/>
      <c r="L796" s="22"/>
    </row>
    <row r="797" spans="1:12" s="20" customFormat="1" ht="58" x14ac:dyDescent="0.4">
      <c r="A797" s="14" t="s">
        <v>273</v>
      </c>
      <c r="B797" s="14"/>
      <c r="C797" s="23"/>
      <c r="D797" s="36">
        <v>6</v>
      </c>
      <c r="E797" s="37" t="s">
        <v>401</v>
      </c>
      <c r="F797" s="37" t="s">
        <v>1138</v>
      </c>
      <c r="G797" s="37" t="s">
        <v>428</v>
      </c>
      <c r="H797" s="36"/>
      <c r="I797" s="23"/>
      <c r="J797" s="24"/>
      <c r="K797" s="24"/>
      <c r="L797" s="22"/>
    </row>
    <row r="798" spans="1:12" s="20" customFormat="1" ht="58" x14ac:dyDescent="0.4">
      <c r="A798" s="14" t="s">
        <v>273</v>
      </c>
      <c r="B798" s="14"/>
      <c r="C798" s="23"/>
      <c r="D798" s="36">
        <v>7</v>
      </c>
      <c r="E798" s="37" t="s">
        <v>401</v>
      </c>
      <c r="F798" s="37" t="s">
        <v>1138</v>
      </c>
      <c r="G798" s="37" t="s">
        <v>430</v>
      </c>
      <c r="H798" s="36"/>
      <c r="I798" s="23"/>
      <c r="J798" s="24"/>
      <c r="K798" s="24"/>
      <c r="L798" s="22"/>
    </row>
    <row r="799" spans="1:12" s="20" customFormat="1" ht="58" x14ac:dyDescent="0.4">
      <c r="A799" s="14" t="s">
        <v>273</v>
      </c>
      <c r="B799" s="14"/>
      <c r="C799" s="23"/>
      <c r="D799" s="36">
        <v>8</v>
      </c>
      <c r="E799" s="37" t="s">
        <v>401</v>
      </c>
      <c r="F799" s="37" t="s">
        <v>1138</v>
      </c>
      <c r="G799" s="37" t="s">
        <v>431</v>
      </c>
      <c r="H799" s="36"/>
      <c r="I799" s="23"/>
      <c r="J799" s="24"/>
      <c r="K799" s="24"/>
      <c r="L799" s="22"/>
    </row>
    <row r="800" spans="1:12" s="20" customFormat="1" ht="58" x14ac:dyDescent="0.4">
      <c r="A800" s="14" t="s">
        <v>273</v>
      </c>
      <c r="B800" s="14"/>
      <c r="C800" s="23"/>
      <c r="D800" s="36">
        <v>9</v>
      </c>
      <c r="E800" s="37" t="s">
        <v>401</v>
      </c>
      <c r="F800" s="37" t="s">
        <v>1138</v>
      </c>
      <c r="G800" s="37" t="s">
        <v>432</v>
      </c>
      <c r="H800" s="36"/>
      <c r="I800" s="23"/>
      <c r="J800" s="24"/>
      <c r="K800" s="24"/>
      <c r="L800" s="22"/>
    </row>
    <row r="801" spans="1:12" s="20" customFormat="1" ht="29" x14ac:dyDescent="0.45">
      <c r="A801" s="39"/>
      <c r="B801" s="39" t="s">
        <v>798</v>
      </c>
      <c r="C801" s="39" t="s">
        <v>995</v>
      </c>
      <c r="D801" s="40"/>
      <c r="E801" s="41"/>
      <c r="F801" s="45"/>
      <c r="G801" s="46"/>
      <c r="H801" s="46"/>
      <c r="I801" s="47"/>
      <c r="J801" s="24"/>
      <c r="K801" s="24"/>
      <c r="L801" s="22"/>
    </row>
    <row r="802" spans="1:12" s="20" customFormat="1" ht="72.5" x14ac:dyDescent="0.4">
      <c r="A802" s="14" t="s">
        <v>273</v>
      </c>
      <c r="B802" s="14"/>
      <c r="C802" s="23"/>
      <c r="D802" s="36">
        <v>1</v>
      </c>
      <c r="E802" s="37" t="s">
        <v>304</v>
      </c>
      <c r="F802" s="37" t="s">
        <v>1041</v>
      </c>
      <c r="G802" s="37" t="s">
        <v>303</v>
      </c>
      <c r="H802" s="36" t="s">
        <v>293</v>
      </c>
      <c r="I802" s="23" t="s">
        <v>123</v>
      </c>
      <c r="J802" s="24"/>
      <c r="K802" s="24"/>
      <c r="L802" s="22"/>
    </row>
    <row r="803" spans="1:12" s="20" customFormat="1" ht="246.5" x14ac:dyDescent="0.4">
      <c r="A803" s="14" t="s">
        <v>273</v>
      </c>
      <c r="B803" s="14"/>
      <c r="C803" s="23"/>
      <c r="D803" s="36">
        <v>2</v>
      </c>
      <c r="E803" s="37" t="s">
        <v>712</v>
      </c>
      <c r="F803" s="81" t="s">
        <v>716</v>
      </c>
      <c r="G803" s="37" t="s">
        <v>1047</v>
      </c>
      <c r="H803" s="36"/>
      <c r="I803" s="23"/>
      <c r="J803" s="24"/>
      <c r="K803" s="24"/>
      <c r="L803" s="22"/>
    </row>
    <row r="804" spans="1:12" s="20" customFormat="1" ht="377" x14ac:dyDescent="0.4">
      <c r="A804" s="14" t="s">
        <v>273</v>
      </c>
      <c r="B804" s="14"/>
      <c r="C804" s="23"/>
      <c r="D804" s="36">
        <v>3</v>
      </c>
      <c r="E804" s="37" t="s">
        <v>440</v>
      </c>
      <c r="F804" s="37" t="s">
        <v>756</v>
      </c>
      <c r="G804" s="37"/>
      <c r="H804" s="36"/>
      <c r="I804" s="23"/>
      <c r="J804" s="24"/>
      <c r="K804" s="24"/>
      <c r="L804" s="22"/>
    </row>
    <row r="805" spans="1:12" s="20" customFormat="1" ht="333.5" x14ac:dyDescent="0.4">
      <c r="A805" s="14" t="s">
        <v>273</v>
      </c>
      <c r="B805" s="14"/>
      <c r="C805" s="23"/>
      <c r="D805" s="36">
        <v>4</v>
      </c>
      <c r="E805" s="37" t="s">
        <v>490</v>
      </c>
      <c r="F805" s="37" t="s">
        <v>523</v>
      </c>
      <c r="G805" s="37" t="s">
        <v>1148</v>
      </c>
      <c r="H805" s="36"/>
      <c r="I805" s="23"/>
      <c r="J805" s="24"/>
      <c r="K805" s="24"/>
      <c r="L805" s="22"/>
    </row>
    <row r="806" spans="1:12" s="20" customFormat="1" ht="29" x14ac:dyDescent="0.45">
      <c r="A806" s="39"/>
      <c r="B806" s="40" t="s">
        <v>800</v>
      </c>
      <c r="C806" s="39" t="s">
        <v>748</v>
      </c>
      <c r="D806" s="40"/>
      <c r="E806" s="41"/>
      <c r="F806" s="45"/>
      <c r="G806" s="46"/>
      <c r="H806" s="46"/>
      <c r="I806" s="47"/>
      <c r="J806" s="24"/>
      <c r="K806" s="24"/>
      <c r="L806" s="22"/>
    </row>
    <row r="807" spans="1:12" s="20" customFormat="1" ht="333.5" x14ac:dyDescent="0.4">
      <c r="A807" s="14" t="s">
        <v>273</v>
      </c>
      <c r="B807" s="14"/>
      <c r="D807" s="36">
        <v>1</v>
      </c>
      <c r="E807" s="37" t="s">
        <v>490</v>
      </c>
      <c r="F807" s="37" t="s">
        <v>523</v>
      </c>
      <c r="G807" s="37"/>
      <c r="H807" s="36" t="s">
        <v>293</v>
      </c>
      <c r="I807" s="69"/>
      <c r="J807" s="24"/>
      <c r="K807" s="24"/>
      <c r="L807" s="22"/>
    </row>
    <row r="808" spans="1:12" s="20" customFormat="1" ht="87" x14ac:dyDescent="0.4">
      <c r="A808" s="14" t="s">
        <v>273</v>
      </c>
      <c r="B808" s="14"/>
      <c r="C808" s="69"/>
      <c r="D808" s="36">
        <v>2</v>
      </c>
      <c r="E808" s="37" t="s">
        <v>526</v>
      </c>
      <c r="F808" s="37" t="s">
        <v>527</v>
      </c>
      <c r="G808" s="69"/>
      <c r="H808" s="69"/>
      <c r="I808" s="69"/>
      <c r="J808" s="24"/>
      <c r="K808" s="24"/>
      <c r="L808" s="22"/>
    </row>
    <row r="809" spans="1:12" s="20" customFormat="1" ht="72.5" x14ac:dyDescent="0.4">
      <c r="A809" s="14" t="s">
        <v>273</v>
      </c>
      <c r="B809" s="14"/>
      <c r="C809" s="69"/>
      <c r="D809" s="36">
        <v>3</v>
      </c>
      <c r="E809" s="37" t="s">
        <v>528</v>
      </c>
      <c r="F809" s="37" t="s">
        <v>529</v>
      </c>
      <c r="G809" s="69"/>
      <c r="H809" s="69"/>
      <c r="I809" s="69"/>
      <c r="J809" s="24"/>
      <c r="K809" s="24"/>
      <c r="L809" s="22"/>
    </row>
    <row r="810" spans="1:12" s="20" customFormat="1" ht="116" x14ac:dyDescent="0.4">
      <c r="A810" s="14" t="s">
        <v>273</v>
      </c>
      <c r="B810" s="14"/>
      <c r="C810" s="69"/>
      <c r="D810" s="36">
        <v>4</v>
      </c>
      <c r="E810" s="37" t="s">
        <v>531</v>
      </c>
      <c r="F810" s="37" t="s">
        <v>530</v>
      </c>
      <c r="G810" s="69"/>
      <c r="H810" s="69"/>
      <c r="I810" s="69"/>
      <c r="J810" s="24"/>
      <c r="K810" s="24"/>
      <c r="L810" s="22"/>
    </row>
    <row r="811" spans="1:12" s="20" customFormat="1" ht="58" x14ac:dyDescent="0.4">
      <c r="A811" s="14" t="s">
        <v>273</v>
      </c>
      <c r="B811" s="14"/>
      <c r="C811" s="69"/>
      <c r="D811" s="36">
        <v>5</v>
      </c>
      <c r="E811" s="37" t="s">
        <v>499</v>
      </c>
      <c r="F811" s="69"/>
      <c r="G811" s="69"/>
      <c r="H811" s="69"/>
      <c r="I811" s="69"/>
      <c r="J811" s="24"/>
      <c r="K811" s="24"/>
      <c r="L811" s="22"/>
    </row>
    <row r="812" spans="1:12" s="20" customFormat="1" ht="29" x14ac:dyDescent="0.45">
      <c r="A812" s="39"/>
      <c r="B812" s="40" t="s">
        <v>802</v>
      </c>
      <c r="C812" s="39" t="s">
        <v>750</v>
      </c>
      <c r="D812" s="40"/>
      <c r="E812" s="41"/>
      <c r="F812" s="45"/>
      <c r="G812" s="46"/>
      <c r="H812" s="46"/>
      <c r="I812" s="47"/>
      <c r="J812" s="24"/>
      <c r="K812" s="24"/>
      <c r="L812" s="22"/>
    </row>
    <row r="813" spans="1:12" s="20" customFormat="1" ht="333.5" x14ac:dyDescent="0.4">
      <c r="A813" s="14" t="s">
        <v>273</v>
      </c>
      <c r="B813" s="14"/>
      <c r="C813" s="69"/>
      <c r="D813" s="36">
        <v>1</v>
      </c>
      <c r="E813" s="37" t="s">
        <v>490</v>
      </c>
      <c r="F813" s="37" t="s">
        <v>523</v>
      </c>
      <c r="G813" s="69"/>
      <c r="H813" s="36" t="s">
        <v>293</v>
      </c>
      <c r="I813" s="69"/>
      <c r="J813" s="24"/>
      <c r="K813" s="24"/>
      <c r="L813" s="22"/>
    </row>
    <row r="814" spans="1:12" s="20" customFormat="1" ht="333.5" x14ac:dyDescent="0.4">
      <c r="A814" s="14" t="s">
        <v>273</v>
      </c>
      <c r="B814" s="14"/>
      <c r="C814" s="69"/>
      <c r="D814" s="36">
        <v>2</v>
      </c>
      <c r="E814" s="37" t="s">
        <v>532</v>
      </c>
      <c r="F814" s="37" t="s">
        <v>533</v>
      </c>
      <c r="G814" s="37" t="s">
        <v>534</v>
      </c>
      <c r="H814" s="69"/>
      <c r="I814" s="69"/>
      <c r="J814" s="24"/>
      <c r="K814" s="24"/>
      <c r="L814" s="22"/>
    </row>
    <row r="815" spans="1:12" s="20" customFormat="1" ht="58" x14ac:dyDescent="0.4">
      <c r="A815" s="14" t="s">
        <v>273</v>
      </c>
      <c r="B815" s="14"/>
      <c r="C815" s="69"/>
      <c r="D815" s="36">
        <v>3</v>
      </c>
      <c r="E815" s="37" t="s">
        <v>499</v>
      </c>
      <c r="F815" s="37"/>
      <c r="G815" s="37"/>
      <c r="H815" s="69"/>
      <c r="I815" s="69"/>
      <c r="J815" s="24"/>
      <c r="K815" s="24"/>
      <c r="L815" s="22"/>
    </row>
    <row r="816" spans="1:12" s="20" customFormat="1" ht="29" x14ac:dyDescent="0.45">
      <c r="A816" s="39"/>
      <c r="B816" s="40" t="s">
        <v>830</v>
      </c>
      <c r="C816" s="39" t="s">
        <v>753</v>
      </c>
      <c r="D816" s="40"/>
      <c r="E816" s="41"/>
      <c r="F816" s="45"/>
      <c r="G816" s="46"/>
      <c r="H816" s="46"/>
      <c r="I816" s="47"/>
      <c r="J816" s="24"/>
      <c r="K816" s="24"/>
      <c r="L816" s="22"/>
    </row>
    <row r="817" spans="1:12" s="20" customFormat="1" ht="333.5" x14ac:dyDescent="0.4">
      <c r="A817" s="14" t="s">
        <v>273</v>
      </c>
      <c r="B817" s="14"/>
      <c r="C817" s="14"/>
      <c r="D817" s="36">
        <v>1</v>
      </c>
      <c r="E817" s="37" t="s">
        <v>490</v>
      </c>
      <c r="F817" s="37" t="s">
        <v>523</v>
      </c>
      <c r="G817" s="14"/>
      <c r="H817" s="36" t="s">
        <v>293</v>
      </c>
      <c r="I817" s="14"/>
      <c r="J817" s="24"/>
      <c r="K817" s="24"/>
      <c r="L817" s="22"/>
    </row>
    <row r="818" spans="1:12" s="20" customFormat="1" ht="159.5" x14ac:dyDescent="0.4">
      <c r="A818" s="14" t="s">
        <v>273</v>
      </c>
      <c r="B818" s="14"/>
      <c r="C818" s="14"/>
      <c r="D818" s="36">
        <v>2</v>
      </c>
      <c r="E818" s="14" t="s">
        <v>536</v>
      </c>
      <c r="F818" s="14" t="s">
        <v>541</v>
      </c>
      <c r="G818" s="14" t="s">
        <v>540</v>
      </c>
      <c r="H818" s="14"/>
      <c r="I818" s="14"/>
      <c r="J818" s="24"/>
      <c r="K818" s="24"/>
      <c r="L818" s="22"/>
    </row>
    <row r="819" spans="1:12" s="20" customFormat="1" ht="159.5" x14ac:dyDescent="0.4">
      <c r="A819" s="14" t="s">
        <v>273</v>
      </c>
      <c r="B819" s="14"/>
      <c r="C819" s="14"/>
      <c r="D819" s="36">
        <v>3</v>
      </c>
      <c r="E819" s="14" t="s">
        <v>537</v>
      </c>
      <c r="F819" s="14" t="s">
        <v>542</v>
      </c>
      <c r="G819" s="14" t="s">
        <v>538</v>
      </c>
      <c r="H819" s="14"/>
      <c r="I819" s="14"/>
      <c r="J819" s="24"/>
      <c r="K819" s="24"/>
      <c r="L819" s="22"/>
    </row>
    <row r="820" spans="1:12" s="20" customFormat="1" ht="58" x14ac:dyDescent="0.4">
      <c r="A820" s="14" t="s">
        <v>273</v>
      </c>
      <c r="B820" s="14"/>
      <c r="C820" s="69"/>
      <c r="D820" s="36">
        <v>4</v>
      </c>
      <c r="E820" s="14" t="s">
        <v>539</v>
      </c>
      <c r="F820" s="37"/>
      <c r="G820" s="37"/>
      <c r="H820" s="69"/>
      <c r="I820" s="69"/>
      <c r="J820" s="24"/>
      <c r="K820" s="24"/>
      <c r="L820" s="22"/>
    </row>
    <row r="821" spans="1:12" s="20" customFormat="1" ht="29" x14ac:dyDescent="0.45">
      <c r="A821" s="39"/>
      <c r="B821" s="40" t="s">
        <v>834</v>
      </c>
      <c r="C821" s="39" t="s">
        <v>755</v>
      </c>
      <c r="D821" s="40"/>
      <c r="E821" s="41"/>
      <c r="F821" s="45"/>
      <c r="G821" s="46"/>
      <c r="H821" s="46"/>
      <c r="I821" s="47"/>
      <c r="J821" s="24"/>
      <c r="K821" s="24"/>
      <c r="L821" s="22"/>
    </row>
    <row r="822" spans="1:12" s="20" customFormat="1" ht="72.5" x14ac:dyDescent="0.4">
      <c r="A822" s="14" t="s">
        <v>273</v>
      </c>
      <c r="B822" s="14"/>
      <c r="C822" s="23"/>
      <c r="D822" s="36">
        <v>1</v>
      </c>
      <c r="E822" s="37" t="s">
        <v>304</v>
      </c>
      <c r="F822" s="37" t="s">
        <v>1041</v>
      </c>
      <c r="G822" s="37" t="s">
        <v>303</v>
      </c>
      <c r="H822" s="36" t="s">
        <v>293</v>
      </c>
      <c r="I822" s="23" t="s">
        <v>123</v>
      </c>
      <c r="J822" s="24"/>
      <c r="K822" s="24"/>
      <c r="L822" s="22"/>
    </row>
    <row r="823" spans="1:12" s="20" customFormat="1" ht="246.5" x14ac:dyDescent="0.4">
      <c r="A823" s="14" t="s">
        <v>273</v>
      </c>
      <c r="B823" s="14"/>
      <c r="C823" s="23"/>
      <c r="D823" s="36">
        <v>2</v>
      </c>
      <c r="E823" s="37" t="s">
        <v>712</v>
      </c>
      <c r="F823" s="81" t="s">
        <v>306</v>
      </c>
      <c r="G823" s="37" t="s">
        <v>352</v>
      </c>
      <c r="H823" s="36"/>
      <c r="I823" s="23"/>
      <c r="J823" s="24"/>
      <c r="K823" s="24"/>
      <c r="L823" s="22"/>
    </row>
    <row r="824" spans="1:12" s="20" customFormat="1" ht="391.5" x14ac:dyDescent="0.4">
      <c r="A824" s="14" t="s">
        <v>273</v>
      </c>
      <c r="B824" s="14"/>
      <c r="C824" s="23"/>
      <c r="D824" s="36">
        <v>3</v>
      </c>
      <c r="E824" s="37" t="s">
        <v>440</v>
      </c>
      <c r="F824" s="37" t="s">
        <v>441</v>
      </c>
      <c r="G824" s="37"/>
      <c r="H824" s="36"/>
      <c r="I824" s="23"/>
      <c r="J824" s="24"/>
      <c r="K824" s="24"/>
      <c r="L824" s="22"/>
    </row>
    <row r="825" spans="1:12" s="20" customFormat="1" ht="333.5" x14ac:dyDescent="0.4">
      <c r="A825" s="14" t="s">
        <v>273</v>
      </c>
      <c r="B825" s="14"/>
      <c r="C825" s="23"/>
      <c r="D825" s="36">
        <v>4</v>
      </c>
      <c r="E825" s="37" t="s">
        <v>442</v>
      </c>
      <c r="F825" s="37" t="s">
        <v>444</v>
      </c>
      <c r="G825" s="37" t="s">
        <v>943</v>
      </c>
      <c r="H825" s="36"/>
      <c r="I825" s="23"/>
      <c r="J825" s="24"/>
      <c r="K825" s="24"/>
      <c r="L825" s="22"/>
    </row>
    <row r="826" spans="1:12" s="20" customFormat="1" ht="409.5" x14ac:dyDescent="0.4">
      <c r="A826" s="14" t="s">
        <v>273</v>
      </c>
      <c r="B826" s="14"/>
      <c r="C826" s="23"/>
      <c r="D826" s="36">
        <v>5</v>
      </c>
      <c r="E826" s="37" t="s">
        <v>446</v>
      </c>
      <c r="F826" s="37" t="s">
        <v>757</v>
      </c>
      <c r="G826" s="83" t="s">
        <v>1150</v>
      </c>
      <c r="H826" s="36"/>
      <c r="I826" s="23"/>
      <c r="J826" s="24"/>
      <c r="K826" s="24"/>
      <c r="L826" s="22"/>
    </row>
    <row r="827" spans="1:12" s="20" customFormat="1" ht="72.5" x14ac:dyDescent="0.4">
      <c r="A827" s="14" t="s">
        <v>273</v>
      </c>
      <c r="B827" s="14"/>
      <c r="C827" s="23"/>
      <c r="D827" s="36">
        <v>6</v>
      </c>
      <c r="E827" s="37" t="s">
        <v>447</v>
      </c>
      <c r="F827" s="37" t="s">
        <v>448</v>
      </c>
      <c r="G827" s="37"/>
      <c r="H827" s="36"/>
      <c r="I827" s="23"/>
      <c r="J827" s="24"/>
      <c r="K827" s="24"/>
      <c r="L827" s="22"/>
    </row>
    <row r="828" spans="1:12" s="20" customFormat="1" ht="58" x14ac:dyDescent="0.4">
      <c r="A828" s="14" t="s">
        <v>273</v>
      </c>
      <c r="B828" s="14"/>
      <c r="C828" s="23"/>
      <c r="D828" s="36">
        <v>7</v>
      </c>
      <c r="E828" s="89" t="s">
        <v>451</v>
      </c>
      <c r="F828" s="37" t="s">
        <v>453</v>
      </c>
      <c r="G828" s="37"/>
      <c r="H828" s="36"/>
      <c r="I828" s="23"/>
      <c r="J828" s="24"/>
      <c r="K828" s="24"/>
      <c r="L828" s="22"/>
    </row>
    <row r="829" spans="1:12" s="20" customFormat="1" ht="29" x14ac:dyDescent="0.45">
      <c r="A829" s="39"/>
      <c r="B829" s="39" t="s">
        <v>835</v>
      </c>
      <c r="C829" s="39" t="s">
        <v>758</v>
      </c>
      <c r="D829" s="40"/>
      <c r="E829" s="41"/>
      <c r="F829" s="45"/>
      <c r="G829" s="46"/>
      <c r="H829" s="46"/>
      <c r="I829" s="47"/>
      <c r="J829" s="24"/>
      <c r="K829" s="24"/>
      <c r="L829" s="22"/>
    </row>
    <row r="830" spans="1:12" s="20" customFormat="1" ht="72.5" x14ac:dyDescent="0.4">
      <c r="A830" s="14" t="s">
        <v>273</v>
      </c>
      <c r="B830" s="14"/>
      <c r="C830" s="23"/>
      <c r="D830" s="36">
        <v>1</v>
      </c>
      <c r="E830" s="37" t="s">
        <v>304</v>
      </c>
      <c r="F830" s="37" t="s">
        <v>1041</v>
      </c>
      <c r="G830" s="37" t="s">
        <v>303</v>
      </c>
      <c r="H830" s="36" t="s">
        <v>293</v>
      </c>
      <c r="I830" s="23" t="s">
        <v>123</v>
      </c>
      <c r="J830" s="24"/>
      <c r="K830" s="24"/>
      <c r="L830" s="22"/>
    </row>
    <row r="831" spans="1:12" s="20" customFormat="1" ht="246.5" x14ac:dyDescent="0.4">
      <c r="A831" s="14" t="s">
        <v>273</v>
      </c>
      <c r="B831" s="14"/>
      <c r="C831" s="23"/>
      <c r="D831" s="36">
        <v>2</v>
      </c>
      <c r="E831" s="37" t="s">
        <v>712</v>
      </c>
      <c r="F831" s="81" t="s">
        <v>306</v>
      </c>
      <c r="G831" s="37" t="s">
        <v>352</v>
      </c>
      <c r="H831" s="36"/>
      <c r="I831" s="23"/>
      <c r="J831" s="24"/>
      <c r="K831" s="24"/>
      <c r="L831" s="22"/>
    </row>
    <row r="832" spans="1:12" s="20" customFormat="1" ht="391.5" x14ac:dyDescent="0.4">
      <c r="A832" s="14" t="s">
        <v>273</v>
      </c>
      <c r="B832" s="14"/>
      <c r="C832" s="23"/>
      <c r="D832" s="36">
        <v>3</v>
      </c>
      <c r="E832" s="37" t="s">
        <v>440</v>
      </c>
      <c r="F832" s="37" t="s">
        <v>441</v>
      </c>
      <c r="G832" s="37"/>
      <c r="H832" s="36"/>
      <c r="I832" s="23"/>
      <c r="J832" s="24"/>
      <c r="K832" s="24"/>
      <c r="L832" s="22"/>
    </row>
    <row r="833" spans="1:12" s="20" customFormat="1" ht="333.5" x14ac:dyDescent="0.4">
      <c r="A833" s="14" t="s">
        <v>273</v>
      </c>
      <c r="B833" s="14"/>
      <c r="C833" s="23"/>
      <c r="D833" s="36">
        <v>4</v>
      </c>
      <c r="E833" s="37" t="s">
        <v>442</v>
      </c>
      <c r="F833" s="37" t="s">
        <v>444</v>
      </c>
      <c r="G833" s="37" t="s">
        <v>943</v>
      </c>
      <c r="H833" s="36"/>
      <c r="I833" s="23"/>
      <c r="J833" s="24"/>
      <c r="K833" s="24"/>
      <c r="L833" s="22"/>
    </row>
    <row r="834" spans="1:12" s="20" customFormat="1" ht="377" x14ac:dyDescent="0.4">
      <c r="A834" s="14" t="s">
        <v>273</v>
      </c>
      <c r="B834" s="14"/>
      <c r="C834" s="23"/>
      <c r="D834" s="36">
        <v>5</v>
      </c>
      <c r="E834" s="37" t="s">
        <v>449</v>
      </c>
      <c r="F834" s="37" t="s">
        <v>760</v>
      </c>
      <c r="G834" s="37" t="s">
        <v>553</v>
      </c>
      <c r="H834" s="36"/>
      <c r="I834" s="23"/>
      <c r="J834" s="24"/>
      <c r="K834" s="24"/>
      <c r="L834" s="22"/>
    </row>
    <row r="835" spans="1:12" s="20" customFormat="1" ht="72.5" x14ac:dyDescent="0.4">
      <c r="A835" s="14" t="s">
        <v>273</v>
      </c>
      <c r="B835" s="14"/>
      <c r="C835" s="23"/>
      <c r="D835" s="36">
        <v>6</v>
      </c>
      <c r="E835" s="91" t="s">
        <v>456</v>
      </c>
      <c r="F835" s="37" t="s">
        <v>452</v>
      </c>
      <c r="G835" s="37" t="s">
        <v>466</v>
      </c>
      <c r="H835" s="36"/>
      <c r="I835" s="23"/>
      <c r="J835" s="24"/>
      <c r="K835" s="24"/>
      <c r="L835" s="22"/>
    </row>
    <row r="836" spans="1:12" s="20" customFormat="1" ht="58" x14ac:dyDescent="0.4">
      <c r="A836" s="14" t="s">
        <v>273</v>
      </c>
      <c r="B836" s="14"/>
      <c r="C836" s="23"/>
      <c r="D836" s="36">
        <v>7</v>
      </c>
      <c r="E836" s="90" t="s">
        <v>455</v>
      </c>
      <c r="F836" s="37" t="s">
        <v>454</v>
      </c>
      <c r="G836" s="37"/>
      <c r="H836" s="36"/>
      <c r="I836" s="23"/>
      <c r="J836" s="24"/>
      <c r="K836" s="24"/>
      <c r="L836" s="22"/>
    </row>
    <row r="837" spans="1:12" s="20" customFormat="1" ht="43.5" x14ac:dyDescent="0.45">
      <c r="A837" s="39"/>
      <c r="B837" s="39" t="s">
        <v>837</v>
      </c>
      <c r="C837" s="39" t="s">
        <v>996</v>
      </c>
      <c r="D837" s="40"/>
      <c r="E837" s="41"/>
      <c r="F837" s="45"/>
      <c r="G837" s="46"/>
      <c r="H837" s="46"/>
      <c r="I837" s="47"/>
      <c r="J837" s="24"/>
      <c r="K837" s="24"/>
      <c r="L837" s="22"/>
    </row>
    <row r="838" spans="1:12" s="20" customFormat="1" ht="72.5" x14ac:dyDescent="0.4">
      <c r="A838" s="14" t="s">
        <v>273</v>
      </c>
      <c r="B838" s="14"/>
      <c r="C838" s="23"/>
      <c r="D838" s="36">
        <v>1</v>
      </c>
      <c r="E838" s="37" t="s">
        <v>304</v>
      </c>
      <c r="F838" s="37" t="s">
        <v>1041</v>
      </c>
      <c r="G838" s="37" t="s">
        <v>303</v>
      </c>
      <c r="H838" s="36" t="s">
        <v>293</v>
      </c>
      <c r="I838" s="23" t="s">
        <v>123</v>
      </c>
      <c r="J838" s="24"/>
      <c r="K838" s="24"/>
      <c r="L838" s="22"/>
    </row>
    <row r="839" spans="1:12" s="20" customFormat="1" ht="246.5" x14ac:dyDescent="0.4">
      <c r="A839" s="14" t="s">
        <v>273</v>
      </c>
      <c r="B839" s="14"/>
      <c r="C839" s="23"/>
      <c r="D839" s="36">
        <v>2</v>
      </c>
      <c r="E839" s="37" t="s">
        <v>712</v>
      </c>
      <c r="F839" s="81" t="s">
        <v>306</v>
      </c>
      <c r="G839" s="37" t="s">
        <v>352</v>
      </c>
      <c r="H839" s="36"/>
      <c r="I839" s="23"/>
      <c r="J839" s="24"/>
      <c r="K839" s="24"/>
      <c r="L839" s="22"/>
    </row>
    <row r="840" spans="1:12" s="20" customFormat="1" ht="391.5" x14ac:dyDescent="0.4">
      <c r="A840" s="14" t="s">
        <v>273</v>
      </c>
      <c r="B840" s="14"/>
      <c r="C840" s="23"/>
      <c r="D840" s="36">
        <v>3</v>
      </c>
      <c r="E840" s="37" t="s">
        <v>440</v>
      </c>
      <c r="F840" s="37" t="s">
        <v>441</v>
      </c>
      <c r="G840" s="37"/>
      <c r="H840" s="36"/>
      <c r="I840" s="23"/>
      <c r="J840" s="24"/>
      <c r="K840" s="24"/>
      <c r="L840" s="22"/>
    </row>
    <row r="841" spans="1:12" s="20" customFormat="1" ht="333.5" x14ac:dyDescent="0.4">
      <c r="A841" s="14" t="s">
        <v>273</v>
      </c>
      <c r="B841" s="14"/>
      <c r="C841" s="23"/>
      <c r="D841" s="36">
        <v>4</v>
      </c>
      <c r="E841" s="37" t="s">
        <v>442</v>
      </c>
      <c r="F841" s="37" t="s">
        <v>444</v>
      </c>
      <c r="G841" s="37" t="s">
        <v>898</v>
      </c>
      <c r="H841" s="36"/>
      <c r="I841" s="23"/>
      <c r="J841" s="24"/>
      <c r="K841" s="24"/>
      <c r="L841" s="22"/>
    </row>
    <row r="842" spans="1:12" s="20" customFormat="1" ht="203" x14ac:dyDescent="0.4">
      <c r="A842" s="14" t="s">
        <v>273</v>
      </c>
      <c r="B842" s="14"/>
      <c r="C842" s="23"/>
      <c r="D842" s="36">
        <v>5</v>
      </c>
      <c r="E842" s="37" t="s">
        <v>449</v>
      </c>
      <c r="F842" s="88" t="s">
        <v>1036</v>
      </c>
      <c r="G842" s="37" t="s">
        <v>1151</v>
      </c>
      <c r="H842" s="36"/>
      <c r="I842" s="23"/>
      <c r="J842" s="24"/>
      <c r="K842" s="24"/>
      <c r="L842" s="22"/>
    </row>
    <row r="843" spans="1:12" s="20" customFormat="1" ht="43.5" x14ac:dyDescent="0.45">
      <c r="A843" s="39"/>
      <c r="B843" s="39" t="s">
        <v>842</v>
      </c>
      <c r="C843" s="39" t="s">
        <v>997</v>
      </c>
      <c r="D843" s="40"/>
      <c r="E843" s="41"/>
      <c r="F843" s="45"/>
      <c r="G843" s="46"/>
      <c r="H843" s="46"/>
      <c r="I843" s="47"/>
      <c r="J843" s="24"/>
      <c r="K843" s="24"/>
      <c r="L843" s="22"/>
    </row>
    <row r="844" spans="1:12" s="20" customFormat="1" ht="72.5" x14ac:dyDescent="0.4">
      <c r="A844" s="14" t="s">
        <v>273</v>
      </c>
      <c r="B844" s="14"/>
      <c r="C844" s="23"/>
      <c r="D844" s="36">
        <v>1</v>
      </c>
      <c r="E844" s="37" t="s">
        <v>304</v>
      </c>
      <c r="F844" s="37" t="s">
        <v>1041</v>
      </c>
      <c r="G844" s="37" t="s">
        <v>303</v>
      </c>
      <c r="H844" s="36" t="s">
        <v>293</v>
      </c>
      <c r="I844" s="23" t="s">
        <v>123</v>
      </c>
      <c r="J844" s="24"/>
      <c r="K844" s="24"/>
      <c r="L844" s="22"/>
    </row>
    <row r="845" spans="1:12" s="20" customFormat="1" ht="246.5" x14ac:dyDescent="0.4">
      <c r="A845" s="14" t="s">
        <v>273</v>
      </c>
      <c r="B845" s="14"/>
      <c r="C845" s="23"/>
      <c r="D845" s="36">
        <v>2</v>
      </c>
      <c r="E845" s="37" t="s">
        <v>712</v>
      </c>
      <c r="F845" s="81" t="s">
        <v>306</v>
      </c>
      <c r="G845" s="37" t="s">
        <v>352</v>
      </c>
      <c r="H845" s="36"/>
      <c r="I845" s="23"/>
      <c r="J845" s="24"/>
      <c r="K845" s="24"/>
      <c r="L845" s="22"/>
    </row>
    <row r="846" spans="1:12" s="20" customFormat="1" ht="391.5" x14ac:dyDescent="0.4">
      <c r="A846" s="14" t="s">
        <v>273</v>
      </c>
      <c r="B846" s="14"/>
      <c r="C846" s="23"/>
      <c r="D846" s="36">
        <v>3</v>
      </c>
      <c r="E846" s="37" t="s">
        <v>440</v>
      </c>
      <c r="F846" s="37" t="s">
        <v>441</v>
      </c>
      <c r="G846" s="37"/>
      <c r="H846" s="36"/>
      <c r="I846" s="23"/>
      <c r="J846" s="24"/>
      <c r="K846" s="24"/>
      <c r="L846" s="22"/>
    </row>
    <row r="847" spans="1:12" s="20" customFormat="1" ht="333.5" x14ac:dyDescent="0.4">
      <c r="A847" s="14" t="s">
        <v>273</v>
      </c>
      <c r="B847" s="14"/>
      <c r="C847" s="23"/>
      <c r="D847" s="36">
        <v>4</v>
      </c>
      <c r="E847" s="37" t="s">
        <v>442</v>
      </c>
      <c r="F847" s="37" t="s">
        <v>444</v>
      </c>
      <c r="G847" s="37" t="s">
        <v>443</v>
      </c>
      <c r="H847" s="36"/>
      <c r="I847" s="23"/>
      <c r="J847" s="24"/>
      <c r="K847" s="24"/>
      <c r="L847" s="22"/>
    </row>
    <row r="848" spans="1:12" s="20" customFormat="1" ht="225" x14ac:dyDescent="0.4">
      <c r="A848" s="14" t="s">
        <v>273</v>
      </c>
      <c r="B848" s="14"/>
      <c r="C848" s="23"/>
      <c r="D848" s="36">
        <v>5</v>
      </c>
      <c r="E848" s="37" t="s">
        <v>449</v>
      </c>
      <c r="F848" s="88" t="s">
        <v>1037</v>
      </c>
      <c r="G848" s="37"/>
      <c r="H848" s="36"/>
      <c r="I848" s="23"/>
      <c r="J848" s="24"/>
      <c r="K848" s="24"/>
      <c r="L848" s="22"/>
    </row>
    <row r="849" spans="1:12" s="20" customFormat="1" ht="116" x14ac:dyDescent="0.4">
      <c r="A849" s="14" t="s">
        <v>273</v>
      </c>
      <c r="B849" s="14"/>
      <c r="C849" s="23"/>
      <c r="D849" s="36">
        <v>6</v>
      </c>
      <c r="E849" s="37" t="s">
        <v>859</v>
      </c>
      <c r="F849" s="37" t="s">
        <v>840</v>
      </c>
      <c r="G849" s="37"/>
      <c r="H849" s="36"/>
      <c r="I849" s="23"/>
      <c r="J849" s="24"/>
      <c r="K849" s="24"/>
      <c r="L849" s="22"/>
    </row>
    <row r="850" spans="1:12" s="20" customFormat="1" ht="29" x14ac:dyDescent="0.45">
      <c r="A850" s="39"/>
      <c r="B850" s="39" t="s">
        <v>843</v>
      </c>
      <c r="C850" s="39" t="s">
        <v>1149</v>
      </c>
      <c r="D850" s="40"/>
      <c r="E850" s="41"/>
      <c r="F850" s="45"/>
      <c r="G850" s="46"/>
      <c r="H850" s="46"/>
      <c r="I850" s="47"/>
      <c r="J850" s="24"/>
      <c r="K850" s="24"/>
      <c r="L850" s="22"/>
    </row>
    <row r="851" spans="1:12" s="20" customFormat="1" ht="72.5" x14ac:dyDescent="0.4">
      <c r="A851" s="14" t="s">
        <v>273</v>
      </c>
      <c r="B851" s="14"/>
      <c r="C851" s="23"/>
      <c r="D851" s="36">
        <v>1</v>
      </c>
      <c r="E851" s="37" t="s">
        <v>304</v>
      </c>
      <c r="F851" s="37" t="s">
        <v>1041</v>
      </c>
      <c r="G851" s="37" t="s">
        <v>303</v>
      </c>
      <c r="H851" s="36" t="s">
        <v>293</v>
      </c>
      <c r="I851" s="23" t="s">
        <v>123</v>
      </c>
      <c r="J851" s="24"/>
      <c r="K851" s="24"/>
      <c r="L851" s="22"/>
    </row>
    <row r="852" spans="1:12" s="20" customFormat="1" ht="246.5" x14ac:dyDescent="0.4">
      <c r="A852" s="14" t="s">
        <v>273</v>
      </c>
      <c r="B852" s="14"/>
      <c r="C852" s="23"/>
      <c r="D852" s="36">
        <v>2</v>
      </c>
      <c r="E852" s="37" t="s">
        <v>712</v>
      </c>
      <c r="F852" s="81" t="s">
        <v>306</v>
      </c>
      <c r="G852" s="37" t="s">
        <v>352</v>
      </c>
      <c r="H852" s="36"/>
      <c r="I852" s="23"/>
      <c r="J852" s="24"/>
      <c r="K852" s="24"/>
      <c r="L852" s="22"/>
    </row>
    <row r="853" spans="1:12" s="20" customFormat="1" ht="391.5" x14ac:dyDescent="0.4">
      <c r="A853" s="14" t="s">
        <v>273</v>
      </c>
      <c r="B853" s="14"/>
      <c r="C853" s="23"/>
      <c r="D853" s="36">
        <v>3</v>
      </c>
      <c r="E853" s="37" t="s">
        <v>440</v>
      </c>
      <c r="F853" s="37" t="s">
        <v>441</v>
      </c>
      <c r="G853" s="37"/>
      <c r="H853" s="36"/>
      <c r="I853" s="23"/>
      <c r="J853" s="24"/>
      <c r="K853" s="24"/>
      <c r="L853" s="22"/>
    </row>
    <row r="854" spans="1:12" s="20" customFormat="1" ht="333.5" x14ac:dyDescent="0.4">
      <c r="A854" s="14" t="s">
        <v>273</v>
      </c>
      <c r="B854" s="14"/>
      <c r="C854" s="23"/>
      <c r="D854" s="36">
        <v>4</v>
      </c>
      <c r="E854" s="37" t="s">
        <v>442</v>
      </c>
      <c r="F854" s="37" t="s">
        <v>444</v>
      </c>
      <c r="G854" s="37" t="s">
        <v>898</v>
      </c>
      <c r="H854" s="36"/>
      <c r="I854" s="23"/>
      <c r="J854" s="24"/>
      <c r="K854" s="24"/>
      <c r="L854" s="22"/>
    </row>
    <row r="855" spans="1:12" s="20" customFormat="1" ht="409.5" x14ac:dyDescent="0.4">
      <c r="A855" s="14" t="s">
        <v>273</v>
      </c>
      <c r="B855" s="14"/>
      <c r="C855" s="23"/>
      <c r="D855" s="36">
        <v>5</v>
      </c>
      <c r="E855" s="37" t="s">
        <v>460</v>
      </c>
      <c r="F855" s="88" t="s">
        <v>763</v>
      </c>
      <c r="G855" s="37" t="s">
        <v>552</v>
      </c>
      <c r="H855" s="36"/>
      <c r="I855" s="23"/>
      <c r="J855" s="24"/>
      <c r="K855" s="24"/>
      <c r="L855" s="22"/>
    </row>
    <row r="856" spans="1:12" s="20" customFormat="1" ht="72.5" x14ac:dyDescent="0.4">
      <c r="A856" s="14" t="s">
        <v>273</v>
      </c>
      <c r="B856" s="14"/>
      <c r="C856" s="23"/>
      <c r="D856" s="36">
        <v>6</v>
      </c>
      <c r="E856" s="37" t="s">
        <v>468</v>
      </c>
      <c r="F856" s="37" t="s">
        <v>461</v>
      </c>
      <c r="G856" s="37"/>
      <c r="H856" s="36"/>
      <c r="I856" s="23"/>
      <c r="J856" s="24"/>
      <c r="K856" s="24"/>
      <c r="L856" s="22"/>
    </row>
    <row r="857" spans="1:12" s="20" customFormat="1" ht="174" x14ac:dyDescent="0.4">
      <c r="A857" s="14" t="s">
        <v>273</v>
      </c>
      <c r="B857" s="14"/>
      <c r="C857" s="23"/>
      <c r="D857" s="36">
        <v>7</v>
      </c>
      <c r="E857" s="90" t="s">
        <v>462</v>
      </c>
      <c r="F857" s="37" t="s">
        <v>463</v>
      </c>
      <c r="G857" s="37" t="s">
        <v>464</v>
      </c>
      <c r="H857" s="36"/>
      <c r="I857" s="23"/>
      <c r="J857" s="24"/>
      <c r="K857" s="24"/>
      <c r="L857" s="22"/>
    </row>
    <row r="858" spans="1:12" s="20" customFormat="1" ht="159.5" x14ac:dyDescent="0.4">
      <c r="A858" s="14" t="s">
        <v>273</v>
      </c>
      <c r="B858" s="14"/>
      <c r="C858" s="23"/>
      <c r="D858" s="36">
        <v>8</v>
      </c>
      <c r="E858" s="37" t="s">
        <v>354</v>
      </c>
      <c r="F858" s="37" t="s">
        <v>356</v>
      </c>
      <c r="G858" s="37" t="s">
        <v>407</v>
      </c>
      <c r="H858" s="36"/>
      <c r="I858" s="23"/>
      <c r="J858" s="24"/>
      <c r="K858" s="24"/>
      <c r="L858" s="22"/>
    </row>
    <row r="859" spans="1:12" s="20" customFormat="1" ht="72.5" x14ac:dyDescent="0.4">
      <c r="A859" s="14" t="s">
        <v>273</v>
      </c>
      <c r="B859" s="14"/>
      <c r="C859" s="23"/>
      <c r="D859" s="36">
        <v>9</v>
      </c>
      <c r="E859" s="37" t="s">
        <v>357</v>
      </c>
      <c r="F859" s="37" t="s">
        <v>467</v>
      </c>
      <c r="G859" s="37" t="s">
        <v>466</v>
      </c>
      <c r="H859" s="36"/>
      <c r="I859" s="23"/>
      <c r="J859" s="24"/>
      <c r="K859" s="24"/>
      <c r="L859" s="22"/>
    </row>
    <row r="860" spans="1:12" s="20" customFormat="1" ht="29" x14ac:dyDescent="0.45">
      <c r="A860" s="39"/>
      <c r="B860" s="39" t="s">
        <v>845</v>
      </c>
      <c r="C860" s="39" t="s">
        <v>998</v>
      </c>
      <c r="D860" s="40"/>
      <c r="E860" s="41"/>
      <c r="F860" s="45"/>
      <c r="G860" s="46"/>
      <c r="H860" s="46"/>
      <c r="I860" s="47"/>
      <c r="J860" s="24"/>
      <c r="K860" s="24"/>
      <c r="L860" s="22"/>
    </row>
    <row r="861" spans="1:12" s="20" customFormat="1" ht="72.5" x14ac:dyDescent="0.4">
      <c r="A861" s="14" t="s">
        <v>273</v>
      </c>
      <c r="B861" s="14"/>
      <c r="C861" s="23"/>
      <c r="D861" s="36">
        <v>1</v>
      </c>
      <c r="E861" s="37" t="s">
        <v>304</v>
      </c>
      <c r="F861" s="37" t="s">
        <v>1041</v>
      </c>
      <c r="G861" s="37" t="s">
        <v>303</v>
      </c>
      <c r="H861" s="36" t="s">
        <v>293</v>
      </c>
      <c r="I861" s="23" t="s">
        <v>123</v>
      </c>
      <c r="J861" s="24"/>
      <c r="K861" s="24"/>
      <c r="L861" s="22"/>
    </row>
    <row r="862" spans="1:12" s="20" customFormat="1" ht="246.5" x14ac:dyDescent="0.4">
      <c r="A862" s="14" t="s">
        <v>273</v>
      </c>
      <c r="B862" s="14"/>
      <c r="C862" s="23"/>
      <c r="D862" s="36">
        <v>2</v>
      </c>
      <c r="E862" s="37" t="s">
        <v>712</v>
      </c>
      <c r="F862" s="81" t="s">
        <v>716</v>
      </c>
      <c r="G862" s="37" t="s">
        <v>1047</v>
      </c>
      <c r="H862" s="36"/>
      <c r="I862" s="23"/>
      <c r="J862" s="24"/>
      <c r="K862" s="24"/>
      <c r="L862" s="22"/>
    </row>
    <row r="863" spans="1:12" s="20" customFormat="1" ht="391.5" x14ac:dyDescent="0.4">
      <c r="A863" s="14" t="s">
        <v>273</v>
      </c>
      <c r="B863" s="14"/>
      <c r="C863" s="23"/>
      <c r="D863" s="36">
        <v>3</v>
      </c>
      <c r="E863" s="37" t="s">
        <v>440</v>
      </c>
      <c r="F863" s="37" t="s">
        <v>441</v>
      </c>
      <c r="G863" s="37"/>
      <c r="H863" s="36"/>
      <c r="I863" s="23"/>
      <c r="J863" s="24"/>
      <c r="K863" s="24"/>
      <c r="L863" s="22"/>
    </row>
    <row r="864" spans="1:12" s="20" customFormat="1" ht="333.5" x14ac:dyDescent="0.4">
      <c r="A864" s="14" t="s">
        <v>273</v>
      </c>
      <c r="B864" s="14"/>
      <c r="C864" s="23"/>
      <c r="D864" s="36">
        <v>4</v>
      </c>
      <c r="E864" s="37" t="s">
        <v>442</v>
      </c>
      <c r="F864" s="37" t="s">
        <v>444</v>
      </c>
      <c r="G864" s="37" t="s">
        <v>898</v>
      </c>
      <c r="H864" s="36"/>
      <c r="I864" s="23"/>
      <c r="J864" s="24"/>
      <c r="K864" s="24"/>
      <c r="L864" s="22"/>
    </row>
    <row r="865" spans="1:12" s="20" customFormat="1" ht="345" x14ac:dyDescent="0.4">
      <c r="A865" s="14" t="s">
        <v>273</v>
      </c>
      <c r="B865" s="14"/>
      <c r="C865" s="23"/>
      <c r="D865" s="36">
        <v>5</v>
      </c>
      <c r="E865" s="37" t="s">
        <v>460</v>
      </c>
      <c r="F865" s="92" t="s">
        <v>765</v>
      </c>
      <c r="G865" s="37" t="s">
        <v>1146</v>
      </c>
      <c r="H865" s="36"/>
      <c r="I865" s="23"/>
      <c r="J865" s="24"/>
      <c r="K865" s="24"/>
      <c r="L865" s="22"/>
    </row>
    <row r="866" spans="1:12" s="20" customFormat="1" ht="43.5" x14ac:dyDescent="0.45">
      <c r="A866" s="39"/>
      <c r="B866" s="39" t="s">
        <v>847</v>
      </c>
      <c r="C866" s="39" t="s">
        <v>999</v>
      </c>
      <c r="D866" s="40"/>
      <c r="E866" s="41"/>
      <c r="F866" s="45"/>
      <c r="G866" s="46"/>
      <c r="H866" s="46"/>
      <c r="I866" s="47"/>
      <c r="J866" s="24"/>
      <c r="K866" s="24"/>
      <c r="L866" s="22"/>
    </row>
    <row r="867" spans="1:12" s="20" customFormat="1" ht="72.5" x14ac:dyDescent="0.4">
      <c r="A867" s="14" t="s">
        <v>273</v>
      </c>
      <c r="B867" s="14"/>
      <c r="C867" s="23"/>
      <c r="D867" s="36">
        <v>1</v>
      </c>
      <c r="E867" s="37" t="s">
        <v>304</v>
      </c>
      <c r="F867" s="37" t="s">
        <v>1041</v>
      </c>
      <c r="G867" s="37" t="s">
        <v>303</v>
      </c>
      <c r="H867" s="36" t="s">
        <v>293</v>
      </c>
      <c r="I867" s="23" t="s">
        <v>123</v>
      </c>
      <c r="J867" s="24"/>
      <c r="K867" s="24"/>
      <c r="L867" s="22"/>
    </row>
    <row r="868" spans="1:12" s="20" customFormat="1" ht="246.5" x14ac:dyDescent="0.4">
      <c r="A868" s="14" t="s">
        <v>273</v>
      </c>
      <c r="B868" s="14"/>
      <c r="C868" s="23"/>
      <c r="D868" s="36">
        <v>2</v>
      </c>
      <c r="E868" s="37" t="s">
        <v>712</v>
      </c>
      <c r="F868" s="81" t="s">
        <v>306</v>
      </c>
      <c r="G868" s="37" t="s">
        <v>352</v>
      </c>
      <c r="H868" s="36"/>
      <c r="I868" s="23"/>
      <c r="J868" s="24"/>
      <c r="K868" s="24"/>
      <c r="L868" s="22"/>
    </row>
    <row r="869" spans="1:12" s="20" customFormat="1" ht="391.5" x14ac:dyDescent="0.4">
      <c r="A869" s="14" t="s">
        <v>273</v>
      </c>
      <c r="B869" s="14"/>
      <c r="C869" s="23"/>
      <c r="D869" s="36">
        <v>3</v>
      </c>
      <c r="E869" s="37" t="s">
        <v>440</v>
      </c>
      <c r="F869" s="37" t="s">
        <v>441</v>
      </c>
      <c r="G869" s="37"/>
      <c r="H869" s="36"/>
      <c r="I869" s="23"/>
      <c r="J869" s="24"/>
      <c r="K869" s="24"/>
      <c r="L869" s="22"/>
    </row>
    <row r="870" spans="1:12" s="20" customFormat="1" ht="333.5" x14ac:dyDescent="0.4">
      <c r="A870" s="14" t="s">
        <v>273</v>
      </c>
      <c r="B870" s="14"/>
      <c r="C870" s="23"/>
      <c r="D870" s="36">
        <v>4</v>
      </c>
      <c r="E870" s="37" t="s">
        <v>442</v>
      </c>
      <c r="F870" s="37" t="s">
        <v>444</v>
      </c>
      <c r="G870" s="37" t="s">
        <v>898</v>
      </c>
      <c r="H870" s="36"/>
      <c r="I870" s="23"/>
      <c r="J870" s="24"/>
      <c r="K870" s="24"/>
      <c r="L870" s="22"/>
    </row>
    <row r="871" spans="1:12" s="20" customFormat="1" ht="345" x14ac:dyDescent="0.4">
      <c r="A871" s="14" t="s">
        <v>273</v>
      </c>
      <c r="B871" s="14"/>
      <c r="C871" s="23"/>
      <c r="D871" s="36">
        <v>5</v>
      </c>
      <c r="E871" s="37" t="s">
        <v>555</v>
      </c>
      <c r="F871" s="92" t="s">
        <v>765</v>
      </c>
      <c r="G871" s="37" t="s">
        <v>552</v>
      </c>
      <c r="H871" s="36"/>
      <c r="I871" s="23"/>
      <c r="J871" s="24"/>
      <c r="K871" s="24"/>
      <c r="L871" s="22"/>
    </row>
    <row r="872" spans="1:12" s="20" customFormat="1" ht="72.5" x14ac:dyDescent="0.4">
      <c r="A872" s="14" t="s">
        <v>273</v>
      </c>
      <c r="B872" s="14"/>
      <c r="C872" s="23"/>
      <c r="D872" s="36">
        <v>6</v>
      </c>
      <c r="E872" s="93" t="s">
        <v>893</v>
      </c>
      <c r="F872" s="37" t="s">
        <v>894</v>
      </c>
      <c r="G872" s="37"/>
      <c r="H872" s="36"/>
      <c r="I872" s="23"/>
      <c r="J872" s="24"/>
      <c r="K872" s="24"/>
      <c r="L872" s="22"/>
    </row>
    <row r="873" spans="1:12" s="20" customFormat="1" ht="43.5" x14ac:dyDescent="0.45">
      <c r="A873" s="39"/>
      <c r="B873" s="39" t="s">
        <v>849</v>
      </c>
      <c r="C873" s="39" t="s">
        <v>1000</v>
      </c>
      <c r="D873" s="40"/>
      <c r="E873" s="41"/>
      <c r="F873" s="45"/>
      <c r="G873" s="46"/>
      <c r="H873" s="46"/>
      <c r="I873" s="47"/>
      <c r="J873" s="24"/>
      <c r="K873" s="24"/>
      <c r="L873" s="22"/>
    </row>
    <row r="874" spans="1:12" s="20" customFormat="1" ht="72.5" x14ac:dyDescent="0.4">
      <c r="A874" s="14" t="s">
        <v>273</v>
      </c>
      <c r="B874" s="14"/>
      <c r="C874" s="23"/>
      <c r="D874" s="36">
        <v>1</v>
      </c>
      <c r="E874" s="37" t="s">
        <v>304</v>
      </c>
      <c r="F874" s="37" t="s">
        <v>1041</v>
      </c>
      <c r="G874" s="37" t="s">
        <v>303</v>
      </c>
      <c r="H874" s="36" t="s">
        <v>293</v>
      </c>
      <c r="I874" s="23" t="s">
        <v>123</v>
      </c>
      <c r="J874" s="24"/>
      <c r="K874" s="24"/>
      <c r="L874" s="22"/>
    </row>
    <row r="875" spans="1:12" s="20" customFormat="1" ht="246.5" x14ac:dyDescent="0.4">
      <c r="A875" s="14" t="s">
        <v>273</v>
      </c>
      <c r="B875" s="14"/>
      <c r="C875" s="23"/>
      <c r="D875" s="36">
        <v>2</v>
      </c>
      <c r="E875" s="37" t="s">
        <v>712</v>
      </c>
      <c r="F875" s="81" t="s">
        <v>306</v>
      </c>
      <c r="G875" s="37" t="s">
        <v>352</v>
      </c>
      <c r="H875" s="36"/>
      <c r="I875" s="23"/>
      <c r="J875" s="24"/>
      <c r="K875" s="24"/>
      <c r="L875" s="22"/>
    </row>
    <row r="876" spans="1:12" s="20" customFormat="1" ht="391.5" x14ac:dyDescent="0.4">
      <c r="A876" s="14" t="s">
        <v>273</v>
      </c>
      <c r="B876" s="14"/>
      <c r="C876" s="23"/>
      <c r="D876" s="36">
        <v>3</v>
      </c>
      <c r="E876" s="37" t="s">
        <v>440</v>
      </c>
      <c r="F876" s="37" t="s">
        <v>441</v>
      </c>
      <c r="G876" s="37"/>
      <c r="H876" s="36"/>
      <c r="I876" s="23"/>
      <c r="J876" s="24"/>
      <c r="K876" s="24"/>
      <c r="L876" s="22"/>
    </row>
    <row r="877" spans="1:12" s="20" customFormat="1" ht="333.5" x14ac:dyDescent="0.4">
      <c r="A877" s="14" t="s">
        <v>273</v>
      </c>
      <c r="B877" s="14"/>
      <c r="C877" s="23"/>
      <c r="D877" s="36">
        <v>4</v>
      </c>
      <c r="E877" s="37" t="s">
        <v>442</v>
      </c>
      <c r="F877" s="37" t="s">
        <v>444</v>
      </c>
      <c r="G877" s="37" t="s">
        <v>898</v>
      </c>
      <c r="H877" s="36"/>
      <c r="I877" s="23"/>
      <c r="J877" s="24"/>
      <c r="K877" s="24"/>
      <c r="L877" s="22"/>
    </row>
    <row r="878" spans="1:12" s="20" customFormat="1" ht="345" x14ac:dyDescent="0.4">
      <c r="A878" s="14" t="s">
        <v>273</v>
      </c>
      <c r="B878" s="14"/>
      <c r="C878" s="23"/>
      <c r="D878" s="36">
        <v>5</v>
      </c>
      <c r="E878" s="37" t="s">
        <v>460</v>
      </c>
      <c r="F878" s="92" t="s">
        <v>765</v>
      </c>
      <c r="G878" s="37" t="s">
        <v>897</v>
      </c>
      <c r="H878" s="36"/>
      <c r="I878" s="23"/>
      <c r="J878" s="24"/>
      <c r="K878" s="24"/>
      <c r="L878" s="22"/>
    </row>
    <row r="879" spans="1:12" s="20" customFormat="1" ht="130.5" x14ac:dyDescent="0.4">
      <c r="A879" s="14" t="s">
        <v>273</v>
      </c>
      <c r="B879" s="14"/>
      <c r="C879" s="23"/>
      <c r="D879" s="36">
        <v>6</v>
      </c>
      <c r="E879" s="93" t="s">
        <v>895</v>
      </c>
      <c r="F879" s="37" t="s">
        <v>1038</v>
      </c>
      <c r="G879" s="37"/>
      <c r="H879" s="36"/>
      <c r="I879" s="23"/>
      <c r="J879" s="24"/>
      <c r="K879" s="24"/>
      <c r="L879" s="22"/>
    </row>
    <row r="880" spans="1:12" s="20" customFormat="1" ht="29" x14ac:dyDescent="0.4">
      <c r="A880" s="39"/>
      <c r="B880" s="39" t="s">
        <v>851</v>
      </c>
      <c r="C880" s="39" t="s">
        <v>767</v>
      </c>
      <c r="D880" s="40"/>
      <c r="E880" s="41"/>
      <c r="F880" s="41"/>
      <c r="G880" s="41"/>
      <c r="H880" s="40"/>
      <c r="I880" s="32"/>
      <c r="J880" s="24"/>
      <c r="K880" s="24"/>
      <c r="L880" s="22"/>
    </row>
    <row r="881" spans="1:12" s="20" customFormat="1" ht="72.5" x14ac:dyDescent="0.4">
      <c r="A881" s="14" t="s">
        <v>273</v>
      </c>
      <c r="B881" s="14"/>
      <c r="C881" s="23"/>
      <c r="D881" s="36">
        <v>1</v>
      </c>
      <c r="E881" s="37" t="s">
        <v>304</v>
      </c>
      <c r="F881" s="37" t="s">
        <v>1041</v>
      </c>
      <c r="G881" s="37" t="s">
        <v>303</v>
      </c>
      <c r="H881" s="36" t="s">
        <v>293</v>
      </c>
      <c r="I881" s="23" t="s">
        <v>123</v>
      </c>
      <c r="J881" s="24"/>
      <c r="K881" s="24"/>
      <c r="L881" s="22"/>
    </row>
    <row r="882" spans="1:12" s="20" customFormat="1" ht="246.5" x14ac:dyDescent="0.4">
      <c r="A882" s="14" t="s">
        <v>273</v>
      </c>
      <c r="B882" s="14"/>
      <c r="C882" s="23"/>
      <c r="D882" s="36">
        <v>2</v>
      </c>
      <c r="E882" s="37" t="s">
        <v>712</v>
      </c>
      <c r="F882" s="81" t="s">
        <v>306</v>
      </c>
      <c r="G882" s="37" t="s">
        <v>352</v>
      </c>
      <c r="H882" s="36"/>
      <c r="I882" s="23"/>
      <c r="J882" s="24"/>
      <c r="K882" s="24"/>
      <c r="L882" s="22"/>
    </row>
    <row r="883" spans="1:12" s="20" customFormat="1" ht="391.5" x14ac:dyDescent="0.4">
      <c r="A883" s="14" t="s">
        <v>273</v>
      </c>
      <c r="B883" s="14"/>
      <c r="C883" s="23"/>
      <c r="D883" s="36">
        <v>3</v>
      </c>
      <c r="E883" s="37" t="s">
        <v>440</v>
      </c>
      <c r="F883" s="37" t="s">
        <v>441</v>
      </c>
      <c r="G883" s="37"/>
      <c r="H883" s="36"/>
      <c r="I883" s="23"/>
      <c r="J883" s="24"/>
      <c r="K883" s="24"/>
      <c r="L883" s="22"/>
    </row>
    <row r="884" spans="1:12" s="20" customFormat="1" ht="333.5" x14ac:dyDescent="0.4">
      <c r="A884" s="14" t="s">
        <v>273</v>
      </c>
      <c r="B884" s="14"/>
      <c r="C884" s="23"/>
      <c r="D884" s="36">
        <v>4</v>
      </c>
      <c r="E884" s="37" t="s">
        <v>442</v>
      </c>
      <c r="F884" s="37" t="s">
        <v>444</v>
      </c>
      <c r="G884" s="37" t="s">
        <v>443</v>
      </c>
      <c r="H884" s="36"/>
      <c r="I884" s="23"/>
      <c r="J884" s="24"/>
      <c r="K884" s="24"/>
      <c r="L884" s="22"/>
    </row>
    <row r="885" spans="1:12" s="20" customFormat="1" ht="409.5" x14ac:dyDescent="0.4">
      <c r="A885" s="14" t="s">
        <v>273</v>
      </c>
      <c r="B885" s="14"/>
      <c r="C885" s="23"/>
      <c r="D885" s="36">
        <v>5</v>
      </c>
      <c r="E885" s="37" t="s">
        <v>470</v>
      </c>
      <c r="F885" s="92" t="s">
        <v>1039</v>
      </c>
      <c r="G885" s="37"/>
      <c r="H885" s="36"/>
      <c r="I885" s="23"/>
      <c r="J885" s="24"/>
      <c r="K885" s="24"/>
      <c r="L885" s="22"/>
    </row>
    <row r="886" spans="1:12" s="20" customFormat="1" ht="90" x14ac:dyDescent="0.4">
      <c r="A886" s="14" t="s">
        <v>273</v>
      </c>
      <c r="B886" s="14"/>
      <c r="C886" s="23"/>
      <c r="D886" s="36">
        <v>6</v>
      </c>
      <c r="E886" s="93" t="s">
        <v>477</v>
      </c>
      <c r="F886" s="92" t="s">
        <v>476</v>
      </c>
      <c r="G886" s="37"/>
      <c r="H886" s="36"/>
      <c r="I886" s="23"/>
      <c r="J886" s="24"/>
      <c r="K886" s="24"/>
      <c r="L886" s="22"/>
    </row>
    <row r="887" spans="1:12" s="20" customFormat="1" ht="105" x14ac:dyDescent="0.4">
      <c r="A887" s="14" t="s">
        <v>273</v>
      </c>
      <c r="B887" s="14"/>
      <c r="C887" s="23"/>
      <c r="D887" s="36">
        <v>7</v>
      </c>
      <c r="E887" s="93" t="s">
        <v>478</v>
      </c>
      <c r="F887" s="92" t="s">
        <v>479</v>
      </c>
      <c r="G887" s="37"/>
      <c r="H887" s="36"/>
      <c r="I887" s="23"/>
      <c r="J887" s="24"/>
      <c r="K887" s="24"/>
      <c r="L887" s="22"/>
    </row>
    <row r="888" spans="1:12" s="20" customFormat="1" ht="58" x14ac:dyDescent="0.4">
      <c r="A888" s="14" t="s">
        <v>273</v>
      </c>
      <c r="B888" s="14"/>
      <c r="C888" s="23"/>
      <c r="D888" s="36">
        <v>8</v>
      </c>
      <c r="E888" s="90" t="s">
        <v>472</v>
      </c>
      <c r="F888" s="92" t="s">
        <v>473</v>
      </c>
      <c r="G888" s="37"/>
      <c r="H888" s="36"/>
      <c r="I888" s="23"/>
      <c r="J888" s="24"/>
      <c r="K888" s="24"/>
      <c r="L888" s="22"/>
    </row>
    <row r="889" spans="1:12" s="20" customFormat="1" ht="174" x14ac:dyDescent="0.4">
      <c r="A889" s="14" t="s">
        <v>273</v>
      </c>
      <c r="B889" s="14"/>
      <c r="C889" s="23"/>
      <c r="D889" s="36">
        <v>9</v>
      </c>
      <c r="E889" s="93" t="s">
        <v>462</v>
      </c>
      <c r="F889" s="37" t="s">
        <v>474</v>
      </c>
      <c r="G889" s="93"/>
      <c r="H889" s="36"/>
      <c r="I889" s="23"/>
      <c r="J889" s="24"/>
      <c r="K889" s="24"/>
      <c r="L889" s="22"/>
    </row>
    <row r="890" spans="1:12" s="20" customFormat="1" ht="159.5" x14ac:dyDescent="0.4">
      <c r="A890" s="14" t="s">
        <v>273</v>
      </c>
      <c r="B890" s="14"/>
      <c r="C890" s="14"/>
      <c r="D890" s="36">
        <v>10</v>
      </c>
      <c r="E890" s="37" t="s">
        <v>354</v>
      </c>
      <c r="F890" s="37" t="s">
        <v>356</v>
      </c>
      <c r="G890" s="37" t="s">
        <v>407</v>
      </c>
      <c r="H890" s="36"/>
      <c r="I890" s="23"/>
      <c r="J890" s="24"/>
      <c r="K890" s="24"/>
      <c r="L890" s="22"/>
    </row>
    <row r="891" spans="1:12" s="20" customFormat="1" ht="165" customHeight="1" x14ac:dyDescent="0.4">
      <c r="A891" s="14" t="s">
        <v>273</v>
      </c>
      <c r="B891" s="14"/>
      <c r="C891" s="14"/>
      <c r="D891" s="36">
        <v>11</v>
      </c>
      <c r="E891" s="37" t="s">
        <v>357</v>
      </c>
      <c r="F891" s="37" t="s">
        <v>475</v>
      </c>
      <c r="G891" s="37"/>
      <c r="H891" s="36"/>
      <c r="I891" s="23"/>
      <c r="J891" s="24"/>
      <c r="K891" s="24"/>
      <c r="L891" s="22"/>
    </row>
    <row r="892" spans="1:12" s="20" customFormat="1" ht="29" x14ac:dyDescent="0.4">
      <c r="A892" s="39"/>
      <c r="B892" s="39" t="s">
        <v>853</v>
      </c>
      <c r="C892" s="39" t="s">
        <v>1001</v>
      </c>
      <c r="D892" s="40"/>
      <c r="E892" s="41"/>
      <c r="F892" s="41"/>
      <c r="G892" s="41"/>
      <c r="H892" s="40"/>
      <c r="I892" s="32"/>
      <c r="J892" s="24"/>
      <c r="K892" s="24"/>
      <c r="L892" s="22"/>
    </row>
    <row r="893" spans="1:12" s="20" customFormat="1" ht="72.5" x14ac:dyDescent="0.4">
      <c r="A893" s="14" t="s">
        <v>273</v>
      </c>
      <c r="B893" s="14"/>
      <c r="C893" s="23"/>
      <c r="D893" s="36">
        <v>1</v>
      </c>
      <c r="E893" s="37" t="s">
        <v>304</v>
      </c>
      <c r="F893" s="37" t="s">
        <v>1041</v>
      </c>
      <c r="G893" s="37" t="s">
        <v>303</v>
      </c>
      <c r="H893" s="36" t="s">
        <v>293</v>
      </c>
      <c r="I893" s="23" t="s">
        <v>123</v>
      </c>
      <c r="J893" s="24"/>
      <c r="K893" s="24"/>
      <c r="L893" s="22"/>
    </row>
    <row r="894" spans="1:12" s="20" customFormat="1" ht="246.5" x14ac:dyDescent="0.4">
      <c r="A894" s="14" t="s">
        <v>273</v>
      </c>
      <c r="B894" s="14"/>
      <c r="C894" s="23"/>
      <c r="D894" s="36">
        <v>2</v>
      </c>
      <c r="E894" s="37" t="s">
        <v>712</v>
      </c>
      <c r="F894" s="81" t="s">
        <v>306</v>
      </c>
      <c r="G894" s="37" t="s">
        <v>352</v>
      </c>
      <c r="H894" s="36"/>
      <c r="I894" s="23"/>
      <c r="J894" s="24"/>
      <c r="K894" s="24"/>
      <c r="L894" s="22"/>
    </row>
    <row r="895" spans="1:12" s="20" customFormat="1" ht="391.5" x14ac:dyDescent="0.4">
      <c r="A895" s="14" t="s">
        <v>273</v>
      </c>
      <c r="B895" s="14"/>
      <c r="C895" s="23"/>
      <c r="D895" s="36">
        <v>3</v>
      </c>
      <c r="E895" s="37" t="s">
        <v>440</v>
      </c>
      <c r="F895" s="37" t="s">
        <v>441</v>
      </c>
      <c r="G895" s="37"/>
      <c r="H895" s="36"/>
      <c r="I895" s="23"/>
      <c r="J895" s="24"/>
      <c r="K895" s="24"/>
      <c r="L895" s="22"/>
    </row>
    <row r="896" spans="1:12" s="20" customFormat="1" ht="333.5" x14ac:dyDescent="0.4">
      <c r="A896" s="14" t="s">
        <v>273</v>
      </c>
      <c r="B896" s="14"/>
      <c r="C896" s="23"/>
      <c r="D896" s="36">
        <v>4</v>
      </c>
      <c r="E896" s="37" t="s">
        <v>442</v>
      </c>
      <c r="F896" s="37" t="s">
        <v>444</v>
      </c>
      <c r="G896" s="37" t="s">
        <v>443</v>
      </c>
      <c r="H896" s="36"/>
      <c r="I896" s="23"/>
      <c r="J896" s="24"/>
      <c r="K896" s="24"/>
      <c r="L896" s="22"/>
    </row>
    <row r="897" spans="1:12" s="20" customFormat="1" ht="409.5" x14ac:dyDescent="0.4">
      <c r="A897" s="14" t="s">
        <v>273</v>
      </c>
      <c r="B897" s="14"/>
      <c r="C897" s="23"/>
      <c r="D897" s="36">
        <v>5</v>
      </c>
      <c r="E897" s="37" t="s">
        <v>470</v>
      </c>
      <c r="F897" s="92" t="s">
        <v>1039</v>
      </c>
      <c r="G897" s="37" t="s">
        <v>1156</v>
      </c>
      <c r="H897" s="36"/>
      <c r="I897" s="23"/>
      <c r="J897" s="24"/>
      <c r="K897" s="24"/>
      <c r="L897" s="22"/>
    </row>
    <row r="898" spans="1:12" s="20" customFormat="1" ht="43.5" x14ac:dyDescent="0.4">
      <c r="A898" s="39"/>
      <c r="B898" s="39" t="s">
        <v>855</v>
      </c>
      <c r="C898" s="39" t="s">
        <v>1002</v>
      </c>
      <c r="D898" s="40"/>
      <c r="E898" s="41"/>
      <c r="F898" s="41"/>
      <c r="G898" s="41"/>
      <c r="H898" s="40"/>
      <c r="I898" s="32"/>
      <c r="J898" s="24"/>
      <c r="K898" s="24"/>
      <c r="L898" s="22"/>
    </row>
    <row r="899" spans="1:12" s="20" customFormat="1" ht="72.5" x14ac:dyDescent="0.4">
      <c r="A899" s="14" t="s">
        <v>273</v>
      </c>
      <c r="B899" s="14"/>
      <c r="C899" s="23"/>
      <c r="D899" s="36">
        <v>1</v>
      </c>
      <c r="E899" s="37" t="s">
        <v>304</v>
      </c>
      <c r="F899" s="37" t="s">
        <v>1041</v>
      </c>
      <c r="G899" s="37" t="s">
        <v>303</v>
      </c>
      <c r="H899" s="36" t="s">
        <v>293</v>
      </c>
      <c r="I899" s="23" t="s">
        <v>123</v>
      </c>
      <c r="J899" s="24"/>
      <c r="K899" s="24"/>
      <c r="L899" s="22"/>
    </row>
    <row r="900" spans="1:12" s="20" customFormat="1" ht="246.5" x14ac:dyDescent="0.4">
      <c r="A900" s="14" t="s">
        <v>273</v>
      </c>
      <c r="B900" s="14"/>
      <c r="C900" s="23"/>
      <c r="D900" s="36">
        <v>2</v>
      </c>
      <c r="E900" s="37" t="s">
        <v>712</v>
      </c>
      <c r="F900" s="81" t="s">
        <v>306</v>
      </c>
      <c r="G900" s="37" t="s">
        <v>352</v>
      </c>
      <c r="H900" s="36"/>
      <c r="I900" s="23"/>
      <c r="J900" s="24"/>
      <c r="K900" s="24"/>
      <c r="L900" s="22"/>
    </row>
    <row r="901" spans="1:12" s="20" customFormat="1" ht="391.5" x14ac:dyDescent="0.4">
      <c r="A901" s="14" t="s">
        <v>273</v>
      </c>
      <c r="B901" s="14"/>
      <c r="C901" s="23"/>
      <c r="D901" s="36">
        <v>3</v>
      </c>
      <c r="E901" s="37" t="s">
        <v>440</v>
      </c>
      <c r="F901" s="37" t="s">
        <v>441</v>
      </c>
      <c r="G901" s="37"/>
      <c r="H901" s="36"/>
      <c r="I901" s="23"/>
      <c r="J901" s="24"/>
      <c r="K901" s="24"/>
      <c r="L901" s="22"/>
    </row>
    <row r="902" spans="1:12" s="20" customFormat="1" ht="333.5" x14ac:dyDescent="0.4">
      <c r="A902" s="14" t="s">
        <v>273</v>
      </c>
      <c r="B902" s="14"/>
      <c r="C902" s="23"/>
      <c r="D902" s="36">
        <v>4</v>
      </c>
      <c r="E902" s="37" t="s">
        <v>442</v>
      </c>
      <c r="F902" s="37" t="s">
        <v>444</v>
      </c>
      <c r="G902" s="37" t="s">
        <v>898</v>
      </c>
      <c r="H902" s="36"/>
      <c r="I902" s="23"/>
      <c r="J902" s="24"/>
      <c r="K902" s="24"/>
      <c r="L902" s="22"/>
    </row>
    <row r="903" spans="1:12" s="20" customFormat="1" ht="409.5" x14ac:dyDescent="0.4">
      <c r="A903" s="14" t="s">
        <v>273</v>
      </c>
      <c r="B903" s="14"/>
      <c r="C903" s="23"/>
      <c r="D903" s="36">
        <v>5</v>
      </c>
      <c r="E903" s="37" t="s">
        <v>470</v>
      </c>
      <c r="F903" s="92" t="s">
        <v>1039</v>
      </c>
      <c r="G903" s="37"/>
      <c r="H903" s="36"/>
      <c r="I903" s="23"/>
      <c r="J903" s="24"/>
      <c r="K903" s="24"/>
      <c r="L903" s="22"/>
    </row>
    <row r="904" spans="1:12" s="20" customFormat="1" ht="75" x14ac:dyDescent="0.4">
      <c r="A904" s="14" t="s">
        <v>273</v>
      </c>
      <c r="B904" s="14"/>
      <c r="C904" s="23"/>
      <c r="D904" s="36">
        <v>6</v>
      </c>
      <c r="E904" s="93" t="s">
        <v>900</v>
      </c>
      <c r="F904" s="92" t="s">
        <v>905</v>
      </c>
      <c r="G904" s="37"/>
      <c r="H904" s="36"/>
      <c r="I904" s="23"/>
      <c r="J904" s="24"/>
      <c r="K904" s="24"/>
      <c r="L904" s="22"/>
    </row>
    <row r="905" spans="1:12" s="20" customFormat="1" ht="105" x14ac:dyDescent="0.4">
      <c r="A905" s="14" t="s">
        <v>273</v>
      </c>
      <c r="B905" s="14"/>
      <c r="C905" s="23"/>
      <c r="D905" s="36">
        <v>7</v>
      </c>
      <c r="E905" s="93" t="s">
        <v>906</v>
      </c>
      <c r="F905" s="92" t="s">
        <v>901</v>
      </c>
      <c r="G905" s="37"/>
      <c r="H905" s="36"/>
      <c r="I905" s="23"/>
      <c r="J905" s="24"/>
      <c r="K905" s="24"/>
      <c r="L905" s="22"/>
    </row>
    <row r="906" spans="1:12" s="20" customFormat="1" ht="43.5" x14ac:dyDescent="0.4">
      <c r="A906" s="39"/>
      <c r="B906" s="39" t="s">
        <v>857</v>
      </c>
      <c r="C906" s="39" t="s">
        <v>1003</v>
      </c>
      <c r="D906" s="40"/>
      <c r="E906" s="41"/>
      <c r="F906" s="41"/>
      <c r="G906" s="41"/>
      <c r="H906" s="40"/>
      <c r="I906" s="32"/>
      <c r="J906" s="24"/>
      <c r="K906" s="24"/>
      <c r="L906" s="22"/>
    </row>
    <row r="907" spans="1:12" s="20" customFormat="1" ht="72.5" x14ac:dyDescent="0.4">
      <c r="A907" s="14" t="s">
        <v>273</v>
      </c>
      <c r="B907" s="14"/>
      <c r="C907" s="23"/>
      <c r="D907" s="36">
        <v>1</v>
      </c>
      <c r="E907" s="37" t="s">
        <v>304</v>
      </c>
      <c r="F907" s="37" t="s">
        <v>1041</v>
      </c>
      <c r="G907" s="37" t="s">
        <v>303</v>
      </c>
      <c r="H907" s="36" t="s">
        <v>293</v>
      </c>
      <c r="I907" s="23" t="s">
        <v>123</v>
      </c>
      <c r="J907" s="24"/>
      <c r="K907" s="24"/>
      <c r="L907" s="22"/>
    </row>
    <row r="908" spans="1:12" s="20" customFormat="1" ht="246.5" x14ac:dyDescent="0.4">
      <c r="A908" s="14" t="s">
        <v>273</v>
      </c>
      <c r="B908" s="14"/>
      <c r="C908" s="23"/>
      <c r="D908" s="36">
        <v>2</v>
      </c>
      <c r="E908" s="37" t="s">
        <v>712</v>
      </c>
      <c r="F908" s="81" t="s">
        <v>306</v>
      </c>
      <c r="G908" s="37" t="s">
        <v>352</v>
      </c>
      <c r="H908" s="36"/>
      <c r="I908" s="23"/>
      <c r="J908" s="24"/>
      <c r="K908" s="24"/>
      <c r="L908" s="22"/>
    </row>
    <row r="909" spans="1:12" s="20" customFormat="1" ht="391.5" x14ac:dyDescent="0.4">
      <c r="A909" s="14" t="s">
        <v>273</v>
      </c>
      <c r="B909" s="14"/>
      <c r="C909" s="23"/>
      <c r="D909" s="36">
        <v>3</v>
      </c>
      <c r="E909" s="37" t="s">
        <v>440</v>
      </c>
      <c r="F909" s="37" t="s">
        <v>441</v>
      </c>
      <c r="G909" s="37"/>
      <c r="H909" s="36"/>
      <c r="I909" s="23"/>
      <c r="J909" s="24"/>
      <c r="K909" s="24"/>
      <c r="L909" s="22"/>
    </row>
    <row r="910" spans="1:12" s="20" customFormat="1" ht="333.5" x14ac:dyDescent="0.4">
      <c r="A910" s="14" t="s">
        <v>273</v>
      </c>
      <c r="B910" s="14"/>
      <c r="C910" s="23"/>
      <c r="D910" s="36">
        <v>4</v>
      </c>
      <c r="E910" s="37" t="s">
        <v>442</v>
      </c>
      <c r="F910" s="37" t="s">
        <v>444</v>
      </c>
      <c r="G910" s="37"/>
      <c r="H910" s="36"/>
      <c r="I910" s="23"/>
      <c r="J910" s="24"/>
      <c r="K910" s="24"/>
      <c r="L910" s="22"/>
    </row>
    <row r="911" spans="1:12" s="20" customFormat="1" ht="409.5" x14ac:dyDescent="0.4">
      <c r="A911" s="14" t="s">
        <v>273</v>
      </c>
      <c r="B911" s="14"/>
      <c r="C911" s="23"/>
      <c r="D911" s="36">
        <v>5</v>
      </c>
      <c r="E911" s="37" t="s">
        <v>470</v>
      </c>
      <c r="F911" s="92" t="s">
        <v>1039</v>
      </c>
      <c r="G911" s="37"/>
      <c r="H911" s="36"/>
      <c r="I911" s="23"/>
      <c r="J911" s="24"/>
      <c r="K911" s="24"/>
      <c r="L911" s="22"/>
    </row>
    <row r="912" spans="1:12" s="20" customFormat="1" ht="60" x14ac:dyDescent="0.4">
      <c r="A912" s="14" t="s">
        <v>273</v>
      </c>
      <c r="B912" s="14"/>
      <c r="C912" s="23"/>
      <c r="D912" s="36">
        <v>6</v>
      </c>
      <c r="E912" s="93" t="s">
        <v>903</v>
      </c>
      <c r="F912" s="92" t="s">
        <v>904</v>
      </c>
      <c r="G912" s="37"/>
      <c r="H912" s="36"/>
      <c r="I912" s="23"/>
      <c r="J912" s="24"/>
      <c r="K912" s="24"/>
      <c r="L912" s="22"/>
    </row>
    <row r="913" spans="1:12" s="20" customFormat="1" ht="120" x14ac:dyDescent="0.4">
      <c r="A913" s="14" t="s">
        <v>273</v>
      </c>
      <c r="B913" s="14"/>
      <c r="C913" s="23"/>
      <c r="D913" s="36">
        <v>7</v>
      </c>
      <c r="E913" s="93" t="s">
        <v>907</v>
      </c>
      <c r="F913" s="92" t="s">
        <v>901</v>
      </c>
      <c r="G913" s="37"/>
      <c r="H913" s="36"/>
      <c r="I913" s="23"/>
      <c r="J913" s="24"/>
      <c r="K913" s="24"/>
      <c r="L913" s="22"/>
    </row>
    <row r="914" spans="1:12" s="20" customFormat="1" ht="29" x14ac:dyDescent="0.4">
      <c r="A914" s="39"/>
      <c r="B914" s="39" t="s">
        <v>1049</v>
      </c>
      <c r="C914" s="39" t="s">
        <v>1004</v>
      </c>
      <c r="D914" s="40"/>
      <c r="E914" s="41"/>
      <c r="F914" s="41"/>
      <c r="G914" s="41"/>
      <c r="H914" s="40"/>
      <c r="I914" s="32"/>
      <c r="J914" s="24"/>
      <c r="K914" s="24"/>
      <c r="L914" s="22"/>
    </row>
    <row r="915" spans="1:12" s="20" customFormat="1" ht="72.5" x14ac:dyDescent="0.4">
      <c r="A915" s="14" t="s">
        <v>273</v>
      </c>
      <c r="B915" s="14"/>
      <c r="C915" s="23"/>
      <c r="D915" s="36">
        <v>1</v>
      </c>
      <c r="E915" s="37" t="s">
        <v>304</v>
      </c>
      <c r="F915" s="37" t="s">
        <v>1041</v>
      </c>
      <c r="G915" s="37" t="s">
        <v>303</v>
      </c>
      <c r="H915" s="36" t="s">
        <v>293</v>
      </c>
      <c r="I915" s="23" t="s">
        <v>123</v>
      </c>
      <c r="J915" s="24"/>
      <c r="K915" s="24"/>
      <c r="L915" s="22"/>
    </row>
    <row r="916" spans="1:12" s="20" customFormat="1" ht="246.5" x14ac:dyDescent="0.4">
      <c r="A916" s="14" t="s">
        <v>273</v>
      </c>
      <c r="B916" s="14"/>
      <c r="C916" s="23"/>
      <c r="D916" s="36">
        <v>2</v>
      </c>
      <c r="E916" s="37" t="s">
        <v>712</v>
      </c>
      <c r="F916" s="81" t="s">
        <v>306</v>
      </c>
      <c r="G916" s="37" t="s">
        <v>352</v>
      </c>
      <c r="H916" s="36"/>
      <c r="I916" s="23"/>
      <c r="J916" s="24"/>
      <c r="K916" s="24"/>
      <c r="L916" s="22"/>
    </row>
    <row r="917" spans="1:12" s="20" customFormat="1" ht="391.5" x14ac:dyDescent="0.4">
      <c r="A917" s="14" t="s">
        <v>273</v>
      </c>
      <c r="B917" s="14"/>
      <c r="C917" s="23"/>
      <c r="D917" s="36">
        <v>3</v>
      </c>
      <c r="E917" s="37" t="s">
        <v>440</v>
      </c>
      <c r="F917" s="37" t="s">
        <v>441</v>
      </c>
      <c r="G917" s="37"/>
      <c r="H917" s="36"/>
      <c r="I917" s="23"/>
      <c r="J917" s="24"/>
      <c r="K917" s="24"/>
      <c r="L917" s="22"/>
    </row>
    <row r="918" spans="1:12" s="20" customFormat="1" ht="333.5" x14ac:dyDescent="0.4">
      <c r="A918" s="14" t="s">
        <v>273</v>
      </c>
      <c r="B918" s="14"/>
      <c r="C918" s="23"/>
      <c r="D918" s="36">
        <v>4</v>
      </c>
      <c r="E918" s="37" t="s">
        <v>442</v>
      </c>
      <c r="F918" s="37" t="s">
        <v>444</v>
      </c>
      <c r="G918" s="37" t="s">
        <v>898</v>
      </c>
      <c r="H918" s="36"/>
      <c r="I918" s="23"/>
      <c r="J918" s="24"/>
      <c r="K918" s="24"/>
      <c r="L918" s="22"/>
    </row>
    <row r="919" spans="1:12" s="20" customFormat="1" ht="409.5" x14ac:dyDescent="0.4">
      <c r="A919" s="14" t="s">
        <v>273</v>
      </c>
      <c r="B919" s="14"/>
      <c r="C919" s="23"/>
      <c r="D919" s="36">
        <v>5</v>
      </c>
      <c r="E919" s="37" t="s">
        <v>480</v>
      </c>
      <c r="F919" s="92" t="s">
        <v>769</v>
      </c>
      <c r="G919" s="37"/>
      <c r="H919" s="36"/>
      <c r="I919" s="23"/>
      <c r="J919" s="24"/>
      <c r="K919" s="24"/>
      <c r="L919" s="22"/>
    </row>
    <row r="920" spans="1:12" s="20" customFormat="1" ht="87" x14ac:dyDescent="0.4">
      <c r="A920" s="14" t="s">
        <v>273</v>
      </c>
      <c r="B920" s="14"/>
      <c r="C920" s="23"/>
      <c r="D920" s="36">
        <v>6</v>
      </c>
      <c r="E920" s="37" t="s">
        <v>482</v>
      </c>
      <c r="F920" s="37" t="s">
        <v>476</v>
      </c>
      <c r="G920" s="37"/>
      <c r="H920" s="36"/>
      <c r="I920" s="23"/>
      <c r="J920" s="24"/>
      <c r="K920" s="24"/>
      <c r="L920" s="22"/>
    </row>
    <row r="921" spans="1:12" s="20" customFormat="1" ht="130.5" x14ac:dyDescent="0.4">
      <c r="A921" s="14" t="s">
        <v>273</v>
      </c>
      <c r="B921" s="14"/>
      <c r="C921" s="69"/>
      <c r="D921" s="36">
        <v>7</v>
      </c>
      <c r="E921" s="37" t="s">
        <v>483</v>
      </c>
      <c r="F921" s="37" t="s">
        <v>484</v>
      </c>
      <c r="G921" s="37"/>
      <c r="H921" s="37"/>
      <c r="I921" s="37"/>
      <c r="J921" s="24"/>
      <c r="K921" s="24"/>
      <c r="L921" s="22"/>
    </row>
    <row r="922" spans="1:12" s="20" customFormat="1" ht="58" x14ac:dyDescent="0.4">
      <c r="A922" s="14" t="s">
        <v>273</v>
      </c>
      <c r="B922" s="14"/>
      <c r="C922" s="69"/>
      <c r="D922" s="36">
        <v>8</v>
      </c>
      <c r="E922" s="37" t="s">
        <v>911</v>
      </c>
      <c r="F922" s="37" t="s">
        <v>539</v>
      </c>
      <c r="G922" s="37"/>
      <c r="H922" s="37"/>
      <c r="I922" s="37"/>
      <c r="J922" s="24"/>
      <c r="K922" s="24"/>
      <c r="L922" s="22"/>
    </row>
    <row r="923" spans="1:12" s="20" customFormat="1" ht="29" x14ac:dyDescent="0.4">
      <c r="A923" s="39"/>
      <c r="B923" s="39" t="s">
        <v>1050</v>
      </c>
      <c r="C923" s="39" t="s">
        <v>1005</v>
      </c>
      <c r="D923" s="40"/>
      <c r="E923" s="41"/>
      <c r="F923" s="41"/>
      <c r="G923" s="41"/>
      <c r="H923" s="40"/>
      <c r="I923" s="32"/>
      <c r="J923" s="24"/>
      <c r="K923" s="24"/>
      <c r="L923" s="22"/>
    </row>
    <row r="924" spans="1:12" s="20" customFormat="1" ht="72.5" x14ac:dyDescent="0.4">
      <c r="A924" s="14" t="s">
        <v>273</v>
      </c>
      <c r="B924" s="14"/>
      <c r="C924" s="23"/>
      <c r="D924" s="36">
        <v>1</v>
      </c>
      <c r="E924" s="37" t="s">
        <v>304</v>
      </c>
      <c r="F924" s="37" t="s">
        <v>1041</v>
      </c>
      <c r="G924" s="37" t="s">
        <v>303</v>
      </c>
      <c r="H924" s="36" t="s">
        <v>293</v>
      </c>
      <c r="I924" s="23" t="s">
        <v>123</v>
      </c>
      <c r="J924" s="24"/>
      <c r="K924" s="24"/>
      <c r="L924" s="22"/>
    </row>
    <row r="925" spans="1:12" s="20" customFormat="1" ht="246.5" x14ac:dyDescent="0.4">
      <c r="A925" s="14" t="s">
        <v>273</v>
      </c>
      <c r="B925" s="14"/>
      <c r="C925" s="23"/>
      <c r="D925" s="36">
        <v>2</v>
      </c>
      <c r="E925" s="37" t="s">
        <v>712</v>
      </c>
      <c r="F925" s="81" t="s">
        <v>306</v>
      </c>
      <c r="G925" s="37" t="s">
        <v>352</v>
      </c>
      <c r="H925" s="36"/>
      <c r="I925" s="23"/>
      <c r="J925" s="24"/>
      <c r="K925" s="24"/>
      <c r="L925" s="22"/>
    </row>
    <row r="926" spans="1:12" s="20" customFormat="1" ht="391.5" x14ac:dyDescent="0.4">
      <c r="A926" s="14" t="s">
        <v>273</v>
      </c>
      <c r="B926" s="14"/>
      <c r="C926" s="23"/>
      <c r="D926" s="36">
        <v>3</v>
      </c>
      <c r="E926" s="37" t="s">
        <v>440</v>
      </c>
      <c r="F926" s="37" t="s">
        <v>441</v>
      </c>
      <c r="G926" s="37"/>
      <c r="H926" s="36"/>
      <c r="I926" s="23"/>
      <c r="J926" s="24"/>
      <c r="K926" s="24"/>
      <c r="L926" s="22"/>
    </row>
    <row r="927" spans="1:12" s="20" customFormat="1" ht="333.5" x14ac:dyDescent="0.4">
      <c r="A927" s="14" t="s">
        <v>273</v>
      </c>
      <c r="B927" s="14"/>
      <c r="C927" s="23"/>
      <c r="D927" s="36">
        <v>4</v>
      </c>
      <c r="E927" s="37" t="s">
        <v>442</v>
      </c>
      <c r="F927" s="37" t="s">
        <v>444</v>
      </c>
      <c r="G927" s="37" t="s">
        <v>898</v>
      </c>
      <c r="H927" s="36"/>
      <c r="I927" s="23"/>
      <c r="J927" s="24"/>
      <c r="K927" s="24"/>
      <c r="L927" s="22"/>
    </row>
    <row r="928" spans="1:12" s="20" customFormat="1" ht="409.5" x14ac:dyDescent="0.4">
      <c r="A928" s="14" t="s">
        <v>273</v>
      </c>
      <c r="B928" s="14"/>
      <c r="C928" s="23"/>
      <c r="D928" s="36">
        <v>5</v>
      </c>
      <c r="E928" s="37" t="s">
        <v>480</v>
      </c>
      <c r="F928" s="92" t="s">
        <v>769</v>
      </c>
      <c r="G928" s="37" t="s">
        <v>1152</v>
      </c>
      <c r="H928" s="36"/>
      <c r="I928" s="23"/>
      <c r="J928" s="24"/>
      <c r="K928" s="24"/>
      <c r="L928" s="22"/>
    </row>
    <row r="929" spans="1:12" s="20" customFormat="1" ht="29" x14ac:dyDescent="0.4">
      <c r="A929" s="39"/>
      <c r="B929" s="39" t="s">
        <v>1051</v>
      </c>
      <c r="C929" s="39" t="s">
        <v>1006</v>
      </c>
      <c r="D929" s="40"/>
      <c r="E929" s="41"/>
      <c r="F929" s="41"/>
      <c r="G929" s="41"/>
      <c r="H929" s="40"/>
      <c r="I929" s="32"/>
      <c r="J929" s="24"/>
      <c r="K929" s="24"/>
      <c r="L929" s="22"/>
    </row>
    <row r="930" spans="1:12" s="20" customFormat="1" ht="72.5" x14ac:dyDescent="0.4">
      <c r="A930" s="14" t="s">
        <v>273</v>
      </c>
      <c r="B930" s="14"/>
      <c r="C930" s="23"/>
      <c r="D930" s="36">
        <v>1</v>
      </c>
      <c r="E930" s="37" t="s">
        <v>304</v>
      </c>
      <c r="F930" s="37" t="s">
        <v>1041</v>
      </c>
      <c r="G930" s="37" t="s">
        <v>303</v>
      </c>
      <c r="H930" s="36" t="s">
        <v>293</v>
      </c>
      <c r="I930" s="23" t="s">
        <v>123</v>
      </c>
      <c r="J930" s="24"/>
      <c r="K930" s="24"/>
      <c r="L930" s="22"/>
    </row>
    <row r="931" spans="1:12" s="20" customFormat="1" ht="246.5" x14ac:dyDescent="0.4">
      <c r="A931" s="14" t="s">
        <v>273</v>
      </c>
      <c r="B931" s="14"/>
      <c r="C931" s="23"/>
      <c r="D931" s="36">
        <v>2</v>
      </c>
      <c r="E931" s="37" t="s">
        <v>712</v>
      </c>
      <c r="F931" s="81" t="s">
        <v>306</v>
      </c>
      <c r="G931" s="37" t="s">
        <v>352</v>
      </c>
      <c r="H931" s="36"/>
      <c r="I931" s="23"/>
      <c r="J931" s="24"/>
      <c r="K931" s="24"/>
      <c r="L931" s="22"/>
    </row>
    <row r="932" spans="1:12" s="20" customFormat="1" ht="391.5" x14ac:dyDescent="0.4">
      <c r="A932" s="14" t="s">
        <v>273</v>
      </c>
      <c r="B932" s="14"/>
      <c r="C932" s="23"/>
      <c r="D932" s="36">
        <v>3</v>
      </c>
      <c r="E932" s="37" t="s">
        <v>440</v>
      </c>
      <c r="F932" s="37" t="s">
        <v>441</v>
      </c>
      <c r="G932" s="37"/>
      <c r="H932" s="36"/>
      <c r="I932" s="23"/>
      <c r="J932" s="24"/>
      <c r="K932" s="24"/>
      <c r="L932" s="22"/>
    </row>
    <row r="933" spans="1:12" s="20" customFormat="1" ht="333.5" x14ac:dyDescent="0.4">
      <c r="A933" s="14" t="s">
        <v>273</v>
      </c>
      <c r="B933" s="14"/>
      <c r="C933" s="23"/>
      <c r="D933" s="36">
        <v>4</v>
      </c>
      <c r="E933" s="37" t="s">
        <v>442</v>
      </c>
      <c r="F933" s="37" t="s">
        <v>444</v>
      </c>
      <c r="G933" s="37" t="s">
        <v>898</v>
      </c>
      <c r="H933" s="36"/>
      <c r="I933" s="23"/>
      <c r="J933" s="24"/>
      <c r="K933" s="24"/>
      <c r="L933" s="22"/>
    </row>
    <row r="934" spans="1:12" s="20" customFormat="1" ht="409.5" x14ac:dyDescent="0.4">
      <c r="A934" s="14" t="s">
        <v>273</v>
      </c>
      <c r="B934" s="14"/>
      <c r="C934" s="23"/>
      <c r="D934" s="36">
        <v>5</v>
      </c>
      <c r="E934" s="37" t="s">
        <v>480</v>
      </c>
      <c r="F934" s="92" t="s">
        <v>769</v>
      </c>
      <c r="G934" s="37"/>
      <c r="H934" s="36"/>
      <c r="I934" s="23"/>
      <c r="J934" s="24"/>
      <c r="K934" s="24"/>
      <c r="L934" s="22"/>
    </row>
    <row r="935" spans="1:12" s="20" customFormat="1" ht="87" x14ac:dyDescent="0.4">
      <c r="A935" s="14" t="s">
        <v>273</v>
      </c>
      <c r="B935" s="14"/>
      <c r="C935" s="23"/>
      <c r="D935" s="36">
        <v>6</v>
      </c>
      <c r="E935" s="37" t="s">
        <v>482</v>
      </c>
      <c r="F935" s="37" t="s">
        <v>476</v>
      </c>
      <c r="G935" s="37"/>
      <c r="H935" s="36"/>
      <c r="I935" s="23"/>
      <c r="J935" s="24"/>
      <c r="K935" s="24"/>
      <c r="L935" s="22"/>
    </row>
    <row r="936" spans="1:12" s="20" customFormat="1" ht="130.5" x14ac:dyDescent="0.4">
      <c r="A936" s="14" t="s">
        <v>273</v>
      </c>
      <c r="B936" s="14"/>
      <c r="C936" s="69"/>
      <c r="D936" s="36">
        <v>7</v>
      </c>
      <c r="E936" s="37" t="s">
        <v>910</v>
      </c>
      <c r="F936" s="37" t="s">
        <v>484</v>
      </c>
      <c r="G936" s="37"/>
      <c r="H936" s="37"/>
      <c r="I936" s="37"/>
      <c r="J936" s="24"/>
      <c r="K936" s="24"/>
      <c r="L936" s="22"/>
    </row>
    <row r="937" spans="1:12" s="20" customFormat="1" ht="29" x14ac:dyDescent="0.4">
      <c r="A937" s="39"/>
      <c r="B937" s="39" t="s">
        <v>1052</v>
      </c>
      <c r="C937" s="39" t="s">
        <v>1007</v>
      </c>
      <c r="D937" s="40"/>
      <c r="E937" s="41"/>
      <c r="F937" s="41"/>
      <c r="G937" s="41"/>
      <c r="H937" s="40"/>
      <c r="I937" s="32"/>
      <c r="J937" s="24"/>
      <c r="K937" s="24"/>
      <c r="L937" s="22"/>
    </row>
    <row r="938" spans="1:12" s="20" customFormat="1" ht="72.5" x14ac:dyDescent="0.4">
      <c r="A938" s="14" t="s">
        <v>273</v>
      </c>
      <c r="B938" s="14"/>
      <c r="C938" s="23"/>
      <c r="D938" s="36">
        <v>1</v>
      </c>
      <c r="E938" s="37" t="s">
        <v>304</v>
      </c>
      <c r="F938" s="37" t="s">
        <v>1041</v>
      </c>
      <c r="G938" s="37" t="s">
        <v>303</v>
      </c>
      <c r="H938" s="36" t="s">
        <v>293</v>
      </c>
      <c r="I938" s="23" t="s">
        <v>123</v>
      </c>
      <c r="J938" s="24"/>
      <c r="K938" s="24"/>
      <c r="L938" s="22"/>
    </row>
    <row r="939" spans="1:12" s="20" customFormat="1" ht="246.5" x14ac:dyDescent="0.4">
      <c r="A939" s="14" t="s">
        <v>273</v>
      </c>
      <c r="B939" s="14"/>
      <c r="C939" s="23"/>
      <c r="D939" s="36">
        <v>2</v>
      </c>
      <c r="E939" s="37" t="s">
        <v>712</v>
      </c>
      <c r="F939" s="81" t="s">
        <v>306</v>
      </c>
      <c r="G939" s="37" t="s">
        <v>352</v>
      </c>
      <c r="H939" s="36"/>
      <c r="I939" s="23"/>
      <c r="J939" s="24"/>
      <c r="K939" s="24"/>
      <c r="L939" s="22"/>
    </row>
    <row r="940" spans="1:12" s="20" customFormat="1" ht="391.5" x14ac:dyDescent="0.4">
      <c r="A940" s="14" t="s">
        <v>273</v>
      </c>
      <c r="B940" s="14"/>
      <c r="C940" s="23"/>
      <c r="D940" s="36">
        <v>3</v>
      </c>
      <c r="E940" s="37" t="s">
        <v>440</v>
      </c>
      <c r="F940" s="37" t="s">
        <v>441</v>
      </c>
      <c r="G940" s="37"/>
      <c r="H940" s="36"/>
      <c r="I940" s="23"/>
      <c r="J940" s="24"/>
      <c r="K940" s="24"/>
      <c r="L940" s="22"/>
    </row>
    <row r="941" spans="1:12" s="20" customFormat="1" ht="333.5" x14ac:dyDescent="0.4">
      <c r="A941" s="14" t="s">
        <v>273</v>
      </c>
      <c r="B941" s="14"/>
      <c r="C941" s="23"/>
      <c r="D941" s="36">
        <v>4</v>
      </c>
      <c r="E941" s="37" t="s">
        <v>442</v>
      </c>
      <c r="F941" s="37" t="s">
        <v>444</v>
      </c>
      <c r="G941" s="37" t="s">
        <v>898</v>
      </c>
      <c r="H941" s="36"/>
      <c r="I941" s="23"/>
      <c r="J941" s="24"/>
      <c r="K941" s="24"/>
      <c r="L941" s="22"/>
    </row>
    <row r="942" spans="1:12" s="20" customFormat="1" ht="409.5" x14ac:dyDescent="0.4">
      <c r="A942" s="14" t="s">
        <v>273</v>
      </c>
      <c r="B942" s="14"/>
      <c r="C942" s="23"/>
      <c r="D942" s="36">
        <v>5</v>
      </c>
      <c r="E942" s="37" t="s">
        <v>480</v>
      </c>
      <c r="F942" s="92" t="s">
        <v>769</v>
      </c>
      <c r="G942" s="37"/>
      <c r="H942" s="36"/>
      <c r="I942" s="23"/>
      <c r="J942" s="24"/>
      <c r="K942" s="24"/>
      <c r="L942" s="22"/>
    </row>
    <row r="943" spans="1:12" s="20" customFormat="1" ht="87" x14ac:dyDescent="0.4">
      <c r="A943" s="14" t="s">
        <v>273</v>
      </c>
      <c r="B943" s="14"/>
      <c r="C943" s="23"/>
      <c r="D943" s="36">
        <v>6</v>
      </c>
      <c r="E943" s="37" t="s">
        <v>482</v>
      </c>
      <c r="F943" s="37" t="s">
        <v>476</v>
      </c>
      <c r="G943" s="37"/>
      <c r="H943" s="36"/>
      <c r="I943" s="23"/>
      <c r="J943" s="24"/>
      <c r="K943" s="24"/>
      <c r="L943" s="22"/>
    </row>
    <row r="944" spans="1:12" s="20" customFormat="1" ht="130.5" x14ac:dyDescent="0.4">
      <c r="A944" s="14" t="s">
        <v>273</v>
      </c>
      <c r="B944" s="14"/>
      <c r="C944" s="69"/>
      <c r="D944" s="36">
        <v>7</v>
      </c>
      <c r="E944" s="37" t="s">
        <v>483</v>
      </c>
      <c r="F944" s="37" t="s">
        <v>484</v>
      </c>
      <c r="G944" s="37"/>
      <c r="H944" s="37"/>
      <c r="I944" s="37"/>
      <c r="J944" s="24"/>
      <c r="K944" s="24"/>
      <c r="L944" s="22"/>
    </row>
    <row r="945" spans="1:12" s="20" customFormat="1" ht="29" x14ac:dyDescent="0.4">
      <c r="A945" s="39"/>
      <c r="B945" s="39" t="s">
        <v>1053</v>
      </c>
      <c r="C945" s="39" t="s">
        <v>770</v>
      </c>
      <c r="D945" s="40"/>
      <c r="E945" s="41"/>
      <c r="F945" s="41"/>
      <c r="G945" s="41"/>
      <c r="H945" s="40"/>
      <c r="I945" s="32"/>
      <c r="J945" s="24"/>
      <c r="K945" s="24"/>
      <c r="L945" s="22"/>
    </row>
    <row r="946" spans="1:12" s="20" customFormat="1" ht="72.5" x14ac:dyDescent="0.4">
      <c r="A946" s="14" t="s">
        <v>273</v>
      </c>
      <c r="B946" s="14"/>
      <c r="C946" s="23"/>
      <c r="D946" s="36">
        <v>1</v>
      </c>
      <c r="E946" s="37" t="s">
        <v>304</v>
      </c>
      <c r="F946" s="37" t="s">
        <v>1041</v>
      </c>
      <c r="G946" s="37" t="s">
        <v>303</v>
      </c>
      <c r="H946" s="36" t="s">
        <v>293</v>
      </c>
      <c r="I946" s="23" t="s">
        <v>123</v>
      </c>
      <c r="J946" s="24"/>
      <c r="K946" s="24"/>
      <c r="L946" s="22"/>
    </row>
    <row r="947" spans="1:12" s="20" customFormat="1" ht="246.5" x14ac:dyDescent="0.4">
      <c r="A947" s="14" t="s">
        <v>273</v>
      </c>
      <c r="B947" s="14"/>
      <c r="C947" s="23"/>
      <c r="D947" s="36">
        <v>2</v>
      </c>
      <c r="E947" s="37" t="s">
        <v>712</v>
      </c>
      <c r="F947" s="81" t="s">
        <v>306</v>
      </c>
      <c r="G947" s="37" t="s">
        <v>352</v>
      </c>
      <c r="H947" s="36"/>
      <c r="I947" s="23"/>
      <c r="J947" s="24"/>
      <c r="K947" s="24"/>
      <c r="L947" s="22"/>
    </row>
    <row r="948" spans="1:12" s="20" customFormat="1" ht="391.5" x14ac:dyDescent="0.4">
      <c r="A948" s="14" t="s">
        <v>273</v>
      </c>
      <c r="B948" s="14"/>
      <c r="C948" s="23"/>
      <c r="D948" s="36">
        <v>3</v>
      </c>
      <c r="E948" s="37" t="s">
        <v>440</v>
      </c>
      <c r="F948" s="37" t="s">
        <v>441</v>
      </c>
      <c r="G948" s="37"/>
      <c r="H948" s="36"/>
      <c r="I948" s="23"/>
      <c r="J948" s="24"/>
      <c r="K948" s="24"/>
      <c r="L948" s="22"/>
    </row>
    <row r="949" spans="1:12" s="20" customFormat="1" ht="409.5" x14ac:dyDescent="0.4">
      <c r="A949" s="14" t="s">
        <v>273</v>
      </c>
      <c r="B949" s="14"/>
      <c r="C949" s="23"/>
      <c r="D949" s="36">
        <v>4</v>
      </c>
      <c r="E949" s="37" t="s">
        <v>490</v>
      </c>
      <c r="F949" s="37" t="s">
        <v>487</v>
      </c>
      <c r="G949" s="37" t="s">
        <v>912</v>
      </c>
      <c r="H949" s="36"/>
      <c r="I949" s="23"/>
      <c r="J949" s="24"/>
      <c r="K949" s="24"/>
      <c r="L949" s="22"/>
    </row>
    <row r="950" spans="1:12" s="20" customFormat="1" ht="43.5" x14ac:dyDescent="0.4">
      <c r="A950" s="39"/>
      <c r="B950" s="39" t="s">
        <v>1054</v>
      </c>
      <c r="C950" s="39" t="s">
        <v>1008</v>
      </c>
      <c r="D950" s="40"/>
      <c r="E950" s="41"/>
      <c r="F950" s="41"/>
      <c r="G950" s="41"/>
      <c r="H950" s="40"/>
      <c r="I950" s="32"/>
      <c r="J950" s="24"/>
      <c r="K950" s="24"/>
      <c r="L950" s="22"/>
    </row>
    <row r="951" spans="1:12" s="20" customFormat="1" ht="409.5" x14ac:dyDescent="0.4">
      <c r="A951" s="14" t="s">
        <v>273</v>
      </c>
      <c r="B951" s="14"/>
      <c r="C951" s="23"/>
      <c r="D951" s="36">
        <v>1</v>
      </c>
      <c r="E951" s="37" t="s">
        <v>485</v>
      </c>
      <c r="F951" s="37" t="s">
        <v>487</v>
      </c>
      <c r="G951" s="83"/>
      <c r="H951" s="36" t="s">
        <v>293</v>
      </c>
      <c r="I951" s="23"/>
      <c r="J951" s="24"/>
      <c r="K951" s="24"/>
      <c r="L951" s="22"/>
    </row>
    <row r="952" spans="1:12" s="20" customFormat="1" ht="391.5" x14ac:dyDescent="0.4">
      <c r="A952" s="14" t="s">
        <v>273</v>
      </c>
      <c r="B952" s="14"/>
      <c r="C952" s="23"/>
      <c r="D952" s="36">
        <v>2</v>
      </c>
      <c r="E952" s="37" t="s">
        <v>773</v>
      </c>
      <c r="F952" s="37" t="s">
        <v>488</v>
      </c>
      <c r="G952" s="37" t="s">
        <v>493</v>
      </c>
      <c r="H952" s="36"/>
      <c r="I952" s="23"/>
      <c r="J952" s="24"/>
      <c r="K952" s="24"/>
      <c r="L952" s="22"/>
    </row>
    <row r="953" spans="1:12" s="20" customFormat="1" ht="319" x14ac:dyDescent="0.4">
      <c r="A953" s="14" t="s">
        <v>273</v>
      </c>
      <c r="B953" s="14"/>
      <c r="C953" s="23"/>
      <c r="D953" s="36">
        <v>3</v>
      </c>
      <c r="E953" s="37" t="s">
        <v>498</v>
      </c>
      <c r="F953" s="37" t="s">
        <v>494</v>
      </c>
      <c r="G953" s="37"/>
      <c r="H953" s="36"/>
      <c r="I953" s="23"/>
      <c r="J953" s="24"/>
      <c r="K953" s="24"/>
      <c r="L953" s="22"/>
    </row>
    <row r="954" spans="1:12" s="20" customFormat="1" ht="72.5" x14ac:dyDescent="0.4">
      <c r="A954" s="14" t="s">
        <v>273</v>
      </c>
      <c r="B954" s="14"/>
      <c r="C954" s="23"/>
      <c r="D954" s="36">
        <v>4</v>
      </c>
      <c r="E954" s="37" t="s">
        <v>489</v>
      </c>
      <c r="F954" s="37" t="s">
        <v>476</v>
      </c>
      <c r="G954" s="37"/>
      <c r="H954" s="36"/>
      <c r="I954" s="23"/>
      <c r="J954" s="24"/>
      <c r="K954" s="24"/>
      <c r="L954" s="22"/>
    </row>
    <row r="955" spans="1:12" s="20" customFormat="1" ht="101.5" x14ac:dyDescent="0.4">
      <c r="A955" s="14" t="s">
        <v>273</v>
      </c>
      <c r="B955" s="14"/>
      <c r="C955" s="23"/>
      <c r="D955" s="36">
        <v>5</v>
      </c>
      <c r="E955" s="37" t="s">
        <v>478</v>
      </c>
      <c r="F955" s="37" t="s">
        <v>479</v>
      </c>
      <c r="G955" s="37"/>
      <c r="H955" s="36"/>
      <c r="I955" s="23"/>
      <c r="J955" s="24"/>
      <c r="K955" s="24"/>
      <c r="L955" s="22"/>
    </row>
    <row r="956" spans="1:12" s="20" customFormat="1" ht="58" x14ac:dyDescent="0.4">
      <c r="A956" s="14" t="s">
        <v>273</v>
      </c>
      <c r="B956" s="14"/>
      <c r="C956" s="23"/>
      <c r="D956" s="36">
        <v>6</v>
      </c>
      <c r="E956" s="37" t="s">
        <v>495</v>
      </c>
      <c r="F956" s="37" t="s">
        <v>496</v>
      </c>
      <c r="G956" s="37"/>
      <c r="H956" s="36"/>
      <c r="I956" s="23"/>
      <c r="J956" s="24"/>
      <c r="K956" s="24"/>
      <c r="L956" s="22"/>
    </row>
    <row r="957" spans="1:12" s="20" customFormat="1" ht="174" x14ac:dyDescent="0.4">
      <c r="A957" s="14" t="s">
        <v>273</v>
      </c>
      <c r="B957" s="14"/>
      <c r="C957" s="23"/>
      <c r="D957" s="36">
        <v>7</v>
      </c>
      <c r="E957" s="37" t="s">
        <v>462</v>
      </c>
      <c r="F957" s="37" t="s">
        <v>497</v>
      </c>
      <c r="G957" s="37"/>
      <c r="H957" s="36"/>
      <c r="I957" s="23"/>
      <c r="J957" s="24"/>
      <c r="K957" s="24"/>
      <c r="L957" s="22"/>
    </row>
    <row r="958" spans="1:12" s="20" customFormat="1" ht="159.5" x14ac:dyDescent="0.4">
      <c r="A958" s="14" t="s">
        <v>273</v>
      </c>
      <c r="B958" s="14"/>
      <c r="C958" s="23"/>
      <c r="D958" s="36">
        <v>8</v>
      </c>
      <c r="E958" s="37" t="s">
        <v>354</v>
      </c>
      <c r="F958" s="37" t="s">
        <v>356</v>
      </c>
      <c r="G958" s="37" t="s">
        <v>407</v>
      </c>
      <c r="H958" s="36"/>
      <c r="I958" s="23"/>
      <c r="J958" s="24"/>
      <c r="K958" s="24"/>
      <c r="L958" s="22"/>
    </row>
    <row r="959" spans="1:12" s="20" customFormat="1" ht="72.5" x14ac:dyDescent="0.4">
      <c r="A959" s="14" t="s">
        <v>273</v>
      </c>
      <c r="B959" s="14"/>
      <c r="C959" s="23"/>
      <c r="D959" s="36">
        <v>9</v>
      </c>
      <c r="E959" s="37" t="s">
        <v>357</v>
      </c>
      <c r="F959" s="37" t="s">
        <v>467</v>
      </c>
      <c r="G959" s="37" t="s">
        <v>513</v>
      </c>
      <c r="H959" s="36"/>
      <c r="I959" s="23"/>
      <c r="J959" s="24"/>
      <c r="K959" s="24"/>
      <c r="L959" s="22"/>
    </row>
    <row r="960" spans="1:12" s="20" customFormat="1" ht="43.5" x14ac:dyDescent="0.4">
      <c r="A960" s="39"/>
      <c r="B960" s="39" t="s">
        <v>1055</v>
      </c>
      <c r="C960" s="39" t="s">
        <v>1009</v>
      </c>
      <c r="D960" s="40"/>
      <c r="E960" s="41"/>
      <c r="F960" s="41"/>
      <c r="G960" s="41"/>
      <c r="H960" s="40"/>
      <c r="I960" s="32"/>
      <c r="J960" s="24"/>
      <c r="K960" s="24"/>
      <c r="L960" s="22"/>
    </row>
    <row r="961" spans="1:12" s="20" customFormat="1" ht="409.5" x14ac:dyDescent="0.4">
      <c r="A961" s="14" t="s">
        <v>273</v>
      </c>
      <c r="B961" s="14"/>
      <c r="C961" s="23"/>
      <c r="D961" s="36">
        <v>1</v>
      </c>
      <c r="E961" s="37" t="s">
        <v>485</v>
      </c>
      <c r="F961" s="37" t="s">
        <v>487</v>
      </c>
      <c r="G961" s="83"/>
      <c r="H961" s="36" t="s">
        <v>293</v>
      </c>
      <c r="I961" s="23"/>
      <c r="J961" s="24"/>
      <c r="K961" s="24"/>
      <c r="L961" s="22"/>
    </row>
    <row r="962" spans="1:12" s="20" customFormat="1" ht="391.5" x14ac:dyDescent="0.4">
      <c r="A962" s="14" t="s">
        <v>273</v>
      </c>
      <c r="B962" s="14"/>
      <c r="C962" s="23"/>
      <c r="D962" s="36">
        <v>2</v>
      </c>
      <c r="E962" s="37" t="s">
        <v>773</v>
      </c>
      <c r="F962" s="37" t="s">
        <v>488</v>
      </c>
      <c r="G962" s="37" t="s">
        <v>493</v>
      </c>
      <c r="H962" s="36"/>
      <c r="I962" s="23"/>
      <c r="J962" s="24"/>
      <c r="K962" s="24"/>
      <c r="L962" s="22"/>
    </row>
    <row r="963" spans="1:12" s="20" customFormat="1" ht="319" x14ac:dyDescent="0.4">
      <c r="A963" s="14" t="s">
        <v>273</v>
      </c>
      <c r="B963" s="14"/>
      <c r="C963" s="23"/>
      <c r="D963" s="36">
        <v>3</v>
      </c>
      <c r="E963" s="37" t="s">
        <v>498</v>
      </c>
      <c r="F963" s="37" t="s">
        <v>494</v>
      </c>
      <c r="G963" s="37"/>
      <c r="H963" s="36"/>
      <c r="I963" s="23"/>
      <c r="J963" s="24"/>
      <c r="K963" s="24"/>
      <c r="L963" s="22"/>
    </row>
    <row r="964" spans="1:12" s="20" customFormat="1" ht="72.5" x14ac:dyDescent="0.4">
      <c r="A964" s="14" t="s">
        <v>273</v>
      </c>
      <c r="B964" s="14"/>
      <c r="C964" s="23"/>
      <c r="D964" s="36">
        <v>4</v>
      </c>
      <c r="E964" s="37" t="s">
        <v>914</v>
      </c>
      <c r="F964" s="37" t="s">
        <v>915</v>
      </c>
      <c r="G964" s="37"/>
      <c r="H964" s="36"/>
      <c r="I964" s="23"/>
      <c r="J964" s="24"/>
      <c r="K964" s="24"/>
      <c r="L964" s="22"/>
    </row>
    <row r="965" spans="1:12" s="20" customFormat="1" ht="101.5" x14ac:dyDescent="0.4">
      <c r="A965" s="14" t="s">
        <v>273</v>
      </c>
      <c r="B965" s="14"/>
      <c r="C965" s="23"/>
      <c r="D965" s="36">
        <v>5</v>
      </c>
      <c r="E965" s="37" t="s">
        <v>913</v>
      </c>
      <c r="F965" s="37" t="s">
        <v>479</v>
      </c>
      <c r="G965" s="37"/>
      <c r="H965" s="36"/>
      <c r="I965" s="23"/>
      <c r="J965" s="24"/>
      <c r="K965" s="24"/>
      <c r="L965" s="22"/>
    </row>
    <row r="966" spans="1:12" s="20" customFormat="1" ht="43.5" x14ac:dyDescent="0.4">
      <c r="A966" s="39"/>
      <c r="B966" s="39" t="s">
        <v>1056</v>
      </c>
      <c r="C966" s="39" t="s">
        <v>1010</v>
      </c>
      <c r="D966" s="40"/>
      <c r="E966" s="41"/>
      <c r="F966" s="41"/>
      <c r="G966" s="41"/>
      <c r="H966" s="40"/>
      <c r="I966" s="32"/>
      <c r="J966" s="24"/>
      <c r="K966" s="24"/>
      <c r="L966" s="22"/>
    </row>
    <row r="967" spans="1:12" s="20" customFormat="1" ht="409.5" x14ac:dyDescent="0.4">
      <c r="A967" s="14" t="s">
        <v>273</v>
      </c>
      <c r="B967" s="14"/>
      <c r="C967" s="23"/>
      <c r="D967" s="36">
        <v>1</v>
      </c>
      <c r="E967" s="37" t="s">
        <v>485</v>
      </c>
      <c r="F967" s="37" t="s">
        <v>487</v>
      </c>
      <c r="G967" s="83"/>
      <c r="H967" s="36" t="s">
        <v>293</v>
      </c>
      <c r="I967" s="23"/>
      <c r="J967" s="24"/>
      <c r="K967" s="24"/>
      <c r="L967" s="22"/>
    </row>
    <row r="968" spans="1:12" s="20" customFormat="1" ht="391.5" x14ac:dyDescent="0.4">
      <c r="A968" s="14" t="s">
        <v>273</v>
      </c>
      <c r="B968" s="14"/>
      <c r="C968" s="23"/>
      <c r="D968" s="36">
        <v>2</v>
      </c>
      <c r="E968" s="37" t="s">
        <v>773</v>
      </c>
      <c r="F968" s="37" t="s">
        <v>488</v>
      </c>
      <c r="G968" s="37" t="s">
        <v>493</v>
      </c>
      <c r="H968" s="36"/>
      <c r="I968" s="23"/>
      <c r="J968" s="24"/>
      <c r="K968" s="24"/>
      <c r="L968" s="22"/>
    </row>
    <row r="969" spans="1:12" s="20" customFormat="1" ht="319" x14ac:dyDescent="0.4">
      <c r="A969" s="14" t="s">
        <v>273</v>
      </c>
      <c r="B969" s="14"/>
      <c r="C969" s="23"/>
      <c r="D969" s="36">
        <v>3</v>
      </c>
      <c r="E969" s="37" t="s">
        <v>498</v>
      </c>
      <c r="F969" s="37" t="s">
        <v>494</v>
      </c>
      <c r="G969" s="37"/>
      <c r="H969" s="36"/>
      <c r="I969" s="23"/>
      <c r="J969" s="24"/>
      <c r="K969" s="24"/>
      <c r="L969" s="22"/>
    </row>
    <row r="970" spans="1:12" s="20" customFormat="1" ht="72.5" x14ac:dyDescent="0.4">
      <c r="A970" s="14" t="s">
        <v>273</v>
      </c>
      <c r="B970" s="14"/>
      <c r="C970" s="23"/>
      <c r="D970" s="36">
        <v>4</v>
      </c>
      <c r="E970" s="37" t="s">
        <v>916</v>
      </c>
      <c r="F970" s="37" t="s">
        <v>917</v>
      </c>
      <c r="G970" s="37"/>
      <c r="H970" s="36"/>
      <c r="I970" s="23"/>
      <c r="J970" s="24"/>
      <c r="K970" s="24"/>
      <c r="L970" s="22"/>
    </row>
    <row r="971" spans="1:12" s="20" customFormat="1" ht="116" x14ac:dyDescent="0.4">
      <c r="A971" s="14" t="s">
        <v>273</v>
      </c>
      <c r="B971" s="14"/>
      <c r="C971" s="23"/>
      <c r="D971" s="36">
        <v>5</v>
      </c>
      <c r="E971" s="37" t="s">
        <v>918</v>
      </c>
      <c r="F971" s="37" t="s">
        <v>479</v>
      </c>
      <c r="G971" s="37"/>
      <c r="H971" s="36"/>
      <c r="I971" s="23"/>
      <c r="J971" s="24"/>
      <c r="K971" s="24"/>
      <c r="L971" s="22"/>
    </row>
    <row r="972" spans="1:12" s="20" customFormat="1" ht="43.5" x14ac:dyDescent="0.4">
      <c r="A972" s="39"/>
      <c r="B972" s="39" t="s">
        <v>1057</v>
      </c>
      <c r="C972" s="39" t="s">
        <v>1011</v>
      </c>
      <c r="D972" s="40"/>
      <c r="E972" s="41"/>
      <c r="F972" s="41"/>
      <c r="G972" s="41"/>
      <c r="H972" s="40"/>
      <c r="I972" s="32"/>
      <c r="J972" s="24"/>
      <c r="K972" s="24"/>
      <c r="L972" s="22"/>
    </row>
    <row r="973" spans="1:12" s="20" customFormat="1" ht="409.5" x14ac:dyDescent="0.4">
      <c r="A973" s="14" t="s">
        <v>273</v>
      </c>
      <c r="B973" s="14"/>
      <c r="C973" s="69"/>
      <c r="D973" s="36">
        <v>1</v>
      </c>
      <c r="E973" s="37" t="s">
        <v>485</v>
      </c>
      <c r="F973" s="37" t="s">
        <v>487</v>
      </c>
      <c r="G973" s="83"/>
      <c r="H973" s="36" t="s">
        <v>293</v>
      </c>
      <c r="I973" s="37"/>
      <c r="J973" s="24"/>
      <c r="K973" s="24"/>
      <c r="L973" s="22"/>
    </row>
    <row r="974" spans="1:12" s="20" customFormat="1" ht="276.5" customHeight="1" x14ac:dyDescent="0.4">
      <c r="A974" s="14" t="s">
        <v>273</v>
      </c>
      <c r="B974" s="14"/>
      <c r="C974" s="23"/>
      <c r="D974" s="36">
        <v>2</v>
      </c>
      <c r="E974" s="37" t="s">
        <v>775</v>
      </c>
      <c r="F974" s="37" t="s">
        <v>501</v>
      </c>
      <c r="G974" s="37" t="s">
        <v>493</v>
      </c>
      <c r="H974" s="36"/>
      <c r="I974" s="23"/>
      <c r="J974" s="24"/>
      <c r="K974" s="24"/>
      <c r="L974" s="22"/>
    </row>
    <row r="975" spans="1:12" s="20" customFormat="1" ht="304.5" x14ac:dyDescent="0.4">
      <c r="A975" s="14" t="s">
        <v>273</v>
      </c>
      <c r="B975" s="14"/>
      <c r="C975" s="23"/>
      <c r="D975" s="36">
        <v>3</v>
      </c>
      <c r="E975" s="37" t="s">
        <v>500</v>
      </c>
      <c r="F975" s="37" t="s">
        <v>502</v>
      </c>
      <c r="G975" s="37"/>
      <c r="H975" s="36"/>
      <c r="I975" s="23"/>
      <c r="J975" s="24"/>
      <c r="K975" s="24"/>
      <c r="L975" s="22"/>
    </row>
    <row r="976" spans="1:12" s="20" customFormat="1" ht="72.5" x14ac:dyDescent="0.4">
      <c r="A976" s="14" t="s">
        <v>273</v>
      </c>
      <c r="B976" s="14"/>
      <c r="C976" s="23"/>
      <c r="D976" s="36">
        <v>4</v>
      </c>
      <c r="E976" s="37" t="s">
        <v>920</v>
      </c>
      <c r="F976" s="37" t="s">
        <v>915</v>
      </c>
      <c r="G976" s="37"/>
      <c r="H976" s="36"/>
      <c r="I976" s="23"/>
      <c r="J976" s="24"/>
      <c r="K976" s="24"/>
      <c r="L976" s="22"/>
    </row>
    <row r="977" spans="1:12" s="20" customFormat="1" ht="348" x14ac:dyDescent="0.4">
      <c r="A977" s="14" t="s">
        <v>273</v>
      </c>
      <c r="B977" s="14"/>
      <c r="C977" s="23"/>
      <c r="D977" s="36">
        <v>5</v>
      </c>
      <c r="E977" s="37" t="s">
        <v>921</v>
      </c>
      <c r="F977" s="37" t="s">
        <v>503</v>
      </c>
      <c r="G977" s="84" t="s">
        <v>504</v>
      </c>
      <c r="H977" s="36"/>
      <c r="I977" s="23"/>
      <c r="J977" s="24"/>
      <c r="K977" s="24"/>
      <c r="L977" s="22"/>
    </row>
    <row r="978" spans="1:12" s="20" customFormat="1" ht="43.5" x14ac:dyDescent="0.4">
      <c r="A978" s="39"/>
      <c r="B978" s="39" t="s">
        <v>1058</v>
      </c>
      <c r="C978" s="39" t="s">
        <v>1012</v>
      </c>
      <c r="D978" s="40"/>
      <c r="E978" s="41"/>
      <c r="F978" s="41"/>
      <c r="G978" s="41"/>
      <c r="H978" s="40"/>
      <c r="I978" s="32"/>
      <c r="J978" s="24"/>
      <c r="K978" s="24"/>
      <c r="L978" s="22"/>
    </row>
    <row r="979" spans="1:12" s="20" customFormat="1" ht="409.5" x14ac:dyDescent="0.4">
      <c r="A979" s="14" t="s">
        <v>273</v>
      </c>
      <c r="B979" s="14"/>
      <c r="C979" s="69"/>
      <c r="D979" s="36">
        <v>1</v>
      </c>
      <c r="E979" s="37" t="s">
        <v>485</v>
      </c>
      <c r="F979" s="37" t="s">
        <v>486</v>
      </c>
      <c r="G979" s="83"/>
      <c r="H979" s="36" t="s">
        <v>293</v>
      </c>
      <c r="I979" s="37"/>
      <c r="J979" s="24"/>
      <c r="K979" s="24"/>
      <c r="L979" s="22"/>
    </row>
    <row r="980" spans="1:12" s="20" customFormat="1" ht="276.5" customHeight="1" x14ac:dyDescent="0.4">
      <c r="A980" s="14" t="s">
        <v>273</v>
      </c>
      <c r="B980" s="14"/>
      <c r="C980" s="23"/>
      <c r="D980" s="36">
        <v>2</v>
      </c>
      <c r="E980" s="37" t="s">
        <v>775</v>
      </c>
      <c r="F980" s="37" t="s">
        <v>501</v>
      </c>
      <c r="G980" s="37" t="s">
        <v>493</v>
      </c>
      <c r="H980" s="36"/>
      <c r="I980" s="23"/>
      <c r="J980" s="24"/>
      <c r="K980" s="24"/>
      <c r="L980" s="22"/>
    </row>
    <row r="981" spans="1:12" s="20" customFormat="1" ht="304.5" x14ac:dyDescent="0.4">
      <c r="A981" s="14" t="s">
        <v>273</v>
      </c>
      <c r="B981" s="14"/>
      <c r="C981" s="23"/>
      <c r="D981" s="36">
        <v>3</v>
      </c>
      <c r="E981" s="37" t="s">
        <v>500</v>
      </c>
      <c r="F981" s="37" t="s">
        <v>502</v>
      </c>
      <c r="G981" s="37"/>
      <c r="H981" s="36"/>
      <c r="I981" s="23"/>
      <c r="J981" s="24"/>
      <c r="K981" s="24"/>
      <c r="L981" s="22"/>
    </row>
    <row r="982" spans="1:12" s="20" customFormat="1" ht="72.5" x14ac:dyDescent="0.4">
      <c r="A982" s="14" t="s">
        <v>273</v>
      </c>
      <c r="B982" s="14"/>
      <c r="C982" s="23"/>
      <c r="D982" s="36">
        <v>4</v>
      </c>
      <c r="E982" s="37" t="s">
        <v>922</v>
      </c>
      <c r="F982" s="37" t="s">
        <v>923</v>
      </c>
      <c r="G982" s="37"/>
      <c r="H982" s="36"/>
      <c r="I982" s="23"/>
      <c r="J982" s="24"/>
      <c r="K982" s="24"/>
      <c r="L982" s="22"/>
    </row>
    <row r="983" spans="1:12" s="20" customFormat="1" ht="348" x14ac:dyDescent="0.4">
      <c r="A983" s="14" t="s">
        <v>273</v>
      </c>
      <c r="B983" s="14"/>
      <c r="C983" s="23"/>
      <c r="D983" s="36">
        <v>5</v>
      </c>
      <c r="E983" s="37" t="s">
        <v>921</v>
      </c>
      <c r="F983" s="37" t="s">
        <v>503</v>
      </c>
      <c r="G983" s="84" t="s">
        <v>504</v>
      </c>
      <c r="H983" s="36"/>
      <c r="I983" s="23"/>
      <c r="J983" s="24"/>
      <c r="K983" s="24"/>
      <c r="L983" s="22"/>
    </row>
    <row r="984" spans="1:12" s="20" customFormat="1" ht="43.5" x14ac:dyDescent="0.4">
      <c r="A984" s="39"/>
      <c r="B984" s="39" t="s">
        <v>1059</v>
      </c>
      <c r="C984" s="39" t="s">
        <v>1013</v>
      </c>
      <c r="D984" s="40"/>
      <c r="E984" s="41"/>
      <c r="F984" s="41"/>
      <c r="G984" s="41"/>
      <c r="H984" s="40"/>
      <c r="I984" s="32"/>
      <c r="J984" s="24"/>
      <c r="K984" s="24"/>
      <c r="L984" s="22"/>
    </row>
    <row r="985" spans="1:12" s="20" customFormat="1" ht="409.5" x14ac:dyDescent="0.4">
      <c r="A985" s="14" t="s">
        <v>273</v>
      </c>
      <c r="B985" s="14"/>
      <c r="C985" s="23"/>
      <c r="D985" s="36">
        <v>1</v>
      </c>
      <c r="E985" s="37" t="s">
        <v>485</v>
      </c>
      <c r="F985" s="37" t="s">
        <v>486</v>
      </c>
      <c r="G985" s="37"/>
      <c r="H985" s="36" t="s">
        <v>293</v>
      </c>
      <c r="I985" s="23"/>
      <c r="J985" s="24"/>
      <c r="K985" s="24"/>
      <c r="L985" s="22"/>
    </row>
    <row r="986" spans="1:12" s="20" customFormat="1" ht="362.5" x14ac:dyDescent="0.4">
      <c r="A986" s="14" t="s">
        <v>273</v>
      </c>
      <c r="B986" s="14"/>
      <c r="C986" s="23"/>
      <c r="D986" s="36">
        <v>2</v>
      </c>
      <c r="E986" s="37" t="s">
        <v>777</v>
      </c>
      <c r="F986" s="37" t="s">
        <v>778</v>
      </c>
      <c r="G986" s="37" t="s">
        <v>515</v>
      </c>
      <c r="H986" s="36"/>
      <c r="I986" s="23"/>
      <c r="J986" s="24"/>
      <c r="K986" s="24"/>
      <c r="L986" s="22"/>
    </row>
    <row r="987" spans="1:12" s="20" customFormat="1" ht="304.5" x14ac:dyDescent="0.4">
      <c r="A987" s="14" t="s">
        <v>273</v>
      </c>
      <c r="B987" s="14"/>
      <c r="C987" s="69"/>
      <c r="D987" s="36">
        <v>3</v>
      </c>
      <c r="E987" s="37" t="s">
        <v>936</v>
      </c>
      <c r="F987" s="37" t="s">
        <v>508</v>
      </c>
      <c r="G987" s="36"/>
      <c r="H987" s="36"/>
      <c r="I987" s="36"/>
      <c r="J987" s="24"/>
      <c r="K987" s="24"/>
      <c r="L987" s="22"/>
    </row>
    <row r="988" spans="1:12" s="20" customFormat="1" ht="72.5" x14ac:dyDescent="0.4">
      <c r="A988" s="14" t="s">
        <v>273</v>
      </c>
      <c r="B988" s="14"/>
      <c r="C988" s="23"/>
      <c r="D988" s="36">
        <v>4</v>
      </c>
      <c r="E988" s="37" t="s">
        <v>489</v>
      </c>
      <c r="F988" s="37" t="s">
        <v>476</v>
      </c>
      <c r="G988" s="37"/>
      <c r="H988" s="36"/>
      <c r="I988" s="23"/>
      <c r="J988" s="24"/>
      <c r="K988" s="24"/>
      <c r="L988" s="22"/>
    </row>
    <row r="989" spans="1:12" s="20" customFormat="1" ht="391.5" x14ac:dyDescent="0.4">
      <c r="A989" s="14" t="s">
        <v>273</v>
      </c>
      <c r="B989" s="14"/>
      <c r="C989" s="23"/>
      <c r="D989" s="36">
        <v>5</v>
      </c>
      <c r="E989" s="37" t="s">
        <v>478</v>
      </c>
      <c r="F989" s="37" t="s">
        <v>479</v>
      </c>
      <c r="G989" s="37" t="s">
        <v>509</v>
      </c>
      <c r="H989" s="36"/>
      <c r="I989" s="23"/>
      <c r="J989" s="24"/>
      <c r="K989" s="24"/>
      <c r="L989" s="22"/>
    </row>
    <row r="990" spans="1:12" s="20" customFormat="1" ht="58" x14ac:dyDescent="0.4">
      <c r="A990" s="14" t="s">
        <v>273</v>
      </c>
      <c r="B990" s="14"/>
      <c r="C990" s="23"/>
      <c r="D990" s="36">
        <v>6</v>
      </c>
      <c r="E990" s="37" t="s">
        <v>510</v>
      </c>
      <c r="F990" s="37" t="s">
        <v>511</v>
      </c>
      <c r="G990" s="37"/>
      <c r="H990" s="36"/>
      <c r="I990" s="23"/>
      <c r="J990" s="24"/>
      <c r="K990" s="24"/>
      <c r="L990" s="22"/>
    </row>
    <row r="991" spans="1:12" s="20" customFormat="1" ht="159.5" x14ac:dyDescent="0.4">
      <c r="A991" s="14" t="s">
        <v>273</v>
      </c>
      <c r="B991" s="14"/>
      <c r="C991" s="23"/>
      <c r="D991" s="36">
        <v>7</v>
      </c>
      <c r="E991" s="37" t="s">
        <v>780</v>
      </c>
      <c r="F991" s="37" t="s">
        <v>512</v>
      </c>
      <c r="G991" s="72"/>
      <c r="H991" s="36"/>
      <c r="I991" s="23"/>
      <c r="J991" s="24"/>
      <c r="K991" s="24"/>
      <c r="L991" s="22"/>
    </row>
    <row r="992" spans="1:12" s="20" customFormat="1" ht="159.5" x14ac:dyDescent="0.4">
      <c r="A992" s="14" t="s">
        <v>273</v>
      </c>
      <c r="B992" s="14"/>
      <c r="C992" s="23"/>
      <c r="D992" s="36">
        <v>8</v>
      </c>
      <c r="E992" s="37" t="s">
        <v>354</v>
      </c>
      <c r="F992" s="37" t="s">
        <v>356</v>
      </c>
      <c r="G992" s="37" t="s">
        <v>407</v>
      </c>
      <c r="H992" s="36"/>
      <c r="I992" s="23"/>
      <c r="J992" s="24"/>
      <c r="K992" s="24"/>
      <c r="L992" s="22"/>
    </row>
    <row r="993" spans="1:12" s="20" customFormat="1" ht="72.5" x14ac:dyDescent="0.4">
      <c r="A993" s="14" t="s">
        <v>273</v>
      </c>
      <c r="B993" s="14"/>
      <c r="C993" s="23"/>
      <c r="D993" s="36">
        <v>9</v>
      </c>
      <c r="E993" s="37" t="s">
        <v>357</v>
      </c>
      <c r="F993" s="37" t="s">
        <v>467</v>
      </c>
      <c r="G993" s="37" t="s">
        <v>513</v>
      </c>
      <c r="H993" s="36"/>
      <c r="I993" s="23"/>
      <c r="J993" s="24"/>
      <c r="K993" s="24"/>
      <c r="L993" s="22"/>
    </row>
    <row r="994" spans="1:12" s="20" customFormat="1" ht="43.5" x14ac:dyDescent="0.4">
      <c r="A994" s="39"/>
      <c r="B994" s="39" t="s">
        <v>1060</v>
      </c>
      <c r="C994" s="39" t="s">
        <v>1014</v>
      </c>
      <c r="D994" s="40"/>
      <c r="E994" s="41"/>
      <c r="F994" s="41"/>
      <c r="G994" s="41"/>
      <c r="H994" s="40"/>
      <c r="I994" s="32"/>
      <c r="J994" s="24"/>
      <c r="K994" s="24"/>
      <c r="L994" s="22"/>
    </row>
    <row r="995" spans="1:12" s="20" customFormat="1" ht="409.5" x14ac:dyDescent="0.4">
      <c r="A995" s="14" t="s">
        <v>273</v>
      </c>
      <c r="B995" s="14"/>
      <c r="C995" s="23"/>
      <c r="D995" s="36">
        <v>1</v>
      </c>
      <c r="E995" s="37" t="s">
        <v>485</v>
      </c>
      <c r="F995" s="37" t="s">
        <v>486</v>
      </c>
      <c r="G995" s="37"/>
      <c r="H995" s="36" t="s">
        <v>293</v>
      </c>
      <c r="I995" s="23"/>
      <c r="J995" s="24"/>
      <c r="K995" s="24"/>
      <c r="L995" s="22"/>
    </row>
    <row r="996" spans="1:12" s="20" customFormat="1" ht="362.5" x14ac:dyDescent="0.4">
      <c r="A996" s="14" t="s">
        <v>273</v>
      </c>
      <c r="B996" s="14"/>
      <c r="C996" s="23"/>
      <c r="D996" s="36">
        <v>2</v>
      </c>
      <c r="E996" s="37" t="s">
        <v>777</v>
      </c>
      <c r="F996" s="37" t="s">
        <v>507</v>
      </c>
      <c r="G996" s="37" t="s">
        <v>515</v>
      </c>
      <c r="H996" s="36"/>
      <c r="I996" s="23"/>
      <c r="J996" s="24"/>
      <c r="K996" s="24"/>
      <c r="L996" s="22"/>
    </row>
    <row r="997" spans="1:12" s="20" customFormat="1" ht="304.5" x14ac:dyDescent="0.4">
      <c r="A997" s="14" t="s">
        <v>273</v>
      </c>
      <c r="B997" s="14"/>
      <c r="C997" s="69"/>
      <c r="D997" s="36">
        <v>3</v>
      </c>
      <c r="E997" s="37" t="s">
        <v>935</v>
      </c>
      <c r="F997" s="37" t="s">
        <v>508</v>
      </c>
      <c r="G997" s="36"/>
      <c r="H997" s="36"/>
      <c r="I997" s="36"/>
      <c r="J997" s="24"/>
      <c r="K997" s="24"/>
      <c r="L997" s="22"/>
    </row>
    <row r="998" spans="1:12" s="20" customFormat="1" ht="72.5" x14ac:dyDescent="0.4">
      <c r="A998" s="14" t="s">
        <v>273</v>
      </c>
      <c r="B998" s="14"/>
      <c r="C998" s="23"/>
      <c r="D998" s="36">
        <v>4</v>
      </c>
      <c r="E998" s="37" t="s">
        <v>914</v>
      </c>
      <c r="F998" s="37" t="s">
        <v>931</v>
      </c>
      <c r="G998" s="37"/>
      <c r="H998" s="36"/>
      <c r="I998" s="23"/>
      <c r="J998" s="24"/>
      <c r="K998" s="24"/>
      <c r="L998" s="22"/>
    </row>
    <row r="999" spans="1:12" s="20" customFormat="1" ht="391.5" x14ac:dyDescent="0.4">
      <c r="A999" s="14" t="s">
        <v>273</v>
      </c>
      <c r="B999" s="14"/>
      <c r="C999" s="23"/>
      <c r="D999" s="36">
        <v>5</v>
      </c>
      <c r="E999" s="37" t="s">
        <v>932</v>
      </c>
      <c r="F999" s="37" t="s">
        <v>933</v>
      </c>
      <c r="G999" s="37" t="s">
        <v>509</v>
      </c>
      <c r="H999" s="36"/>
      <c r="I999" s="23"/>
      <c r="J999" s="24"/>
      <c r="K999" s="24"/>
      <c r="L999" s="22"/>
    </row>
    <row r="1000" spans="1:12" s="20" customFormat="1" ht="43.5" x14ac:dyDescent="0.4">
      <c r="A1000" s="39"/>
      <c r="B1000" s="39" t="s">
        <v>1061</v>
      </c>
      <c r="C1000" s="39" t="s">
        <v>1015</v>
      </c>
      <c r="D1000" s="40"/>
      <c r="E1000" s="41"/>
      <c r="F1000" s="41"/>
      <c r="G1000" s="41"/>
      <c r="H1000" s="40"/>
      <c r="I1000" s="32"/>
      <c r="J1000" s="24"/>
      <c r="K1000" s="24"/>
      <c r="L1000" s="22"/>
    </row>
    <row r="1001" spans="1:12" s="20" customFormat="1" ht="409.5" x14ac:dyDescent="0.4">
      <c r="A1001" s="14" t="s">
        <v>273</v>
      </c>
      <c r="B1001" s="14"/>
      <c r="C1001" s="23"/>
      <c r="D1001" s="36">
        <v>1</v>
      </c>
      <c r="E1001" s="37" t="s">
        <v>485</v>
      </c>
      <c r="F1001" s="37" t="s">
        <v>486</v>
      </c>
      <c r="G1001" s="37"/>
      <c r="H1001" s="36" t="s">
        <v>293</v>
      </c>
      <c r="I1001" s="23"/>
      <c r="J1001" s="24"/>
      <c r="K1001" s="24"/>
      <c r="L1001" s="22"/>
    </row>
    <row r="1002" spans="1:12" s="20" customFormat="1" ht="362.5" x14ac:dyDescent="0.4">
      <c r="A1002" s="14" t="s">
        <v>273</v>
      </c>
      <c r="B1002" s="14"/>
      <c r="C1002" s="23"/>
      <c r="D1002" s="36">
        <v>2</v>
      </c>
      <c r="E1002" s="37" t="s">
        <v>777</v>
      </c>
      <c r="F1002" s="37" t="s">
        <v>507</v>
      </c>
      <c r="G1002" s="37" t="s">
        <v>515</v>
      </c>
      <c r="H1002" s="36"/>
      <c r="I1002" s="23"/>
      <c r="J1002" s="24"/>
      <c r="K1002" s="24"/>
      <c r="L1002" s="22"/>
    </row>
    <row r="1003" spans="1:12" s="20" customFormat="1" ht="304.5" x14ac:dyDescent="0.4">
      <c r="A1003" s="14" t="s">
        <v>273</v>
      </c>
      <c r="B1003" s="14"/>
      <c r="C1003" s="69"/>
      <c r="D1003" s="36">
        <v>3</v>
      </c>
      <c r="E1003" s="37" t="s">
        <v>934</v>
      </c>
      <c r="F1003" s="37" t="s">
        <v>508</v>
      </c>
      <c r="G1003" s="36"/>
      <c r="H1003" s="36"/>
      <c r="I1003" s="36"/>
      <c r="J1003" s="24"/>
      <c r="K1003" s="24"/>
      <c r="L1003" s="22"/>
    </row>
    <row r="1004" spans="1:12" s="20" customFormat="1" ht="72.5" x14ac:dyDescent="0.4">
      <c r="A1004" s="14" t="s">
        <v>273</v>
      </c>
      <c r="B1004" s="14"/>
      <c r="C1004" s="23"/>
      <c r="D1004" s="36">
        <v>4</v>
      </c>
      <c r="E1004" s="37" t="s">
        <v>916</v>
      </c>
      <c r="F1004" s="37" t="s">
        <v>937</v>
      </c>
      <c r="G1004" s="37"/>
      <c r="H1004" s="36"/>
      <c r="I1004" s="23"/>
      <c r="J1004" s="24"/>
      <c r="K1004" s="24"/>
      <c r="L1004" s="22"/>
    </row>
    <row r="1005" spans="1:12" s="20" customFormat="1" ht="391.5" x14ac:dyDescent="0.4">
      <c r="A1005" s="14" t="s">
        <v>273</v>
      </c>
      <c r="B1005" s="14"/>
      <c r="C1005" s="23"/>
      <c r="D1005" s="36">
        <v>5</v>
      </c>
      <c r="E1005" s="37" t="s">
        <v>932</v>
      </c>
      <c r="F1005" s="37" t="s">
        <v>479</v>
      </c>
      <c r="G1005" s="37" t="s">
        <v>509</v>
      </c>
      <c r="H1005" s="36"/>
      <c r="I1005" s="23"/>
      <c r="J1005" s="24"/>
      <c r="K1005" s="24"/>
      <c r="L1005" s="22"/>
    </row>
    <row r="1006" spans="1:12" s="20" customFormat="1" ht="43.5" x14ac:dyDescent="0.4">
      <c r="A1006" s="39"/>
      <c r="B1006" s="39" t="s">
        <v>1062</v>
      </c>
      <c r="C1006" s="39" t="s">
        <v>841</v>
      </c>
      <c r="D1006" s="40"/>
      <c r="E1006" s="41"/>
      <c r="F1006" s="41"/>
      <c r="G1006" s="41"/>
      <c r="H1006" s="40"/>
      <c r="I1006" s="32"/>
      <c r="J1006" s="24"/>
      <c r="K1006" s="24"/>
      <c r="L1006" s="22"/>
    </row>
    <row r="1007" spans="1:12" s="20" customFormat="1" ht="409.5" x14ac:dyDescent="0.4">
      <c r="A1007" s="14" t="s">
        <v>273</v>
      </c>
      <c r="B1007" s="14"/>
      <c r="C1007" s="69"/>
      <c r="D1007" s="36">
        <v>1</v>
      </c>
      <c r="E1007" s="37" t="s">
        <v>485</v>
      </c>
      <c r="F1007" s="37" t="s">
        <v>486</v>
      </c>
      <c r="G1007" s="37"/>
      <c r="H1007" s="36" t="s">
        <v>293</v>
      </c>
      <c r="I1007" s="36"/>
    </row>
    <row r="1008" spans="1:12" s="20" customFormat="1" ht="362.5" x14ac:dyDescent="0.4">
      <c r="A1008" s="14" t="s">
        <v>273</v>
      </c>
      <c r="B1008" s="14"/>
      <c r="C1008" s="23"/>
      <c r="D1008" s="36">
        <v>2</v>
      </c>
      <c r="E1008" s="37" t="s">
        <v>777</v>
      </c>
      <c r="F1008" s="37" t="s">
        <v>507</v>
      </c>
      <c r="G1008" s="37"/>
      <c r="H1008" s="36"/>
      <c r="I1008" s="23"/>
    </row>
    <row r="1009" spans="1:12" s="20" customFormat="1" ht="304.5" x14ac:dyDescent="0.4">
      <c r="A1009" s="14" t="s">
        <v>273</v>
      </c>
      <c r="B1009" s="14"/>
      <c r="C1009" s="23"/>
      <c r="D1009" s="36">
        <v>3</v>
      </c>
      <c r="E1009" s="37" t="s">
        <v>517</v>
      </c>
      <c r="F1009" s="37" t="s">
        <v>518</v>
      </c>
      <c r="G1009" s="37"/>
      <c r="H1009" s="36"/>
      <c r="I1009" s="23"/>
    </row>
    <row r="1010" spans="1:12" s="20" customFormat="1" ht="72.5" x14ac:dyDescent="0.4">
      <c r="A1010" s="14" t="s">
        <v>273</v>
      </c>
      <c r="B1010" s="14"/>
      <c r="C1010" s="23"/>
      <c r="D1010" s="36">
        <v>4</v>
      </c>
      <c r="E1010" s="37" t="s">
        <v>489</v>
      </c>
      <c r="F1010" s="37" t="s">
        <v>476</v>
      </c>
      <c r="G1010" s="37"/>
      <c r="H1010" s="36"/>
      <c r="I1010" s="23"/>
    </row>
    <row r="1011" spans="1:12" s="20" customFormat="1" ht="348" x14ac:dyDescent="0.4">
      <c r="A1011" s="14" t="s">
        <v>273</v>
      </c>
      <c r="B1011" s="14"/>
      <c r="C1011" s="23"/>
      <c r="D1011" s="36">
        <v>5</v>
      </c>
      <c r="E1011" s="37" t="s">
        <v>519</v>
      </c>
      <c r="F1011" s="37" t="s">
        <v>484</v>
      </c>
      <c r="G1011" s="84" t="s">
        <v>504</v>
      </c>
      <c r="H1011" s="36"/>
      <c r="I1011" s="23"/>
    </row>
    <row r="1012" spans="1:12" s="20" customFormat="1" ht="43.5" x14ac:dyDescent="0.4">
      <c r="A1012" s="39"/>
      <c r="B1012" s="39" t="s">
        <v>1063</v>
      </c>
      <c r="C1012" s="39" t="s">
        <v>1016</v>
      </c>
      <c r="D1012" s="40"/>
      <c r="E1012" s="41"/>
      <c r="F1012" s="41"/>
      <c r="G1012" s="41"/>
      <c r="H1012" s="40"/>
      <c r="I1012" s="32"/>
      <c r="J1012" s="24"/>
      <c r="K1012" s="24"/>
      <c r="L1012" s="22"/>
    </row>
    <row r="1013" spans="1:12" s="20" customFormat="1" ht="409.5" x14ac:dyDescent="0.4">
      <c r="A1013" s="14" t="s">
        <v>273</v>
      </c>
      <c r="B1013" s="14"/>
      <c r="C1013" s="69"/>
      <c r="D1013" s="36">
        <v>1</v>
      </c>
      <c r="E1013" s="37" t="s">
        <v>485</v>
      </c>
      <c r="F1013" s="37" t="s">
        <v>486</v>
      </c>
      <c r="G1013" s="37"/>
      <c r="H1013" s="36" t="s">
        <v>293</v>
      </c>
      <c r="I1013" s="36"/>
    </row>
    <row r="1014" spans="1:12" s="20" customFormat="1" ht="348" x14ac:dyDescent="0.4">
      <c r="A1014" s="14" t="s">
        <v>273</v>
      </c>
      <c r="B1014" s="14"/>
      <c r="C1014" s="23"/>
      <c r="D1014" s="36">
        <v>2</v>
      </c>
      <c r="E1014" s="37" t="s">
        <v>777</v>
      </c>
      <c r="F1014" s="37" t="s">
        <v>779</v>
      </c>
      <c r="G1014" s="37"/>
      <c r="H1014" s="36"/>
      <c r="I1014" s="23"/>
    </row>
    <row r="1015" spans="1:12" s="20" customFormat="1" ht="304.5" x14ac:dyDescent="0.4">
      <c r="A1015" s="14" t="s">
        <v>273</v>
      </c>
      <c r="B1015" s="14"/>
      <c r="C1015" s="23"/>
      <c r="D1015" s="36">
        <v>3</v>
      </c>
      <c r="E1015" s="37" t="s">
        <v>517</v>
      </c>
      <c r="F1015" s="37" t="s">
        <v>518</v>
      </c>
      <c r="G1015" s="37"/>
      <c r="H1015" s="36"/>
      <c r="I1015" s="23"/>
    </row>
    <row r="1016" spans="1:12" s="20" customFormat="1" ht="72.5" x14ac:dyDescent="0.4">
      <c r="A1016" s="14" t="s">
        <v>273</v>
      </c>
      <c r="B1016" s="14"/>
      <c r="C1016" s="23"/>
      <c r="D1016" s="36">
        <v>4</v>
      </c>
      <c r="E1016" s="37" t="s">
        <v>914</v>
      </c>
      <c r="F1016" s="37" t="s">
        <v>915</v>
      </c>
      <c r="G1016" s="37"/>
      <c r="H1016" s="36"/>
      <c r="I1016" s="23"/>
    </row>
    <row r="1017" spans="1:12" s="20" customFormat="1" ht="348" x14ac:dyDescent="0.4">
      <c r="A1017" s="14" t="s">
        <v>273</v>
      </c>
      <c r="B1017" s="14"/>
      <c r="C1017" s="23"/>
      <c r="D1017" s="36">
        <v>5</v>
      </c>
      <c r="E1017" s="37" t="s">
        <v>932</v>
      </c>
      <c r="F1017" s="37" t="s">
        <v>484</v>
      </c>
      <c r="G1017" s="84" t="s">
        <v>504</v>
      </c>
      <c r="H1017" s="36"/>
      <c r="I1017" s="23"/>
    </row>
    <row r="1018" spans="1:12" s="20" customFormat="1" ht="43.5" x14ac:dyDescent="0.4">
      <c r="A1018" s="39"/>
      <c r="B1018" s="39" t="s">
        <v>1064</v>
      </c>
      <c r="C1018" s="39" t="s">
        <v>1017</v>
      </c>
      <c r="D1018" s="40"/>
      <c r="E1018" s="41"/>
      <c r="F1018" s="41"/>
      <c r="G1018" s="41"/>
      <c r="H1018" s="40"/>
      <c r="I1018" s="32"/>
      <c r="J1018" s="24"/>
      <c r="K1018" s="24"/>
      <c r="L1018" s="22"/>
    </row>
    <row r="1019" spans="1:12" s="20" customFormat="1" ht="409.5" x14ac:dyDescent="0.4">
      <c r="A1019" s="14" t="s">
        <v>273</v>
      </c>
      <c r="B1019" s="14"/>
      <c r="C1019" s="69"/>
      <c r="D1019" s="36">
        <v>1</v>
      </c>
      <c r="E1019" s="37" t="s">
        <v>485</v>
      </c>
      <c r="F1019" s="37" t="s">
        <v>486</v>
      </c>
      <c r="G1019" s="37"/>
      <c r="H1019" s="36" t="s">
        <v>293</v>
      </c>
      <c r="I1019" s="36"/>
    </row>
    <row r="1020" spans="1:12" s="20" customFormat="1" ht="362.5" x14ac:dyDescent="0.4">
      <c r="A1020" s="14" t="s">
        <v>273</v>
      </c>
      <c r="B1020" s="14"/>
      <c r="C1020" s="23"/>
      <c r="D1020" s="36">
        <v>2</v>
      </c>
      <c r="E1020" s="37" t="s">
        <v>777</v>
      </c>
      <c r="F1020" s="37" t="s">
        <v>507</v>
      </c>
      <c r="G1020" s="37"/>
      <c r="H1020" s="36"/>
      <c r="I1020" s="23"/>
    </row>
    <row r="1021" spans="1:12" s="20" customFormat="1" ht="304.5" x14ac:dyDescent="0.4">
      <c r="A1021" s="14" t="s">
        <v>273</v>
      </c>
      <c r="B1021" s="14"/>
      <c r="C1021" s="23"/>
      <c r="D1021" s="36">
        <v>3</v>
      </c>
      <c r="E1021" s="37" t="s">
        <v>517</v>
      </c>
      <c r="F1021" s="37" t="s">
        <v>518</v>
      </c>
      <c r="G1021" s="37"/>
      <c r="H1021" s="36"/>
      <c r="I1021" s="23"/>
    </row>
    <row r="1022" spans="1:12" s="20" customFormat="1" ht="72.5" x14ac:dyDescent="0.4">
      <c r="A1022" s="14" t="s">
        <v>273</v>
      </c>
      <c r="B1022" s="14"/>
      <c r="C1022" s="23"/>
      <c r="D1022" s="36">
        <v>4</v>
      </c>
      <c r="E1022" s="37" t="s">
        <v>916</v>
      </c>
      <c r="F1022" s="37" t="s">
        <v>917</v>
      </c>
      <c r="G1022" s="37"/>
      <c r="H1022" s="36"/>
      <c r="I1022" s="23"/>
    </row>
    <row r="1023" spans="1:12" s="20" customFormat="1" ht="348" x14ac:dyDescent="0.4">
      <c r="A1023" s="14" t="s">
        <v>273</v>
      </c>
      <c r="B1023" s="14"/>
      <c r="C1023" s="23"/>
      <c r="D1023" s="36">
        <v>5</v>
      </c>
      <c r="E1023" s="37" t="s">
        <v>932</v>
      </c>
      <c r="F1023" s="37" t="s">
        <v>484</v>
      </c>
      <c r="G1023" s="84" t="s">
        <v>504</v>
      </c>
      <c r="H1023" s="36"/>
      <c r="I1023" s="23"/>
    </row>
    <row r="1024" spans="1:12" s="20" customFormat="1" ht="29" x14ac:dyDescent="0.4">
      <c r="A1024" s="39"/>
      <c r="B1024" s="32" t="s">
        <v>1065</v>
      </c>
      <c r="C1024" s="32" t="s">
        <v>1018</v>
      </c>
      <c r="D1024" s="40"/>
      <c r="E1024" s="41"/>
      <c r="F1024" s="41"/>
      <c r="G1024" s="41"/>
      <c r="H1024" s="40"/>
      <c r="I1024" s="32"/>
      <c r="J1024" s="24"/>
      <c r="K1024" s="24"/>
      <c r="L1024" s="22"/>
    </row>
    <row r="1025" spans="1:12" s="20" customFormat="1" ht="58" x14ac:dyDescent="0.4">
      <c r="A1025" s="14" t="s">
        <v>273</v>
      </c>
      <c r="B1025" s="14"/>
      <c r="C1025" s="23"/>
      <c r="D1025" s="36">
        <v>1</v>
      </c>
      <c r="E1025" s="37" t="s">
        <v>442</v>
      </c>
      <c r="F1025" s="37" t="s">
        <v>1144</v>
      </c>
      <c r="G1025" s="37" t="s">
        <v>520</v>
      </c>
      <c r="H1025" s="36"/>
      <c r="I1025" s="23"/>
      <c r="J1025" s="24"/>
      <c r="K1025" s="24"/>
      <c r="L1025" s="22"/>
    </row>
    <row r="1026" spans="1:12" s="20" customFormat="1" ht="58" x14ac:dyDescent="0.4">
      <c r="A1026" s="14" t="s">
        <v>273</v>
      </c>
      <c r="B1026" s="14"/>
      <c r="C1026" s="23"/>
      <c r="D1026" s="36">
        <v>2</v>
      </c>
      <c r="E1026" s="37" t="s">
        <v>442</v>
      </c>
      <c r="F1026" s="37" t="s">
        <v>1144</v>
      </c>
      <c r="G1026" s="37" t="s">
        <v>521</v>
      </c>
      <c r="H1026" s="36"/>
      <c r="I1026" s="23"/>
      <c r="J1026" s="24"/>
      <c r="K1026" s="24"/>
      <c r="L1026" s="22"/>
    </row>
    <row r="1027" spans="1:12" s="20" customFormat="1" ht="58" x14ac:dyDescent="0.4">
      <c r="A1027" s="14" t="s">
        <v>273</v>
      </c>
      <c r="B1027" s="14"/>
      <c r="C1027" s="23"/>
      <c r="D1027" s="36">
        <v>3</v>
      </c>
      <c r="E1027" s="37" t="s">
        <v>442</v>
      </c>
      <c r="F1027" s="37" t="s">
        <v>1144</v>
      </c>
      <c r="G1027" s="37" t="s">
        <v>522</v>
      </c>
      <c r="H1027" s="36"/>
      <c r="I1027" s="23"/>
      <c r="J1027" s="24"/>
      <c r="K1027" s="24"/>
      <c r="L1027" s="22"/>
    </row>
    <row r="1028" spans="1:12" s="20" customFormat="1" ht="58" x14ac:dyDescent="0.4">
      <c r="A1028" s="14" t="s">
        <v>273</v>
      </c>
      <c r="B1028" s="14"/>
      <c r="C1028" s="23"/>
      <c r="D1028" s="36">
        <v>4</v>
      </c>
      <c r="E1028" s="37" t="s">
        <v>549</v>
      </c>
      <c r="F1028" s="37" t="s">
        <v>1147</v>
      </c>
      <c r="G1028" s="37" t="s">
        <v>543</v>
      </c>
      <c r="H1028" s="36"/>
      <c r="I1028" s="23"/>
      <c r="J1028" s="24"/>
      <c r="K1028" s="24"/>
      <c r="L1028" s="22"/>
    </row>
    <row r="1029" spans="1:12" s="20" customFormat="1" ht="116.25" customHeight="1" x14ac:dyDescent="0.4">
      <c r="A1029" s="14" t="s">
        <v>273</v>
      </c>
      <c r="B1029" s="14"/>
      <c r="C1029" s="23"/>
      <c r="D1029" s="36">
        <v>5</v>
      </c>
      <c r="E1029" s="37" t="s">
        <v>480</v>
      </c>
      <c r="F1029" s="37" t="s">
        <v>1145</v>
      </c>
      <c r="G1029" s="37" t="s">
        <v>548</v>
      </c>
      <c r="H1029" s="36"/>
      <c r="I1029" s="23"/>
      <c r="J1029" s="24"/>
      <c r="K1029" s="24"/>
      <c r="L1029" s="22"/>
    </row>
    <row r="1030" spans="1:12" s="20" customFormat="1" ht="58" x14ac:dyDescent="0.4">
      <c r="A1030" s="14" t="s">
        <v>273</v>
      </c>
      <c r="B1030" s="14"/>
      <c r="C1030" s="23"/>
      <c r="D1030" s="36">
        <v>6</v>
      </c>
      <c r="E1030" s="37" t="s">
        <v>1153</v>
      </c>
      <c r="F1030" s="37" t="s">
        <v>1154</v>
      </c>
      <c r="G1030" s="37" t="s">
        <v>550</v>
      </c>
      <c r="H1030" s="36"/>
      <c r="I1030" s="23"/>
      <c r="J1030" s="24"/>
      <c r="K1030" s="24"/>
      <c r="L1030" s="22"/>
    </row>
    <row r="1031" spans="1:12" s="20" customFormat="1" ht="72.5" x14ac:dyDescent="0.4">
      <c r="A1031" s="14" t="s">
        <v>273</v>
      </c>
      <c r="B1031" s="14"/>
      <c r="C1031" s="23"/>
      <c r="D1031" s="36">
        <v>7</v>
      </c>
      <c r="E1031" s="37" t="s">
        <v>555</v>
      </c>
      <c r="F1031" s="37" t="s">
        <v>1155</v>
      </c>
      <c r="G1031" s="37" t="s">
        <v>554</v>
      </c>
      <c r="H1031" s="36"/>
      <c r="I1031" s="23"/>
      <c r="J1031" s="24"/>
      <c r="K1031" s="24"/>
      <c r="L1031" s="22"/>
    </row>
    <row r="1032" spans="1:12" s="20" customFormat="1" ht="72.5" x14ac:dyDescent="0.4">
      <c r="A1032" s="14" t="s">
        <v>273</v>
      </c>
      <c r="B1032" s="14"/>
      <c r="C1032" s="23"/>
      <c r="D1032" s="36">
        <v>8</v>
      </c>
      <c r="E1032" s="37" t="s">
        <v>549</v>
      </c>
      <c r="F1032" s="37" t="s">
        <v>1147</v>
      </c>
      <c r="G1032" s="37" t="s">
        <v>556</v>
      </c>
      <c r="H1032" s="36"/>
      <c r="I1032" s="23"/>
      <c r="J1032" s="24"/>
      <c r="K1032" s="24"/>
      <c r="L1032" s="22"/>
    </row>
    <row r="1033" spans="1:12" s="20" customFormat="1" ht="29" x14ac:dyDescent="0.4">
      <c r="A1033" s="32"/>
      <c r="B1033" s="32" t="s">
        <v>1066</v>
      </c>
      <c r="C1033" s="32" t="s">
        <v>804</v>
      </c>
      <c r="D1033" s="32"/>
      <c r="E1033" s="32"/>
      <c r="F1033" s="32"/>
      <c r="G1033" s="32"/>
      <c r="H1033" s="32"/>
      <c r="I1033" s="32"/>
    </row>
    <row r="1034" spans="1:12" s="20" customFormat="1" ht="261" x14ac:dyDescent="0.4">
      <c r="A1034" s="14" t="s">
        <v>273</v>
      </c>
      <c r="B1034" s="73"/>
      <c r="C1034" s="14"/>
      <c r="D1034" s="36">
        <v>1</v>
      </c>
      <c r="E1034" s="37" t="s">
        <v>561</v>
      </c>
      <c r="F1034" s="37" t="s">
        <v>784</v>
      </c>
      <c r="G1034" s="37" t="s">
        <v>785</v>
      </c>
      <c r="H1034" s="36" t="s">
        <v>293</v>
      </c>
      <c r="I1034" s="23"/>
    </row>
    <row r="1035" spans="1:12" s="20" customFormat="1" ht="174" x14ac:dyDescent="0.4">
      <c r="A1035" s="14" t="s">
        <v>273</v>
      </c>
      <c r="B1035" s="14"/>
      <c r="C1035" s="14"/>
      <c r="D1035" s="36">
        <v>2</v>
      </c>
      <c r="E1035" s="23" t="s">
        <v>564</v>
      </c>
      <c r="F1035" s="37" t="s">
        <v>566</v>
      </c>
      <c r="G1035" s="14" t="s">
        <v>567</v>
      </c>
      <c r="H1035" s="74"/>
      <c r="I1035" s="75"/>
    </row>
    <row r="1036" spans="1:12" s="20" customFormat="1" ht="232" x14ac:dyDescent="0.4">
      <c r="A1036" s="14" t="s">
        <v>273</v>
      </c>
      <c r="B1036" s="14"/>
      <c r="C1036" s="14"/>
      <c r="D1036" s="36">
        <v>3</v>
      </c>
      <c r="E1036" s="23" t="s">
        <v>568</v>
      </c>
      <c r="F1036" s="23" t="s">
        <v>1166</v>
      </c>
      <c r="G1036" s="23"/>
      <c r="H1036" s="23"/>
      <c r="I1036" s="23"/>
    </row>
    <row r="1037" spans="1:12" s="20" customFormat="1" ht="116" x14ac:dyDescent="0.4">
      <c r="A1037" s="14" t="s">
        <v>273</v>
      </c>
      <c r="B1037" s="14"/>
      <c r="C1037" s="14"/>
      <c r="D1037" s="36">
        <v>4</v>
      </c>
      <c r="E1037" s="23" t="s">
        <v>581</v>
      </c>
      <c r="F1037" s="23" t="s">
        <v>571</v>
      </c>
      <c r="G1037" s="23"/>
      <c r="H1037" s="23"/>
      <c r="I1037" s="23"/>
    </row>
    <row r="1038" spans="1:12" s="20" customFormat="1" ht="58" x14ac:dyDescent="0.4">
      <c r="A1038" s="14" t="s">
        <v>273</v>
      </c>
      <c r="B1038" s="14"/>
      <c r="C1038" s="14"/>
      <c r="D1038" s="36">
        <v>5</v>
      </c>
      <c r="E1038" s="23" t="s">
        <v>572</v>
      </c>
      <c r="F1038" s="23" t="s">
        <v>573</v>
      </c>
      <c r="G1038" s="23" t="s">
        <v>574</v>
      </c>
      <c r="H1038" s="23"/>
      <c r="I1038" s="23"/>
    </row>
    <row r="1039" spans="1:12" s="20" customFormat="1" ht="130.5" x14ac:dyDescent="0.4">
      <c r="A1039" s="14" t="s">
        <v>273</v>
      </c>
      <c r="B1039" s="14"/>
      <c r="C1039" s="14"/>
      <c r="D1039" s="36">
        <v>6</v>
      </c>
      <c r="E1039" s="37" t="s">
        <v>575</v>
      </c>
      <c r="F1039" s="37" t="s">
        <v>576</v>
      </c>
      <c r="G1039" s="37"/>
      <c r="H1039" s="37"/>
      <c r="I1039" s="37"/>
    </row>
    <row r="1040" spans="1:12" s="20" customFormat="1" ht="159.5" x14ac:dyDescent="0.4">
      <c r="A1040" s="14" t="s">
        <v>273</v>
      </c>
      <c r="B1040" s="14"/>
      <c r="C1040" s="14"/>
      <c r="D1040" s="36">
        <v>7</v>
      </c>
      <c r="E1040" s="37" t="s">
        <v>354</v>
      </c>
      <c r="F1040" s="37" t="s">
        <v>356</v>
      </c>
      <c r="G1040" s="37"/>
      <c r="H1040" s="37"/>
      <c r="I1040" s="37"/>
    </row>
    <row r="1041" spans="1:9" s="20" customFormat="1" ht="58" x14ac:dyDescent="0.4">
      <c r="A1041" s="14" t="s">
        <v>273</v>
      </c>
      <c r="B1041" s="14"/>
      <c r="C1041" s="14"/>
      <c r="D1041" s="36">
        <v>8</v>
      </c>
      <c r="E1041" s="37" t="s">
        <v>357</v>
      </c>
      <c r="F1041" s="37" t="s">
        <v>577</v>
      </c>
      <c r="G1041" s="86" t="s">
        <v>355</v>
      </c>
      <c r="H1041" s="37"/>
      <c r="I1041" s="37"/>
    </row>
    <row r="1042" spans="1:9" s="20" customFormat="1" ht="58" x14ac:dyDescent="0.4">
      <c r="A1042" s="14" t="s">
        <v>273</v>
      </c>
      <c r="B1042" s="14"/>
      <c r="C1042" s="14"/>
      <c r="D1042" s="36">
        <v>9</v>
      </c>
      <c r="E1042" s="37" t="s">
        <v>578</v>
      </c>
      <c r="F1042" s="37" t="s">
        <v>499</v>
      </c>
      <c r="G1042" s="37"/>
      <c r="H1042" s="37"/>
      <c r="I1042" s="37"/>
    </row>
    <row r="1043" spans="1:9" s="20" customFormat="1" ht="29" x14ac:dyDescent="0.4">
      <c r="A1043" s="32"/>
      <c r="B1043" s="32" t="s">
        <v>1067</v>
      </c>
      <c r="C1043" s="32" t="s">
        <v>1019</v>
      </c>
      <c r="D1043" s="32"/>
      <c r="E1043" s="32"/>
      <c r="F1043" s="32"/>
      <c r="G1043" s="32"/>
      <c r="H1043" s="32"/>
      <c r="I1043" s="32"/>
    </row>
    <row r="1044" spans="1:9" s="20" customFormat="1" ht="261" x14ac:dyDescent="0.4">
      <c r="A1044" s="14" t="s">
        <v>273</v>
      </c>
      <c r="B1044" s="73"/>
      <c r="C1044" s="14"/>
      <c r="D1044" s="36">
        <v>1</v>
      </c>
      <c r="E1044" s="37" t="s">
        <v>561</v>
      </c>
      <c r="F1044" s="37" t="s">
        <v>784</v>
      </c>
      <c r="G1044" s="37" t="s">
        <v>785</v>
      </c>
      <c r="H1044" s="36" t="s">
        <v>293</v>
      </c>
      <c r="I1044" s="23"/>
    </row>
    <row r="1045" spans="1:9" s="20" customFormat="1" ht="174" x14ac:dyDescent="0.4">
      <c r="A1045" s="14" t="s">
        <v>273</v>
      </c>
      <c r="B1045" s="14"/>
      <c r="C1045" s="14"/>
      <c r="D1045" s="36">
        <v>2</v>
      </c>
      <c r="E1045" s="23" t="s">
        <v>564</v>
      </c>
      <c r="F1045" s="37" t="s">
        <v>566</v>
      </c>
      <c r="G1045" s="14" t="s">
        <v>567</v>
      </c>
      <c r="H1045" s="74"/>
      <c r="I1045" s="75"/>
    </row>
    <row r="1046" spans="1:9" s="20" customFormat="1" ht="232" x14ac:dyDescent="0.4">
      <c r="A1046" s="14" t="s">
        <v>273</v>
      </c>
      <c r="B1046" s="14"/>
      <c r="C1046" s="14"/>
      <c r="D1046" s="36">
        <v>3</v>
      </c>
      <c r="E1046" s="23" t="s">
        <v>568</v>
      </c>
      <c r="F1046" s="23" t="s">
        <v>570</v>
      </c>
      <c r="G1046" s="23" t="s">
        <v>1168</v>
      </c>
      <c r="H1046" s="23"/>
      <c r="I1046" s="23"/>
    </row>
    <row r="1047" spans="1:9" s="20" customFormat="1" ht="29" x14ac:dyDescent="0.4">
      <c r="A1047" s="32"/>
      <c r="B1047" s="32" t="s">
        <v>1068</v>
      </c>
      <c r="C1047" s="32" t="s">
        <v>1020</v>
      </c>
      <c r="D1047" s="32"/>
      <c r="E1047" s="32"/>
      <c r="F1047" s="32"/>
      <c r="G1047" s="32"/>
      <c r="H1047" s="32"/>
      <c r="I1047" s="32"/>
    </row>
    <row r="1048" spans="1:9" s="20" customFormat="1" ht="261" x14ac:dyDescent="0.4">
      <c r="A1048" s="14" t="s">
        <v>273</v>
      </c>
      <c r="B1048" s="73"/>
      <c r="C1048" s="14"/>
      <c r="D1048" s="36">
        <v>1</v>
      </c>
      <c r="E1048" s="37" t="s">
        <v>561</v>
      </c>
      <c r="F1048" s="37" t="s">
        <v>784</v>
      </c>
      <c r="G1048" s="37" t="s">
        <v>785</v>
      </c>
      <c r="H1048" s="36" t="s">
        <v>293</v>
      </c>
      <c r="I1048" s="23"/>
    </row>
    <row r="1049" spans="1:9" s="20" customFormat="1" ht="174" x14ac:dyDescent="0.4">
      <c r="A1049" s="14" t="s">
        <v>273</v>
      </c>
      <c r="B1049" s="14"/>
      <c r="C1049" s="14"/>
      <c r="D1049" s="36">
        <v>2</v>
      </c>
      <c r="E1049" s="37" t="s">
        <v>580</v>
      </c>
      <c r="F1049" s="37" t="s">
        <v>566</v>
      </c>
      <c r="G1049" s="14" t="s">
        <v>567</v>
      </c>
      <c r="H1049" s="74"/>
      <c r="I1049" s="75"/>
    </row>
    <row r="1050" spans="1:9" s="20" customFormat="1" ht="232" x14ac:dyDescent="0.4">
      <c r="A1050" s="14" t="s">
        <v>273</v>
      </c>
      <c r="B1050" s="14"/>
      <c r="C1050" s="14"/>
      <c r="D1050" s="36">
        <v>3</v>
      </c>
      <c r="E1050" s="23" t="s">
        <v>568</v>
      </c>
      <c r="F1050" s="23" t="s">
        <v>570</v>
      </c>
      <c r="G1050" s="23"/>
      <c r="H1050" s="23"/>
      <c r="I1050" s="23"/>
    </row>
    <row r="1051" spans="1:9" s="20" customFormat="1" ht="116" x14ac:dyDescent="0.4">
      <c r="A1051" s="14" t="s">
        <v>273</v>
      </c>
      <c r="B1051" s="14"/>
      <c r="C1051" s="14"/>
      <c r="D1051" s="36">
        <v>4</v>
      </c>
      <c r="E1051" s="23" t="s">
        <v>581</v>
      </c>
      <c r="F1051" s="23" t="s">
        <v>1167</v>
      </c>
      <c r="G1051" s="23"/>
      <c r="H1051" s="23"/>
      <c r="I1051" s="23"/>
    </row>
    <row r="1052" spans="1:9" s="20" customFormat="1" ht="58" x14ac:dyDescent="0.4">
      <c r="A1052" s="14" t="s">
        <v>273</v>
      </c>
      <c r="B1052" s="14"/>
      <c r="C1052" s="14"/>
      <c r="D1052" s="36">
        <v>5</v>
      </c>
      <c r="E1052" s="23" t="s">
        <v>572</v>
      </c>
      <c r="F1052" s="23" t="s">
        <v>573</v>
      </c>
      <c r="G1052" s="23"/>
      <c r="H1052" s="23"/>
      <c r="I1052" s="23"/>
    </row>
    <row r="1053" spans="1:9" s="20" customFormat="1" ht="130.5" x14ac:dyDescent="0.4">
      <c r="A1053" s="14" t="s">
        <v>273</v>
      </c>
      <c r="B1053" s="14"/>
      <c r="C1053" s="14"/>
      <c r="D1053" s="36">
        <v>6</v>
      </c>
      <c r="E1053" s="37" t="s">
        <v>575</v>
      </c>
      <c r="F1053" s="37" t="s">
        <v>576</v>
      </c>
      <c r="G1053" s="37"/>
      <c r="H1053" s="37"/>
      <c r="I1053" s="37"/>
    </row>
    <row r="1054" spans="1:9" s="20" customFormat="1" ht="159.5" x14ac:dyDescent="0.4">
      <c r="A1054" s="14" t="s">
        <v>273</v>
      </c>
      <c r="B1054" s="14"/>
      <c r="C1054" s="14"/>
      <c r="D1054" s="36">
        <v>7</v>
      </c>
      <c r="E1054" s="37" t="s">
        <v>354</v>
      </c>
      <c r="F1054" s="37" t="s">
        <v>356</v>
      </c>
      <c r="G1054" s="37"/>
      <c r="H1054" s="37"/>
      <c r="I1054" s="37"/>
    </row>
    <row r="1055" spans="1:9" s="20" customFormat="1" ht="58" x14ac:dyDescent="0.4">
      <c r="A1055" s="14" t="s">
        <v>273</v>
      </c>
      <c r="B1055" s="14"/>
      <c r="C1055" s="14"/>
      <c r="D1055" s="36">
        <v>8</v>
      </c>
      <c r="E1055" s="37" t="s">
        <v>357</v>
      </c>
      <c r="F1055" s="37" t="s">
        <v>577</v>
      </c>
      <c r="G1055" s="86" t="s">
        <v>355</v>
      </c>
      <c r="H1055" s="37"/>
      <c r="I1055" s="37"/>
    </row>
    <row r="1056" spans="1:9" s="20" customFormat="1" ht="58" x14ac:dyDescent="0.4">
      <c r="A1056" s="14" t="s">
        <v>273</v>
      </c>
      <c r="B1056" s="14"/>
      <c r="C1056" s="14"/>
      <c r="D1056" s="36">
        <v>9</v>
      </c>
      <c r="E1056" s="37" t="s">
        <v>578</v>
      </c>
      <c r="F1056" s="37" t="s">
        <v>499</v>
      </c>
      <c r="G1056" s="37"/>
      <c r="H1056" s="37"/>
      <c r="I1056" s="37"/>
    </row>
    <row r="1057" spans="1:9" s="20" customFormat="1" ht="29" x14ac:dyDescent="0.4">
      <c r="A1057" s="32"/>
      <c r="B1057" s="32" t="s">
        <v>1069</v>
      </c>
      <c r="C1057" s="32" t="s">
        <v>805</v>
      </c>
      <c r="D1057" s="32"/>
      <c r="E1057" s="32"/>
      <c r="F1057" s="32"/>
      <c r="G1057" s="32"/>
      <c r="H1057" s="32"/>
      <c r="I1057" s="32"/>
    </row>
    <row r="1058" spans="1:9" s="20" customFormat="1" ht="275.5" x14ac:dyDescent="0.4">
      <c r="A1058" s="14" t="s">
        <v>273</v>
      </c>
      <c r="B1058" s="73"/>
      <c r="C1058" s="14"/>
      <c r="D1058" s="36">
        <v>1</v>
      </c>
      <c r="E1058" s="37" t="s">
        <v>561</v>
      </c>
      <c r="F1058" s="37" t="s">
        <v>563</v>
      </c>
      <c r="G1058" s="37" t="s">
        <v>785</v>
      </c>
      <c r="H1058" s="36" t="s">
        <v>293</v>
      </c>
      <c r="I1058" s="23"/>
    </row>
    <row r="1059" spans="1:9" s="20" customFormat="1" ht="174" x14ac:dyDescent="0.4">
      <c r="A1059" s="14" t="s">
        <v>273</v>
      </c>
      <c r="B1059" s="14"/>
      <c r="C1059" s="14"/>
      <c r="D1059" s="36">
        <v>2</v>
      </c>
      <c r="E1059" s="37" t="s">
        <v>583</v>
      </c>
      <c r="F1059" s="37" t="s">
        <v>566</v>
      </c>
      <c r="G1059" s="14" t="s">
        <v>567</v>
      </c>
      <c r="H1059" s="74"/>
      <c r="I1059" s="75"/>
    </row>
    <row r="1060" spans="1:9" s="20" customFormat="1" ht="232" x14ac:dyDescent="0.4">
      <c r="A1060" s="14" t="s">
        <v>273</v>
      </c>
      <c r="B1060" s="14"/>
      <c r="C1060" s="14"/>
      <c r="D1060" s="36">
        <v>3</v>
      </c>
      <c r="E1060" s="23" t="s">
        <v>568</v>
      </c>
      <c r="F1060" s="23" t="s">
        <v>570</v>
      </c>
      <c r="G1060" s="23"/>
      <c r="H1060" s="23"/>
      <c r="I1060" s="23"/>
    </row>
    <row r="1061" spans="1:9" s="20" customFormat="1" ht="116" x14ac:dyDescent="0.4">
      <c r="A1061" s="14" t="s">
        <v>273</v>
      </c>
      <c r="B1061" s="14"/>
      <c r="C1061" s="14"/>
      <c r="D1061" s="36">
        <v>4</v>
      </c>
      <c r="E1061" s="23" t="s">
        <v>581</v>
      </c>
      <c r="F1061" s="23" t="s">
        <v>571</v>
      </c>
      <c r="G1061" s="23"/>
      <c r="H1061" s="23"/>
      <c r="I1061" s="23"/>
    </row>
    <row r="1062" spans="1:9" s="20" customFormat="1" ht="58" x14ac:dyDescent="0.4">
      <c r="A1062" s="14" t="s">
        <v>273</v>
      </c>
      <c r="B1062" s="14"/>
      <c r="C1062" s="14"/>
      <c r="D1062" s="36">
        <v>5</v>
      </c>
      <c r="E1062" s="23" t="s">
        <v>572</v>
      </c>
      <c r="F1062" s="23" t="s">
        <v>573</v>
      </c>
      <c r="G1062" s="23"/>
      <c r="H1062" s="23"/>
      <c r="I1062" s="23"/>
    </row>
    <row r="1063" spans="1:9" s="20" customFormat="1" ht="130.5" x14ac:dyDescent="0.4">
      <c r="A1063" s="14" t="s">
        <v>273</v>
      </c>
      <c r="B1063" s="14"/>
      <c r="C1063" s="14"/>
      <c r="D1063" s="36">
        <v>6</v>
      </c>
      <c r="E1063" s="37" t="s">
        <v>575</v>
      </c>
      <c r="F1063" s="37" t="s">
        <v>576</v>
      </c>
      <c r="G1063" s="37"/>
      <c r="H1063" s="37"/>
      <c r="I1063" s="37"/>
    </row>
    <row r="1064" spans="1:9" s="20" customFormat="1" ht="159.5" x14ac:dyDescent="0.4">
      <c r="A1064" s="14" t="s">
        <v>273</v>
      </c>
      <c r="B1064" s="14"/>
      <c r="C1064" s="14"/>
      <c r="D1064" s="36">
        <v>7</v>
      </c>
      <c r="E1064" s="37" t="s">
        <v>354</v>
      </c>
      <c r="F1064" s="37" t="s">
        <v>356</v>
      </c>
      <c r="G1064" s="37"/>
      <c r="H1064" s="37"/>
      <c r="I1064" s="37"/>
    </row>
    <row r="1065" spans="1:9" s="20" customFormat="1" ht="58" x14ac:dyDescent="0.4">
      <c r="A1065" s="14" t="s">
        <v>273</v>
      </c>
      <c r="B1065" s="14"/>
      <c r="C1065" s="14"/>
      <c r="D1065" s="36">
        <v>8</v>
      </c>
      <c r="E1065" s="37" t="s">
        <v>357</v>
      </c>
      <c r="F1065" s="37" t="s">
        <v>577</v>
      </c>
      <c r="G1065" s="86" t="s">
        <v>355</v>
      </c>
      <c r="H1065" s="37"/>
      <c r="I1065" s="37"/>
    </row>
    <row r="1066" spans="1:9" s="20" customFormat="1" ht="58" x14ac:dyDescent="0.4">
      <c r="A1066" s="14" t="s">
        <v>273</v>
      </c>
      <c r="B1066" s="14"/>
      <c r="C1066" s="14"/>
      <c r="D1066" s="36">
        <v>9</v>
      </c>
      <c r="E1066" s="37" t="s">
        <v>578</v>
      </c>
      <c r="F1066" s="37" t="s">
        <v>499</v>
      </c>
      <c r="G1066" s="37"/>
      <c r="H1066" s="37"/>
      <c r="I1066" s="37"/>
    </row>
    <row r="1067" spans="1:9" s="20" customFormat="1" ht="29" x14ac:dyDescent="0.4">
      <c r="A1067" s="32"/>
      <c r="B1067" s="32" t="s">
        <v>1070</v>
      </c>
      <c r="C1067" s="32" t="s">
        <v>1021</v>
      </c>
      <c r="D1067" s="32"/>
      <c r="E1067" s="32"/>
      <c r="F1067" s="32"/>
      <c r="G1067" s="32"/>
      <c r="H1067" s="32"/>
      <c r="I1067" s="32"/>
    </row>
    <row r="1068" spans="1:9" s="20" customFormat="1" ht="275.5" x14ac:dyDescent="0.4">
      <c r="A1068" s="14" t="s">
        <v>273</v>
      </c>
      <c r="B1068" s="73"/>
      <c r="C1068" s="14"/>
      <c r="D1068" s="36">
        <v>1</v>
      </c>
      <c r="E1068" s="37" t="s">
        <v>561</v>
      </c>
      <c r="F1068" s="37" t="s">
        <v>563</v>
      </c>
      <c r="G1068" s="37" t="s">
        <v>785</v>
      </c>
      <c r="H1068" s="36" t="s">
        <v>293</v>
      </c>
      <c r="I1068" s="23"/>
    </row>
    <row r="1069" spans="1:9" s="20" customFormat="1" ht="174" x14ac:dyDescent="0.4">
      <c r="A1069" s="14" t="s">
        <v>273</v>
      </c>
      <c r="B1069" s="14"/>
      <c r="C1069" s="14"/>
      <c r="D1069" s="36">
        <v>2</v>
      </c>
      <c r="E1069" s="37" t="s">
        <v>583</v>
      </c>
      <c r="F1069" s="37" t="s">
        <v>566</v>
      </c>
      <c r="G1069" s="14" t="s">
        <v>567</v>
      </c>
      <c r="H1069" s="74"/>
      <c r="I1069" s="75"/>
    </row>
    <row r="1070" spans="1:9" s="20" customFormat="1" ht="232" x14ac:dyDescent="0.4">
      <c r="A1070" s="14" t="s">
        <v>273</v>
      </c>
      <c r="B1070" s="14"/>
      <c r="C1070" s="14"/>
      <c r="D1070" s="36">
        <v>3</v>
      </c>
      <c r="E1070" s="23" t="s">
        <v>568</v>
      </c>
      <c r="F1070" s="23" t="s">
        <v>570</v>
      </c>
      <c r="G1070" s="23" t="s">
        <v>1169</v>
      </c>
      <c r="H1070" s="23"/>
      <c r="I1070" s="23"/>
    </row>
    <row r="1071" spans="1:9" s="20" customFormat="1" ht="29" x14ac:dyDescent="0.4">
      <c r="A1071" s="32"/>
      <c r="B1071" s="32" t="s">
        <v>1071</v>
      </c>
      <c r="C1071" s="32" t="s">
        <v>790</v>
      </c>
      <c r="D1071" s="32"/>
      <c r="E1071" s="32"/>
      <c r="F1071" s="32"/>
      <c r="G1071" s="32"/>
      <c r="H1071" s="32"/>
      <c r="I1071" s="32"/>
    </row>
    <row r="1072" spans="1:9" s="20" customFormat="1" ht="275.5" x14ac:dyDescent="0.4">
      <c r="A1072" s="14" t="s">
        <v>273</v>
      </c>
      <c r="B1072" s="73"/>
      <c r="C1072" s="14"/>
      <c r="D1072" s="36">
        <v>1</v>
      </c>
      <c r="E1072" s="37" t="s">
        <v>561</v>
      </c>
      <c r="F1072" s="37" t="s">
        <v>563</v>
      </c>
      <c r="G1072" s="37" t="s">
        <v>785</v>
      </c>
      <c r="H1072" s="36"/>
      <c r="I1072" s="23"/>
    </row>
    <row r="1073" spans="1:9" s="20" customFormat="1" ht="130.5" x14ac:dyDescent="0.4">
      <c r="A1073" s="14" t="s">
        <v>273</v>
      </c>
      <c r="B1073" s="14"/>
      <c r="C1073" s="14"/>
      <c r="D1073" s="36">
        <v>2</v>
      </c>
      <c r="E1073" s="37" t="s">
        <v>595</v>
      </c>
      <c r="F1073" s="37" t="s">
        <v>596</v>
      </c>
      <c r="G1073" s="14" t="s">
        <v>567</v>
      </c>
      <c r="H1073" s="74"/>
      <c r="I1073" s="75"/>
    </row>
    <row r="1074" spans="1:9" s="20" customFormat="1" ht="232" x14ac:dyDescent="0.4">
      <c r="A1074" s="14" t="s">
        <v>273</v>
      </c>
      <c r="B1074" s="14"/>
      <c r="C1074" s="14"/>
      <c r="D1074" s="36">
        <v>3</v>
      </c>
      <c r="E1074" s="23" t="s">
        <v>568</v>
      </c>
      <c r="F1074" s="23" t="s">
        <v>597</v>
      </c>
      <c r="G1074" s="23"/>
      <c r="H1074" s="23"/>
      <c r="I1074" s="23"/>
    </row>
    <row r="1075" spans="1:9" s="20" customFormat="1" ht="58" x14ac:dyDescent="0.4">
      <c r="A1075" s="14" t="s">
        <v>273</v>
      </c>
      <c r="B1075" s="14"/>
      <c r="C1075" s="14"/>
      <c r="D1075" s="36">
        <v>4</v>
      </c>
      <c r="E1075" s="23" t="s">
        <v>598</v>
      </c>
      <c r="F1075" s="23" t="s">
        <v>599</v>
      </c>
      <c r="G1075" s="23"/>
      <c r="H1075" s="23"/>
      <c r="I1075" s="23"/>
    </row>
    <row r="1076" spans="1:9" s="20" customFormat="1" ht="29" x14ac:dyDescent="0.4">
      <c r="A1076" s="32"/>
      <c r="B1076" s="32" t="s">
        <v>1072</v>
      </c>
      <c r="C1076" s="32" t="s">
        <v>792</v>
      </c>
      <c r="D1076" s="32"/>
      <c r="E1076" s="32"/>
      <c r="F1076" s="32"/>
      <c r="G1076" s="32"/>
      <c r="H1076" s="32"/>
      <c r="I1076" s="32"/>
    </row>
    <row r="1077" spans="1:9" s="20" customFormat="1" ht="275.5" x14ac:dyDescent="0.4">
      <c r="A1077" s="14" t="s">
        <v>273</v>
      </c>
      <c r="B1077" s="73"/>
      <c r="C1077" s="14"/>
      <c r="D1077" s="36">
        <v>1</v>
      </c>
      <c r="E1077" s="37" t="s">
        <v>561</v>
      </c>
      <c r="F1077" s="37" t="s">
        <v>563</v>
      </c>
      <c r="G1077" s="37" t="s">
        <v>785</v>
      </c>
      <c r="H1077" s="36" t="s">
        <v>293</v>
      </c>
      <c r="I1077" s="23"/>
    </row>
    <row r="1078" spans="1:9" s="20" customFormat="1" ht="130.5" x14ac:dyDescent="0.4">
      <c r="A1078" s="14" t="s">
        <v>273</v>
      </c>
      <c r="B1078" s="14"/>
      <c r="C1078" s="14"/>
      <c r="D1078" s="36">
        <v>2</v>
      </c>
      <c r="E1078" s="37" t="s">
        <v>595</v>
      </c>
      <c r="F1078" s="37" t="s">
        <v>596</v>
      </c>
      <c r="G1078" s="14" t="s">
        <v>567</v>
      </c>
      <c r="H1078" s="74"/>
      <c r="I1078" s="75"/>
    </row>
    <row r="1079" spans="1:9" s="20" customFormat="1" ht="232" x14ac:dyDescent="0.4">
      <c r="A1079" s="14" t="s">
        <v>273</v>
      </c>
      <c r="B1079" s="14"/>
      <c r="C1079" s="14"/>
      <c r="D1079" s="36">
        <v>3</v>
      </c>
      <c r="E1079" s="23" t="s">
        <v>568</v>
      </c>
      <c r="F1079" s="23" t="s">
        <v>597</v>
      </c>
      <c r="G1079" s="23"/>
      <c r="H1079" s="23"/>
      <c r="I1079" s="23"/>
    </row>
    <row r="1080" spans="1:9" s="20" customFormat="1" ht="58" x14ac:dyDescent="0.4">
      <c r="A1080" s="14" t="s">
        <v>273</v>
      </c>
      <c r="B1080" s="14"/>
      <c r="C1080" s="14"/>
      <c r="D1080" s="36">
        <v>4</v>
      </c>
      <c r="E1080" s="23" t="s">
        <v>600</v>
      </c>
      <c r="F1080" s="23" t="s">
        <v>601</v>
      </c>
      <c r="G1080" s="23"/>
      <c r="H1080" s="23"/>
      <c r="I1080" s="23"/>
    </row>
    <row r="1081" spans="1:9" s="20" customFormat="1" ht="29" x14ac:dyDescent="0.4">
      <c r="A1081" s="32"/>
      <c r="B1081" s="32" t="s">
        <v>1073</v>
      </c>
      <c r="C1081" s="32" t="s">
        <v>1022</v>
      </c>
      <c r="D1081" s="32"/>
      <c r="E1081" s="32"/>
      <c r="F1081" s="32"/>
      <c r="G1081" s="32"/>
      <c r="H1081" s="32"/>
      <c r="I1081" s="32"/>
    </row>
    <row r="1082" spans="1:9" s="20" customFormat="1" ht="275.5" x14ac:dyDescent="0.4">
      <c r="A1082" s="14" t="s">
        <v>273</v>
      </c>
      <c r="B1082" s="73"/>
      <c r="C1082" s="14"/>
      <c r="D1082" s="36">
        <v>1</v>
      </c>
      <c r="E1082" s="37" t="s">
        <v>561</v>
      </c>
      <c r="F1082" s="37" t="s">
        <v>563</v>
      </c>
      <c r="G1082" s="37" t="s">
        <v>785</v>
      </c>
      <c r="H1082" s="36" t="s">
        <v>293</v>
      </c>
      <c r="I1082" s="23"/>
    </row>
    <row r="1083" spans="1:9" s="20" customFormat="1" ht="58" x14ac:dyDescent="0.4">
      <c r="A1083" s="14" t="s">
        <v>273</v>
      </c>
      <c r="B1083" s="14"/>
      <c r="C1083" s="14"/>
      <c r="D1083" s="36">
        <v>2</v>
      </c>
      <c r="E1083" s="37" t="s">
        <v>602</v>
      </c>
      <c r="F1083" s="37" t="s">
        <v>603</v>
      </c>
      <c r="G1083" s="14"/>
      <c r="H1083" s="74"/>
      <c r="I1083" s="75"/>
    </row>
    <row r="1084" spans="1:9" s="20" customFormat="1" ht="159.5" x14ac:dyDescent="0.4">
      <c r="A1084" s="14" t="s">
        <v>273</v>
      </c>
      <c r="B1084" s="14"/>
      <c r="C1084" s="14"/>
      <c r="D1084" s="36">
        <v>3</v>
      </c>
      <c r="E1084" s="23" t="s">
        <v>604</v>
      </c>
      <c r="F1084" s="23" t="s">
        <v>803</v>
      </c>
      <c r="G1084" s="23" t="s">
        <v>499</v>
      </c>
      <c r="H1084" s="23"/>
      <c r="I1084" s="23"/>
    </row>
    <row r="1085" spans="1:9" s="20" customFormat="1" ht="29" x14ac:dyDescent="0.4">
      <c r="A1085" s="32"/>
      <c r="B1085" s="32" t="s">
        <v>1074</v>
      </c>
      <c r="C1085" s="32" t="s">
        <v>795</v>
      </c>
      <c r="D1085" s="32"/>
      <c r="E1085" s="32"/>
      <c r="F1085" s="32"/>
      <c r="G1085" s="32"/>
      <c r="H1085" s="32"/>
      <c r="I1085" s="32"/>
    </row>
    <row r="1086" spans="1:9" s="20" customFormat="1" ht="275.5" x14ac:dyDescent="0.4">
      <c r="A1086" s="14" t="s">
        <v>273</v>
      </c>
      <c r="B1086" s="73"/>
      <c r="C1086" s="14"/>
      <c r="D1086" s="36">
        <v>1</v>
      </c>
      <c r="E1086" s="37" t="s">
        <v>561</v>
      </c>
      <c r="F1086" s="37" t="s">
        <v>563</v>
      </c>
      <c r="G1086" s="37" t="s">
        <v>785</v>
      </c>
      <c r="H1086" s="36" t="s">
        <v>293</v>
      </c>
      <c r="I1086" s="23"/>
    </row>
    <row r="1087" spans="1:9" s="20" customFormat="1" ht="174" x14ac:dyDescent="0.4">
      <c r="A1087" s="14" t="s">
        <v>273</v>
      </c>
      <c r="B1087" s="14"/>
      <c r="C1087" s="14"/>
      <c r="D1087" s="36">
        <v>2</v>
      </c>
      <c r="E1087" s="23" t="s">
        <v>810</v>
      </c>
      <c r="F1087" s="37" t="s">
        <v>566</v>
      </c>
      <c r="G1087" s="14"/>
      <c r="H1087" s="74"/>
      <c r="I1087" s="75"/>
    </row>
    <row r="1088" spans="1:9" s="20" customFormat="1" ht="232" x14ac:dyDescent="0.4">
      <c r="A1088" s="14" t="s">
        <v>273</v>
      </c>
      <c r="B1088" s="14"/>
      <c r="C1088" s="14"/>
      <c r="D1088" s="36">
        <v>3</v>
      </c>
      <c r="E1088" s="23" t="s">
        <v>568</v>
      </c>
      <c r="F1088" s="23" t="s">
        <v>570</v>
      </c>
      <c r="G1088" s="23"/>
      <c r="H1088" s="23"/>
      <c r="I1088" s="23"/>
    </row>
    <row r="1089" spans="1:12" s="20" customFormat="1" ht="217.5" x14ac:dyDescent="0.4">
      <c r="A1089" s="14" t="s">
        <v>273</v>
      </c>
      <c r="B1089" s="14"/>
      <c r="C1089" s="14"/>
      <c r="D1089" s="36">
        <v>4</v>
      </c>
      <c r="E1089" s="23" t="s">
        <v>605</v>
      </c>
      <c r="F1089" s="23" t="s">
        <v>606</v>
      </c>
      <c r="G1089" s="23"/>
      <c r="H1089" s="23"/>
      <c r="I1089" s="23"/>
    </row>
    <row r="1090" spans="1:12" s="20" customFormat="1" ht="58" x14ac:dyDescent="0.4">
      <c r="A1090" s="14" t="s">
        <v>273</v>
      </c>
      <c r="B1090" s="14"/>
      <c r="C1090" s="14"/>
      <c r="D1090" s="36">
        <v>5</v>
      </c>
      <c r="E1090" s="23" t="s">
        <v>607</v>
      </c>
      <c r="F1090" s="23" t="s">
        <v>608</v>
      </c>
      <c r="G1090" s="23" t="s">
        <v>610</v>
      </c>
      <c r="H1090" s="23"/>
      <c r="I1090" s="23"/>
    </row>
    <row r="1091" spans="1:12" s="20" customFormat="1" ht="29" x14ac:dyDescent="0.4">
      <c r="A1091" s="32"/>
      <c r="B1091" s="32" t="s">
        <v>1075</v>
      </c>
      <c r="C1091" s="32" t="s">
        <v>797</v>
      </c>
      <c r="D1091" s="32"/>
      <c r="E1091" s="32"/>
      <c r="F1091" s="32"/>
      <c r="G1091" s="32"/>
      <c r="H1091" s="32"/>
      <c r="I1091" s="32"/>
    </row>
    <row r="1092" spans="1:12" s="20" customFormat="1" ht="275.5" x14ac:dyDescent="0.4">
      <c r="A1092" s="14" t="s">
        <v>273</v>
      </c>
      <c r="B1092" s="73"/>
      <c r="C1092" s="14"/>
      <c r="D1092" s="36">
        <v>1</v>
      </c>
      <c r="E1092" s="37" t="s">
        <v>561</v>
      </c>
      <c r="F1092" s="37" t="s">
        <v>563</v>
      </c>
      <c r="G1092" s="37" t="s">
        <v>785</v>
      </c>
      <c r="H1092" s="36" t="s">
        <v>293</v>
      </c>
      <c r="I1092" s="23"/>
    </row>
    <row r="1093" spans="1:12" s="20" customFormat="1" ht="174" x14ac:dyDescent="0.4">
      <c r="A1093" s="14" t="s">
        <v>273</v>
      </c>
      <c r="B1093" s="14"/>
      <c r="C1093" s="14"/>
      <c r="D1093" s="36">
        <v>2</v>
      </c>
      <c r="E1093" s="23" t="s">
        <v>810</v>
      </c>
      <c r="F1093" s="37" t="s">
        <v>566</v>
      </c>
      <c r="G1093" s="14"/>
      <c r="H1093" s="74"/>
      <c r="I1093" s="75"/>
    </row>
    <row r="1094" spans="1:12" s="20" customFormat="1" ht="232" x14ac:dyDescent="0.4">
      <c r="A1094" s="14" t="s">
        <v>273</v>
      </c>
      <c r="B1094" s="14"/>
      <c r="C1094" s="14"/>
      <c r="D1094" s="36">
        <v>3</v>
      </c>
      <c r="E1094" s="23" t="s">
        <v>568</v>
      </c>
      <c r="F1094" s="23" t="s">
        <v>570</v>
      </c>
      <c r="G1094" s="23"/>
      <c r="H1094" s="23"/>
      <c r="I1094" s="23"/>
    </row>
    <row r="1095" spans="1:12" s="20" customFormat="1" ht="58" x14ac:dyDescent="0.4">
      <c r="A1095" s="14" t="s">
        <v>273</v>
      </c>
      <c r="B1095" s="14"/>
      <c r="C1095" s="14"/>
      <c r="D1095" s="36">
        <v>4</v>
      </c>
      <c r="E1095" s="23" t="s">
        <v>611</v>
      </c>
      <c r="F1095" s="23" t="s">
        <v>601</v>
      </c>
      <c r="G1095" s="23" t="s">
        <v>610</v>
      </c>
      <c r="H1095" s="23"/>
      <c r="I1095" s="23"/>
    </row>
    <row r="1096" spans="1:12" s="20" customFormat="1" ht="29" x14ac:dyDescent="0.4">
      <c r="A1096" s="32"/>
      <c r="B1096" s="32" t="s">
        <v>1076</v>
      </c>
      <c r="C1096" s="32" t="s">
        <v>1023</v>
      </c>
      <c r="D1096" s="40"/>
      <c r="E1096" s="41"/>
      <c r="F1096" s="41"/>
      <c r="G1096" s="41"/>
      <c r="H1096" s="40"/>
      <c r="I1096" s="32"/>
      <c r="J1096" s="24"/>
      <c r="K1096" s="24"/>
      <c r="L1096" s="22"/>
    </row>
    <row r="1097" spans="1:12" s="20" customFormat="1" ht="58" x14ac:dyDescent="0.4">
      <c r="A1097" s="14" t="s">
        <v>273</v>
      </c>
      <c r="B1097" s="14"/>
      <c r="C1097" s="71"/>
      <c r="D1097" s="36">
        <v>1</v>
      </c>
      <c r="E1097" s="23" t="s">
        <v>568</v>
      </c>
      <c r="F1097" s="37" t="s">
        <v>1171</v>
      </c>
      <c r="G1097" s="37" t="s">
        <v>569</v>
      </c>
      <c r="H1097" s="36"/>
      <c r="I1097" s="23"/>
      <c r="J1097" s="24"/>
      <c r="K1097" s="24"/>
      <c r="L1097" s="22"/>
    </row>
    <row r="1098" spans="1:12" s="20" customFormat="1" ht="58" x14ac:dyDescent="0.4">
      <c r="A1098" s="14" t="s">
        <v>273</v>
      </c>
      <c r="B1098" s="14"/>
      <c r="C1098" s="23"/>
      <c r="D1098" s="36">
        <v>2</v>
      </c>
      <c r="E1098" s="23" t="s">
        <v>568</v>
      </c>
      <c r="F1098" s="37" t="s">
        <v>1170</v>
      </c>
      <c r="G1098" s="37" t="s">
        <v>584</v>
      </c>
      <c r="H1098" s="36"/>
      <c r="I1098" s="23"/>
      <c r="J1098" s="24"/>
      <c r="K1098" s="24"/>
      <c r="L1098" s="22"/>
    </row>
    <row r="1099" spans="1:12" s="20" customFormat="1" ht="58" x14ac:dyDescent="0.4">
      <c r="A1099" s="14" t="s">
        <v>273</v>
      </c>
      <c r="B1099" s="14"/>
      <c r="C1099" s="23"/>
      <c r="D1099" s="36">
        <v>3</v>
      </c>
      <c r="E1099" s="23" t="s">
        <v>568</v>
      </c>
      <c r="F1099" s="37" t="s">
        <v>1170</v>
      </c>
      <c r="G1099" s="37" t="s">
        <v>585</v>
      </c>
      <c r="H1099" s="36"/>
      <c r="I1099" s="23"/>
      <c r="J1099" s="24"/>
      <c r="K1099" s="24"/>
      <c r="L1099" s="22"/>
    </row>
    <row r="1100" spans="1:12" s="20" customFormat="1" ht="29" x14ac:dyDescent="0.4">
      <c r="A1100" s="32"/>
      <c r="B1100" s="32" t="s">
        <v>1077</v>
      </c>
      <c r="C1100" s="32" t="s">
        <v>799</v>
      </c>
      <c r="D1100" s="32"/>
      <c r="E1100" s="32"/>
      <c r="F1100" s="32"/>
      <c r="G1100" s="32"/>
      <c r="H1100" s="32"/>
      <c r="I1100" s="32"/>
    </row>
    <row r="1101" spans="1:12" s="20" customFormat="1" ht="275.5" x14ac:dyDescent="0.4">
      <c r="A1101" s="14" t="s">
        <v>273</v>
      </c>
      <c r="B1101" s="73"/>
      <c r="C1101" s="14"/>
      <c r="D1101" s="36">
        <v>1</v>
      </c>
      <c r="E1101" s="37" t="s">
        <v>561</v>
      </c>
      <c r="F1101" s="37" t="s">
        <v>563</v>
      </c>
      <c r="G1101" s="37" t="s">
        <v>785</v>
      </c>
      <c r="H1101" s="36" t="s">
        <v>293</v>
      </c>
      <c r="I1101" s="23"/>
    </row>
    <row r="1102" spans="1:12" s="20" customFormat="1" ht="362.5" x14ac:dyDescent="0.4">
      <c r="A1102" s="14" t="s">
        <v>273</v>
      </c>
      <c r="B1102" s="14"/>
      <c r="C1102" s="14"/>
      <c r="D1102" s="36">
        <v>2</v>
      </c>
      <c r="E1102" s="23" t="s">
        <v>612</v>
      </c>
      <c r="F1102" s="37" t="s">
        <v>613</v>
      </c>
      <c r="G1102" s="14" t="s">
        <v>567</v>
      </c>
      <c r="H1102" s="74"/>
      <c r="I1102" s="75"/>
    </row>
    <row r="1103" spans="1:12" s="20" customFormat="1" ht="232" x14ac:dyDescent="0.4">
      <c r="A1103" s="14" t="s">
        <v>273</v>
      </c>
      <c r="B1103" s="14"/>
      <c r="C1103" s="14"/>
      <c r="D1103" s="36">
        <v>3</v>
      </c>
      <c r="E1103" s="23" t="s">
        <v>568</v>
      </c>
      <c r="F1103" s="23" t="s">
        <v>570</v>
      </c>
      <c r="G1103" s="23"/>
      <c r="H1103" s="23"/>
      <c r="I1103" s="23"/>
    </row>
    <row r="1104" spans="1:12" s="20" customFormat="1" ht="101.5" x14ac:dyDescent="0.4">
      <c r="A1104" s="14" t="s">
        <v>273</v>
      </c>
      <c r="B1104" s="14"/>
      <c r="C1104" s="14"/>
      <c r="D1104" s="36">
        <v>4</v>
      </c>
      <c r="E1104" s="23" t="s">
        <v>614</v>
      </c>
      <c r="F1104" s="23" t="s">
        <v>617</v>
      </c>
      <c r="G1104" s="23"/>
      <c r="H1104" s="23"/>
      <c r="I1104" s="23"/>
    </row>
    <row r="1105" spans="1:12" s="20" customFormat="1" ht="188.5" x14ac:dyDescent="0.4">
      <c r="A1105" s="14" t="s">
        <v>273</v>
      </c>
      <c r="B1105" s="14"/>
      <c r="C1105" s="14"/>
      <c r="D1105" s="36">
        <v>5</v>
      </c>
      <c r="E1105" s="23" t="s">
        <v>615</v>
      </c>
      <c r="F1105" s="23" t="s">
        <v>616</v>
      </c>
      <c r="G1105" s="23"/>
      <c r="H1105" s="23"/>
      <c r="I1105" s="23"/>
    </row>
    <row r="1106" spans="1:12" s="20" customFormat="1" ht="159.5" x14ac:dyDescent="0.4">
      <c r="A1106" s="14" t="s">
        <v>273</v>
      </c>
      <c r="B1106" s="14"/>
      <c r="C1106" s="14"/>
      <c r="D1106" s="36">
        <v>6</v>
      </c>
      <c r="E1106" s="37" t="s">
        <v>354</v>
      </c>
      <c r="F1106" s="37" t="s">
        <v>356</v>
      </c>
      <c r="G1106" s="37"/>
      <c r="H1106" s="37"/>
      <c r="I1106" s="37"/>
    </row>
    <row r="1107" spans="1:12" s="20" customFormat="1" ht="58" x14ac:dyDescent="0.4">
      <c r="A1107" s="14" t="s">
        <v>273</v>
      </c>
      <c r="B1107" s="14"/>
      <c r="C1107" s="14"/>
      <c r="D1107" s="36">
        <v>7</v>
      </c>
      <c r="E1107" s="37" t="s">
        <v>357</v>
      </c>
      <c r="F1107" s="37" t="s">
        <v>618</v>
      </c>
      <c r="G1107" s="86" t="s">
        <v>186</v>
      </c>
      <c r="H1107" s="37"/>
      <c r="I1107" s="37"/>
    </row>
    <row r="1108" spans="1:12" s="20" customFormat="1" ht="72.5" x14ac:dyDescent="0.4">
      <c r="A1108" s="14" t="s">
        <v>273</v>
      </c>
      <c r="B1108" s="14"/>
      <c r="C1108" s="14"/>
      <c r="D1108" s="36">
        <v>8</v>
      </c>
      <c r="E1108" s="37" t="s">
        <v>619</v>
      </c>
      <c r="F1108" s="37" t="s">
        <v>620</v>
      </c>
      <c r="G1108" s="37"/>
      <c r="H1108" s="37"/>
      <c r="I1108" s="37"/>
    </row>
    <row r="1109" spans="1:12" s="20" customFormat="1" ht="58" x14ac:dyDescent="0.4">
      <c r="A1109" s="14" t="s">
        <v>273</v>
      </c>
      <c r="B1109" s="14"/>
      <c r="C1109" s="14"/>
      <c r="D1109" s="36">
        <v>9</v>
      </c>
      <c r="E1109" s="37" t="s">
        <v>621</v>
      </c>
      <c r="F1109" s="37" t="s">
        <v>622</v>
      </c>
      <c r="G1109" s="37" t="s">
        <v>610</v>
      </c>
      <c r="H1109" s="37"/>
      <c r="I1109" s="37"/>
    </row>
    <row r="1110" spans="1:12" s="20" customFormat="1" ht="29" x14ac:dyDescent="0.4">
      <c r="A1110" s="32"/>
      <c r="B1110" s="32" t="s">
        <v>1078</v>
      </c>
      <c r="C1110" s="32" t="s">
        <v>801</v>
      </c>
      <c r="D1110" s="32"/>
      <c r="E1110" s="32"/>
      <c r="F1110" s="32"/>
      <c r="G1110" s="32"/>
      <c r="H1110" s="32"/>
      <c r="I1110" s="32"/>
    </row>
    <row r="1111" spans="1:12" s="20" customFormat="1" ht="275.5" x14ac:dyDescent="0.4">
      <c r="A1111" s="14" t="s">
        <v>273</v>
      </c>
      <c r="B1111" s="73"/>
      <c r="C1111" s="14"/>
      <c r="D1111" s="36">
        <v>1</v>
      </c>
      <c r="E1111" s="37" t="s">
        <v>561</v>
      </c>
      <c r="F1111" s="37" t="s">
        <v>563</v>
      </c>
      <c r="G1111" s="37" t="s">
        <v>785</v>
      </c>
      <c r="H1111" s="36" t="s">
        <v>293</v>
      </c>
      <c r="I1111" s="23"/>
    </row>
    <row r="1112" spans="1:12" s="20" customFormat="1" ht="362.5" x14ac:dyDescent="0.4">
      <c r="A1112" s="14" t="s">
        <v>273</v>
      </c>
      <c r="B1112" s="14"/>
      <c r="C1112" s="14"/>
      <c r="D1112" s="36">
        <v>2</v>
      </c>
      <c r="E1112" s="23" t="s">
        <v>612</v>
      </c>
      <c r="F1112" s="37" t="s">
        <v>613</v>
      </c>
      <c r="G1112" s="14" t="s">
        <v>567</v>
      </c>
      <c r="H1112" s="74"/>
      <c r="I1112" s="75"/>
    </row>
    <row r="1113" spans="1:12" s="20" customFormat="1" ht="232" x14ac:dyDescent="0.4">
      <c r="A1113" s="14" t="s">
        <v>273</v>
      </c>
      <c r="B1113" s="14"/>
      <c r="C1113" s="14"/>
      <c r="D1113" s="36">
        <v>3</v>
      </c>
      <c r="E1113" s="23" t="s">
        <v>568</v>
      </c>
      <c r="F1113" s="23" t="s">
        <v>570</v>
      </c>
      <c r="G1113" s="23"/>
      <c r="H1113" s="23"/>
      <c r="I1113" s="23"/>
    </row>
    <row r="1114" spans="1:12" s="20" customFormat="1" ht="101.5" x14ac:dyDescent="0.4">
      <c r="A1114" s="14" t="s">
        <v>273</v>
      </c>
      <c r="B1114" s="14"/>
      <c r="C1114" s="14"/>
      <c r="D1114" s="36">
        <v>4</v>
      </c>
      <c r="E1114" s="23" t="s">
        <v>614</v>
      </c>
      <c r="F1114" s="23" t="s">
        <v>617</v>
      </c>
      <c r="G1114" s="23"/>
      <c r="H1114" s="23"/>
      <c r="I1114" s="23"/>
    </row>
    <row r="1115" spans="1:12" s="20" customFormat="1" ht="188.5" x14ac:dyDescent="0.4">
      <c r="A1115" s="14" t="s">
        <v>273</v>
      </c>
      <c r="B1115" s="14"/>
      <c r="C1115" s="14"/>
      <c r="D1115" s="36">
        <v>5</v>
      </c>
      <c r="E1115" s="23" t="s">
        <v>615</v>
      </c>
      <c r="F1115" s="23" t="s">
        <v>616</v>
      </c>
      <c r="G1115" s="23"/>
      <c r="H1115" s="23"/>
      <c r="I1115" s="23"/>
    </row>
    <row r="1116" spans="1:12" s="20" customFormat="1" ht="159.5" x14ac:dyDescent="0.4">
      <c r="A1116" s="14" t="s">
        <v>273</v>
      </c>
      <c r="B1116" s="14"/>
      <c r="C1116" s="14"/>
      <c r="D1116" s="36">
        <v>6</v>
      </c>
      <c r="E1116" s="37" t="s">
        <v>354</v>
      </c>
      <c r="F1116" s="37" t="s">
        <v>356</v>
      </c>
      <c r="G1116" s="37"/>
      <c r="H1116" s="37"/>
      <c r="I1116" s="37"/>
    </row>
    <row r="1117" spans="1:12" s="20" customFormat="1" ht="101.5" x14ac:dyDescent="0.4">
      <c r="A1117" s="14" t="s">
        <v>273</v>
      </c>
      <c r="B1117" s="14"/>
      <c r="C1117" s="14"/>
      <c r="D1117" s="36">
        <v>7</v>
      </c>
      <c r="E1117" s="37" t="s">
        <v>357</v>
      </c>
      <c r="F1117" s="86" t="s">
        <v>955</v>
      </c>
      <c r="G1117" s="37" t="s">
        <v>499</v>
      </c>
      <c r="H1117" s="37"/>
      <c r="I1117" s="37"/>
    </row>
    <row r="1118" spans="1:12" s="20" customFormat="1" ht="29" x14ac:dyDescent="0.4">
      <c r="A1118" s="32"/>
      <c r="B1118" s="32" t="s">
        <v>1079</v>
      </c>
      <c r="C1118" s="32" t="s">
        <v>1024</v>
      </c>
      <c r="D1118" s="32"/>
      <c r="E1118" s="32"/>
      <c r="F1118" s="32"/>
      <c r="G1118" s="32"/>
      <c r="H1118" s="32"/>
      <c r="I1118" s="32"/>
      <c r="J1118" s="24"/>
      <c r="K1118" s="24"/>
      <c r="L1118" s="22"/>
    </row>
    <row r="1119" spans="1:12" s="20" customFormat="1" ht="174" x14ac:dyDescent="0.4">
      <c r="A1119" s="14" t="s">
        <v>273</v>
      </c>
      <c r="B1119" s="14"/>
      <c r="C1119" s="14"/>
      <c r="D1119" s="36">
        <v>1</v>
      </c>
      <c r="E1119" s="37" t="s">
        <v>959</v>
      </c>
      <c r="F1119" s="37" t="s">
        <v>1040</v>
      </c>
      <c r="G1119" s="14" t="s">
        <v>958</v>
      </c>
      <c r="H1119" s="36" t="s">
        <v>628</v>
      </c>
      <c r="I1119" s="14"/>
      <c r="J1119" s="24"/>
      <c r="K1119" s="24"/>
      <c r="L1119" s="22"/>
    </row>
    <row r="1120" spans="1:12" s="20" customFormat="1" ht="165" x14ac:dyDescent="0.4">
      <c r="A1120" s="14" t="s">
        <v>273</v>
      </c>
      <c r="B1120" s="43"/>
      <c r="C1120" s="43"/>
      <c r="D1120" s="36">
        <v>2</v>
      </c>
      <c r="E1120" s="78" t="s">
        <v>1031</v>
      </c>
      <c r="F1120" s="79" t="s">
        <v>1032</v>
      </c>
      <c r="G1120" s="14"/>
      <c r="H1120" s="14"/>
      <c r="I1120" s="14"/>
      <c r="J1120" s="24"/>
      <c r="K1120" s="24"/>
      <c r="L1120" s="22"/>
    </row>
    <row r="1121" spans="1:12" s="20" customFormat="1" ht="246.5" x14ac:dyDescent="0.4">
      <c r="A1121" s="14" t="s">
        <v>273</v>
      </c>
      <c r="B1121" s="43"/>
      <c r="C1121" s="43"/>
      <c r="D1121" s="36">
        <v>3</v>
      </c>
      <c r="E1121" s="37" t="s">
        <v>623</v>
      </c>
      <c r="F1121" s="37" t="s">
        <v>624</v>
      </c>
      <c r="G1121" s="37"/>
      <c r="H1121" s="36"/>
      <c r="I1121" s="23"/>
      <c r="J1121" s="24"/>
      <c r="K1121" s="24"/>
      <c r="L1121" s="22"/>
    </row>
    <row r="1122" spans="1:12" s="20" customFormat="1" ht="145" x14ac:dyDescent="0.4">
      <c r="A1122" s="14" t="s">
        <v>273</v>
      </c>
      <c r="B1122" s="14"/>
      <c r="C1122" s="23"/>
      <c r="D1122" s="36">
        <v>4</v>
      </c>
      <c r="E1122" s="37" t="s">
        <v>625</v>
      </c>
      <c r="F1122" s="37" t="s">
        <v>631</v>
      </c>
      <c r="G1122" s="37"/>
      <c r="H1122" s="36"/>
      <c r="I1122" s="23"/>
      <c r="J1122" s="24"/>
      <c r="K1122" s="24"/>
      <c r="L1122" s="22"/>
    </row>
    <row r="1123" spans="1:12" s="20" customFormat="1" ht="29" x14ac:dyDescent="0.4">
      <c r="A1123" s="32"/>
      <c r="B1123" s="32" t="s">
        <v>1080</v>
      </c>
      <c r="C1123" s="32" t="s">
        <v>829</v>
      </c>
      <c r="D1123" s="32"/>
      <c r="E1123" s="32"/>
      <c r="F1123" s="32"/>
      <c r="G1123" s="32"/>
      <c r="H1123" s="32"/>
      <c r="I1123" s="32"/>
      <c r="J1123" s="24"/>
      <c r="K1123" s="24"/>
      <c r="L1123" s="22"/>
    </row>
    <row r="1124" spans="1:12" s="20" customFormat="1" ht="246.5" x14ac:dyDescent="0.4">
      <c r="A1124" s="14" t="s">
        <v>273</v>
      </c>
      <c r="B1124" s="14"/>
      <c r="C1124" s="23"/>
      <c r="D1124" s="36">
        <v>1</v>
      </c>
      <c r="E1124" s="37" t="s">
        <v>623</v>
      </c>
      <c r="F1124" s="37" t="s">
        <v>624</v>
      </c>
      <c r="G1124" s="37" t="s">
        <v>832</v>
      </c>
      <c r="H1124" s="36" t="s">
        <v>628</v>
      </c>
      <c r="I1124" s="23"/>
      <c r="J1124" s="24"/>
      <c r="K1124" s="24"/>
      <c r="L1124" s="22"/>
    </row>
    <row r="1125" spans="1:12" s="20" customFormat="1" ht="261" x14ac:dyDescent="0.4">
      <c r="A1125" s="14" t="s">
        <v>273</v>
      </c>
      <c r="B1125" s="14"/>
      <c r="C1125" s="23"/>
      <c r="D1125" s="36">
        <v>2</v>
      </c>
      <c r="E1125" s="37" t="s">
        <v>625</v>
      </c>
      <c r="F1125" s="37" t="s">
        <v>626</v>
      </c>
      <c r="G1125" s="37"/>
      <c r="H1125" s="36"/>
      <c r="I1125" s="23"/>
      <c r="J1125" s="24"/>
      <c r="K1125" s="24"/>
      <c r="L1125" s="22"/>
    </row>
    <row r="1126" spans="1:12" s="20" customFormat="1" ht="58" x14ac:dyDescent="0.4">
      <c r="A1126" s="14" t="s">
        <v>273</v>
      </c>
      <c r="B1126" s="14"/>
      <c r="C1126" s="23"/>
      <c r="D1126" s="36">
        <v>3</v>
      </c>
      <c r="E1126" s="37" t="s">
        <v>627</v>
      </c>
      <c r="F1126" s="37" t="s">
        <v>632</v>
      </c>
      <c r="G1126" s="37" t="s">
        <v>629</v>
      </c>
      <c r="H1126" s="36"/>
      <c r="I1126" s="23"/>
      <c r="J1126" s="24"/>
      <c r="K1126" s="24"/>
      <c r="L1126" s="22"/>
    </row>
    <row r="1127" spans="1:12" s="20" customFormat="1" ht="29" x14ac:dyDescent="0.4">
      <c r="A1127" s="32"/>
      <c r="B1127" s="32" t="s">
        <v>1081</v>
      </c>
      <c r="C1127" s="32" t="s">
        <v>831</v>
      </c>
      <c r="D1127" s="32"/>
      <c r="E1127" s="32"/>
      <c r="F1127" s="32"/>
      <c r="G1127" s="32"/>
      <c r="H1127" s="32"/>
      <c r="I1127" s="32"/>
      <c r="J1127" s="24"/>
      <c r="K1127" s="24"/>
      <c r="L1127" s="22"/>
    </row>
    <row r="1128" spans="1:12" s="20" customFormat="1" ht="246.5" x14ac:dyDescent="0.4">
      <c r="A1128" s="14" t="s">
        <v>273</v>
      </c>
      <c r="B1128" s="14"/>
      <c r="C1128" s="23"/>
      <c r="D1128" s="36">
        <v>1</v>
      </c>
      <c r="E1128" s="37" t="s">
        <v>623</v>
      </c>
      <c r="F1128" s="37" t="s">
        <v>624</v>
      </c>
      <c r="G1128" s="37" t="s">
        <v>832</v>
      </c>
      <c r="H1128" s="36" t="s">
        <v>628</v>
      </c>
      <c r="I1128" s="23"/>
      <c r="J1128" s="24"/>
      <c r="K1128" s="24"/>
      <c r="L1128" s="22"/>
    </row>
    <row r="1129" spans="1:12" s="20" customFormat="1" ht="261" x14ac:dyDescent="0.4">
      <c r="A1129" s="14" t="s">
        <v>273</v>
      </c>
      <c r="B1129" s="14"/>
      <c r="C1129" s="23"/>
      <c r="D1129" s="36">
        <v>2</v>
      </c>
      <c r="E1129" s="37" t="s">
        <v>625</v>
      </c>
      <c r="F1129" s="37" t="s">
        <v>626</v>
      </c>
      <c r="G1129" s="37"/>
      <c r="H1129" s="36"/>
      <c r="I1129" s="23"/>
      <c r="J1129" s="24"/>
      <c r="K1129" s="24"/>
      <c r="L1129" s="22"/>
    </row>
    <row r="1130" spans="1:12" s="20" customFormat="1" ht="246.5" x14ac:dyDescent="0.4">
      <c r="A1130" s="14" t="s">
        <v>273</v>
      </c>
      <c r="B1130" s="14"/>
      <c r="C1130" s="23"/>
      <c r="D1130" s="36">
        <v>3</v>
      </c>
      <c r="E1130" s="37" t="s">
        <v>633</v>
      </c>
      <c r="F1130" s="37" t="s">
        <v>635</v>
      </c>
      <c r="G1130" s="37" t="s">
        <v>1172</v>
      </c>
      <c r="H1130" s="36"/>
      <c r="I1130" s="23"/>
      <c r="J1130" s="24"/>
      <c r="K1130" s="24"/>
      <c r="L1130" s="22"/>
    </row>
    <row r="1131" spans="1:12" s="20" customFormat="1" ht="58" x14ac:dyDescent="0.4">
      <c r="A1131" s="14" t="s">
        <v>273</v>
      </c>
      <c r="B1131" s="14"/>
      <c r="C1131" s="23"/>
      <c r="D1131" s="36">
        <v>4</v>
      </c>
      <c r="E1131" s="37" t="s">
        <v>636</v>
      </c>
      <c r="F1131" s="37" t="s">
        <v>637</v>
      </c>
      <c r="G1131" s="37"/>
      <c r="H1131" s="36"/>
      <c r="I1131" s="23"/>
      <c r="J1131" s="24"/>
      <c r="K1131" s="24"/>
      <c r="L1131" s="22"/>
    </row>
    <row r="1132" spans="1:12" s="20" customFormat="1" ht="29" x14ac:dyDescent="0.4">
      <c r="A1132" s="32"/>
      <c r="B1132" s="32" t="s">
        <v>1082</v>
      </c>
      <c r="C1132" s="32" t="s">
        <v>1025</v>
      </c>
      <c r="D1132" s="32"/>
      <c r="E1132" s="32"/>
      <c r="F1132" s="32"/>
      <c r="G1132" s="32"/>
      <c r="H1132" s="32"/>
      <c r="I1132" s="32"/>
      <c r="J1132" s="24"/>
      <c r="K1132" s="24"/>
      <c r="L1132" s="22"/>
    </row>
    <row r="1133" spans="1:12" s="20" customFormat="1" ht="246.5" x14ac:dyDescent="0.4">
      <c r="A1133" s="14" t="s">
        <v>273</v>
      </c>
      <c r="B1133" s="14"/>
      <c r="C1133" s="23"/>
      <c r="D1133" s="36">
        <v>1</v>
      </c>
      <c r="E1133" s="37" t="s">
        <v>623</v>
      </c>
      <c r="F1133" s="37" t="s">
        <v>624</v>
      </c>
      <c r="G1133" s="37" t="s">
        <v>832</v>
      </c>
      <c r="H1133" s="36" t="s">
        <v>628</v>
      </c>
      <c r="I1133" s="23"/>
      <c r="J1133" s="24"/>
      <c r="K1133" s="24"/>
      <c r="L1133" s="22"/>
    </row>
    <row r="1134" spans="1:12" s="20" customFormat="1" ht="261" x14ac:dyDescent="0.4">
      <c r="A1134" s="14" t="s">
        <v>273</v>
      </c>
      <c r="B1134" s="14"/>
      <c r="C1134" s="23"/>
      <c r="D1134" s="36">
        <v>2</v>
      </c>
      <c r="E1134" s="37" t="s">
        <v>625</v>
      </c>
      <c r="F1134" s="37" t="s">
        <v>626</v>
      </c>
      <c r="G1134" s="37"/>
      <c r="H1134" s="36"/>
      <c r="I1134" s="23"/>
      <c r="J1134" s="24"/>
      <c r="K1134" s="24"/>
      <c r="L1134" s="22"/>
    </row>
    <row r="1135" spans="1:12" s="20" customFormat="1" ht="232" x14ac:dyDescent="0.4">
      <c r="A1135" s="14" t="s">
        <v>273</v>
      </c>
      <c r="B1135" s="14"/>
      <c r="C1135" s="23"/>
      <c r="D1135" s="36">
        <v>3</v>
      </c>
      <c r="E1135" s="37" t="s">
        <v>639</v>
      </c>
      <c r="F1135" s="37" t="s">
        <v>638</v>
      </c>
      <c r="G1135" s="37"/>
      <c r="H1135" s="36"/>
      <c r="I1135" s="23"/>
      <c r="J1135" s="24"/>
      <c r="K1135" s="24"/>
      <c r="L1135" s="22"/>
    </row>
    <row r="1136" spans="1:12" s="20" customFormat="1" ht="58" x14ac:dyDescent="0.4">
      <c r="A1136" s="14" t="s">
        <v>273</v>
      </c>
      <c r="B1136" s="14"/>
      <c r="C1136" s="23"/>
      <c r="D1136" s="36">
        <v>4</v>
      </c>
      <c r="E1136" s="37" t="s">
        <v>636</v>
      </c>
      <c r="F1136" s="37" t="s">
        <v>640</v>
      </c>
      <c r="G1136" s="37" t="s">
        <v>610</v>
      </c>
      <c r="H1136" s="36"/>
      <c r="I1136" s="23"/>
      <c r="J1136" s="24"/>
      <c r="K1136" s="24"/>
      <c r="L1136" s="22"/>
    </row>
    <row r="1137" spans="1:12" s="20" customFormat="1" ht="29" x14ac:dyDescent="0.4">
      <c r="A1137" s="32"/>
      <c r="B1137" s="32" t="s">
        <v>1083</v>
      </c>
      <c r="C1137" s="32" t="s">
        <v>836</v>
      </c>
      <c r="D1137" s="32"/>
      <c r="E1137" s="32"/>
      <c r="F1137" s="32"/>
      <c r="G1137" s="32"/>
      <c r="H1137" s="32"/>
      <c r="I1137" s="32"/>
      <c r="J1137" s="24"/>
      <c r="K1137" s="24"/>
      <c r="L1137" s="22"/>
    </row>
    <row r="1138" spans="1:12" s="20" customFormat="1" ht="246.5" x14ac:dyDescent="0.4">
      <c r="A1138" s="14" t="s">
        <v>273</v>
      </c>
      <c r="B1138" s="14"/>
      <c r="C1138" s="23"/>
      <c r="D1138" s="36">
        <v>1</v>
      </c>
      <c r="E1138" s="37" t="s">
        <v>623</v>
      </c>
      <c r="F1138" s="37" t="s">
        <v>624</v>
      </c>
      <c r="G1138" s="37" t="s">
        <v>832</v>
      </c>
      <c r="H1138" s="36" t="s">
        <v>628</v>
      </c>
      <c r="I1138" s="23"/>
      <c r="J1138" s="24"/>
      <c r="K1138" s="24"/>
      <c r="L1138" s="22"/>
    </row>
    <row r="1139" spans="1:12" s="20" customFormat="1" ht="261" x14ac:dyDescent="0.4">
      <c r="A1139" s="14" t="s">
        <v>273</v>
      </c>
      <c r="B1139" s="14"/>
      <c r="C1139" s="23"/>
      <c r="D1139" s="36">
        <v>2</v>
      </c>
      <c r="E1139" s="37" t="s">
        <v>625</v>
      </c>
      <c r="F1139" s="37" t="s">
        <v>626</v>
      </c>
      <c r="G1139" s="37"/>
      <c r="H1139" s="36"/>
      <c r="I1139" s="23"/>
      <c r="J1139" s="24"/>
      <c r="K1139" s="24"/>
      <c r="L1139" s="22"/>
    </row>
    <row r="1140" spans="1:12" s="20" customFormat="1" ht="87" x14ac:dyDescent="0.4">
      <c r="A1140" s="14" t="s">
        <v>273</v>
      </c>
      <c r="B1140" s="14"/>
      <c r="C1140" s="23"/>
      <c r="D1140" s="36">
        <v>3</v>
      </c>
      <c r="E1140" s="37" t="s">
        <v>641</v>
      </c>
      <c r="F1140" s="37" t="s">
        <v>642</v>
      </c>
      <c r="G1140" s="37"/>
      <c r="H1140" s="36"/>
      <c r="I1140" s="23"/>
      <c r="J1140" s="24"/>
      <c r="K1140" s="24"/>
      <c r="L1140" s="22"/>
    </row>
    <row r="1141" spans="1:12" s="20" customFormat="1" ht="58" x14ac:dyDescent="0.4">
      <c r="A1141" s="14" t="s">
        <v>273</v>
      </c>
      <c r="B1141" s="14"/>
      <c r="C1141" s="23"/>
      <c r="D1141" s="36">
        <v>4</v>
      </c>
      <c r="E1141" s="37" t="s">
        <v>636</v>
      </c>
      <c r="F1141" s="37" t="s">
        <v>640</v>
      </c>
      <c r="G1141" s="37"/>
      <c r="H1141" s="36"/>
      <c r="I1141" s="23"/>
      <c r="J1141" s="24"/>
      <c r="K1141" s="24"/>
      <c r="L1141" s="22"/>
    </row>
    <row r="1142" spans="1:12" s="20" customFormat="1" ht="130.5" x14ac:dyDescent="0.4">
      <c r="A1142" s="14" t="s">
        <v>273</v>
      </c>
      <c r="B1142" s="14"/>
      <c r="C1142" s="23"/>
      <c r="D1142" s="36">
        <v>5</v>
      </c>
      <c r="E1142" s="37" t="s">
        <v>643</v>
      </c>
      <c r="F1142" s="37" t="s">
        <v>644</v>
      </c>
      <c r="G1142" s="37"/>
      <c r="H1142" s="36"/>
      <c r="I1142" s="23"/>
      <c r="J1142" s="24"/>
      <c r="K1142" s="24"/>
      <c r="L1142" s="22"/>
    </row>
    <row r="1143" spans="1:12" s="20" customFormat="1" ht="58" x14ac:dyDescent="0.4">
      <c r="A1143" s="14" t="s">
        <v>273</v>
      </c>
      <c r="B1143" s="14"/>
      <c r="C1143" s="23"/>
      <c r="D1143" s="36">
        <v>6</v>
      </c>
      <c r="E1143" s="37" t="s">
        <v>645</v>
      </c>
      <c r="F1143" s="37" t="s">
        <v>646</v>
      </c>
      <c r="G1143" s="37"/>
      <c r="H1143" s="36"/>
      <c r="I1143" s="23"/>
      <c r="J1143" s="24"/>
      <c r="K1143" s="24"/>
      <c r="L1143" s="22"/>
    </row>
    <row r="1144" spans="1:12" s="20" customFormat="1" ht="29" x14ac:dyDescent="0.4">
      <c r="A1144" s="32"/>
      <c r="B1144" s="32" t="s">
        <v>1084</v>
      </c>
      <c r="C1144" s="32" t="s">
        <v>1026</v>
      </c>
      <c r="D1144" s="32"/>
      <c r="E1144" s="32"/>
      <c r="F1144" s="32"/>
      <c r="G1144" s="32"/>
      <c r="H1144" s="32"/>
      <c r="I1144" s="32"/>
    </row>
    <row r="1145" spans="1:12" s="20" customFormat="1" ht="188.5" x14ac:dyDescent="0.4">
      <c r="A1145" s="14" t="s">
        <v>273</v>
      </c>
      <c r="B1145" s="73"/>
      <c r="C1145" s="14"/>
      <c r="D1145" s="36">
        <v>1</v>
      </c>
      <c r="E1145" s="37" t="s">
        <v>651</v>
      </c>
      <c r="F1145" s="37" t="s">
        <v>962</v>
      </c>
      <c r="G1145" s="37" t="s">
        <v>833</v>
      </c>
      <c r="H1145" s="36" t="s">
        <v>293</v>
      </c>
      <c r="I1145" s="23"/>
    </row>
    <row r="1146" spans="1:12" s="20" customFormat="1" ht="58" x14ac:dyDescent="0.4">
      <c r="A1146" s="14" t="s">
        <v>273</v>
      </c>
      <c r="B1146" s="14"/>
      <c r="C1146" s="14"/>
      <c r="D1146" s="36">
        <v>2</v>
      </c>
      <c r="E1146" s="23" t="s">
        <v>653</v>
      </c>
      <c r="F1146" s="37" t="s">
        <v>654</v>
      </c>
      <c r="G1146" s="14"/>
      <c r="H1146" s="74"/>
      <c r="I1146" s="75"/>
    </row>
    <row r="1147" spans="1:12" s="20" customFormat="1" ht="237.5" customHeight="1" x14ac:dyDescent="0.4">
      <c r="A1147" s="14" t="s">
        <v>273</v>
      </c>
      <c r="B1147" s="14"/>
      <c r="C1147" s="14"/>
      <c r="D1147" s="36">
        <v>3</v>
      </c>
      <c r="E1147" s="23" t="s">
        <v>655</v>
      </c>
      <c r="F1147" s="23" t="s">
        <v>966</v>
      </c>
      <c r="G1147" s="85"/>
      <c r="H1147" s="23"/>
      <c r="I1147" s="23"/>
    </row>
    <row r="1148" spans="1:12" s="20" customFormat="1" ht="72.5" x14ac:dyDescent="0.4">
      <c r="A1148" s="14" t="s">
        <v>273</v>
      </c>
      <c r="B1148" s="14"/>
      <c r="C1148" s="14"/>
      <c r="D1148" s="36">
        <v>4</v>
      </c>
      <c r="E1148" s="23" t="s">
        <v>659</v>
      </c>
      <c r="F1148" s="95" t="s">
        <v>660</v>
      </c>
      <c r="G1148" s="95"/>
      <c r="H1148" s="23"/>
      <c r="I1148" s="23"/>
    </row>
    <row r="1149" spans="1:12" s="20" customFormat="1" ht="145" x14ac:dyDescent="0.4">
      <c r="A1149" s="14" t="s">
        <v>273</v>
      </c>
      <c r="B1149" s="14"/>
      <c r="C1149" s="14"/>
      <c r="D1149" s="36">
        <v>5</v>
      </c>
      <c r="E1149" s="23" t="s">
        <v>659</v>
      </c>
      <c r="F1149" s="23" t="s">
        <v>965</v>
      </c>
      <c r="G1149" s="95"/>
      <c r="H1149" s="23"/>
      <c r="I1149" s="23"/>
    </row>
    <row r="1150" spans="1:12" s="20" customFormat="1" ht="261" x14ac:dyDescent="0.4">
      <c r="A1150" s="14" t="s">
        <v>273</v>
      </c>
      <c r="B1150" s="14"/>
      <c r="C1150" s="14"/>
      <c r="D1150" s="36">
        <v>6</v>
      </c>
      <c r="E1150" s="23" t="s">
        <v>662</v>
      </c>
      <c r="F1150" s="37" t="s">
        <v>963</v>
      </c>
      <c r="G1150" s="37"/>
      <c r="H1150" s="37"/>
      <c r="I1150" s="37"/>
    </row>
    <row r="1151" spans="1:12" s="20" customFormat="1" ht="188.5" x14ac:dyDescent="0.4">
      <c r="A1151" s="14" t="s">
        <v>273</v>
      </c>
      <c r="B1151" s="14"/>
      <c r="C1151" s="14"/>
      <c r="D1151" s="36">
        <v>7</v>
      </c>
      <c r="E1151" s="37" t="s">
        <v>665</v>
      </c>
      <c r="F1151" s="37" t="s">
        <v>964</v>
      </c>
      <c r="G1151" s="86"/>
      <c r="H1151" s="37"/>
      <c r="I1151" s="37"/>
    </row>
    <row r="1152" spans="1:12" s="20" customFormat="1" ht="159.5" x14ac:dyDescent="0.4">
      <c r="A1152" s="14" t="s">
        <v>273</v>
      </c>
      <c r="B1152" s="14"/>
      <c r="C1152" s="14"/>
      <c r="D1152" s="36">
        <v>8</v>
      </c>
      <c r="E1152" s="37" t="s">
        <v>667</v>
      </c>
      <c r="F1152" s="37" t="s">
        <v>356</v>
      </c>
      <c r="G1152" s="37" t="s">
        <v>407</v>
      </c>
      <c r="H1152" s="37"/>
      <c r="I1152" s="37"/>
    </row>
    <row r="1153" spans="1:9" s="20" customFormat="1" ht="58" x14ac:dyDescent="0.4">
      <c r="A1153" s="14" t="s">
        <v>273</v>
      </c>
      <c r="B1153" s="14"/>
      <c r="C1153" s="14"/>
      <c r="D1153" s="36">
        <v>9</v>
      </c>
      <c r="E1153" s="37" t="s">
        <v>357</v>
      </c>
      <c r="F1153" s="37" t="s">
        <v>668</v>
      </c>
      <c r="G1153" s="37"/>
      <c r="H1153" s="37"/>
      <c r="I1153" s="37"/>
    </row>
    <row r="1154" spans="1:9" s="20" customFormat="1" ht="145" x14ac:dyDescent="0.4">
      <c r="A1154" s="14" t="s">
        <v>273</v>
      </c>
      <c r="B1154" s="14"/>
      <c r="C1154" s="14"/>
      <c r="D1154" s="36">
        <v>10</v>
      </c>
      <c r="E1154" s="94" t="s">
        <v>669</v>
      </c>
      <c r="F1154" s="37" t="s">
        <v>1095</v>
      </c>
      <c r="G1154" s="37"/>
      <c r="H1154" s="37"/>
      <c r="I1154" s="37"/>
    </row>
    <row r="1155" spans="1:9" s="20" customFormat="1" ht="58" x14ac:dyDescent="0.4">
      <c r="A1155" s="14" t="s">
        <v>273</v>
      </c>
      <c r="B1155" s="14"/>
      <c r="C1155" s="14"/>
      <c r="D1155" s="36">
        <v>11</v>
      </c>
      <c r="E1155" s="37" t="s">
        <v>671</v>
      </c>
      <c r="F1155" s="37" t="s">
        <v>670</v>
      </c>
      <c r="G1155" s="37"/>
      <c r="H1155" s="37"/>
      <c r="I1155" s="37"/>
    </row>
    <row r="1156" spans="1:9" s="20" customFormat="1" ht="29" x14ac:dyDescent="0.4">
      <c r="A1156" s="32"/>
      <c r="B1156" s="32" t="s">
        <v>1085</v>
      </c>
      <c r="C1156" s="32" t="s">
        <v>1027</v>
      </c>
      <c r="D1156" s="32"/>
      <c r="E1156" s="32"/>
      <c r="F1156" s="32"/>
      <c r="G1156" s="32"/>
      <c r="H1156" s="32"/>
      <c r="I1156" s="32"/>
    </row>
    <row r="1157" spans="1:9" s="20" customFormat="1" ht="188.5" x14ac:dyDescent="0.4">
      <c r="A1157" s="14" t="s">
        <v>273</v>
      </c>
      <c r="B1157" s="73"/>
      <c r="C1157" s="14"/>
      <c r="D1157" s="36">
        <v>1</v>
      </c>
      <c r="E1157" s="37" t="s">
        <v>651</v>
      </c>
      <c r="F1157" s="37" t="s">
        <v>1173</v>
      </c>
      <c r="G1157" s="37" t="s">
        <v>833</v>
      </c>
      <c r="H1157" s="36" t="s">
        <v>293</v>
      </c>
      <c r="I1157" s="23"/>
    </row>
    <row r="1158" spans="1:9" s="20" customFormat="1" ht="58" x14ac:dyDescent="0.4">
      <c r="A1158" s="14" t="s">
        <v>273</v>
      </c>
      <c r="B1158" s="14"/>
      <c r="C1158" s="14"/>
      <c r="D1158" s="36">
        <v>2</v>
      </c>
      <c r="E1158" s="23" t="s">
        <v>653</v>
      </c>
      <c r="F1158" s="37" t="s">
        <v>654</v>
      </c>
      <c r="G1158" s="14"/>
      <c r="H1158" s="74"/>
      <c r="I1158" s="75"/>
    </row>
    <row r="1159" spans="1:9" s="20" customFormat="1" ht="237.5" customHeight="1" x14ac:dyDescent="0.4">
      <c r="A1159" s="14" t="s">
        <v>273</v>
      </c>
      <c r="B1159" s="14"/>
      <c r="C1159" s="14"/>
      <c r="D1159" s="36">
        <v>3</v>
      </c>
      <c r="E1159" s="23" t="s">
        <v>655</v>
      </c>
      <c r="F1159" s="23" t="s">
        <v>966</v>
      </c>
      <c r="G1159" s="85"/>
      <c r="H1159" s="23"/>
      <c r="I1159" s="23"/>
    </row>
    <row r="1160" spans="1:9" s="20" customFormat="1" ht="72.5" x14ac:dyDescent="0.4">
      <c r="A1160" s="14" t="s">
        <v>273</v>
      </c>
      <c r="B1160" s="14"/>
      <c r="C1160" s="14"/>
      <c r="D1160" s="36">
        <v>4</v>
      </c>
      <c r="E1160" s="23" t="s">
        <v>659</v>
      </c>
      <c r="F1160" s="23" t="s">
        <v>660</v>
      </c>
      <c r="G1160" s="85"/>
      <c r="H1160" s="23"/>
      <c r="I1160" s="23"/>
    </row>
    <row r="1161" spans="1:9" s="20" customFormat="1" ht="101.5" x14ac:dyDescent="0.4">
      <c r="A1161" s="14" t="s">
        <v>273</v>
      </c>
      <c r="B1161" s="14"/>
      <c r="C1161" s="14"/>
      <c r="D1161" s="36">
        <v>5</v>
      </c>
      <c r="E1161" s="23" t="s">
        <v>659</v>
      </c>
      <c r="F1161" s="23" t="s">
        <v>663</v>
      </c>
      <c r="G1161" s="85"/>
      <c r="H1161" s="23"/>
      <c r="I1161" s="23"/>
    </row>
    <row r="1162" spans="1:9" s="20" customFormat="1" ht="290" x14ac:dyDescent="0.4">
      <c r="A1162" s="14" t="s">
        <v>273</v>
      </c>
      <c r="B1162" s="14"/>
      <c r="C1162" s="14"/>
      <c r="D1162" s="36">
        <v>6</v>
      </c>
      <c r="E1162" s="23" t="s">
        <v>662</v>
      </c>
      <c r="F1162" s="37" t="s">
        <v>673</v>
      </c>
      <c r="G1162" s="85"/>
      <c r="H1162" s="37"/>
      <c r="I1162" s="37"/>
    </row>
    <row r="1163" spans="1:9" s="20" customFormat="1" ht="58" x14ac:dyDescent="0.4">
      <c r="A1163" s="14" t="s">
        <v>273</v>
      </c>
      <c r="B1163" s="14"/>
      <c r="C1163" s="14"/>
      <c r="D1163" s="36">
        <v>7</v>
      </c>
      <c r="E1163" s="37" t="s">
        <v>674</v>
      </c>
      <c r="F1163" s="37" t="s">
        <v>675</v>
      </c>
      <c r="G1163" s="86"/>
      <c r="H1163" s="37"/>
      <c r="I1163" s="37"/>
    </row>
    <row r="1164" spans="1:9" s="20" customFormat="1" ht="29" x14ac:dyDescent="0.4">
      <c r="A1164" s="32"/>
      <c r="B1164" s="32" t="s">
        <v>1086</v>
      </c>
      <c r="C1164" s="32" t="s">
        <v>846</v>
      </c>
      <c r="D1164" s="32"/>
      <c r="E1164" s="32"/>
      <c r="F1164" s="32"/>
      <c r="G1164" s="32"/>
      <c r="H1164" s="32"/>
      <c r="I1164" s="32"/>
    </row>
    <row r="1165" spans="1:9" s="20" customFormat="1" ht="188.5" x14ac:dyDescent="0.4">
      <c r="A1165" s="14" t="s">
        <v>273</v>
      </c>
      <c r="B1165" s="73"/>
      <c r="C1165" s="14"/>
      <c r="D1165" s="36">
        <v>1</v>
      </c>
      <c r="E1165" s="37" t="s">
        <v>651</v>
      </c>
      <c r="F1165" s="37" t="s">
        <v>1173</v>
      </c>
      <c r="G1165" s="37" t="s">
        <v>833</v>
      </c>
      <c r="H1165" s="36" t="s">
        <v>293</v>
      </c>
      <c r="I1165" s="23"/>
    </row>
    <row r="1166" spans="1:9" s="20" customFormat="1" ht="58" x14ac:dyDescent="0.4">
      <c r="A1166" s="14" t="s">
        <v>273</v>
      </c>
      <c r="B1166" s="14"/>
      <c r="C1166" s="14"/>
      <c r="D1166" s="36">
        <v>2</v>
      </c>
      <c r="E1166" s="23" t="s">
        <v>653</v>
      </c>
      <c r="F1166" s="37" t="s">
        <v>654</v>
      </c>
      <c r="G1166" s="14"/>
      <c r="H1166" s="74"/>
      <c r="I1166" s="75"/>
    </row>
    <row r="1167" spans="1:9" s="20" customFormat="1" ht="237.5" customHeight="1" x14ac:dyDescent="0.4">
      <c r="A1167" s="14" t="s">
        <v>273</v>
      </c>
      <c r="B1167" s="14"/>
      <c r="C1167" s="14"/>
      <c r="D1167" s="36">
        <v>3</v>
      </c>
      <c r="E1167" s="23" t="s">
        <v>655</v>
      </c>
      <c r="F1167" s="23" t="s">
        <v>966</v>
      </c>
      <c r="G1167" s="85"/>
      <c r="H1167" s="23"/>
      <c r="I1167" s="23"/>
    </row>
    <row r="1168" spans="1:9" s="20" customFormat="1" ht="159.5" x14ac:dyDescent="0.4">
      <c r="A1168" s="14" t="s">
        <v>273</v>
      </c>
      <c r="B1168" s="14"/>
      <c r="C1168" s="14"/>
      <c r="D1168" s="36">
        <v>4</v>
      </c>
      <c r="E1168" s="23" t="s">
        <v>971</v>
      </c>
      <c r="F1168" s="23" t="s">
        <v>660</v>
      </c>
      <c r="G1168" s="85" t="s">
        <v>1176</v>
      </c>
      <c r="H1168" s="23"/>
      <c r="I1168" s="23"/>
    </row>
    <row r="1169" spans="1:9" s="20" customFormat="1" ht="188.5" x14ac:dyDescent="0.4">
      <c r="A1169" s="14" t="s">
        <v>273</v>
      </c>
      <c r="B1169" s="14"/>
      <c r="C1169" s="14"/>
      <c r="D1169" s="36">
        <v>5</v>
      </c>
      <c r="E1169" s="23" t="s">
        <v>971</v>
      </c>
      <c r="F1169" s="23" t="s">
        <v>663</v>
      </c>
      <c r="G1169" s="85" t="s">
        <v>1175</v>
      </c>
      <c r="H1169" s="23"/>
      <c r="I1169" s="23"/>
    </row>
    <row r="1170" spans="1:9" s="20" customFormat="1" ht="290" x14ac:dyDescent="0.4">
      <c r="A1170" s="14" t="s">
        <v>273</v>
      </c>
      <c r="B1170" s="14"/>
      <c r="C1170" s="14"/>
      <c r="D1170" s="36">
        <v>6</v>
      </c>
      <c r="E1170" s="23" t="s">
        <v>662</v>
      </c>
      <c r="F1170" s="37" t="s">
        <v>673</v>
      </c>
      <c r="G1170" s="85"/>
      <c r="H1170" s="37"/>
      <c r="I1170" s="37"/>
    </row>
    <row r="1171" spans="1:9" s="20" customFormat="1" ht="188.5" x14ac:dyDescent="0.4">
      <c r="A1171" s="14" t="s">
        <v>273</v>
      </c>
      <c r="B1171" s="14"/>
      <c r="C1171" s="14"/>
      <c r="D1171" s="36">
        <v>7</v>
      </c>
      <c r="E1171" s="37" t="s">
        <v>665</v>
      </c>
      <c r="F1171" s="37" t="s">
        <v>964</v>
      </c>
      <c r="G1171" s="86"/>
      <c r="H1171" s="37"/>
      <c r="I1171" s="37"/>
    </row>
    <row r="1172" spans="1:9" s="20" customFormat="1" ht="159.5" x14ac:dyDescent="0.4">
      <c r="A1172" s="14" t="s">
        <v>273</v>
      </c>
      <c r="B1172" s="14"/>
      <c r="C1172" s="14"/>
      <c r="D1172" s="36">
        <v>8</v>
      </c>
      <c r="E1172" s="37" t="s">
        <v>667</v>
      </c>
      <c r="F1172" s="37" t="s">
        <v>356</v>
      </c>
      <c r="G1172" s="37" t="s">
        <v>407</v>
      </c>
      <c r="H1172" s="37"/>
      <c r="I1172" s="37"/>
    </row>
    <row r="1173" spans="1:9" s="20" customFormat="1" ht="58" x14ac:dyDescent="0.4">
      <c r="A1173" s="14" t="s">
        <v>273</v>
      </c>
      <c r="B1173" s="14"/>
      <c r="C1173" s="14"/>
      <c r="D1173" s="36">
        <v>9</v>
      </c>
      <c r="E1173" s="37" t="s">
        <v>357</v>
      </c>
      <c r="F1173" s="37" t="s">
        <v>678</v>
      </c>
      <c r="G1173" s="85" t="s">
        <v>1174</v>
      </c>
      <c r="H1173" s="37"/>
      <c r="I1173" s="37"/>
    </row>
    <row r="1174" spans="1:9" s="20" customFormat="1" ht="29" x14ac:dyDescent="0.4">
      <c r="A1174" s="32"/>
      <c r="B1174" s="32" t="s">
        <v>1087</v>
      </c>
      <c r="C1174" s="32" t="s">
        <v>844</v>
      </c>
      <c r="D1174" s="32"/>
      <c r="E1174" s="32"/>
      <c r="F1174" s="32"/>
      <c r="G1174" s="32"/>
      <c r="H1174" s="32"/>
      <c r="I1174" s="32"/>
    </row>
    <row r="1175" spans="1:9" s="20" customFormat="1" ht="188.5" x14ac:dyDescent="0.4">
      <c r="A1175" s="14" t="s">
        <v>273</v>
      </c>
      <c r="B1175" s="73"/>
      <c r="C1175" s="14"/>
      <c r="D1175" s="36">
        <v>1</v>
      </c>
      <c r="E1175" s="37" t="s">
        <v>651</v>
      </c>
      <c r="F1175" s="37" t="s">
        <v>652</v>
      </c>
      <c r="G1175" s="37" t="s">
        <v>833</v>
      </c>
      <c r="H1175" s="36" t="s">
        <v>293</v>
      </c>
      <c r="I1175" s="23"/>
    </row>
    <row r="1176" spans="1:9" s="20" customFormat="1" ht="58" x14ac:dyDescent="0.4">
      <c r="A1176" s="14" t="s">
        <v>273</v>
      </c>
      <c r="B1176" s="14"/>
      <c r="C1176" s="14"/>
      <c r="D1176" s="36">
        <v>2</v>
      </c>
      <c r="E1176" s="23" t="s">
        <v>653</v>
      </c>
      <c r="F1176" s="37" t="s">
        <v>654</v>
      </c>
      <c r="G1176" s="14"/>
      <c r="H1176" s="74"/>
      <c r="I1176" s="75"/>
    </row>
    <row r="1177" spans="1:9" s="20" customFormat="1" ht="237.5" customHeight="1" x14ac:dyDescent="0.4">
      <c r="A1177" s="14" t="s">
        <v>273</v>
      </c>
      <c r="B1177" s="14"/>
      <c r="C1177" s="14"/>
      <c r="D1177" s="36">
        <v>3</v>
      </c>
      <c r="E1177" s="23" t="s">
        <v>655</v>
      </c>
      <c r="F1177" s="23" t="s">
        <v>966</v>
      </c>
      <c r="G1177" s="85"/>
      <c r="H1177" s="23"/>
      <c r="I1177" s="23"/>
    </row>
    <row r="1178" spans="1:9" s="20" customFormat="1" ht="72.5" x14ac:dyDescent="0.4">
      <c r="A1178" s="14" t="s">
        <v>273</v>
      </c>
      <c r="B1178" s="14"/>
      <c r="C1178" s="14"/>
      <c r="D1178" s="36">
        <v>4</v>
      </c>
      <c r="E1178" s="23" t="s">
        <v>659</v>
      </c>
      <c r="F1178" s="23" t="s">
        <v>660</v>
      </c>
      <c r="G1178" s="85"/>
      <c r="H1178" s="23"/>
      <c r="I1178" s="23"/>
    </row>
    <row r="1179" spans="1:9" s="20" customFormat="1" ht="101.5" x14ac:dyDescent="0.4">
      <c r="A1179" s="14" t="s">
        <v>273</v>
      </c>
      <c r="B1179" s="14"/>
      <c r="C1179" s="14"/>
      <c r="D1179" s="36">
        <v>5</v>
      </c>
      <c r="E1179" s="23" t="s">
        <v>659</v>
      </c>
      <c r="F1179" s="23" t="s">
        <v>663</v>
      </c>
      <c r="G1179" s="85"/>
      <c r="H1179" s="23"/>
      <c r="I1179" s="23"/>
    </row>
    <row r="1180" spans="1:9" s="20" customFormat="1" ht="203" x14ac:dyDescent="0.4">
      <c r="A1180" s="14" t="s">
        <v>273</v>
      </c>
      <c r="B1180" s="14"/>
      <c r="C1180" s="14"/>
      <c r="D1180" s="36">
        <v>6</v>
      </c>
      <c r="E1180" s="23" t="s">
        <v>662</v>
      </c>
      <c r="F1180" s="37" t="s">
        <v>664</v>
      </c>
      <c r="G1180" s="37"/>
      <c r="H1180" s="37"/>
      <c r="I1180" s="37"/>
    </row>
    <row r="1181" spans="1:9" s="20" customFormat="1" ht="188.5" x14ac:dyDescent="0.4">
      <c r="A1181" s="14" t="s">
        <v>273</v>
      </c>
      <c r="B1181" s="14"/>
      <c r="C1181" s="14"/>
      <c r="D1181" s="36">
        <v>7</v>
      </c>
      <c r="E1181" s="37" t="s">
        <v>665</v>
      </c>
      <c r="F1181" s="37" t="s">
        <v>666</v>
      </c>
      <c r="G1181" s="86"/>
      <c r="H1181" s="37"/>
      <c r="I1181" s="37"/>
    </row>
    <row r="1182" spans="1:9" s="20" customFormat="1" ht="159.5" x14ac:dyDescent="0.4">
      <c r="A1182" s="14" t="s">
        <v>273</v>
      </c>
      <c r="B1182" s="14"/>
      <c r="C1182" s="14"/>
      <c r="D1182" s="36">
        <v>8</v>
      </c>
      <c r="E1182" s="37" t="s">
        <v>667</v>
      </c>
      <c r="F1182" s="37" t="s">
        <v>356</v>
      </c>
      <c r="G1182" s="37" t="s">
        <v>407</v>
      </c>
      <c r="H1182" s="37"/>
      <c r="I1182" s="37"/>
    </row>
    <row r="1183" spans="1:9" s="20" customFormat="1" ht="58" x14ac:dyDescent="0.4">
      <c r="A1183" s="14" t="s">
        <v>273</v>
      </c>
      <c r="B1183" s="14"/>
      <c r="C1183" s="14"/>
      <c r="D1183" s="36">
        <v>9</v>
      </c>
      <c r="E1183" s="37" t="s">
        <v>357</v>
      </c>
      <c r="F1183" s="37" t="s">
        <v>668</v>
      </c>
      <c r="G1183" s="37"/>
      <c r="H1183" s="37"/>
      <c r="I1183" s="37"/>
    </row>
    <row r="1184" spans="1:9" s="20" customFormat="1" ht="145" x14ac:dyDescent="0.4">
      <c r="A1184" s="14" t="s">
        <v>273</v>
      </c>
      <c r="B1184" s="14"/>
      <c r="C1184" s="14"/>
      <c r="D1184" s="36">
        <v>10</v>
      </c>
      <c r="E1184" s="94" t="s">
        <v>669</v>
      </c>
      <c r="F1184" s="37" t="s">
        <v>672</v>
      </c>
      <c r="G1184" s="37"/>
      <c r="H1184" s="37"/>
      <c r="I1184" s="37"/>
    </row>
    <row r="1185" spans="1:12" s="20" customFormat="1" ht="58" x14ac:dyDescent="0.4">
      <c r="A1185" s="14" t="s">
        <v>273</v>
      </c>
      <c r="B1185" s="14"/>
      <c r="C1185" s="14"/>
      <c r="D1185" s="36">
        <v>11</v>
      </c>
      <c r="E1185" s="37" t="s">
        <v>676</v>
      </c>
      <c r="F1185" s="37" t="s">
        <v>677</v>
      </c>
      <c r="G1185" s="37" t="s">
        <v>629</v>
      </c>
      <c r="H1185" s="37"/>
      <c r="I1185" s="37"/>
    </row>
    <row r="1186" spans="1:12" s="20" customFormat="1" ht="29" x14ac:dyDescent="0.4">
      <c r="A1186" s="39"/>
      <c r="B1186" s="32" t="s">
        <v>1088</v>
      </c>
      <c r="C1186" s="32" t="s">
        <v>1028</v>
      </c>
      <c r="D1186" s="40"/>
      <c r="E1186" s="41"/>
      <c r="F1186" s="41"/>
      <c r="G1186" s="41"/>
      <c r="H1186" s="40"/>
      <c r="I1186" s="32"/>
      <c r="J1186" s="24"/>
      <c r="K1186" s="24"/>
      <c r="L1186" s="22"/>
    </row>
    <row r="1187" spans="1:12" s="20" customFormat="1" ht="58" x14ac:dyDescent="0.4">
      <c r="A1187" s="14" t="s">
        <v>273</v>
      </c>
      <c r="B1187" s="14"/>
      <c r="C1187" s="23"/>
      <c r="D1187" s="36">
        <v>1</v>
      </c>
      <c r="E1187" s="23" t="s">
        <v>659</v>
      </c>
      <c r="F1187" s="37" t="s">
        <v>1177</v>
      </c>
      <c r="G1187" s="37" t="s">
        <v>657</v>
      </c>
      <c r="H1187" s="36"/>
      <c r="I1187" s="23"/>
      <c r="J1187" s="24"/>
      <c r="K1187" s="24"/>
      <c r="L1187" s="22"/>
    </row>
    <row r="1188" spans="1:12" s="20" customFormat="1" ht="58" x14ac:dyDescent="0.4">
      <c r="A1188" s="14" t="s">
        <v>273</v>
      </c>
      <c r="B1188" s="14"/>
      <c r="C1188" s="23"/>
      <c r="D1188" s="36">
        <v>2</v>
      </c>
      <c r="E1188" s="23" t="s">
        <v>659</v>
      </c>
      <c r="F1188" s="37" t="s">
        <v>1178</v>
      </c>
      <c r="G1188" s="37" t="s">
        <v>658</v>
      </c>
      <c r="H1188" s="36"/>
      <c r="I1188" s="23"/>
      <c r="J1188" s="24"/>
      <c r="K1188" s="24"/>
      <c r="L1188" s="22"/>
    </row>
    <row r="1189" spans="1:12" s="20" customFormat="1" ht="58" x14ac:dyDescent="0.4">
      <c r="A1189" s="14" t="s">
        <v>273</v>
      </c>
      <c r="B1189" s="14"/>
      <c r="C1189" s="23"/>
      <c r="D1189" s="36">
        <v>3</v>
      </c>
      <c r="E1189" s="23" t="s">
        <v>659</v>
      </c>
      <c r="F1189" s="37" t="s">
        <v>1177</v>
      </c>
      <c r="G1189" s="37" t="s">
        <v>970</v>
      </c>
      <c r="H1189" s="36"/>
      <c r="I1189" s="23"/>
      <c r="J1189" s="24"/>
      <c r="K1189" s="24"/>
      <c r="L1189" s="22"/>
    </row>
    <row r="1190" spans="1:12" s="20" customFormat="1" ht="132.75" customHeight="1" x14ac:dyDescent="0.4">
      <c r="A1190" s="14" t="s">
        <v>273</v>
      </c>
      <c r="B1190" s="14"/>
      <c r="C1190" s="23"/>
      <c r="D1190" s="36">
        <v>4</v>
      </c>
      <c r="E1190" s="23" t="s">
        <v>662</v>
      </c>
      <c r="F1190" s="37" t="s">
        <v>1178</v>
      </c>
      <c r="G1190" s="37" t="s">
        <v>656</v>
      </c>
      <c r="H1190" s="36"/>
      <c r="I1190" s="23"/>
      <c r="J1190" s="24"/>
      <c r="K1190" s="24"/>
      <c r="L1190" s="22"/>
    </row>
    <row r="1191" spans="1:12" s="20" customFormat="1" ht="126" customHeight="1" x14ac:dyDescent="0.4">
      <c r="A1191" s="14" t="s">
        <v>273</v>
      </c>
      <c r="B1191" s="14"/>
      <c r="C1191" s="23"/>
      <c r="D1191" s="36">
        <v>5</v>
      </c>
      <c r="E1191" s="37" t="s">
        <v>357</v>
      </c>
      <c r="F1191" s="37" t="s">
        <v>1179</v>
      </c>
      <c r="G1191" s="37" t="s">
        <v>974</v>
      </c>
      <c r="H1191" s="36"/>
      <c r="I1191" s="23"/>
      <c r="J1191" s="24"/>
      <c r="K1191" s="24"/>
      <c r="L1191" s="22"/>
    </row>
    <row r="1192" spans="1:12" s="20" customFormat="1" ht="58" x14ac:dyDescent="0.4">
      <c r="A1192" s="14" t="s">
        <v>273</v>
      </c>
      <c r="B1192" s="14"/>
      <c r="C1192" s="23"/>
      <c r="D1192" s="36">
        <v>6</v>
      </c>
      <c r="E1192" s="23" t="s">
        <v>662</v>
      </c>
      <c r="F1192" s="37" t="s">
        <v>1178</v>
      </c>
      <c r="G1192" s="37" t="s">
        <v>661</v>
      </c>
      <c r="H1192" s="36"/>
      <c r="I1192" s="23"/>
      <c r="J1192" s="24"/>
      <c r="K1192" s="24"/>
      <c r="L1192" s="22"/>
    </row>
    <row r="1193" spans="1:12" s="20" customFormat="1" ht="29" x14ac:dyDescent="0.4">
      <c r="A1193" s="32"/>
      <c r="B1193" s="32" t="s">
        <v>1089</v>
      </c>
      <c r="C1193" s="32" t="s">
        <v>848</v>
      </c>
      <c r="D1193" s="32"/>
      <c r="E1193" s="32"/>
      <c r="F1193" s="32"/>
      <c r="G1193" s="32"/>
      <c r="H1193" s="32"/>
      <c r="I1193" s="32"/>
    </row>
    <row r="1194" spans="1:12" s="20" customFormat="1" ht="232" x14ac:dyDescent="0.4">
      <c r="A1194" s="14" t="s">
        <v>273</v>
      </c>
      <c r="B1194" s="73"/>
      <c r="C1194" s="14"/>
      <c r="D1194" s="36">
        <v>1</v>
      </c>
      <c r="E1194" s="37" t="s">
        <v>682</v>
      </c>
      <c r="F1194" s="37" t="s">
        <v>683</v>
      </c>
      <c r="G1194" s="37" t="s">
        <v>833</v>
      </c>
      <c r="H1194" s="36" t="s">
        <v>293</v>
      </c>
      <c r="I1194" s="23"/>
    </row>
    <row r="1195" spans="1:12" s="20" customFormat="1" ht="261" x14ac:dyDescent="0.4">
      <c r="A1195" s="14" t="s">
        <v>273</v>
      </c>
      <c r="B1195" s="14"/>
      <c r="C1195" s="14"/>
      <c r="D1195" s="36">
        <v>2</v>
      </c>
      <c r="E1195" s="23" t="s">
        <v>684</v>
      </c>
      <c r="F1195" s="37" t="s">
        <v>685</v>
      </c>
      <c r="G1195" s="14"/>
      <c r="H1195" s="74"/>
      <c r="I1195" s="75"/>
    </row>
    <row r="1196" spans="1:12" s="20" customFormat="1" ht="237.5" customHeight="1" x14ac:dyDescent="0.4">
      <c r="A1196" s="14" t="s">
        <v>273</v>
      </c>
      <c r="B1196" s="14"/>
      <c r="C1196" s="14"/>
      <c r="D1196" s="36">
        <v>3</v>
      </c>
      <c r="E1196" s="23" t="s">
        <v>686</v>
      </c>
      <c r="F1196" s="23" t="s">
        <v>687</v>
      </c>
      <c r="G1196" s="23" t="s">
        <v>539</v>
      </c>
      <c r="H1196" s="23"/>
      <c r="I1196" s="23"/>
    </row>
    <row r="1197" spans="1:12" s="20" customFormat="1" ht="29" x14ac:dyDescent="0.4">
      <c r="A1197" s="32"/>
      <c r="B1197" s="32" t="s">
        <v>1090</v>
      </c>
      <c r="C1197" s="32" t="s">
        <v>1029</v>
      </c>
      <c r="D1197" s="32"/>
      <c r="E1197" s="32"/>
      <c r="F1197" s="32"/>
      <c r="G1197" s="32"/>
      <c r="H1197" s="32"/>
      <c r="I1197" s="32"/>
    </row>
    <row r="1198" spans="1:12" s="20" customFormat="1" ht="232" x14ac:dyDescent="0.4">
      <c r="A1198" s="14" t="s">
        <v>273</v>
      </c>
      <c r="B1198" s="73"/>
      <c r="C1198" s="14"/>
      <c r="D1198" s="36">
        <v>1</v>
      </c>
      <c r="E1198" s="37" t="s">
        <v>682</v>
      </c>
      <c r="F1198" s="37" t="s">
        <v>850</v>
      </c>
      <c r="G1198" s="37" t="s">
        <v>833</v>
      </c>
      <c r="H1198" s="36" t="s">
        <v>293</v>
      </c>
      <c r="I1198" s="23"/>
    </row>
    <row r="1199" spans="1:12" s="20" customFormat="1" ht="261" x14ac:dyDescent="0.4">
      <c r="A1199" s="14" t="s">
        <v>273</v>
      </c>
      <c r="B1199" s="14"/>
      <c r="C1199" s="14"/>
      <c r="D1199" s="36">
        <v>2</v>
      </c>
      <c r="E1199" s="23" t="s">
        <v>684</v>
      </c>
      <c r="F1199" s="37" t="s">
        <v>685</v>
      </c>
      <c r="G1199" s="14" t="s">
        <v>690</v>
      </c>
      <c r="H1199" s="74"/>
      <c r="I1199" s="75"/>
    </row>
    <row r="1200" spans="1:12" s="20" customFormat="1" ht="29" x14ac:dyDescent="0.4">
      <c r="A1200" s="32"/>
      <c r="B1200" s="32" t="s">
        <v>1091</v>
      </c>
      <c r="C1200" s="32" t="s">
        <v>852</v>
      </c>
      <c r="D1200" s="32"/>
      <c r="E1200" s="32"/>
      <c r="F1200" s="32"/>
      <c r="G1200" s="32"/>
      <c r="H1200" s="32"/>
      <c r="I1200" s="32"/>
    </row>
    <row r="1201" spans="1:9" s="20" customFormat="1" ht="232" x14ac:dyDescent="0.4">
      <c r="A1201" s="14" t="s">
        <v>273</v>
      </c>
      <c r="B1201" s="73"/>
      <c r="C1201" s="14"/>
      <c r="D1201" s="36">
        <v>1</v>
      </c>
      <c r="E1201" s="37" t="s">
        <v>682</v>
      </c>
      <c r="F1201" s="37" t="s">
        <v>850</v>
      </c>
      <c r="G1201" s="37" t="s">
        <v>833</v>
      </c>
      <c r="H1201" s="36" t="s">
        <v>293</v>
      </c>
      <c r="I1201" s="23"/>
    </row>
    <row r="1202" spans="1:9" s="20" customFormat="1" ht="261" x14ac:dyDescent="0.4">
      <c r="A1202" s="14" t="s">
        <v>273</v>
      </c>
      <c r="B1202" s="14"/>
      <c r="C1202" s="14"/>
      <c r="D1202" s="36">
        <v>2</v>
      </c>
      <c r="E1202" s="23" t="s">
        <v>684</v>
      </c>
      <c r="F1202" s="37" t="s">
        <v>685</v>
      </c>
      <c r="G1202" s="14"/>
      <c r="H1202" s="74"/>
      <c r="I1202" s="75"/>
    </row>
    <row r="1203" spans="1:9" s="20" customFormat="1" ht="377" x14ac:dyDescent="0.4">
      <c r="A1203" s="14" t="s">
        <v>273</v>
      </c>
      <c r="B1203" s="14"/>
      <c r="C1203" s="14"/>
      <c r="D1203" s="36">
        <v>3</v>
      </c>
      <c r="E1203" s="23" t="s">
        <v>691</v>
      </c>
      <c r="F1203" s="23" t="s">
        <v>692</v>
      </c>
      <c r="G1203" s="23"/>
      <c r="H1203" s="23"/>
      <c r="I1203" s="23"/>
    </row>
    <row r="1204" spans="1:9" s="20" customFormat="1" ht="58" x14ac:dyDescent="0.4">
      <c r="A1204" s="14" t="s">
        <v>273</v>
      </c>
      <c r="B1204" s="14"/>
      <c r="C1204" s="14"/>
      <c r="D1204" s="36">
        <v>4</v>
      </c>
      <c r="E1204" s="23" t="s">
        <v>693</v>
      </c>
      <c r="F1204" s="37" t="s">
        <v>694</v>
      </c>
      <c r="G1204" s="14" t="s">
        <v>695</v>
      </c>
      <c r="H1204" s="74"/>
      <c r="I1204" s="75"/>
    </row>
    <row r="1205" spans="1:9" s="20" customFormat="1" ht="29" x14ac:dyDescent="0.4">
      <c r="A1205" s="32"/>
      <c r="B1205" s="32" t="s">
        <v>1092</v>
      </c>
      <c r="C1205" s="32" t="s">
        <v>854</v>
      </c>
      <c r="D1205" s="32"/>
      <c r="E1205" s="32"/>
      <c r="F1205" s="32"/>
      <c r="G1205" s="32"/>
      <c r="H1205" s="32"/>
      <c r="I1205" s="32"/>
    </row>
    <row r="1206" spans="1:9" s="20" customFormat="1" ht="232" x14ac:dyDescent="0.4">
      <c r="A1206" s="14" t="s">
        <v>273</v>
      </c>
      <c r="B1206" s="73"/>
      <c r="C1206" s="14"/>
      <c r="D1206" s="36">
        <v>1</v>
      </c>
      <c r="E1206" s="37" t="s">
        <v>682</v>
      </c>
      <c r="F1206" s="37" t="s">
        <v>850</v>
      </c>
      <c r="G1206" s="37" t="s">
        <v>833</v>
      </c>
      <c r="H1206" s="36" t="s">
        <v>293</v>
      </c>
      <c r="I1206" s="23"/>
    </row>
    <row r="1207" spans="1:9" s="20" customFormat="1" ht="261" x14ac:dyDescent="0.4">
      <c r="A1207" s="14" t="s">
        <v>273</v>
      </c>
      <c r="B1207" s="14"/>
      <c r="C1207" s="14"/>
      <c r="D1207" s="36">
        <v>2</v>
      </c>
      <c r="E1207" s="23" t="s">
        <v>684</v>
      </c>
      <c r="F1207" s="37" t="s">
        <v>685</v>
      </c>
      <c r="G1207" s="14"/>
      <c r="H1207" s="74"/>
      <c r="I1207" s="75"/>
    </row>
    <row r="1208" spans="1:9" s="20" customFormat="1" ht="377" x14ac:dyDescent="0.4">
      <c r="A1208" s="14" t="s">
        <v>273</v>
      </c>
      <c r="B1208" s="14"/>
      <c r="C1208" s="14"/>
      <c r="D1208" s="36">
        <v>3</v>
      </c>
      <c r="E1208" s="23" t="s">
        <v>698</v>
      </c>
      <c r="F1208" s="23" t="s">
        <v>699</v>
      </c>
      <c r="G1208" s="23"/>
      <c r="H1208" s="23"/>
      <c r="I1208" s="23"/>
    </row>
    <row r="1209" spans="1:9" s="20" customFormat="1" ht="58" x14ac:dyDescent="0.4">
      <c r="A1209" s="14" t="s">
        <v>273</v>
      </c>
      <c r="B1209" s="14"/>
      <c r="C1209" s="14"/>
      <c r="D1209" s="36">
        <v>4</v>
      </c>
      <c r="E1209" s="23" t="s">
        <v>693</v>
      </c>
      <c r="F1209" s="37" t="s">
        <v>694</v>
      </c>
      <c r="G1209" s="14"/>
      <c r="H1209" s="74"/>
      <c r="I1209" s="75"/>
    </row>
    <row r="1210" spans="1:9" s="20" customFormat="1" ht="29" x14ac:dyDescent="0.4">
      <c r="A1210" s="32"/>
      <c r="B1210" s="32" t="s">
        <v>1093</v>
      </c>
      <c r="C1210" s="32" t="s">
        <v>856</v>
      </c>
      <c r="D1210" s="32"/>
      <c r="E1210" s="32"/>
      <c r="F1210" s="32"/>
      <c r="G1210" s="32"/>
      <c r="H1210" s="32"/>
      <c r="I1210" s="32"/>
    </row>
    <row r="1211" spans="1:9" s="20" customFormat="1" ht="232" x14ac:dyDescent="0.4">
      <c r="A1211" s="14" t="s">
        <v>273</v>
      </c>
      <c r="B1211" s="73"/>
      <c r="C1211" s="14"/>
      <c r="D1211" s="36">
        <v>1</v>
      </c>
      <c r="E1211" s="37" t="s">
        <v>682</v>
      </c>
      <c r="F1211" s="37" t="s">
        <v>850</v>
      </c>
      <c r="G1211" s="37" t="s">
        <v>833</v>
      </c>
      <c r="H1211" s="36" t="s">
        <v>293</v>
      </c>
      <c r="I1211" s="23"/>
    </row>
    <row r="1212" spans="1:9" s="20" customFormat="1" ht="261" x14ac:dyDescent="0.4">
      <c r="A1212" s="14" t="s">
        <v>273</v>
      </c>
      <c r="B1212" s="14"/>
      <c r="C1212" s="14"/>
      <c r="D1212" s="36">
        <v>2</v>
      </c>
      <c r="E1212" s="23" t="s">
        <v>684</v>
      </c>
      <c r="F1212" s="37" t="s">
        <v>685</v>
      </c>
      <c r="G1212" s="14"/>
      <c r="H1212" s="74"/>
      <c r="I1212" s="75"/>
    </row>
    <row r="1213" spans="1:9" s="20" customFormat="1" ht="377" x14ac:dyDescent="0.4">
      <c r="A1213" s="14" t="s">
        <v>273</v>
      </c>
      <c r="B1213" s="14"/>
      <c r="C1213" s="14"/>
      <c r="D1213" s="36">
        <v>3</v>
      </c>
      <c r="E1213" s="23" t="s">
        <v>701</v>
      </c>
      <c r="F1213" s="23" t="s">
        <v>702</v>
      </c>
      <c r="G1213" s="23"/>
      <c r="H1213" s="23"/>
      <c r="I1213" s="23"/>
    </row>
    <row r="1214" spans="1:9" s="20" customFormat="1" ht="58" x14ac:dyDescent="0.4">
      <c r="A1214" s="14" t="s">
        <v>273</v>
      </c>
      <c r="B1214" s="14"/>
      <c r="C1214" s="14"/>
      <c r="D1214" s="36">
        <v>4</v>
      </c>
      <c r="E1214" s="23" t="s">
        <v>693</v>
      </c>
      <c r="F1214" s="37" t="s">
        <v>694</v>
      </c>
      <c r="G1214" s="14"/>
      <c r="H1214" s="74"/>
      <c r="I1214" s="75"/>
    </row>
    <row r="1215" spans="1:9" s="20" customFormat="1" ht="29" x14ac:dyDescent="0.4">
      <c r="A1215" s="32"/>
      <c r="B1215" s="32" t="s">
        <v>1094</v>
      </c>
      <c r="C1215" s="32" t="s">
        <v>1030</v>
      </c>
      <c r="D1215" s="32"/>
      <c r="E1215" s="32"/>
      <c r="F1215" s="32"/>
      <c r="G1215" s="32"/>
      <c r="H1215" s="32"/>
      <c r="I1215" s="32"/>
    </row>
    <row r="1216" spans="1:9" s="20" customFormat="1" ht="232" x14ac:dyDescent="0.4">
      <c r="A1216" s="14" t="s">
        <v>273</v>
      </c>
      <c r="B1216" s="73"/>
      <c r="C1216" s="14"/>
      <c r="D1216" s="36">
        <v>1</v>
      </c>
      <c r="E1216" s="37" t="s">
        <v>682</v>
      </c>
      <c r="F1216" s="37" t="s">
        <v>850</v>
      </c>
      <c r="G1216" s="37" t="s">
        <v>833</v>
      </c>
      <c r="H1216" s="36" t="s">
        <v>293</v>
      </c>
      <c r="I1216" s="23"/>
    </row>
    <row r="1217" spans="1:9" s="20" customFormat="1" ht="261" x14ac:dyDescent="0.4">
      <c r="A1217" s="14" t="s">
        <v>273</v>
      </c>
      <c r="B1217" s="14"/>
      <c r="C1217" s="14"/>
      <c r="D1217" s="36">
        <v>2</v>
      </c>
      <c r="E1217" s="23" t="s">
        <v>684</v>
      </c>
      <c r="F1217" s="37" t="s">
        <v>685</v>
      </c>
      <c r="G1217" s="14"/>
      <c r="H1217" s="74"/>
      <c r="I1217" s="75"/>
    </row>
    <row r="1218" spans="1:9" s="20" customFormat="1" ht="87" x14ac:dyDescent="0.4">
      <c r="A1218" s="14" t="s">
        <v>273</v>
      </c>
      <c r="B1218" s="14"/>
      <c r="C1218" s="14"/>
      <c r="D1218" s="36">
        <v>3</v>
      </c>
      <c r="E1218" s="23" t="s">
        <v>704</v>
      </c>
      <c r="F1218" s="23" t="s">
        <v>419</v>
      </c>
      <c r="G1218" s="23"/>
      <c r="H1218" s="23"/>
      <c r="I1218" s="23"/>
    </row>
    <row r="1219" spans="1:9" s="20" customFormat="1" ht="145" x14ac:dyDescent="0.4">
      <c r="A1219" s="14" t="s">
        <v>273</v>
      </c>
      <c r="B1219" s="14"/>
      <c r="C1219" s="14"/>
      <c r="D1219" s="36">
        <v>4</v>
      </c>
      <c r="E1219" s="23" t="s">
        <v>705</v>
      </c>
      <c r="F1219" s="37" t="s">
        <v>706</v>
      </c>
      <c r="G1219" s="14"/>
      <c r="H1219" s="74"/>
      <c r="I1219" s="75"/>
    </row>
    <row r="1220" spans="1:9" s="20" customFormat="1" ht="101.5" x14ac:dyDescent="0.4">
      <c r="A1220" s="14" t="s">
        <v>273</v>
      </c>
      <c r="B1220" s="14"/>
      <c r="C1220" s="14"/>
      <c r="D1220" s="36">
        <v>5</v>
      </c>
      <c r="E1220" s="23" t="s">
        <v>707</v>
      </c>
      <c r="F1220" s="37" t="s">
        <v>708</v>
      </c>
      <c r="G1220" s="37" t="s">
        <v>609</v>
      </c>
      <c r="H1220" s="74"/>
      <c r="I1220" s="75"/>
    </row>
    <row r="1221" spans="1:9" s="20" customFormat="1" x14ac:dyDescent="0.45">
      <c r="A1221" s="21"/>
      <c r="B1221" s="21"/>
      <c r="C1221" s="21"/>
      <c r="D1221" s="21"/>
      <c r="E1221" s="21"/>
      <c r="F1221" s="21"/>
      <c r="G1221" s="21"/>
      <c r="H1221" s="21"/>
    </row>
    <row r="1222" spans="1:9" s="20" customFormat="1" x14ac:dyDescent="0.45">
      <c r="A1222" s="21"/>
      <c r="B1222" s="21"/>
      <c r="C1222" s="21"/>
      <c r="D1222" s="21"/>
      <c r="E1222" s="21"/>
      <c r="F1222" s="21"/>
      <c r="G1222" s="21"/>
      <c r="H1222" s="21"/>
    </row>
    <row r="1223" spans="1:9" s="20" customFormat="1" x14ac:dyDescent="0.45">
      <c r="A1223" s="21"/>
      <c r="B1223" s="21"/>
      <c r="C1223" s="21"/>
      <c r="D1223" s="21"/>
      <c r="E1223" s="21"/>
      <c r="F1223" s="21"/>
      <c r="G1223" s="21"/>
      <c r="H1223" s="21"/>
    </row>
    <row r="1224" spans="1:9" s="20" customFormat="1" x14ac:dyDescent="0.45">
      <c r="A1224" s="21"/>
      <c r="B1224" s="21"/>
      <c r="C1224" s="21"/>
      <c r="D1224" s="21"/>
      <c r="E1224" s="21"/>
      <c r="F1224" s="21"/>
      <c r="G1224" s="21"/>
      <c r="H1224" s="21"/>
    </row>
    <row r="1225" spans="1:9" s="20" customFormat="1" x14ac:dyDescent="0.45">
      <c r="A1225" s="21"/>
      <c r="B1225" s="21"/>
      <c r="C1225" s="21"/>
      <c r="D1225" s="21"/>
      <c r="E1225" s="21"/>
      <c r="F1225" s="21"/>
      <c r="G1225" s="21"/>
      <c r="H1225" s="21"/>
    </row>
    <row r="1226" spans="1:9" s="21" customFormat="1" x14ac:dyDescent="0.45">
      <c r="I1226" s="20"/>
    </row>
    <row r="1227" spans="1:9" s="21" customFormat="1" x14ac:dyDescent="0.45">
      <c r="I1227" s="20"/>
    </row>
    <row r="1228" spans="1:9" s="21" customFormat="1" x14ac:dyDescent="0.45">
      <c r="I1228" s="20"/>
    </row>
    <row r="1229" spans="1:9" s="21" customFormat="1" x14ac:dyDescent="0.45">
      <c r="I1229" s="20"/>
    </row>
    <row r="1230" spans="1:9" s="21" customFormat="1" x14ac:dyDescent="0.45">
      <c r="I1230" s="20"/>
    </row>
    <row r="1231" spans="1:9" s="21" customFormat="1" x14ac:dyDescent="0.45">
      <c r="I1231" s="20"/>
    </row>
    <row r="1232" spans="1:9" s="21" customFormat="1" x14ac:dyDescent="0.45">
      <c r="I1232" s="20"/>
    </row>
    <row r="1233" spans="9:9" s="21" customFormat="1" x14ac:dyDescent="0.45">
      <c r="I1233" s="20"/>
    </row>
    <row r="1234" spans="9:9" s="21" customFormat="1" x14ac:dyDescent="0.45">
      <c r="I1234" s="20"/>
    </row>
    <row r="1235" spans="9:9" s="21" customFormat="1" x14ac:dyDescent="0.45">
      <c r="I1235" s="20"/>
    </row>
    <row r="1236" spans="9:9" s="21" customFormat="1" x14ac:dyDescent="0.45">
      <c r="I1236" s="20"/>
    </row>
  </sheetData>
  <mergeCells count="8">
    <mergeCell ref="A15:C15"/>
    <mergeCell ref="D10:E10"/>
    <mergeCell ref="A12:B12"/>
    <mergeCell ref="C12:D12"/>
    <mergeCell ref="A13:B13"/>
    <mergeCell ref="C13:D13"/>
    <mergeCell ref="A14:B14"/>
    <mergeCell ref="C14:D14"/>
  </mergeCells>
  <phoneticPr fontId="35" type="noConversion"/>
  <pageMargins left="0.70833333333333304" right="0.70833333333333304" top="0.74791666666666701" bottom="0.74791666666666701" header="0.511811023622047" footer="0.31527777777777799"/>
  <pageSetup scale="45" orientation="landscape" horizontalDpi="300" verticalDpi="300" r:id="rId1"/>
  <headerFooter>
    <oddFooter>&amp;R&amp;"Montserrat,Normal"&amp;10Página &amp;P de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0C35F-85A9-4355-86E3-34E0D9D4F88B}">
  <dimension ref="C19:H513"/>
  <sheetViews>
    <sheetView topLeftCell="A30" zoomScale="85" zoomScaleNormal="85" workbookViewId="0">
      <selection activeCell="D19" sqref="D19"/>
    </sheetView>
  </sheetViews>
  <sheetFormatPr baseColWidth="10" defaultRowHeight="14.5" x14ac:dyDescent="0.35"/>
  <cols>
    <col min="4" max="4" width="25.54296875" customWidth="1"/>
    <col min="5" max="5" width="7.7265625" customWidth="1"/>
    <col min="6" max="6" width="73.54296875" customWidth="1"/>
    <col min="7" max="7" width="82.453125" customWidth="1"/>
  </cols>
  <sheetData>
    <row r="19" spans="3:8" x14ac:dyDescent="0.35">
      <c r="C19" t="s">
        <v>173</v>
      </c>
      <c r="D19" s="66" t="e">
        <f>IF(#REF!&lt;&gt;0,#REF!&amp;"-"&amp;_xlfn.SINGLE(#REF!),"")</f>
        <v>#REF!</v>
      </c>
      <c r="E19" s="66" t="e">
        <f>IF(LEN($D19)&gt;0,"",#REF!)</f>
        <v>#REF!</v>
      </c>
      <c r="F19" s="66" t="str">
        <f>IF(LEN($C19)&gt;0,"",#REF!)</f>
        <v/>
      </c>
      <c r="G19" s="66" t="str">
        <f>IF(LEN($C19)&gt;0,"",#REF!)</f>
        <v/>
      </c>
      <c r="H19" s="66" t="str">
        <f>IF(LEN($C19)&gt;0,"",#REF!&amp;CHAR(10)&amp;#REF!)</f>
        <v/>
      </c>
    </row>
    <row r="20" spans="3:8" ht="13" customHeight="1" x14ac:dyDescent="0.35">
      <c r="D20" s="66" t="e">
        <f>IF(#REF!&lt;&gt;0,#REF!&amp;"-"&amp;_xlfn.SINGLE(#REF!),"")</f>
        <v>#REF!</v>
      </c>
      <c r="E20" s="66" t="e">
        <f>IF(LEN($C20)&gt;0,"",#REF!)</f>
        <v>#REF!</v>
      </c>
      <c r="F20" s="66" t="e">
        <f>IF(LEN($C20)&gt;0,"",#REF!)</f>
        <v>#REF!</v>
      </c>
      <c r="G20" s="66" t="e">
        <f>IF(LEN($C20)&gt;0,"",#REF!&amp;CHAR(10)&amp;#REF!)</f>
        <v>#REF!</v>
      </c>
      <c r="H20" t="e">
        <f>+LEN(G20)</f>
        <v>#REF!</v>
      </c>
    </row>
    <row r="21" spans="3:8" x14ac:dyDescent="0.35">
      <c r="D21" s="66" t="e">
        <f>IF(#REF!&lt;&gt;0,#REF!&amp;"-"&amp;_xlfn.SINGLE(#REF!),"")</f>
        <v>#REF!</v>
      </c>
      <c r="E21" s="66" t="e">
        <f>IF(LEN($D21)&gt;0,"",#REF!)</f>
        <v>#REF!</v>
      </c>
      <c r="F21" s="66" t="e">
        <f>IF(LEN($C21)&gt;0,"",#REF!)</f>
        <v>#REF!</v>
      </c>
      <c r="G21" s="66" t="e">
        <f>IF(LEN($C21)&gt;0,"",#REF!&amp;CHAR(10)&amp;#REF!)</f>
        <v>#REF!</v>
      </c>
      <c r="H21" t="e">
        <f t="shared" ref="H21:H84" si="0">+LEN(G21)</f>
        <v>#REF!</v>
      </c>
    </row>
    <row r="22" spans="3:8" ht="13" customHeight="1" x14ac:dyDescent="0.35">
      <c r="D22" s="66" t="e">
        <f>IF(#REF!&lt;&gt;0,#REF!&amp;"-"&amp;_xlfn.SINGLE(#REF!),"")</f>
        <v>#REF!</v>
      </c>
      <c r="E22" s="66" t="e">
        <f>IF(LEN($D22)&gt;0,"",#REF!)</f>
        <v>#REF!</v>
      </c>
      <c r="F22" s="66" t="e">
        <f>IF(LEN($C22)&gt;0,"",#REF!)</f>
        <v>#REF!</v>
      </c>
      <c r="G22" s="66" t="e">
        <f>IF(LEN($C22)&gt;0,"",#REF!&amp;CHAR(10)&amp;#REF!)</f>
        <v>#REF!</v>
      </c>
      <c r="H22" t="e">
        <f t="shared" si="0"/>
        <v>#REF!</v>
      </c>
    </row>
    <row r="23" spans="3:8" ht="19" customHeight="1" x14ac:dyDescent="0.35">
      <c r="D23" s="66" t="e">
        <f>IF(#REF!&lt;&gt;0,#REF!&amp;"-"&amp;_xlfn.SINGLE(#REF!),"")</f>
        <v>#REF!</v>
      </c>
      <c r="E23" s="66" t="e">
        <f>IF(LEN($D23)&gt;0,"",#REF!)</f>
        <v>#REF!</v>
      </c>
      <c r="F23" s="66" t="e">
        <f>IF(LEN($C23)&gt;0,"",#REF!)</f>
        <v>#REF!</v>
      </c>
      <c r="G23" s="66" t="e">
        <f>IF(LEN($C23)&gt;0,"",#REF!&amp;CHAR(10)&amp;#REF!)</f>
        <v>#REF!</v>
      </c>
      <c r="H23" t="e">
        <f t="shared" si="0"/>
        <v>#REF!</v>
      </c>
    </row>
    <row r="24" spans="3:8" x14ac:dyDescent="0.35">
      <c r="D24" s="66" t="e">
        <f>IF(#REF!&lt;&gt;0,#REF!&amp;"-"&amp;_xlfn.SINGLE(#REF!),"")</f>
        <v>#REF!</v>
      </c>
      <c r="E24" s="66" t="e">
        <f>IF(LEN($D24)&gt;0,"",#REF!)</f>
        <v>#REF!</v>
      </c>
      <c r="F24" s="66" t="e">
        <f>IF(LEN($C24)&gt;0,"",#REF!)</f>
        <v>#REF!</v>
      </c>
      <c r="G24" s="66" t="e">
        <f>IF(LEN($C24)&gt;0,"",#REF!&amp;CHAR(10)&amp;#REF!)</f>
        <v>#REF!</v>
      </c>
      <c r="H24" t="e">
        <f t="shared" si="0"/>
        <v>#REF!</v>
      </c>
    </row>
    <row r="25" spans="3:8" x14ac:dyDescent="0.35">
      <c r="D25" s="66" t="e">
        <f>IF(#REF!&lt;&gt;0,#REF!&amp;"-"&amp;_xlfn.SINGLE(#REF!),"")</f>
        <v>#REF!</v>
      </c>
      <c r="E25" s="66" t="e">
        <f>IF(LEN($D25)&gt;0,"",#REF!)</f>
        <v>#REF!</v>
      </c>
      <c r="F25" s="66"/>
      <c r="G25" s="66" t="e">
        <f>IF(LEN($C25)&gt;0,"",#REF!&amp;CHAR(10)&amp;#REF!)</f>
        <v>#REF!</v>
      </c>
      <c r="H25" t="e">
        <f t="shared" si="0"/>
        <v>#REF!</v>
      </c>
    </row>
    <row r="26" spans="3:8" ht="21.5" customHeight="1" x14ac:dyDescent="0.35">
      <c r="D26" s="66" t="e">
        <f>IF(#REF!&lt;&gt;0,#REF!&amp;"-"&amp;_xlfn.SINGLE(#REF!),"")</f>
        <v>#REF!</v>
      </c>
      <c r="E26" s="66" t="e">
        <f>IF(LEN($D26)&gt;0,"",#REF!)</f>
        <v>#REF!</v>
      </c>
      <c r="F26" s="66" t="e">
        <f>IF(LEN($C26)&gt;0,"",#REF!)</f>
        <v>#REF!</v>
      </c>
      <c r="G26" s="66" t="e">
        <f>IF(LEN($C26)&gt;0,"",#REF!&amp;CHAR(10)&amp;#REF!)</f>
        <v>#REF!</v>
      </c>
      <c r="H26" t="e">
        <f t="shared" si="0"/>
        <v>#REF!</v>
      </c>
    </row>
    <row r="27" spans="3:8" ht="31.5" customHeight="1" x14ac:dyDescent="0.35">
      <c r="D27" s="66" t="e">
        <f>IF(#REF!&lt;&gt;0,#REF!&amp;"-"&amp;_xlfn.SINGLE(#REF!),"")</f>
        <v>#REF!</v>
      </c>
      <c r="E27" s="66" t="e">
        <f>IF(LEN($D27)&gt;0,"",#REF!)</f>
        <v>#REF!</v>
      </c>
      <c r="F27" s="66" t="e">
        <f>IF(LEN($C27)&gt;0,"",#REF!)</f>
        <v>#REF!</v>
      </c>
      <c r="G27" s="66" t="e">
        <f>IF(LEN($C27)&gt;0,"",#REF!&amp;CHAR(10)&amp;#REF!)</f>
        <v>#REF!</v>
      </c>
      <c r="H27" t="e">
        <f t="shared" si="0"/>
        <v>#REF!</v>
      </c>
    </row>
    <row r="28" spans="3:8" x14ac:dyDescent="0.35">
      <c r="D28" s="66" t="e">
        <f>IF(#REF!&lt;&gt;0,#REF!&amp;"-"&amp;_xlfn.SINGLE(#REF!),"")</f>
        <v>#REF!</v>
      </c>
      <c r="E28" s="66" t="e">
        <f>IF(LEN($D28)&gt;0,"",#REF!)</f>
        <v>#REF!</v>
      </c>
      <c r="F28" s="66" t="e">
        <f>IF(LEN($C28)&gt;0,"",#REF!)</f>
        <v>#REF!</v>
      </c>
      <c r="G28" s="66" t="e">
        <f>IF(LEN($C28)&gt;0,"",#REF!&amp;CHAR(10)&amp;#REF!)</f>
        <v>#REF!</v>
      </c>
      <c r="H28" t="e">
        <f t="shared" si="0"/>
        <v>#REF!</v>
      </c>
    </row>
    <row r="29" spans="3:8" ht="16.5" customHeight="1" x14ac:dyDescent="0.35">
      <c r="D29" s="66" t="e">
        <f>IF(#REF!&lt;&gt;0,#REF!&amp;"-"&amp;_xlfn.SINGLE(#REF!),"")</f>
        <v>#REF!</v>
      </c>
      <c r="E29" s="66" t="e">
        <f>IF(LEN($D29)&gt;0,"",#REF!)</f>
        <v>#REF!</v>
      </c>
      <c r="F29" s="66" t="e">
        <f>IF(LEN($C29)&gt;0,"",#REF!)</f>
        <v>#REF!</v>
      </c>
      <c r="G29" s="66" t="e">
        <f>IF(LEN($C29)&gt;0,"",#REF!&amp;CHAR(10)&amp;#REF!)</f>
        <v>#REF!</v>
      </c>
      <c r="H29" t="e">
        <f t="shared" si="0"/>
        <v>#REF!</v>
      </c>
    </row>
    <row r="30" spans="3:8" x14ac:dyDescent="0.35">
      <c r="D30" s="66" t="e">
        <f>IF(#REF!&lt;&gt;0,#REF!&amp;"-"&amp;_xlfn.SINGLE(#REF!),"")</f>
        <v>#REF!</v>
      </c>
      <c r="E30" s="66" t="e">
        <f>IF(LEN($D30)&gt;0,"",#REF!)</f>
        <v>#REF!</v>
      </c>
      <c r="F30" s="66" t="e">
        <f>IF(LEN($C30)&gt;0,"",#REF!)</f>
        <v>#REF!</v>
      </c>
      <c r="G30" s="66" t="e">
        <f>IF(LEN($C30)&gt;0,"",#REF!&amp;CHAR(10)&amp;#REF!)</f>
        <v>#REF!</v>
      </c>
      <c r="H30" t="e">
        <f t="shared" si="0"/>
        <v>#REF!</v>
      </c>
    </row>
    <row r="31" spans="3:8" x14ac:dyDescent="0.35">
      <c r="D31" s="66" t="e">
        <f>IF(#REF!&lt;&gt;0,#REF!&amp;"-"&amp;_xlfn.SINGLE(#REF!),"")</f>
        <v>#REF!</v>
      </c>
      <c r="E31" s="66" t="e">
        <f>IF(LEN($D31)&gt;0,"",#REF!)</f>
        <v>#REF!</v>
      </c>
      <c r="F31" s="66"/>
      <c r="G31" s="66" t="e">
        <f>IF(LEN($C31)&gt;0,"",#REF!&amp;CHAR(10)&amp;#REF!)</f>
        <v>#REF!</v>
      </c>
      <c r="H31" t="e">
        <f t="shared" si="0"/>
        <v>#REF!</v>
      </c>
    </row>
    <row r="32" spans="3:8" x14ac:dyDescent="0.35">
      <c r="D32" s="66" t="e">
        <f>IF(#REF!&lt;&gt;0,#REF!&amp;"-"&amp;_xlfn.SINGLE(#REF!),"")</f>
        <v>#REF!</v>
      </c>
      <c r="E32" s="66" t="e">
        <f>IF(LEN($D32)&gt;0,"",#REF!)</f>
        <v>#REF!</v>
      </c>
      <c r="F32" s="66" t="e">
        <f>IF(LEN($C32)&gt;0,"",#REF!)</f>
        <v>#REF!</v>
      </c>
      <c r="G32" s="66" t="e">
        <f>IF(LEN($C32)&gt;0,"",#REF!&amp;CHAR(10)&amp;#REF!)</f>
        <v>#REF!</v>
      </c>
      <c r="H32" t="e">
        <f t="shared" si="0"/>
        <v>#REF!</v>
      </c>
    </row>
    <row r="33" spans="4:8" ht="23.5" customHeight="1" x14ac:dyDescent="0.35">
      <c r="D33" s="66" t="e">
        <f>IF(#REF!&lt;&gt;0,#REF!&amp;"-"&amp;_xlfn.SINGLE(#REF!),"")</f>
        <v>#REF!</v>
      </c>
      <c r="E33" s="66" t="e">
        <f>IF(LEN($D33)&gt;0,"",#REF!)</f>
        <v>#REF!</v>
      </c>
      <c r="F33" s="66" t="e">
        <f>IF(LEN($C33)&gt;0,"",#REF!)</f>
        <v>#REF!</v>
      </c>
      <c r="G33" s="66" t="e">
        <f>IF(LEN($C33)&gt;0,"",#REF!&amp;CHAR(10)&amp;#REF!)</f>
        <v>#REF!</v>
      </c>
      <c r="H33" t="e">
        <f t="shared" si="0"/>
        <v>#REF!</v>
      </c>
    </row>
    <row r="34" spans="4:8" x14ac:dyDescent="0.35">
      <c r="D34" s="66" t="e">
        <f>IF(#REF!&lt;&gt;0,#REF!&amp;"-"&amp;_xlfn.SINGLE(#REF!),"")</f>
        <v>#REF!</v>
      </c>
      <c r="E34" s="66" t="e">
        <f>IF(LEN($D34)&gt;0,"",#REF!)</f>
        <v>#REF!</v>
      </c>
      <c r="F34" s="66" t="e">
        <f>IF(LEN($C34)&gt;0,"",#REF!)</f>
        <v>#REF!</v>
      </c>
      <c r="G34" s="66" t="e">
        <f>IF(LEN($C34)&gt;0,"",#REF!&amp;CHAR(10)&amp;#REF!)</f>
        <v>#REF!</v>
      </c>
      <c r="H34" t="e">
        <f t="shared" si="0"/>
        <v>#REF!</v>
      </c>
    </row>
    <row r="35" spans="4:8" ht="16.5" customHeight="1" x14ac:dyDescent="0.35">
      <c r="D35" s="66" t="e">
        <f>IF(#REF!&lt;&gt;0,#REF!&amp;"-"&amp;_xlfn.SINGLE(#REF!),"")</f>
        <v>#REF!</v>
      </c>
      <c r="E35" s="66" t="e">
        <f>IF(LEN($D35)&gt;0,"",#REF!)</f>
        <v>#REF!</v>
      </c>
      <c r="F35" s="66" t="e">
        <f>IF(LEN($C35)&gt;0,"",#REF!)</f>
        <v>#REF!</v>
      </c>
      <c r="G35" s="66" t="e">
        <f>IF(LEN($C35)&gt;0,"",#REF!&amp;CHAR(10)&amp;#REF!)</f>
        <v>#REF!</v>
      </c>
      <c r="H35" t="e">
        <f t="shared" si="0"/>
        <v>#REF!</v>
      </c>
    </row>
    <row r="36" spans="4:8" x14ac:dyDescent="0.35">
      <c r="D36" s="66" t="e">
        <f>IF(#REF!&lt;&gt;0,#REF!&amp;"-"&amp;_xlfn.SINGLE(#REF!),"")</f>
        <v>#REF!</v>
      </c>
      <c r="E36" s="66" t="e">
        <f>IF(LEN($D36)&gt;0,"",#REF!)</f>
        <v>#REF!</v>
      </c>
      <c r="F36" s="66" t="e">
        <f>IF(LEN($C36)&gt;0,"",#REF!)</f>
        <v>#REF!</v>
      </c>
      <c r="G36" s="66" t="e">
        <f>IF(LEN($C36)&gt;0,"",#REF!&amp;CHAR(10)&amp;#REF!)</f>
        <v>#REF!</v>
      </c>
      <c r="H36" t="e">
        <f t="shared" si="0"/>
        <v>#REF!</v>
      </c>
    </row>
    <row r="37" spans="4:8" x14ac:dyDescent="0.35">
      <c r="D37" s="66" t="e">
        <f>IF(#REF!&lt;&gt;0,#REF!&amp;"-"&amp;_xlfn.SINGLE(#REF!),"")</f>
        <v>#REF!</v>
      </c>
      <c r="E37" s="66" t="e">
        <f>IF(LEN($D37)&gt;0,"",#REF!)</f>
        <v>#REF!</v>
      </c>
      <c r="F37" s="66"/>
      <c r="G37" s="66" t="e">
        <f>IF(LEN($C37)&gt;0,"",#REF!&amp;CHAR(10)&amp;#REF!)</f>
        <v>#REF!</v>
      </c>
      <c r="H37" t="e">
        <f t="shared" si="0"/>
        <v>#REF!</v>
      </c>
    </row>
    <row r="38" spans="4:8" x14ac:dyDescent="0.35">
      <c r="D38" s="66" t="e">
        <f>IF(#REF!&lt;&gt;0,#REF!&amp;"-"&amp;_xlfn.SINGLE(#REF!),"")</f>
        <v>#REF!</v>
      </c>
      <c r="E38" s="66" t="e">
        <f>IF(LEN($D38)&gt;0,"",#REF!)</f>
        <v>#REF!</v>
      </c>
      <c r="F38" s="66" t="e">
        <f>IF(LEN($C38)&gt;0,"",#REF!)</f>
        <v>#REF!</v>
      </c>
      <c r="G38" s="66" t="e">
        <f>IF(LEN($C38)&gt;0,"",#REF!&amp;CHAR(10)&amp;#REF!)</f>
        <v>#REF!</v>
      </c>
      <c r="H38" t="e">
        <f t="shared" si="0"/>
        <v>#REF!</v>
      </c>
    </row>
    <row r="39" spans="4:8" ht="55.5" customHeight="1" x14ac:dyDescent="0.35">
      <c r="D39" s="66" t="e">
        <f>IF(#REF!&lt;&gt;0,#REF!&amp;"-"&amp;_xlfn.SINGLE(#REF!),"")</f>
        <v>#REF!</v>
      </c>
      <c r="E39" s="66" t="e">
        <f>IF(LEN($D39)&gt;0,"",#REF!)</f>
        <v>#REF!</v>
      </c>
      <c r="F39" s="66" t="e">
        <f>IF(LEN($C39)&gt;0,"",#REF!)</f>
        <v>#REF!</v>
      </c>
      <c r="G39" s="66" t="e">
        <f>IF(LEN($C39)&gt;0,"",#REF!&amp;CHAR(10)&amp;#REF!)</f>
        <v>#REF!</v>
      </c>
      <c r="H39" t="e">
        <f t="shared" si="0"/>
        <v>#REF!</v>
      </c>
    </row>
    <row r="40" spans="4:8" x14ac:dyDescent="0.35">
      <c r="D40" s="66" t="e">
        <f>IF(#REF!&lt;&gt;0,#REF!&amp;"-"&amp;_xlfn.SINGLE(#REF!),"")</f>
        <v>#REF!</v>
      </c>
      <c r="E40" s="66" t="e">
        <f>IF(LEN($D40)&gt;0,"",#REF!)</f>
        <v>#REF!</v>
      </c>
      <c r="F40" s="66" t="e">
        <f>IF(LEN($C40)&gt;0,"",#REF!)</f>
        <v>#REF!</v>
      </c>
      <c r="G40" s="66" t="e">
        <f>IF(LEN($C40)&gt;0,"",#REF!&amp;CHAR(10)&amp;#REF!)</f>
        <v>#REF!</v>
      </c>
      <c r="H40" t="e">
        <f t="shared" si="0"/>
        <v>#REF!</v>
      </c>
    </row>
    <row r="41" spans="4:8" ht="41.5" customHeight="1" x14ac:dyDescent="0.35">
      <c r="D41" s="66" t="e">
        <f>IF(#REF!&lt;&gt;0,#REF!&amp;"-"&amp;_xlfn.SINGLE(#REF!),"")</f>
        <v>#REF!</v>
      </c>
      <c r="E41" s="66" t="e">
        <f>IF(LEN($D41)&gt;0,"",#REF!)</f>
        <v>#REF!</v>
      </c>
      <c r="F41" s="66" t="e">
        <f>IF(LEN($C41)&gt;0,"",#REF!)</f>
        <v>#REF!</v>
      </c>
      <c r="G41" s="66" t="e">
        <f>IF(LEN($C41)&gt;0,"",#REF!&amp;CHAR(10)&amp;#REF!)</f>
        <v>#REF!</v>
      </c>
      <c r="H41" t="e">
        <f t="shared" si="0"/>
        <v>#REF!</v>
      </c>
    </row>
    <row r="42" spans="4:8" x14ac:dyDescent="0.35">
      <c r="D42" s="66" t="e">
        <f>IF(#REF!&lt;&gt;0,#REF!&amp;"-"&amp;_xlfn.SINGLE(#REF!),"")</f>
        <v>#REF!</v>
      </c>
      <c r="E42" s="66" t="e">
        <f>IF(LEN($D42)&gt;0,"",#REF!)</f>
        <v>#REF!</v>
      </c>
      <c r="F42" s="66" t="e">
        <f>IF(LEN($C42)&gt;0,"",#REF!)</f>
        <v>#REF!</v>
      </c>
      <c r="G42" s="66" t="e">
        <f>IF(LEN($C42)&gt;0,"",#REF!&amp;CHAR(10)&amp;#REF!)</f>
        <v>#REF!</v>
      </c>
      <c r="H42" t="e">
        <f t="shared" si="0"/>
        <v>#REF!</v>
      </c>
    </row>
    <row r="43" spans="4:8" x14ac:dyDescent="0.35">
      <c r="D43" s="66" t="e">
        <f>IF(#REF!&lt;&gt;0,#REF!&amp;"-"&amp;_xlfn.SINGLE(#REF!),"")</f>
        <v>#REF!</v>
      </c>
      <c r="E43" s="66" t="e">
        <f>IF(LEN($D43)&gt;0,"",#REF!)</f>
        <v>#REF!</v>
      </c>
      <c r="F43" s="66"/>
      <c r="G43" s="66" t="e">
        <f>IF(LEN($C43)&gt;0,"",#REF!&amp;CHAR(10)&amp;#REF!)</f>
        <v>#REF!</v>
      </c>
      <c r="H43" t="e">
        <f t="shared" si="0"/>
        <v>#REF!</v>
      </c>
    </row>
    <row r="44" spans="4:8" ht="44" customHeight="1" x14ac:dyDescent="0.35">
      <c r="D44" s="66" t="e">
        <f>IF(#REF!&lt;&gt;0,#REF!&amp;"-"&amp;_xlfn.SINGLE(#REF!),"")</f>
        <v>#REF!</v>
      </c>
      <c r="E44" s="66" t="e">
        <f>IF(LEN($D44)&gt;0,"",#REF!)</f>
        <v>#REF!</v>
      </c>
      <c r="F44" s="66" t="e">
        <f>IF(LEN($C44)&gt;0,"",#REF!)</f>
        <v>#REF!</v>
      </c>
      <c r="G44" s="66" t="e">
        <f>IF(LEN($C44)&gt;0,"",#REF!&amp;CHAR(10)&amp;#REF!)</f>
        <v>#REF!</v>
      </c>
      <c r="H44" t="e">
        <f t="shared" si="0"/>
        <v>#REF!</v>
      </c>
    </row>
    <row r="45" spans="4:8" x14ac:dyDescent="0.35">
      <c r="D45" s="66" t="e">
        <f>IF(#REF!&lt;&gt;0,#REF!&amp;"-"&amp;_xlfn.SINGLE(#REF!),"")</f>
        <v>#REF!</v>
      </c>
      <c r="E45" s="66" t="e">
        <f>IF(LEN($D45)&gt;0,"",#REF!)</f>
        <v>#REF!</v>
      </c>
      <c r="F45" s="66" t="e">
        <f>IF(LEN($C45)&gt;0,"",#REF!)</f>
        <v>#REF!</v>
      </c>
      <c r="G45" s="66" t="e">
        <f>IF(LEN($C45)&gt;0,"",#REF!&amp;CHAR(10)&amp;#REF!)</f>
        <v>#REF!</v>
      </c>
      <c r="H45" t="e">
        <f t="shared" si="0"/>
        <v>#REF!</v>
      </c>
    </row>
    <row r="46" spans="4:8" x14ac:dyDescent="0.35">
      <c r="D46" s="66" t="e">
        <f>IF(#REF!&lt;&gt;0,#REF!&amp;"-"&amp;_xlfn.SINGLE(#REF!),"")</f>
        <v>#REF!</v>
      </c>
      <c r="E46" s="66" t="e">
        <f>IF(LEN($D46)&gt;0,"",#REF!)</f>
        <v>#REF!</v>
      </c>
      <c r="F46" s="66"/>
      <c r="G46" s="66" t="e">
        <f>IF(LEN($C46)&gt;0,"",#REF!&amp;CHAR(10)&amp;#REF!)</f>
        <v>#REF!</v>
      </c>
      <c r="H46" t="e">
        <f t="shared" si="0"/>
        <v>#REF!</v>
      </c>
    </row>
    <row r="47" spans="4:8" x14ac:dyDescent="0.35">
      <c r="D47" s="66" t="e">
        <f>IF(#REF!&lt;&gt;0,#REF!&amp;"-"&amp;_xlfn.SINGLE(#REF!),"")</f>
        <v>#REF!</v>
      </c>
      <c r="E47" s="66" t="e">
        <f>IF(LEN($D47)&gt;0,"",#REF!)</f>
        <v>#REF!</v>
      </c>
      <c r="F47" s="66" t="e">
        <f>IF(LEN($C47)&gt;0,"",#REF!)</f>
        <v>#REF!</v>
      </c>
      <c r="G47" s="66" t="e">
        <f>IF(LEN($C47)&gt;0,"",#REF!&amp;CHAR(10)&amp;#REF!)</f>
        <v>#REF!</v>
      </c>
      <c r="H47" t="e">
        <f t="shared" si="0"/>
        <v>#REF!</v>
      </c>
    </row>
    <row r="48" spans="4:8" x14ac:dyDescent="0.35">
      <c r="D48" s="66" t="e">
        <f>IF(#REF!&lt;&gt;0,#REF!&amp;"-"&amp;_xlfn.SINGLE(#REF!),"")</f>
        <v>#REF!</v>
      </c>
      <c r="E48" s="66" t="e">
        <f>IF(LEN($D48)&gt;0,"",#REF!)</f>
        <v>#REF!</v>
      </c>
      <c r="F48" s="66" t="e">
        <f>IF(LEN($C48)&gt;0,"",#REF!)</f>
        <v>#REF!</v>
      </c>
      <c r="G48" s="66" t="e">
        <f>IF(LEN($C48)&gt;0,"",#REF!&amp;CHAR(10)&amp;#REF!)</f>
        <v>#REF!</v>
      </c>
      <c r="H48" t="e">
        <f t="shared" si="0"/>
        <v>#REF!</v>
      </c>
    </row>
    <row r="49" spans="4:8" x14ac:dyDescent="0.35">
      <c r="D49" s="66" t="e">
        <f>IF(#REF!&lt;&gt;0,#REF!&amp;"-"&amp;_xlfn.SINGLE(#REF!),"")</f>
        <v>#REF!</v>
      </c>
      <c r="E49" s="66" t="e">
        <f>IF(LEN($D49)&gt;0,"",#REF!)</f>
        <v>#REF!</v>
      </c>
      <c r="F49" s="66" t="e">
        <f>IF(LEN($C49)&gt;0,"",#REF!)</f>
        <v>#REF!</v>
      </c>
      <c r="G49" s="66" t="e">
        <f>IF(LEN($C49)&gt;0,"",#REF!&amp;CHAR(10)&amp;#REF!)</f>
        <v>#REF!</v>
      </c>
      <c r="H49" t="e">
        <f t="shared" si="0"/>
        <v>#REF!</v>
      </c>
    </row>
    <row r="50" spans="4:8" ht="51.5" customHeight="1" x14ac:dyDescent="0.35">
      <c r="D50" s="66" t="e">
        <f>IF(#REF!&lt;&gt;0,#REF!&amp;"-"&amp;_xlfn.SINGLE(#REF!),"")</f>
        <v>#REF!</v>
      </c>
      <c r="E50" s="66" t="e">
        <f>IF(LEN($D50)&gt;0,"",#REF!)</f>
        <v>#REF!</v>
      </c>
      <c r="F50" s="66" t="e">
        <f>IF(LEN($C50)&gt;0,"",#REF!)</f>
        <v>#REF!</v>
      </c>
      <c r="G50" s="66" t="e">
        <f>IF(LEN($C50)&gt;0,"",#REF!&amp;CHAR(10)&amp;#REF!)</f>
        <v>#REF!</v>
      </c>
      <c r="H50" t="e">
        <f t="shared" si="0"/>
        <v>#REF!</v>
      </c>
    </row>
    <row r="51" spans="4:8" x14ac:dyDescent="0.35">
      <c r="D51" s="66" t="e">
        <f>IF(#REF!&lt;&gt;0,#REF!&amp;"-"&amp;_xlfn.SINGLE(#REF!),"")</f>
        <v>#REF!</v>
      </c>
      <c r="E51" s="66" t="e">
        <f>IF(LEN($D51)&gt;0,"",#REF!)</f>
        <v>#REF!</v>
      </c>
      <c r="F51" s="66" t="e">
        <f>IF(LEN($C51)&gt;0,"",#REF!)</f>
        <v>#REF!</v>
      </c>
      <c r="G51" s="66" t="e">
        <f>IF(LEN($C51)&gt;0,"",#REF!&amp;CHAR(10)&amp;#REF!)</f>
        <v>#REF!</v>
      </c>
      <c r="H51" t="e">
        <f t="shared" si="0"/>
        <v>#REF!</v>
      </c>
    </row>
    <row r="52" spans="4:8" x14ac:dyDescent="0.35">
      <c r="D52" s="66" t="e">
        <f>IF(#REF!&lt;&gt;0,#REF!&amp;"-"&amp;_xlfn.SINGLE(#REF!),"")</f>
        <v>#REF!</v>
      </c>
      <c r="E52" s="66" t="e">
        <f>IF(LEN($D52)&gt;0,"",#REF!)</f>
        <v>#REF!</v>
      </c>
      <c r="F52" s="66"/>
      <c r="G52" s="66" t="e">
        <f>IF(LEN($C52)&gt;0,"",#REF!&amp;CHAR(10)&amp;#REF!)</f>
        <v>#REF!</v>
      </c>
      <c r="H52" t="e">
        <f t="shared" si="0"/>
        <v>#REF!</v>
      </c>
    </row>
    <row r="53" spans="4:8" x14ac:dyDescent="0.35">
      <c r="D53" s="66" t="e">
        <f>IF(#REF!&lt;&gt;0,#REF!&amp;"-"&amp;_xlfn.SINGLE(#REF!),"")</f>
        <v>#REF!</v>
      </c>
      <c r="E53" s="66" t="e">
        <f>IF(LEN($D53)&gt;0,"",#REF!)</f>
        <v>#REF!</v>
      </c>
      <c r="F53" s="66" t="e">
        <f>IF(LEN($C53)&gt;0,"",#REF!)</f>
        <v>#REF!</v>
      </c>
      <c r="G53" s="66" t="e">
        <f>IF(LEN($C53)&gt;0,"",#REF!&amp;CHAR(10)&amp;#REF!)</f>
        <v>#REF!</v>
      </c>
      <c r="H53" t="e">
        <f t="shared" si="0"/>
        <v>#REF!</v>
      </c>
    </row>
    <row r="54" spans="4:8" x14ac:dyDescent="0.35">
      <c r="D54" s="66" t="e">
        <f>IF(#REF!&lt;&gt;0,#REF!&amp;"-"&amp;_xlfn.SINGLE(#REF!),"")</f>
        <v>#REF!</v>
      </c>
      <c r="E54" s="66" t="e">
        <f>IF(LEN($D54)&gt;0,"",#REF!)</f>
        <v>#REF!</v>
      </c>
      <c r="F54" s="66" t="e">
        <f>IF(LEN($C54)&gt;0,"",#REF!)</f>
        <v>#REF!</v>
      </c>
      <c r="G54" s="66" t="e">
        <f>IF(LEN($C54)&gt;0,"",#REF!&amp;CHAR(10)&amp;#REF!)</f>
        <v>#REF!</v>
      </c>
      <c r="H54" t="e">
        <f t="shared" si="0"/>
        <v>#REF!</v>
      </c>
    </row>
    <row r="55" spans="4:8" x14ac:dyDescent="0.35">
      <c r="D55" s="66" t="e">
        <f>IF(#REF!&lt;&gt;0,#REF!&amp;"-"&amp;_xlfn.SINGLE(#REF!),"")</f>
        <v>#REF!</v>
      </c>
      <c r="E55" s="66" t="e">
        <f>IF(LEN($D55)&gt;0,"",#REF!)</f>
        <v>#REF!</v>
      </c>
      <c r="F55" s="66" t="e">
        <f>IF(LEN($C55)&gt;0,"",#REF!)</f>
        <v>#REF!</v>
      </c>
      <c r="G55" s="66" t="e">
        <f>IF(LEN($C55)&gt;0,"",#REF!&amp;CHAR(10)&amp;#REF!)</f>
        <v>#REF!</v>
      </c>
      <c r="H55" t="e">
        <f t="shared" si="0"/>
        <v>#REF!</v>
      </c>
    </row>
    <row r="56" spans="4:8" ht="47.5" customHeight="1" x14ac:dyDescent="0.35">
      <c r="D56" s="66" t="e">
        <f>IF(#REF!&lt;&gt;0,#REF!&amp;"-"&amp;_xlfn.SINGLE(#REF!),"")</f>
        <v>#REF!</v>
      </c>
      <c r="E56" s="66" t="e">
        <f>IF(LEN($D56)&gt;0,"",#REF!)</f>
        <v>#REF!</v>
      </c>
      <c r="F56" s="66" t="e">
        <f>IF(LEN($C56)&gt;0,"",#REF!)</f>
        <v>#REF!</v>
      </c>
      <c r="G56" s="66" t="e">
        <f>IF(LEN($C56)&gt;0,"",#REF!&amp;CHAR(10)&amp;#REF!)</f>
        <v>#REF!</v>
      </c>
      <c r="H56" t="e">
        <f t="shared" si="0"/>
        <v>#REF!</v>
      </c>
    </row>
    <row r="57" spans="4:8" ht="60" customHeight="1" x14ac:dyDescent="0.35">
      <c r="D57" s="66" t="e">
        <f>IF(#REF!&lt;&gt;0,#REF!&amp;"-"&amp;_xlfn.SINGLE(#REF!),"")</f>
        <v>#REF!</v>
      </c>
      <c r="E57" s="66" t="e">
        <f>IF(LEN($D57)&gt;0,"",#REF!)</f>
        <v>#REF!</v>
      </c>
      <c r="F57" s="66" t="e">
        <f>IF(LEN($C57)&gt;0,"",#REF!)</f>
        <v>#REF!</v>
      </c>
      <c r="G57" s="66" t="e">
        <f>IF(LEN($C57)&gt;0,"",#REF!&amp;CHAR(10)&amp;#REF!)</f>
        <v>#REF!</v>
      </c>
      <c r="H57" t="e">
        <f t="shared" si="0"/>
        <v>#REF!</v>
      </c>
    </row>
    <row r="58" spans="4:8" x14ac:dyDescent="0.35">
      <c r="D58" s="66" t="e">
        <f>IF(#REF!&lt;&gt;0,#REF!&amp;"-"&amp;_xlfn.SINGLE(#REF!),"")</f>
        <v>#REF!</v>
      </c>
      <c r="E58" s="66" t="e">
        <f>IF(LEN($D58)&gt;0,"",#REF!)</f>
        <v>#REF!</v>
      </c>
      <c r="F58" s="66" t="e">
        <f>IF(LEN($C58)&gt;0,"",#REF!)</f>
        <v>#REF!</v>
      </c>
      <c r="G58" s="66" t="e">
        <f>IF(LEN($C58)&gt;0,"",#REF!&amp;CHAR(10)&amp;#REF!)</f>
        <v>#REF!</v>
      </c>
      <c r="H58" t="e">
        <f t="shared" si="0"/>
        <v>#REF!</v>
      </c>
    </row>
    <row r="59" spans="4:8" x14ac:dyDescent="0.35">
      <c r="D59" s="66" t="e">
        <f>IF(#REF!&lt;&gt;0,#REF!&amp;"-"&amp;_xlfn.SINGLE(#REF!),"")</f>
        <v>#REF!</v>
      </c>
      <c r="E59" s="66" t="e">
        <f>IF(LEN($D59)&gt;0,"",#REF!)</f>
        <v>#REF!</v>
      </c>
      <c r="F59" s="66"/>
      <c r="G59" s="66" t="e">
        <f>IF(LEN($C59)&gt;0,"",#REF!&amp;CHAR(10)&amp;#REF!)</f>
        <v>#REF!</v>
      </c>
      <c r="H59" t="e">
        <f t="shared" si="0"/>
        <v>#REF!</v>
      </c>
    </row>
    <row r="60" spans="4:8" x14ac:dyDescent="0.35">
      <c r="D60" s="66" t="e">
        <f>IF(#REF!&lt;&gt;0,#REF!&amp;"-"&amp;_xlfn.SINGLE(#REF!),"")</f>
        <v>#REF!</v>
      </c>
      <c r="E60" s="66" t="e">
        <f>IF(LEN($D60)&gt;0,"",#REF!)</f>
        <v>#REF!</v>
      </c>
      <c r="F60" s="66" t="e">
        <f>IF(LEN($C60)&gt;0,"",#REF!)</f>
        <v>#REF!</v>
      </c>
      <c r="G60" s="66" t="e">
        <f>IF(LEN($C60)&gt;0,"",#REF!&amp;CHAR(10)&amp;#REF!)</f>
        <v>#REF!</v>
      </c>
      <c r="H60" t="e">
        <f t="shared" si="0"/>
        <v>#REF!</v>
      </c>
    </row>
    <row r="61" spans="4:8" ht="49.5" customHeight="1" x14ac:dyDescent="0.35">
      <c r="D61" s="66" t="e">
        <f>IF(#REF!&lt;&gt;0,#REF!&amp;"-"&amp;_xlfn.SINGLE(#REF!),"")</f>
        <v>#REF!</v>
      </c>
      <c r="E61" s="66" t="e">
        <f>IF(LEN($D61)&gt;0,"",#REF!)</f>
        <v>#REF!</v>
      </c>
      <c r="F61" s="66" t="e">
        <f>IF(LEN($C61)&gt;0,"",#REF!)</f>
        <v>#REF!</v>
      </c>
      <c r="G61" s="66" t="e">
        <f>IF(LEN($C61)&gt;0,"",#REF!&amp;CHAR(10)&amp;#REF!)</f>
        <v>#REF!</v>
      </c>
      <c r="H61" t="e">
        <f t="shared" si="0"/>
        <v>#REF!</v>
      </c>
    </row>
    <row r="62" spans="4:8" x14ac:dyDescent="0.35">
      <c r="D62" s="66" t="e">
        <f>IF(#REF!&lt;&gt;0,#REF!&amp;"-"&amp;_xlfn.SINGLE(#REF!),"")</f>
        <v>#REF!</v>
      </c>
      <c r="E62" s="66" t="e">
        <f>IF(LEN($D62)&gt;0,"",#REF!)</f>
        <v>#REF!</v>
      </c>
      <c r="F62" s="66" t="e">
        <f>IF(LEN($C62)&gt;0,"",#REF!)</f>
        <v>#REF!</v>
      </c>
      <c r="G62" s="66" t="e">
        <f>IF(LEN($C62)&gt;0,"",#REF!&amp;CHAR(10)&amp;#REF!)</f>
        <v>#REF!</v>
      </c>
      <c r="H62" t="e">
        <f t="shared" si="0"/>
        <v>#REF!</v>
      </c>
    </row>
    <row r="63" spans="4:8" ht="53.5" customHeight="1" x14ac:dyDescent="0.35">
      <c r="D63" s="66" t="e">
        <f>IF(#REF!&lt;&gt;0,#REF!&amp;"-"&amp;_xlfn.SINGLE(#REF!),"")</f>
        <v>#REF!</v>
      </c>
      <c r="E63" s="66" t="e">
        <f>IF(LEN($D63)&gt;0,"",#REF!)</f>
        <v>#REF!</v>
      </c>
      <c r="F63" s="66" t="e">
        <f>IF(LEN($C63)&gt;0,"",#REF!)</f>
        <v>#REF!</v>
      </c>
      <c r="G63" s="66" t="e">
        <f>IF(LEN($C63)&gt;0,"",#REF!&amp;CHAR(10)&amp;#REF!)</f>
        <v>#REF!</v>
      </c>
      <c r="H63" t="e">
        <f t="shared" si="0"/>
        <v>#REF!</v>
      </c>
    </row>
    <row r="64" spans="4:8" ht="54" customHeight="1" x14ac:dyDescent="0.35">
      <c r="D64" s="66" t="e">
        <f>IF(#REF!&lt;&gt;0,#REF!&amp;"-"&amp;_xlfn.SINGLE(#REF!),"")</f>
        <v>#REF!</v>
      </c>
      <c r="E64" s="66" t="e">
        <f>IF(LEN($D64)&gt;0,"",#REF!)</f>
        <v>#REF!</v>
      </c>
      <c r="F64" s="66" t="e">
        <f>IF(LEN($C64)&gt;0,"",#REF!)</f>
        <v>#REF!</v>
      </c>
      <c r="G64" s="66" t="e">
        <f>IF(LEN($C64)&gt;0,"",#REF!&amp;CHAR(10)&amp;#REF!)</f>
        <v>#REF!</v>
      </c>
      <c r="H64" t="e">
        <f t="shared" si="0"/>
        <v>#REF!</v>
      </c>
    </row>
    <row r="65" spans="4:8" x14ac:dyDescent="0.35">
      <c r="D65" s="66" t="e">
        <f>IF(#REF!&lt;&gt;0,#REF!&amp;"-"&amp;_xlfn.SINGLE(#REF!),"")</f>
        <v>#REF!</v>
      </c>
      <c r="E65" s="66" t="e">
        <f>IF(LEN($D65)&gt;0,"",#REF!)</f>
        <v>#REF!</v>
      </c>
      <c r="F65" s="66" t="e">
        <f>IF(LEN($C65)&gt;0,"",#REF!)</f>
        <v>#REF!</v>
      </c>
      <c r="G65" s="66" t="e">
        <f>IF(LEN($C65)&gt;0,"",#REF!&amp;CHAR(10)&amp;#REF!)</f>
        <v>#REF!</v>
      </c>
      <c r="H65" t="e">
        <f t="shared" si="0"/>
        <v>#REF!</v>
      </c>
    </row>
    <row r="66" spans="4:8" x14ac:dyDescent="0.35">
      <c r="D66" s="66" t="e">
        <f>IF(#REF!&lt;&gt;0,#REF!&amp;"-"&amp;_xlfn.SINGLE(#REF!),"")</f>
        <v>#REF!</v>
      </c>
      <c r="E66" s="66" t="e">
        <f>IF(LEN($D66)&gt;0,"",#REF!)</f>
        <v>#REF!</v>
      </c>
      <c r="F66" s="66"/>
      <c r="G66" s="66" t="e">
        <f>IF(LEN($C66)&gt;0,"",#REF!&amp;CHAR(10)&amp;#REF!)</f>
        <v>#REF!</v>
      </c>
      <c r="H66" t="e">
        <f t="shared" si="0"/>
        <v>#REF!</v>
      </c>
    </row>
    <row r="67" spans="4:8" x14ac:dyDescent="0.35">
      <c r="D67" s="66" t="e">
        <f>IF(#REF!&lt;&gt;0,#REF!&amp;"-"&amp;_xlfn.SINGLE(#REF!),"")</f>
        <v>#REF!</v>
      </c>
      <c r="E67" s="66" t="e">
        <f>IF(LEN($D67)&gt;0,"",#REF!)</f>
        <v>#REF!</v>
      </c>
      <c r="F67" s="66" t="e">
        <f>IF(LEN($C67)&gt;0,"",#REF!)</f>
        <v>#REF!</v>
      </c>
      <c r="G67" s="66" t="e">
        <f>IF(LEN($C67)&gt;0,"",#REF!&amp;CHAR(10)&amp;#REF!)</f>
        <v>#REF!</v>
      </c>
      <c r="H67" t="e">
        <f t="shared" si="0"/>
        <v>#REF!</v>
      </c>
    </row>
    <row r="68" spans="4:8" ht="47.5" customHeight="1" x14ac:dyDescent="0.35">
      <c r="D68" s="66" t="e">
        <f>IF(#REF!&lt;&gt;0,#REF!&amp;"-"&amp;_xlfn.SINGLE(#REF!),"")</f>
        <v>#REF!</v>
      </c>
      <c r="E68" s="66" t="e">
        <f>IF(LEN($D68)&gt;0,"",#REF!)</f>
        <v>#REF!</v>
      </c>
      <c r="F68" s="66" t="e">
        <f>IF(LEN($C68)&gt;0,"",#REF!)</f>
        <v>#REF!</v>
      </c>
      <c r="G68" s="66" t="e">
        <f>IF(LEN($C68)&gt;0,"",#REF!&amp;CHAR(10)&amp;#REF!)</f>
        <v>#REF!</v>
      </c>
      <c r="H68" t="e">
        <f t="shared" si="0"/>
        <v>#REF!</v>
      </c>
    </row>
    <row r="69" spans="4:8" x14ac:dyDescent="0.35">
      <c r="D69" s="66" t="e">
        <f>IF(#REF!&lt;&gt;0,#REF!&amp;"-"&amp;_xlfn.SINGLE(#REF!),"")</f>
        <v>#REF!</v>
      </c>
      <c r="E69" s="66" t="e">
        <f>IF(LEN($D69)&gt;0,"",#REF!)</f>
        <v>#REF!</v>
      </c>
      <c r="F69" s="66" t="e">
        <f>IF(LEN($C69)&gt;0,"",#REF!)</f>
        <v>#REF!</v>
      </c>
      <c r="G69" s="66" t="e">
        <f>IF(LEN($C69)&gt;0,"",#REF!&amp;CHAR(10)&amp;#REF!)</f>
        <v>#REF!</v>
      </c>
      <c r="H69" t="e">
        <f t="shared" si="0"/>
        <v>#REF!</v>
      </c>
    </row>
    <row r="70" spans="4:8" ht="75.5" customHeight="1" x14ac:dyDescent="0.35">
      <c r="D70" s="66" t="e">
        <f>IF(#REF!&lt;&gt;0,#REF!&amp;"-"&amp;_xlfn.SINGLE(#REF!),"")</f>
        <v>#REF!</v>
      </c>
      <c r="E70" s="66" t="e">
        <f>IF(LEN($D70)&gt;0,"",#REF!)</f>
        <v>#REF!</v>
      </c>
      <c r="F70" s="66" t="e">
        <f>IF(LEN($C70)&gt;0,"",#REF!)</f>
        <v>#REF!</v>
      </c>
      <c r="G70" s="66" t="e">
        <f>IF(LEN($C70)&gt;0,"",#REF!&amp;CHAR(10)&amp;#REF!)</f>
        <v>#REF!</v>
      </c>
      <c r="H70" t="e">
        <f t="shared" si="0"/>
        <v>#REF!</v>
      </c>
    </row>
    <row r="71" spans="4:8" ht="38" customHeight="1" x14ac:dyDescent="0.35">
      <c r="D71" s="66" t="e">
        <f>IF(#REF!&lt;&gt;0,#REF!&amp;"-"&amp;_xlfn.SINGLE(#REF!),"")</f>
        <v>#REF!</v>
      </c>
      <c r="E71" s="66" t="e">
        <f>IF(LEN($D71)&gt;0,"",#REF!)</f>
        <v>#REF!</v>
      </c>
      <c r="F71" s="66" t="e">
        <f>IF(LEN($C71)&gt;0,"",#REF!)</f>
        <v>#REF!</v>
      </c>
      <c r="G71" s="66" t="e">
        <f>IF(LEN($C71)&gt;0,"",#REF!&amp;CHAR(10)&amp;#REF!)</f>
        <v>#REF!</v>
      </c>
      <c r="H71" t="e">
        <f t="shared" si="0"/>
        <v>#REF!</v>
      </c>
    </row>
    <row r="72" spans="4:8" ht="25" customHeight="1" x14ac:dyDescent="0.35">
      <c r="D72" s="66" t="e">
        <f>IF(#REF!&lt;&gt;0,#REF!&amp;"-"&amp;_xlfn.SINGLE(#REF!),"")</f>
        <v>#REF!</v>
      </c>
      <c r="E72" s="66" t="e">
        <f>IF(LEN($D72)&gt;0,"",#REF!)</f>
        <v>#REF!</v>
      </c>
      <c r="F72" s="66" t="e">
        <f>IF(LEN($C72)&gt;0,"",#REF!)</f>
        <v>#REF!</v>
      </c>
      <c r="G72" s="66" t="e">
        <f>IF(LEN($C72)&gt;0,"",#REF!&amp;CHAR(10)&amp;#REF!)</f>
        <v>#REF!</v>
      </c>
      <c r="H72" t="e">
        <f t="shared" si="0"/>
        <v>#REF!</v>
      </c>
    </row>
    <row r="73" spans="4:8" ht="25" customHeight="1" x14ac:dyDescent="0.35">
      <c r="D73" s="66" t="e">
        <f>IF(#REF!&lt;&gt;0,#REF!&amp;"-"&amp;_xlfn.SINGLE(#REF!),"")</f>
        <v>#REF!</v>
      </c>
      <c r="E73" s="66" t="e">
        <f>IF(LEN($D73)&gt;0,"",#REF!)</f>
        <v>#REF!</v>
      </c>
      <c r="F73" s="66"/>
      <c r="G73" s="66" t="e">
        <f>IF(LEN($C73)&gt;0,"",#REF!&amp;CHAR(10)&amp;#REF!)</f>
        <v>#REF!</v>
      </c>
      <c r="H73" t="e">
        <f t="shared" si="0"/>
        <v>#REF!</v>
      </c>
    </row>
    <row r="74" spans="4:8" ht="25" customHeight="1" x14ac:dyDescent="0.35">
      <c r="D74" s="66" t="e">
        <f>IF(#REF!&lt;&gt;0,#REF!&amp;"-"&amp;_xlfn.SINGLE(#REF!),"")</f>
        <v>#REF!</v>
      </c>
      <c r="E74" s="66" t="e">
        <f>IF(LEN($D74)&gt;0,"",#REF!)</f>
        <v>#REF!</v>
      </c>
      <c r="F74" s="66" t="e">
        <f>IF(LEN($C74)&gt;0,"",#REF!)</f>
        <v>#REF!</v>
      </c>
      <c r="G74" s="66" t="e">
        <f>IF(LEN($C74)&gt;0,"",#REF!&amp;CHAR(10)&amp;#REF!)</f>
        <v>#REF!</v>
      </c>
      <c r="H74" t="e">
        <f t="shared" si="0"/>
        <v>#REF!</v>
      </c>
    </row>
    <row r="75" spans="4:8" ht="25" customHeight="1" x14ac:dyDescent="0.35">
      <c r="D75" s="66" t="e">
        <f>IF(#REF!&lt;&gt;0,#REF!&amp;"-"&amp;_xlfn.SINGLE(#REF!),"")</f>
        <v>#REF!</v>
      </c>
      <c r="E75" s="66" t="e">
        <f>IF(LEN($D75)&gt;0,"",#REF!)</f>
        <v>#REF!</v>
      </c>
      <c r="F75" s="66" t="e">
        <f>IF(LEN($C75)&gt;0,"",#REF!)</f>
        <v>#REF!</v>
      </c>
      <c r="G75" s="66" t="e">
        <f>IF(LEN($C75)&gt;0,"",#REF!&amp;CHAR(10)&amp;#REF!)</f>
        <v>#REF!</v>
      </c>
      <c r="H75" t="e">
        <f t="shared" si="0"/>
        <v>#REF!</v>
      </c>
    </row>
    <row r="76" spans="4:8" ht="25" customHeight="1" x14ac:dyDescent="0.35">
      <c r="D76" s="66" t="e">
        <f>IF(#REF!&lt;&gt;0,#REF!&amp;"-"&amp;_xlfn.SINGLE(#REF!),"")</f>
        <v>#REF!</v>
      </c>
      <c r="E76" s="66" t="e">
        <f>IF(LEN($D76)&gt;0,"",#REF!)</f>
        <v>#REF!</v>
      </c>
      <c r="F76" s="66" t="e">
        <f>IF(LEN($C76)&gt;0,"",#REF!)</f>
        <v>#REF!</v>
      </c>
      <c r="G76" s="66" t="e">
        <f>IF(LEN($C76)&gt;0,"",#REF!&amp;CHAR(10)&amp;#REF!)</f>
        <v>#REF!</v>
      </c>
      <c r="H76" t="e">
        <f t="shared" si="0"/>
        <v>#REF!</v>
      </c>
    </row>
    <row r="77" spans="4:8" ht="25" customHeight="1" x14ac:dyDescent="0.35">
      <c r="D77" s="66" t="e">
        <f>IF(#REF!&lt;&gt;0,#REF!&amp;"-"&amp;_xlfn.SINGLE(#REF!),"")</f>
        <v>#REF!</v>
      </c>
      <c r="E77" s="66" t="e">
        <f>IF(LEN($D77)&gt;0,"",#REF!)</f>
        <v>#REF!</v>
      </c>
      <c r="F77" s="66" t="e">
        <f>IF(LEN($C77)&gt;0,"",#REF!)</f>
        <v>#REF!</v>
      </c>
      <c r="G77" s="66" t="e">
        <f>IF(LEN($C77)&gt;0,"",#REF!&amp;CHAR(10)&amp;#REF!)</f>
        <v>#REF!</v>
      </c>
      <c r="H77" t="e">
        <f t="shared" si="0"/>
        <v>#REF!</v>
      </c>
    </row>
    <row r="78" spans="4:8" ht="54" customHeight="1" x14ac:dyDescent="0.35">
      <c r="D78" s="66" t="e">
        <f>IF(#REF!&lt;&gt;0,#REF!&amp;"-"&amp;_xlfn.SINGLE(#REF!),"")</f>
        <v>#REF!</v>
      </c>
      <c r="E78" s="66" t="e">
        <f>IF(LEN($D78)&gt;0,"",#REF!)</f>
        <v>#REF!</v>
      </c>
      <c r="F78" s="66" t="e">
        <f>IF(LEN($C78)&gt;0,"",#REF!)</f>
        <v>#REF!</v>
      </c>
      <c r="G78" s="66" t="e">
        <f>IF(LEN($C78)&gt;0,"",#REF!&amp;CHAR(10)&amp;#REF!)</f>
        <v>#REF!</v>
      </c>
      <c r="H78" t="e">
        <f t="shared" si="0"/>
        <v>#REF!</v>
      </c>
    </row>
    <row r="79" spans="4:8" x14ac:dyDescent="0.35">
      <c r="D79" s="66" t="e">
        <f>IF(#REF!&lt;&gt;0,#REF!&amp;"-"&amp;_xlfn.SINGLE(#REF!),"")</f>
        <v>#REF!</v>
      </c>
      <c r="E79" s="66" t="e">
        <f>IF(LEN($D79)&gt;0,"",#REF!)</f>
        <v>#REF!</v>
      </c>
      <c r="F79" s="66" t="e">
        <f>IF(LEN($C79)&gt;0,"",#REF!)</f>
        <v>#REF!</v>
      </c>
      <c r="G79" s="66" t="e">
        <f>IF(LEN($C79)&gt;0,"",#REF!&amp;CHAR(10)&amp;#REF!)</f>
        <v>#REF!</v>
      </c>
      <c r="H79" t="e">
        <f t="shared" si="0"/>
        <v>#REF!</v>
      </c>
    </row>
    <row r="80" spans="4:8" ht="11.5" customHeight="1" x14ac:dyDescent="0.35">
      <c r="D80" s="66" t="e">
        <f>IF(#REF!&lt;&gt;0,#REF!&amp;"-"&amp;_xlfn.SINGLE(#REF!),"")</f>
        <v>#REF!</v>
      </c>
      <c r="E80" s="66" t="e">
        <f>IF(LEN($D80)&gt;0,"",#REF!)</f>
        <v>#REF!</v>
      </c>
      <c r="F80" s="66"/>
      <c r="G80" s="66" t="e">
        <f>IF(LEN($C80)&gt;0,"",#REF!&amp;CHAR(10)&amp;#REF!)</f>
        <v>#REF!</v>
      </c>
      <c r="H80" t="e">
        <f t="shared" si="0"/>
        <v>#REF!</v>
      </c>
    </row>
    <row r="81" spans="4:8" ht="17" customHeight="1" x14ac:dyDescent="0.35">
      <c r="D81" s="66" t="e">
        <f>IF(#REF!&lt;&gt;0,#REF!&amp;"-"&amp;_xlfn.SINGLE(#REF!),"")</f>
        <v>#REF!</v>
      </c>
      <c r="E81" s="66" t="e">
        <f>IF(LEN($D81)&gt;0,"",#REF!)</f>
        <v>#REF!</v>
      </c>
      <c r="F81" s="66" t="e">
        <f>IF(LEN($C81)&gt;0,"",#REF!)</f>
        <v>#REF!</v>
      </c>
      <c r="G81" s="66" t="e">
        <f>IF(LEN($C81)&gt;0,"",#REF!&amp;CHAR(10)&amp;#REF!)</f>
        <v>#REF!</v>
      </c>
      <c r="H81" t="e">
        <f t="shared" si="0"/>
        <v>#REF!</v>
      </c>
    </row>
    <row r="82" spans="4:8" ht="15" customHeight="1" x14ac:dyDescent="0.35">
      <c r="D82" s="66" t="e">
        <f>IF(#REF!&lt;&gt;0,#REF!&amp;"-"&amp;_xlfn.SINGLE(#REF!),"")</f>
        <v>#REF!</v>
      </c>
      <c r="E82" s="66" t="e">
        <f>IF(LEN($D82)&gt;0,"",#REF!)</f>
        <v>#REF!</v>
      </c>
      <c r="F82" s="66" t="e">
        <f>IF(LEN($C82)&gt;0,"",#REF!)</f>
        <v>#REF!</v>
      </c>
      <c r="G82" s="66" t="e">
        <f>IF(LEN($C82)&gt;0,"",#REF!&amp;CHAR(10)&amp;#REF!)</f>
        <v>#REF!</v>
      </c>
      <c r="H82" t="e">
        <f t="shared" si="0"/>
        <v>#REF!</v>
      </c>
    </row>
    <row r="83" spans="4:8" ht="17" customHeight="1" x14ac:dyDescent="0.35">
      <c r="D83" s="66" t="e">
        <f>IF(#REF!&lt;&gt;0,#REF!&amp;"-"&amp;_xlfn.SINGLE(#REF!),"")</f>
        <v>#REF!</v>
      </c>
      <c r="E83" s="66" t="e">
        <f>IF(LEN($D83)&gt;0,"",#REF!)</f>
        <v>#REF!</v>
      </c>
      <c r="F83" s="66" t="e">
        <f>IF(LEN($C83)&gt;0,"",#REF!)</f>
        <v>#REF!</v>
      </c>
      <c r="G83" s="66" t="e">
        <f>IF(LEN($C83)&gt;0,"",#REF!&amp;CHAR(10)&amp;#REF!)</f>
        <v>#REF!</v>
      </c>
      <c r="H83" t="e">
        <f t="shared" si="0"/>
        <v>#REF!</v>
      </c>
    </row>
    <row r="84" spans="4:8" ht="79.5" customHeight="1" x14ac:dyDescent="0.35">
      <c r="D84" s="66" t="e">
        <f>IF(#REF!&lt;&gt;0,#REF!&amp;"-"&amp;_xlfn.SINGLE(#REF!),"")</f>
        <v>#REF!</v>
      </c>
      <c r="E84" s="66" t="e">
        <f>IF(LEN($D84)&gt;0,"",#REF!)</f>
        <v>#REF!</v>
      </c>
      <c r="F84" s="66" t="e">
        <f>IF(LEN($C84)&gt;0,"",#REF!)</f>
        <v>#REF!</v>
      </c>
      <c r="G84" s="66" t="e">
        <f>IF(LEN($C84)&gt;0,"",#REF!&amp;CHAR(10)&amp;#REF!)</f>
        <v>#REF!</v>
      </c>
      <c r="H84" t="e">
        <f t="shared" si="0"/>
        <v>#REF!</v>
      </c>
    </row>
    <row r="85" spans="4:8" ht="37.5" customHeight="1" x14ac:dyDescent="0.35">
      <c r="D85" s="66" t="e">
        <f>IF(#REF!&lt;&gt;0,#REF!&amp;"-"&amp;_xlfn.SINGLE(#REF!),"")</f>
        <v>#REF!</v>
      </c>
      <c r="E85" s="66" t="e">
        <f>IF(LEN($D85)&gt;0,"",#REF!)</f>
        <v>#REF!</v>
      </c>
      <c r="F85" s="66" t="e">
        <f>IF(LEN($C85)&gt;0,"",#REF!)</f>
        <v>#REF!</v>
      </c>
      <c r="G85" s="66" t="e">
        <f>IF(LEN($C85)&gt;0,"",#REF!&amp;CHAR(10)&amp;#REF!)</f>
        <v>#REF!</v>
      </c>
      <c r="H85" t="e">
        <f t="shared" ref="H85:H148" si="1">+LEN(G85)</f>
        <v>#REF!</v>
      </c>
    </row>
    <row r="86" spans="4:8" ht="15" customHeight="1" x14ac:dyDescent="0.35">
      <c r="D86" s="66" t="e">
        <f>IF(#REF!&lt;&gt;0,#REF!&amp;"-"&amp;_xlfn.SINGLE(#REF!),"")</f>
        <v>#REF!</v>
      </c>
      <c r="E86" s="66" t="e">
        <f>IF(LEN($D86)&gt;0,"",#REF!)</f>
        <v>#REF!</v>
      </c>
      <c r="F86" s="66" t="e">
        <f>IF(LEN($C86)&gt;0,"",#REF!)</f>
        <v>#REF!</v>
      </c>
      <c r="G86" s="66" t="e">
        <f>IF(LEN($C86)&gt;0,"",#REF!&amp;CHAR(10)&amp;#REF!)</f>
        <v>#REF!</v>
      </c>
      <c r="H86" t="e">
        <f t="shared" si="1"/>
        <v>#REF!</v>
      </c>
    </row>
    <row r="87" spans="4:8" ht="15.5" customHeight="1" x14ac:dyDescent="0.35">
      <c r="D87" s="66" t="e">
        <f>IF(#REF!&lt;&gt;0,#REF!&amp;"-"&amp;_xlfn.SINGLE(#REF!),"")</f>
        <v>#REF!</v>
      </c>
      <c r="E87" s="66" t="e">
        <f>IF(LEN($D87)&gt;0,"",#REF!)</f>
        <v>#REF!</v>
      </c>
      <c r="F87" s="66" t="e">
        <f>IF(LEN($C87)&gt;0,"",#REF!)</f>
        <v>#REF!</v>
      </c>
      <c r="G87" s="66" t="e">
        <f>IF(LEN($C87)&gt;0,"",#REF!&amp;CHAR(10)&amp;#REF!)</f>
        <v>#REF!</v>
      </c>
      <c r="H87" t="e">
        <f t="shared" si="1"/>
        <v>#REF!</v>
      </c>
    </row>
    <row r="88" spans="4:8" ht="16.5" customHeight="1" x14ac:dyDescent="0.35">
      <c r="D88" s="66" t="e">
        <f>IF(#REF!&lt;&gt;0,#REF!&amp;"-"&amp;_xlfn.SINGLE(#REF!),"")</f>
        <v>#REF!</v>
      </c>
      <c r="E88" s="66" t="e">
        <f>IF(LEN($D88)&gt;0,"",#REF!)</f>
        <v>#REF!</v>
      </c>
      <c r="F88" s="66"/>
      <c r="G88" s="66" t="e">
        <f>IF(LEN($C88)&gt;0,"",#REF!&amp;CHAR(10)&amp;#REF!)</f>
        <v>#REF!</v>
      </c>
      <c r="H88" t="e">
        <f t="shared" si="1"/>
        <v>#REF!</v>
      </c>
    </row>
    <row r="89" spans="4:8" ht="20.5" customHeight="1" x14ac:dyDescent="0.35">
      <c r="D89" s="66" t="e">
        <f>IF(#REF!&lt;&gt;0,#REF!&amp;"-"&amp;_xlfn.SINGLE(#REF!),"")</f>
        <v>#REF!</v>
      </c>
      <c r="E89" s="66" t="e">
        <f>IF(LEN($D89)&gt;0,"",#REF!)</f>
        <v>#REF!</v>
      </c>
      <c r="F89" s="66" t="e">
        <f>IF(LEN($C89)&gt;0,"",#REF!)</f>
        <v>#REF!</v>
      </c>
      <c r="G89" s="66" t="e">
        <f>IF(LEN($C89)&gt;0,"",#REF!&amp;CHAR(10)&amp;#REF!)</f>
        <v>#REF!</v>
      </c>
      <c r="H89" t="e">
        <f t="shared" si="1"/>
        <v>#REF!</v>
      </c>
    </row>
    <row r="90" spans="4:8" ht="47.5" customHeight="1" x14ac:dyDescent="0.35">
      <c r="D90" s="66" t="e">
        <f>IF(#REF!&lt;&gt;0,#REF!&amp;"-"&amp;_xlfn.SINGLE(#REF!),"")</f>
        <v>#REF!</v>
      </c>
      <c r="E90" s="66" t="e">
        <f>IF(LEN($D90)&gt;0,"",#REF!)</f>
        <v>#REF!</v>
      </c>
      <c r="F90" s="66" t="e">
        <f>IF(LEN($C90)&gt;0,"",#REF!)</f>
        <v>#REF!</v>
      </c>
      <c r="G90" s="66" t="e">
        <f>IF(LEN($C90)&gt;0,"",#REF!&amp;CHAR(10)&amp;#REF!)</f>
        <v>#REF!</v>
      </c>
      <c r="H90" t="e">
        <f t="shared" si="1"/>
        <v>#REF!</v>
      </c>
    </row>
    <row r="91" spans="4:8" x14ac:dyDescent="0.35">
      <c r="D91" s="66" t="e">
        <f>IF(#REF!&lt;&gt;0,#REF!&amp;"-"&amp;_xlfn.SINGLE(#REF!),"")</f>
        <v>#REF!</v>
      </c>
      <c r="E91" s="66" t="e">
        <f>IF(LEN($D91)&gt;0,"",#REF!)</f>
        <v>#REF!</v>
      </c>
      <c r="F91" s="66" t="e">
        <f>IF(LEN($C91)&gt;0,"",#REF!)</f>
        <v>#REF!</v>
      </c>
      <c r="G91" s="66" t="e">
        <f>IF(LEN($C91)&gt;0,"",#REF!&amp;CHAR(10)&amp;#REF!)</f>
        <v>#REF!</v>
      </c>
      <c r="H91" t="e">
        <f t="shared" si="1"/>
        <v>#REF!</v>
      </c>
    </row>
    <row r="92" spans="4:8" ht="35.5" customHeight="1" x14ac:dyDescent="0.35">
      <c r="D92" s="66" t="e">
        <f>IF(#REF!&lt;&gt;0,#REF!&amp;"-"&amp;_xlfn.SINGLE(#REF!),"")</f>
        <v>#REF!</v>
      </c>
      <c r="E92" s="66" t="e">
        <f>IF(LEN($D92)&gt;0,"",#REF!)</f>
        <v>#REF!</v>
      </c>
      <c r="F92" s="66" t="e">
        <f>IF(LEN($C92)&gt;0,"",#REF!)</f>
        <v>#REF!</v>
      </c>
      <c r="G92" s="66" t="e">
        <f>IF(LEN($C92)&gt;0,"",#REF!&amp;CHAR(10)&amp;#REF!)</f>
        <v>#REF!</v>
      </c>
      <c r="H92" t="e">
        <f t="shared" si="1"/>
        <v>#REF!</v>
      </c>
    </row>
    <row r="93" spans="4:8" x14ac:dyDescent="0.35">
      <c r="D93" s="66" t="e">
        <f>IF(#REF!&lt;&gt;0,#REF!&amp;"-"&amp;_xlfn.SINGLE(#REF!),"")</f>
        <v>#REF!</v>
      </c>
      <c r="E93" s="66" t="e">
        <f>IF(LEN($D93)&gt;0,"",#REF!)</f>
        <v>#REF!</v>
      </c>
      <c r="F93" s="66" t="e">
        <f>IF(LEN($C93)&gt;0,"",#REF!)</f>
        <v>#REF!</v>
      </c>
      <c r="G93" s="66" t="e">
        <f>IF(LEN($C93)&gt;0,"",#REF!&amp;CHAR(10)&amp;#REF!)</f>
        <v>#REF!</v>
      </c>
      <c r="H93" t="e">
        <f t="shared" si="1"/>
        <v>#REF!</v>
      </c>
    </row>
    <row r="94" spans="4:8" x14ac:dyDescent="0.35">
      <c r="D94" s="66" t="e">
        <f>IF(#REF!&lt;&gt;0,#REF!&amp;"-"&amp;_xlfn.SINGLE(#REF!),"")</f>
        <v>#REF!</v>
      </c>
      <c r="E94" s="66" t="e">
        <f>IF(LEN($D94)&gt;0,"",#REF!)</f>
        <v>#REF!</v>
      </c>
      <c r="F94" s="66" t="e">
        <f>IF(LEN($C94)&gt;0,"",#REF!)</f>
        <v>#REF!</v>
      </c>
      <c r="G94" s="66" t="e">
        <f>IF(LEN($C94)&gt;0,"",#REF!&amp;CHAR(10)&amp;#REF!)</f>
        <v>#REF!</v>
      </c>
      <c r="H94" t="e">
        <f t="shared" si="1"/>
        <v>#REF!</v>
      </c>
    </row>
    <row r="95" spans="4:8" x14ac:dyDescent="0.35">
      <c r="D95" s="66" t="e">
        <f>IF(#REF!&lt;&gt;0,#REF!&amp;"-"&amp;_xlfn.SINGLE(#REF!),"")</f>
        <v>#REF!</v>
      </c>
      <c r="E95" s="66" t="e">
        <f>IF(LEN($D95)&gt;0,"",#REF!)</f>
        <v>#REF!</v>
      </c>
      <c r="F95" s="66" t="e">
        <f>IF(LEN($C95)&gt;0,"",#REF!)</f>
        <v>#REF!</v>
      </c>
      <c r="G95" s="66" t="e">
        <f>IF(LEN($C95)&gt;0,"",#REF!&amp;CHAR(10)&amp;#REF!)</f>
        <v>#REF!</v>
      </c>
      <c r="H95" t="e">
        <f t="shared" si="1"/>
        <v>#REF!</v>
      </c>
    </row>
    <row r="96" spans="4:8" x14ac:dyDescent="0.35">
      <c r="D96" s="66" t="e">
        <f>IF(#REF!&lt;&gt;0,#REF!&amp;"-"&amp;_xlfn.SINGLE(#REF!),"")</f>
        <v>#REF!</v>
      </c>
      <c r="E96" s="66" t="e">
        <f>IF(LEN($D96)&gt;0,"",#REF!)</f>
        <v>#REF!</v>
      </c>
      <c r="F96" s="66"/>
      <c r="G96" s="66" t="e">
        <f>IF(LEN($C96)&gt;0,"",#REF!&amp;CHAR(10)&amp;#REF!)</f>
        <v>#REF!</v>
      </c>
      <c r="H96" t="e">
        <f t="shared" si="1"/>
        <v>#REF!</v>
      </c>
    </row>
    <row r="97" spans="4:8" ht="53" customHeight="1" x14ac:dyDescent="0.35">
      <c r="D97" s="66" t="e">
        <f>IF(#REF!&lt;&gt;0,#REF!&amp;"-"&amp;_xlfn.SINGLE(#REF!),"")</f>
        <v>#REF!</v>
      </c>
      <c r="E97" s="66" t="e">
        <f>IF(LEN($D97)&gt;0,"",#REF!)</f>
        <v>#REF!</v>
      </c>
      <c r="F97" s="66" t="e">
        <f>IF(LEN($C97)&gt;0,"",#REF!)</f>
        <v>#REF!</v>
      </c>
      <c r="G97" s="66" t="e">
        <f>IF(LEN($C97)&gt;0,"",#REF!&amp;CHAR(10)&amp;#REF!)</f>
        <v>#REF!</v>
      </c>
      <c r="H97" t="e">
        <f t="shared" si="1"/>
        <v>#REF!</v>
      </c>
    </row>
    <row r="98" spans="4:8" ht="51.5" customHeight="1" x14ac:dyDescent="0.35">
      <c r="D98" s="66" t="e">
        <f>IF(#REF!&lt;&gt;0,#REF!&amp;"-"&amp;_xlfn.SINGLE(#REF!),"")</f>
        <v>#REF!</v>
      </c>
      <c r="E98" s="66" t="e">
        <f>IF(LEN($D98)&gt;0,"",#REF!)</f>
        <v>#REF!</v>
      </c>
      <c r="F98" s="66" t="e">
        <f>IF(LEN($C98)&gt;0,"",#REF!)</f>
        <v>#REF!</v>
      </c>
      <c r="G98" s="66" t="e">
        <f>IF(LEN($C98)&gt;0,"",#REF!&amp;CHAR(10)&amp;#REF!)</f>
        <v>#REF!</v>
      </c>
      <c r="H98" t="e">
        <f t="shared" si="1"/>
        <v>#REF!</v>
      </c>
    </row>
    <row r="99" spans="4:8" x14ac:dyDescent="0.35">
      <c r="D99" s="66" t="e">
        <f>IF(#REF!&lt;&gt;0,#REF!&amp;"-"&amp;_xlfn.SINGLE(#REF!),"")</f>
        <v>#REF!</v>
      </c>
      <c r="E99" s="66" t="e">
        <f>IF(LEN($D99)&gt;0,"",#REF!)</f>
        <v>#REF!</v>
      </c>
      <c r="F99" s="66" t="e">
        <f>IF(LEN($C99)&gt;0,"",#REF!)</f>
        <v>#REF!</v>
      </c>
      <c r="G99" s="66" t="e">
        <f>IF(LEN($C99)&gt;0,"",#REF!&amp;CHAR(10)&amp;#REF!)</f>
        <v>#REF!</v>
      </c>
      <c r="H99" t="e">
        <f t="shared" si="1"/>
        <v>#REF!</v>
      </c>
    </row>
    <row r="100" spans="4:8" ht="35.5" customHeight="1" x14ac:dyDescent="0.35">
      <c r="D100" s="66" t="e">
        <f>IF(#REF!&lt;&gt;0,#REF!&amp;"-"&amp;_xlfn.SINGLE(#REF!),"")</f>
        <v>#REF!</v>
      </c>
      <c r="E100" s="66" t="e">
        <f>IF(LEN($D100)&gt;0,"",#REF!)</f>
        <v>#REF!</v>
      </c>
      <c r="F100" s="66" t="e">
        <f>IF(LEN($C100)&gt;0,"",#REF!)</f>
        <v>#REF!</v>
      </c>
      <c r="G100" s="66" t="e">
        <f>IF(LEN($C100)&gt;0,"",#REF!&amp;CHAR(10)&amp;#REF!)</f>
        <v>#REF!</v>
      </c>
      <c r="H100" t="e">
        <f t="shared" si="1"/>
        <v>#REF!</v>
      </c>
    </row>
    <row r="101" spans="4:8" x14ac:dyDescent="0.35">
      <c r="D101" s="66" t="e">
        <f>IF(#REF!&lt;&gt;0,#REF!&amp;"-"&amp;_xlfn.SINGLE(#REF!),"")</f>
        <v>#REF!</v>
      </c>
      <c r="E101" s="66" t="e">
        <f>IF(LEN($D101)&gt;0,"",#REF!)</f>
        <v>#REF!</v>
      </c>
      <c r="F101" s="66" t="e">
        <f>IF(LEN($C101)&gt;0,"",#REF!)</f>
        <v>#REF!</v>
      </c>
      <c r="G101" s="66" t="e">
        <f>IF(LEN($C101)&gt;0,"",#REF!&amp;CHAR(10)&amp;#REF!)</f>
        <v>#REF!</v>
      </c>
      <c r="H101" t="e">
        <f t="shared" si="1"/>
        <v>#REF!</v>
      </c>
    </row>
    <row r="102" spans="4:8" x14ac:dyDescent="0.35">
      <c r="D102" s="66" t="e">
        <f>IF(#REF!&lt;&gt;0,#REF!&amp;"-"&amp;_xlfn.SINGLE(#REF!),"")</f>
        <v>#REF!</v>
      </c>
      <c r="E102" s="66" t="e">
        <f>IF(LEN($D102)&gt;0,"",#REF!)</f>
        <v>#REF!</v>
      </c>
      <c r="F102" s="66" t="e">
        <f>IF(LEN($C102)&gt;0,"",#REF!)</f>
        <v>#REF!</v>
      </c>
      <c r="G102" s="66" t="e">
        <f>IF(LEN($C102)&gt;0,"",#REF!&amp;CHAR(10)&amp;#REF!)</f>
        <v>#REF!</v>
      </c>
      <c r="H102" t="e">
        <f t="shared" si="1"/>
        <v>#REF!</v>
      </c>
    </row>
    <row r="103" spans="4:8" x14ac:dyDescent="0.35">
      <c r="D103" s="66" t="e">
        <f>IF(#REF!&lt;&gt;0,#REF!&amp;"-"&amp;_xlfn.SINGLE(#REF!),"")</f>
        <v>#REF!</v>
      </c>
      <c r="E103" s="66" t="e">
        <f>IF(LEN($D103)&gt;0,"",#REF!)</f>
        <v>#REF!</v>
      </c>
      <c r="F103" s="66" t="e">
        <f>IF(LEN($C103)&gt;0,"",#REF!)</f>
        <v>#REF!</v>
      </c>
      <c r="G103" s="66" t="e">
        <f>IF(LEN($C103)&gt;0,"",#REF!&amp;CHAR(10)&amp;#REF!)</f>
        <v>#REF!</v>
      </c>
      <c r="H103" t="e">
        <f t="shared" si="1"/>
        <v>#REF!</v>
      </c>
    </row>
    <row r="104" spans="4:8" x14ac:dyDescent="0.35">
      <c r="D104" s="66" t="e">
        <f>IF(#REF!&lt;&gt;0,#REF!&amp;"-"&amp;_xlfn.SINGLE(#REF!),"")</f>
        <v>#REF!</v>
      </c>
      <c r="E104" s="66" t="e">
        <f>IF(LEN($D104)&gt;0,"",#REF!)</f>
        <v>#REF!</v>
      </c>
      <c r="F104" s="66"/>
      <c r="G104" s="66" t="e">
        <f>IF(LEN($C104)&gt;0,"",#REF!&amp;CHAR(10)&amp;#REF!)</f>
        <v>#REF!</v>
      </c>
      <c r="H104" t="e">
        <f t="shared" si="1"/>
        <v>#REF!</v>
      </c>
    </row>
    <row r="105" spans="4:8" x14ac:dyDescent="0.35">
      <c r="D105" s="66" t="e">
        <f>IF(#REF!&lt;&gt;0,#REF!&amp;"-"&amp;_xlfn.SINGLE(#REF!),"")</f>
        <v>#REF!</v>
      </c>
      <c r="E105" s="66" t="e">
        <f>IF(LEN($D105)&gt;0,"",#REF!)</f>
        <v>#REF!</v>
      </c>
      <c r="F105" s="66" t="e">
        <f>IF(LEN($C105)&gt;0,"",#REF!)</f>
        <v>#REF!</v>
      </c>
      <c r="G105" s="66" t="e">
        <f>IF(LEN($C105)&gt;0,"",#REF!&amp;CHAR(10)&amp;#REF!)</f>
        <v>#REF!</v>
      </c>
      <c r="H105" t="e">
        <f t="shared" si="1"/>
        <v>#REF!</v>
      </c>
    </row>
    <row r="106" spans="4:8" x14ac:dyDescent="0.35">
      <c r="D106" s="66" t="e">
        <f>IF(#REF!&lt;&gt;0,#REF!&amp;"-"&amp;_xlfn.SINGLE(#REF!),"")</f>
        <v>#REF!</v>
      </c>
      <c r="E106" s="66" t="e">
        <f>IF(LEN($D106)&gt;0,"",#REF!)</f>
        <v>#REF!</v>
      </c>
      <c r="F106" s="66" t="e">
        <f>IF(LEN($C106)&gt;0,"",#REF!)</f>
        <v>#REF!</v>
      </c>
      <c r="G106" s="66" t="e">
        <f>IF(LEN($C106)&gt;0,"",#REF!&amp;CHAR(10)&amp;#REF!)</f>
        <v>#REF!</v>
      </c>
      <c r="H106" t="e">
        <f t="shared" si="1"/>
        <v>#REF!</v>
      </c>
    </row>
    <row r="107" spans="4:8" x14ac:dyDescent="0.35">
      <c r="D107" s="66" t="e">
        <f>IF(#REF!&lt;&gt;0,#REF!&amp;"-"&amp;_xlfn.SINGLE(#REF!),"")</f>
        <v>#REF!</v>
      </c>
      <c r="E107" s="66" t="e">
        <f>IF(LEN($D107)&gt;0,"",#REF!)</f>
        <v>#REF!</v>
      </c>
      <c r="F107" s="66" t="e">
        <f>IF(LEN($C107)&gt;0,"",#REF!)</f>
        <v>#REF!</v>
      </c>
      <c r="G107" s="66" t="e">
        <f>IF(LEN($C107)&gt;0,"",#REF!&amp;CHAR(10)&amp;#REF!)</f>
        <v>#REF!</v>
      </c>
      <c r="H107" t="e">
        <f t="shared" si="1"/>
        <v>#REF!</v>
      </c>
    </row>
    <row r="108" spans="4:8" ht="63.5" customHeight="1" x14ac:dyDescent="0.35">
      <c r="D108" s="66" t="e">
        <f>IF(#REF!&lt;&gt;0,#REF!&amp;"-"&amp;_xlfn.SINGLE(#REF!),"")</f>
        <v>#REF!</v>
      </c>
      <c r="E108" s="66" t="e">
        <f>IF(LEN($D108)&gt;0,"",#REF!)</f>
        <v>#REF!</v>
      </c>
      <c r="F108" s="66" t="e">
        <f>IF(LEN($C108)&gt;0,"",#REF!)</f>
        <v>#REF!</v>
      </c>
      <c r="G108" s="66" t="e">
        <f>IF(LEN($C108)&gt;0,"",#REF!&amp;CHAR(10)&amp;#REF!)</f>
        <v>#REF!</v>
      </c>
      <c r="H108" t="e">
        <f t="shared" si="1"/>
        <v>#REF!</v>
      </c>
    </row>
    <row r="109" spans="4:8" x14ac:dyDescent="0.35">
      <c r="D109" s="66" t="e">
        <f>IF(#REF!&lt;&gt;0,#REF!&amp;"-"&amp;_xlfn.SINGLE(#REF!),"")</f>
        <v>#REF!</v>
      </c>
      <c r="E109" s="66" t="e">
        <f>IF(LEN($D109)&gt;0,"",#REF!)</f>
        <v>#REF!</v>
      </c>
      <c r="F109" s="66" t="e">
        <f>IF(LEN($C109)&gt;0,"",#REF!)</f>
        <v>#REF!</v>
      </c>
      <c r="G109" s="66" t="e">
        <f>IF(LEN($C109)&gt;0,"",#REF!&amp;CHAR(10)&amp;#REF!)</f>
        <v>#REF!</v>
      </c>
      <c r="H109" t="e">
        <f t="shared" si="1"/>
        <v>#REF!</v>
      </c>
    </row>
    <row r="110" spans="4:8" x14ac:dyDescent="0.35">
      <c r="D110" s="66" t="e">
        <f>IF(#REF!&lt;&gt;0,#REF!&amp;"-"&amp;_xlfn.SINGLE(#REF!),"")</f>
        <v>#REF!</v>
      </c>
      <c r="E110" s="66" t="e">
        <f>IF(LEN($D110)&gt;0,"",#REF!)</f>
        <v>#REF!</v>
      </c>
      <c r="F110" s="66" t="e">
        <f>IF(LEN($C110)&gt;0,"",#REF!)</f>
        <v>#REF!</v>
      </c>
      <c r="G110" s="66" t="e">
        <f>IF(LEN($C110)&gt;0,"",#REF!&amp;CHAR(10)&amp;#REF!)</f>
        <v>#REF!</v>
      </c>
      <c r="H110" t="e">
        <f t="shared" si="1"/>
        <v>#REF!</v>
      </c>
    </row>
    <row r="111" spans="4:8" x14ac:dyDescent="0.35">
      <c r="D111" s="66" t="e">
        <f>IF(#REF!&lt;&gt;0,#REF!&amp;"-"&amp;_xlfn.SINGLE(#REF!),"")</f>
        <v>#REF!</v>
      </c>
      <c r="E111" s="66" t="e">
        <f>IF(LEN($D111)&gt;0,"",#REF!)</f>
        <v>#REF!</v>
      </c>
      <c r="F111" s="66" t="e">
        <f>IF(LEN($C111)&gt;0,"",#REF!)</f>
        <v>#REF!</v>
      </c>
      <c r="G111" s="66" t="e">
        <f>IF(LEN($C111)&gt;0,"",#REF!&amp;CHAR(10)&amp;#REF!)</f>
        <v>#REF!</v>
      </c>
      <c r="H111" t="e">
        <f t="shared" si="1"/>
        <v>#REF!</v>
      </c>
    </row>
    <row r="112" spans="4:8" x14ac:dyDescent="0.35">
      <c r="D112" s="66" t="e">
        <f>IF(#REF!&lt;&gt;0,#REF!&amp;"-"&amp;_xlfn.SINGLE(#REF!),"")</f>
        <v>#REF!</v>
      </c>
      <c r="E112" s="66" t="e">
        <f>IF(LEN($D112)&gt;0,"",#REF!)</f>
        <v>#REF!</v>
      </c>
      <c r="F112" s="66"/>
      <c r="G112" s="66" t="e">
        <f>IF(LEN($C112)&gt;0,"",#REF!&amp;CHAR(10)&amp;#REF!)</f>
        <v>#REF!</v>
      </c>
      <c r="H112" t="e">
        <f t="shared" si="1"/>
        <v>#REF!</v>
      </c>
    </row>
    <row r="113" spans="4:8" x14ac:dyDescent="0.35">
      <c r="D113" s="66" t="e">
        <f>IF(#REF!&lt;&gt;0,#REF!&amp;"-"&amp;_xlfn.SINGLE(#REF!),"")</f>
        <v>#REF!</v>
      </c>
      <c r="E113" s="66" t="e">
        <f>IF(LEN($D113)&gt;0,"",#REF!)</f>
        <v>#REF!</v>
      </c>
      <c r="F113" s="66" t="e">
        <f>IF(LEN($C113)&gt;0,"",#REF!)</f>
        <v>#REF!</v>
      </c>
      <c r="G113" s="66" t="e">
        <f>IF(LEN($C113)&gt;0,"",#REF!&amp;CHAR(10)&amp;#REF!)</f>
        <v>#REF!</v>
      </c>
      <c r="H113" t="e">
        <f t="shared" si="1"/>
        <v>#REF!</v>
      </c>
    </row>
    <row r="114" spans="4:8" x14ac:dyDescent="0.35">
      <c r="D114" s="66" t="e">
        <f>IF(#REF!&lt;&gt;0,#REF!&amp;"-"&amp;_xlfn.SINGLE(#REF!),"")</f>
        <v>#REF!</v>
      </c>
      <c r="E114" s="66" t="e">
        <f>IF(LEN($D114)&gt;0,"",#REF!)</f>
        <v>#REF!</v>
      </c>
      <c r="F114" s="66" t="e">
        <f>IF(LEN($C114)&gt;0,"",#REF!)</f>
        <v>#REF!</v>
      </c>
      <c r="G114" s="66" t="e">
        <f>IF(LEN($C114)&gt;0,"",#REF!&amp;CHAR(10)&amp;#REF!)</f>
        <v>#REF!</v>
      </c>
      <c r="H114" t="e">
        <f t="shared" si="1"/>
        <v>#REF!</v>
      </c>
    </row>
    <row r="115" spans="4:8" x14ac:dyDescent="0.35">
      <c r="D115" s="66" t="e">
        <f>IF(#REF!&lt;&gt;0,#REF!&amp;"-"&amp;_xlfn.SINGLE(#REF!),"")</f>
        <v>#REF!</v>
      </c>
      <c r="E115" s="66" t="e">
        <f>IF(LEN($D115)&gt;0,"",#REF!)</f>
        <v>#REF!</v>
      </c>
      <c r="F115" s="66" t="e">
        <f>IF(LEN($C115)&gt;0,"",#REF!)</f>
        <v>#REF!</v>
      </c>
      <c r="G115" s="66" t="e">
        <f>IF(LEN($C115)&gt;0,"",#REF!&amp;CHAR(10)&amp;#REF!)</f>
        <v>#REF!</v>
      </c>
      <c r="H115" t="e">
        <f t="shared" si="1"/>
        <v>#REF!</v>
      </c>
    </row>
    <row r="116" spans="4:8" ht="55.5" customHeight="1" x14ac:dyDescent="0.35">
      <c r="D116" s="66" t="e">
        <f>IF(#REF!&lt;&gt;0,#REF!&amp;"-"&amp;_xlfn.SINGLE(#REF!),"")</f>
        <v>#REF!</v>
      </c>
      <c r="E116" s="66" t="e">
        <f>IF(LEN($D116)&gt;0,"",#REF!)</f>
        <v>#REF!</v>
      </c>
      <c r="F116" s="66" t="e">
        <f>IF(LEN($C116)&gt;0,"",#REF!)</f>
        <v>#REF!</v>
      </c>
      <c r="G116" s="66" t="e">
        <f>IF(LEN($C116)&gt;0,"",#REF!&amp;CHAR(10)&amp;#REF!)</f>
        <v>#REF!</v>
      </c>
      <c r="H116" t="e">
        <f t="shared" si="1"/>
        <v>#REF!</v>
      </c>
    </row>
    <row r="117" spans="4:8" x14ac:dyDescent="0.35">
      <c r="D117" s="66" t="e">
        <f>IF(#REF!&lt;&gt;0,#REF!&amp;"-"&amp;_xlfn.SINGLE(#REF!),"")</f>
        <v>#REF!</v>
      </c>
      <c r="E117" s="66" t="e">
        <f>IF(LEN($D117)&gt;0,"",#REF!)</f>
        <v>#REF!</v>
      </c>
      <c r="F117" s="66" t="e">
        <f>IF(LEN($C117)&gt;0,"",#REF!)</f>
        <v>#REF!</v>
      </c>
      <c r="G117" s="66" t="e">
        <f>IF(LEN($C117)&gt;0,"",#REF!&amp;CHAR(10)&amp;#REF!)</f>
        <v>#REF!</v>
      </c>
      <c r="H117" t="e">
        <f t="shared" si="1"/>
        <v>#REF!</v>
      </c>
    </row>
    <row r="118" spans="4:8" x14ac:dyDescent="0.35">
      <c r="D118" s="66" t="e">
        <f>IF(#REF!&lt;&gt;0,#REF!&amp;"-"&amp;_xlfn.SINGLE(#REF!),"")</f>
        <v>#REF!</v>
      </c>
      <c r="E118" s="66" t="e">
        <f>IF(LEN($D118)&gt;0,"",#REF!)</f>
        <v>#REF!</v>
      </c>
      <c r="F118" s="66" t="e">
        <f>IF(LEN($C118)&gt;0,"",#REF!)</f>
        <v>#REF!</v>
      </c>
      <c r="G118" s="66" t="e">
        <f>IF(LEN($C118)&gt;0,"",#REF!&amp;CHAR(10)&amp;#REF!)</f>
        <v>#REF!</v>
      </c>
      <c r="H118" t="e">
        <f t="shared" si="1"/>
        <v>#REF!</v>
      </c>
    </row>
    <row r="119" spans="4:8" x14ac:dyDescent="0.35">
      <c r="D119" s="66" t="e">
        <f>IF(#REF!&lt;&gt;0,#REF!&amp;"-"&amp;_xlfn.SINGLE(#REF!),"")</f>
        <v>#REF!</v>
      </c>
      <c r="E119" s="66" t="e">
        <f>IF(LEN($D119)&gt;0,"",#REF!)</f>
        <v>#REF!</v>
      </c>
      <c r="F119" s="66"/>
      <c r="G119" s="66" t="e">
        <f>IF(LEN($C119)&gt;0,"",#REF!&amp;CHAR(10)&amp;#REF!)</f>
        <v>#REF!</v>
      </c>
      <c r="H119" t="e">
        <f t="shared" si="1"/>
        <v>#REF!</v>
      </c>
    </row>
    <row r="120" spans="4:8" x14ac:dyDescent="0.35">
      <c r="D120" s="66" t="e">
        <f>IF(#REF!&lt;&gt;0,#REF!&amp;"-"&amp;_xlfn.SINGLE(#REF!),"")</f>
        <v>#REF!</v>
      </c>
      <c r="E120" s="66" t="e">
        <f>IF(LEN($D120)&gt;0,"",#REF!)</f>
        <v>#REF!</v>
      </c>
      <c r="F120" s="66" t="e">
        <f>IF(LEN($C120)&gt;0,"",#REF!)</f>
        <v>#REF!</v>
      </c>
      <c r="G120" s="66" t="e">
        <f>IF(LEN($C120)&gt;0,"",#REF!&amp;CHAR(10)&amp;#REF!)</f>
        <v>#REF!</v>
      </c>
      <c r="H120" t="e">
        <f t="shared" si="1"/>
        <v>#REF!</v>
      </c>
    </row>
    <row r="121" spans="4:8" x14ac:dyDescent="0.35">
      <c r="D121" s="66" t="e">
        <f>IF(#REF!&lt;&gt;0,#REF!&amp;"-"&amp;_xlfn.SINGLE(#REF!),"")</f>
        <v>#REF!</v>
      </c>
      <c r="E121" s="66" t="e">
        <f>IF(LEN($D121)&gt;0,"",#REF!)</f>
        <v>#REF!</v>
      </c>
      <c r="F121" s="66" t="e">
        <f>IF(LEN($C121)&gt;0,"",#REF!)</f>
        <v>#REF!</v>
      </c>
      <c r="G121" s="66" t="e">
        <f>IF(LEN($C121)&gt;0,"",#REF!&amp;CHAR(10)&amp;#REF!)</f>
        <v>#REF!</v>
      </c>
      <c r="H121" t="e">
        <f t="shared" si="1"/>
        <v>#REF!</v>
      </c>
    </row>
    <row r="122" spans="4:8" x14ac:dyDescent="0.35">
      <c r="D122" s="66" t="e">
        <f>IF(#REF!&lt;&gt;0,#REF!&amp;"-"&amp;_xlfn.SINGLE(#REF!),"")</f>
        <v>#REF!</v>
      </c>
      <c r="E122" s="66" t="e">
        <f>IF(LEN($D122)&gt;0,"",#REF!)</f>
        <v>#REF!</v>
      </c>
      <c r="F122" s="66" t="e">
        <f>IF(LEN($C122)&gt;0,"",#REF!)</f>
        <v>#REF!</v>
      </c>
      <c r="G122" s="66" t="e">
        <f>IF(LEN($C122)&gt;0,"",#REF!&amp;CHAR(10)&amp;#REF!)</f>
        <v>#REF!</v>
      </c>
      <c r="H122" t="e">
        <f t="shared" si="1"/>
        <v>#REF!</v>
      </c>
    </row>
    <row r="123" spans="4:8" ht="39.5" customHeight="1" x14ac:dyDescent="0.35">
      <c r="D123" s="66" t="e">
        <f>IF(#REF!&lt;&gt;0,#REF!&amp;"-"&amp;_xlfn.SINGLE(#REF!),"")</f>
        <v>#REF!</v>
      </c>
      <c r="E123" s="66" t="e">
        <f>IF(LEN($D123)&gt;0,"",#REF!)</f>
        <v>#REF!</v>
      </c>
      <c r="F123" s="66" t="e">
        <f>IF(LEN($C123)&gt;0,"",#REF!)</f>
        <v>#REF!</v>
      </c>
      <c r="G123" s="66" t="e">
        <f>IF(LEN($C123)&gt;0,"",#REF!&amp;CHAR(10)&amp;#REF!)</f>
        <v>#REF!</v>
      </c>
      <c r="H123" t="e">
        <f t="shared" si="1"/>
        <v>#REF!</v>
      </c>
    </row>
    <row r="124" spans="4:8" x14ac:dyDescent="0.35">
      <c r="D124" s="66" t="e">
        <f>IF(#REF!&lt;&gt;0,#REF!&amp;"-"&amp;_xlfn.SINGLE(#REF!),"")</f>
        <v>#REF!</v>
      </c>
      <c r="E124" s="66" t="e">
        <f>IF(LEN($D124)&gt;0,"",#REF!)</f>
        <v>#REF!</v>
      </c>
      <c r="F124" s="66" t="e">
        <f>IF(LEN($C124)&gt;0,"",#REF!)</f>
        <v>#REF!</v>
      </c>
      <c r="G124" s="66" t="e">
        <f>IF(LEN($C124)&gt;0,"",#REF!&amp;CHAR(10)&amp;#REF!)</f>
        <v>#REF!</v>
      </c>
      <c r="H124" t="e">
        <f t="shared" si="1"/>
        <v>#REF!</v>
      </c>
    </row>
    <row r="125" spans="4:8" x14ac:dyDescent="0.35">
      <c r="D125" s="66" t="e">
        <f>IF(#REF!&lt;&gt;0,#REF!&amp;"-"&amp;_xlfn.SINGLE(#REF!),"")</f>
        <v>#REF!</v>
      </c>
      <c r="E125" s="66" t="e">
        <f>IF(LEN($D125)&gt;0,"",#REF!)</f>
        <v>#REF!</v>
      </c>
      <c r="F125" s="66" t="e">
        <f>IF(LEN($C125)&gt;0,"",#REF!)</f>
        <v>#REF!</v>
      </c>
      <c r="G125" s="66" t="e">
        <f>IF(LEN($C125)&gt;0,"",#REF!&amp;CHAR(10)&amp;#REF!)</f>
        <v>#REF!</v>
      </c>
      <c r="H125" t="e">
        <f t="shared" si="1"/>
        <v>#REF!</v>
      </c>
    </row>
    <row r="126" spans="4:8" x14ac:dyDescent="0.35">
      <c r="D126" s="66" t="e">
        <f>IF(#REF!&lt;&gt;0,#REF!&amp;"-"&amp;_xlfn.SINGLE(#REF!),"")</f>
        <v>#REF!</v>
      </c>
      <c r="E126" s="66" t="e">
        <f>IF(LEN($D126)&gt;0,"",#REF!)</f>
        <v>#REF!</v>
      </c>
      <c r="F126" s="66" t="e">
        <f>IF(LEN($C126)&gt;0,"",#REF!)</f>
        <v>#REF!</v>
      </c>
      <c r="G126" s="66" t="e">
        <f>IF(LEN($C126)&gt;0,"",#REF!&amp;CHAR(10)&amp;#REF!)</f>
        <v>#REF!</v>
      </c>
      <c r="H126" t="e">
        <f t="shared" si="1"/>
        <v>#REF!</v>
      </c>
    </row>
    <row r="127" spans="4:8" x14ac:dyDescent="0.35">
      <c r="D127" s="66" t="e">
        <f>IF(#REF!&lt;&gt;0,#REF!&amp;"-"&amp;_xlfn.SINGLE(#REF!),"")</f>
        <v>#REF!</v>
      </c>
      <c r="E127" s="66" t="e">
        <f>IF(LEN($D127)&gt;0,"",#REF!)</f>
        <v>#REF!</v>
      </c>
      <c r="F127" s="66"/>
      <c r="G127" s="66" t="e">
        <f>IF(LEN($C127)&gt;0,"",#REF!&amp;CHAR(10)&amp;#REF!)</f>
        <v>#REF!</v>
      </c>
      <c r="H127" t="e">
        <f t="shared" si="1"/>
        <v>#REF!</v>
      </c>
    </row>
    <row r="128" spans="4:8" x14ac:dyDescent="0.35">
      <c r="D128" s="66" t="e">
        <f>IF(#REF!&lt;&gt;0,#REF!&amp;"-"&amp;_xlfn.SINGLE(#REF!),"")</f>
        <v>#REF!</v>
      </c>
      <c r="E128" s="66" t="e">
        <f>IF(LEN($D128)&gt;0,"",#REF!)</f>
        <v>#REF!</v>
      </c>
      <c r="F128" s="66" t="e">
        <f>IF(LEN($C128)&gt;0,"",#REF!)</f>
        <v>#REF!</v>
      </c>
      <c r="G128" s="66" t="e">
        <f>IF(LEN($C128)&gt;0,"",#REF!&amp;CHAR(10)&amp;#REF!)</f>
        <v>#REF!</v>
      </c>
      <c r="H128" t="e">
        <f t="shared" si="1"/>
        <v>#REF!</v>
      </c>
    </row>
    <row r="129" spans="4:8" ht="14" customHeight="1" x14ac:dyDescent="0.35">
      <c r="D129" s="66" t="e">
        <f>IF(#REF!&lt;&gt;0,#REF!&amp;"-"&amp;_xlfn.SINGLE(#REF!),"")</f>
        <v>#REF!</v>
      </c>
      <c r="E129" s="66" t="e">
        <f>IF(LEN($D129)&gt;0,"",#REF!)</f>
        <v>#REF!</v>
      </c>
      <c r="F129" s="66" t="e">
        <f>IF(LEN($C129)&gt;0,"",#REF!)</f>
        <v>#REF!</v>
      </c>
      <c r="G129" s="66" t="e">
        <f>IF(LEN($C129)&gt;0,"",#REF!&amp;CHAR(10)&amp;#REF!)</f>
        <v>#REF!</v>
      </c>
      <c r="H129" t="e">
        <f t="shared" si="1"/>
        <v>#REF!</v>
      </c>
    </row>
    <row r="130" spans="4:8" x14ac:dyDescent="0.35">
      <c r="D130" s="66" t="e">
        <f>IF(#REF!&lt;&gt;0,#REF!&amp;"-"&amp;_xlfn.SINGLE(#REF!),"")</f>
        <v>#REF!</v>
      </c>
      <c r="E130" s="66" t="e">
        <f>IF(LEN($D130)&gt;0,"",#REF!)</f>
        <v>#REF!</v>
      </c>
      <c r="F130" s="66" t="e">
        <f>IF(LEN($C130)&gt;0,"",#REF!)</f>
        <v>#REF!</v>
      </c>
      <c r="G130" s="66" t="e">
        <f>IF(LEN($C130)&gt;0,"",#REF!&amp;CHAR(10)&amp;#REF!)</f>
        <v>#REF!</v>
      </c>
      <c r="H130" t="e">
        <f t="shared" si="1"/>
        <v>#REF!</v>
      </c>
    </row>
    <row r="131" spans="4:8" ht="17.5" customHeight="1" x14ac:dyDescent="0.35">
      <c r="D131" s="66" t="e">
        <f>IF(#REF!&lt;&gt;0,#REF!&amp;"-"&amp;_xlfn.SINGLE(#REF!),"")</f>
        <v>#REF!</v>
      </c>
      <c r="E131" s="66" t="e">
        <f>IF(LEN($D131)&gt;0,"",#REF!)</f>
        <v>#REF!</v>
      </c>
      <c r="F131" s="66" t="e">
        <f>IF(LEN($C131)&gt;0,"",#REF!)</f>
        <v>#REF!</v>
      </c>
      <c r="G131" s="66" t="e">
        <f>IF(LEN($C131)&gt;0,"",#REF!&amp;CHAR(10)&amp;#REF!)</f>
        <v>#REF!</v>
      </c>
      <c r="H131" t="e">
        <f t="shared" si="1"/>
        <v>#REF!</v>
      </c>
    </row>
    <row r="132" spans="4:8" x14ac:dyDescent="0.35">
      <c r="D132" s="66" t="e">
        <f>IF(#REF!&lt;&gt;0,#REF!&amp;"-"&amp;_xlfn.SINGLE(#REF!),"")</f>
        <v>#REF!</v>
      </c>
      <c r="E132" s="66" t="e">
        <f>IF(LEN($D132)&gt;0,"",#REF!)</f>
        <v>#REF!</v>
      </c>
      <c r="F132" s="66" t="e">
        <f>IF(LEN($C132)&gt;0,"",#REF!)</f>
        <v>#REF!</v>
      </c>
      <c r="G132" s="66" t="e">
        <f>IF(LEN($C132)&gt;0,"",#REF!&amp;CHAR(10)&amp;#REF!)</f>
        <v>#REF!</v>
      </c>
      <c r="H132" t="e">
        <f t="shared" si="1"/>
        <v>#REF!</v>
      </c>
    </row>
    <row r="133" spans="4:8" x14ac:dyDescent="0.35">
      <c r="D133" s="66" t="e">
        <f>IF(#REF!&lt;&gt;0,#REF!&amp;"-"&amp;_xlfn.SINGLE(#REF!),"")</f>
        <v>#REF!</v>
      </c>
      <c r="E133" s="66" t="e">
        <f>IF(LEN($D133)&gt;0,"",#REF!)</f>
        <v>#REF!</v>
      </c>
      <c r="F133" s="66" t="e">
        <f>IF(LEN($C133)&gt;0,"",#REF!)</f>
        <v>#REF!</v>
      </c>
      <c r="G133" s="66" t="e">
        <f>IF(LEN($C133)&gt;0,"",#REF!&amp;CHAR(10)&amp;#REF!)</f>
        <v>#REF!</v>
      </c>
      <c r="H133" t="e">
        <f t="shared" si="1"/>
        <v>#REF!</v>
      </c>
    </row>
    <row r="134" spans="4:8" x14ac:dyDescent="0.35">
      <c r="D134" s="66" t="e">
        <f>IF(#REF!&lt;&gt;0,#REF!&amp;"-"&amp;_xlfn.SINGLE(#REF!),"")</f>
        <v>#REF!</v>
      </c>
      <c r="E134" s="66" t="e">
        <f>IF(LEN($D134)&gt;0,"",#REF!)</f>
        <v>#REF!</v>
      </c>
      <c r="F134" s="66" t="e">
        <f>IF(LEN($C134)&gt;0,"",#REF!)</f>
        <v>#REF!</v>
      </c>
      <c r="G134" s="66" t="e">
        <f>IF(LEN($C134)&gt;0,"",#REF!&amp;CHAR(10)&amp;#REF!)</f>
        <v>#REF!</v>
      </c>
      <c r="H134" t="e">
        <f t="shared" si="1"/>
        <v>#REF!</v>
      </c>
    </row>
    <row r="135" spans="4:8" x14ac:dyDescent="0.35">
      <c r="D135" s="66" t="e">
        <f>IF(#REF!&lt;&gt;0,#REF!&amp;"-"&amp;_xlfn.SINGLE(#REF!),"")</f>
        <v>#REF!</v>
      </c>
      <c r="E135" s="66" t="e">
        <f>IF(LEN($D135)&gt;0,"",#REF!)</f>
        <v>#REF!</v>
      </c>
      <c r="F135" s="66"/>
      <c r="G135" s="66" t="e">
        <f>IF(LEN($C135)&gt;0,"",#REF!&amp;CHAR(10)&amp;#REF!)</f>
        <v>#REF!</v>
      </c>
      <c r="H135" t="e">
        <f t="shared" si="1"/>
        <v>#REF!</v>
      </c>
    </row>
    <row r="136" spans="4:8" x14ac:dyDescent="0.35">
      <c r="D136" s="66" t="e">
        <f>IF(#REF!&lt;&gt;0,#REF!&amp;"-"&amp;_xlfn.SINGLE(#REF!),"")</f>
        <v>#REF!</v>
      </c>
      <c r="E136" s="66" t="e">
        <f>IF(LEN($D136)&gt;0,"",#REF!)</f>
        <v>#REF!</v>
      </c>
      <c r="F136" s="66" t="e">
        <f>IF(LEN($C136)&gt;0,"",#REF!)</f>
        <v>#REF!</v>
      </c>
      <c r="G136" s="66" t="e">
        <f>IF(LEN($C136)&gt;0,"",#REF!&amp;CHAR(10)&amp;#REF!)</f>
        <v>#REF!</v>
      </c>
      <c r="H136" t="e">
        <f t="shared" si="1"/>
        <v>#REF!</v>
      </c>
    </row>
    <row r="137" spans="4:8" ht="11" customHeight="1" x14ac:dyDescent="0.35">
      <c r="D137" s="66" t="e">
        <f>IF(#REF!&lt;&gt;0,#REF!&amp;"-"&amp;_xlfn.SINGLE(#REF!),"")</f>
        <v>#REF!</v>
      </c>
      <c r="E137" s="66" t="e">
        <f>IF(LEN($D137)&gt;0,"",#REF!)</f>
        <v>#REF!</v>
      </c>
      <c r="F137" s="66" t="e">
        <f>IF(LEN($C137)&gt;0,"",#REF!)</f>
        <v>#REF!</v>
      </c>
      <c r="G137" s="66" t="e">
        <f>IF(LEN($C137)&gt;0,"",#REF!&amp;CHAR(10)&amp;#REF!)</f>
        <v>#REF!</v>
      </c>
      <c r="H137" t="e">
        <f t="shared" si="1"/>
        <v>#REF!</v>
      </c>
    </row>
    <row r="138" spans="4:8" x14ac:dyDescent="0.35">
      <c r="D138" s="66" t="e">
        <f>IF(#REF!&lt;&gt;0,#REF!&amp;"-"&amp;_xlfn.SINGLE(#REF!),"")</f>
        <v>#REF!</v>
      </c>
      <c r="E138" s="66" t="e">
        <f>IF(LEN($D138)&gt;0,"",#REF!)</f>
        <v>#REF!</v>
      </c>
      <c r="F138" s="66" t="e">
        <f>IF(LEN($C138)&gt;0,"",#REF!)</f>
        <v>#REF!</v>
      </c>
      <c r="G138" s="66" t="e">
        <f>IF(LEN($C138)&gt;0,"",#REF!&amp;CHAR(10)&amp;#REF!)</f>
        <v>#REF!</v>
      </c>
      <c r="H138" t="e">
        <f t="shared" si="1"/>
        <v>#REF!</v>
      </c>
    </row>
    <row r="139" spans="4:8" ht="14.5" customHeight="1" x14ac:dyDescent="0.35">
      <c r="D139" s="66" t="e">
        <f>IF(#REF!&lt;&gt;0,#REF!&amp;"-"&amp;_xlfn.SINGLE(#REF!),"")</f>
        <v>#REF!</v>
      </c>
      <c r="E139" s="66" t="e">
        <f>IF(LEN($D139)&gt;0,"",#REF!)</f>
        <v>#REF!</v>
      </c>
      <c r="F139" s="66" t="e">
        <f>IF(LEN($C139)&gt;0,"",#REF!)</f>
        <v>#REF!</v>
      </c>
      <c r="G139" s="66" t="e">
        <f>IF(LEN($C139)&gt;0,"",#REF!&amp;CHAR(10)&amp;#REF!)</f>
        <v>#REF!</v>
      </c>
      <c r="H139" t="e">
        <f t="shared" si="1"/>
        <v>#REF!</v>
      </c>
    </row>
    <row r="140" spans="4:8" x14ac:dyDescent="0.35">
      <c r="D140" s="66" t="e">
        <f>IF(#REF!&lt;&gt;0,#REF!&amp;"-"&amp;_xlfn.SINGLE(#REF!),"")</f>
        <v>#REF!</v>
      </c>
      <c r="E140" s="66" t="e">
        <f>IF(LEN($D140)&gt;0,"",#REF!)</f>
        <v>#REF!</v>
      </c>
      <c r="F140" s="66" t="e">
        <f>IF(LEN($C140)&gt;0,"",#REF!)</f>
        <v>#REF!</v>
      </c>
      <c r="G140" s="66" t="e">
        <f>IF(LEN($C140)&gt;0,"",#REF!&amp;CHAR(10)&amp;#REF!)</f>
        <v>#REF!</v>
      </c>
      <c r="H140" t="e">
        <f t="shared" si="1"/>
        <v>#REF!</v>
      </c>
    </row>
    <row r="141" spans="4:8" x14ac:dyDescent="0.35">
      <c r="D141" s="66" t="e">
        <f>IF(#REF!&lt;&gt;0,#REF!&amp;"-"&amp;_xlfn.SINGLE(#REF!),"")</f>
        <v>#REF!</v>
      </c>
      <c r="E141" s="66" t="e">
        <f>IF(LEN($D141)&gt;0,"",#REF!)</f>
        <v>#REF!</v>
      </c>
      <c r="F141" s="66" t="e">
        <f>IF(LEN($C141)&gt;0,"",#REF!)</f>
        <v>#REF!</v>
      </c>
      <c r="G141" s="66" t="e">
        <f>IF(LEN($C141)&gt;0,"",#REF!&amp;CHAR(10)&amp;#REF!)</f>
        <v>#REF!</v>
      </c>
      <c r="H141" t="e">
        <f t="shared" si="1"/>
        <v>#REF!</v>
      </c>
    </row>
    <row r="142" spans="4:8" ht="18" customHeight="1" x14ac:dyDescent="0.35">
      <c r="D142" s="66" t="e">
        <f>IF(#REF!&lt;&gt;0,#REF!&amp;"-"&amp;_xlfn.SINGLE(#REF!),"")</f>
        <v>#REF!</v>
      </c>
      <c r="E142" s="66" t="e">
        <f>IF(LEN($D142)&gt;0,"",#REF!)</f>
        <v>#REF!</v>
      </c>
      <c r="F142" s="66" t="e">
        <f>IF(LEN($C142)&gt;0,"",#REF!)</f>
        <v>#REF!</v>
      </c>
      <c r="G142" s="66" t="e">
        <f>IF(LEN($C142)&gt;0,"",#REF!&amp;CHAR(10)&amp;#REF!)</f>
        <v>#REF!</v>
      </c>
      <c r="H142" t="e">
        <f t="shared" si="1"/>
        <v>#REF!</v>
      </c>
    </row>
    <row r="143" spans="4:8" ht="19.5" customHeight="1" x14ac:dyDescent="0.35">
      <c r="D143" s="66" t="e">
        <f>IF(#REF!&lt;&gt;0,#REF!&amp;"-"&amp;_xlfn.SINGLE(#REF!),"")</f>
        <v>#REF!</v>
      </c>
      <c r="E143" s="66" t="e">
        <f>IF(LEN($D143)&gt;0,"",#REF!)</f>
        <v>#REF!</v>
      </c>
      <c r="F143" s="66"/>
      <c r="G143" s="66" t="e">
        <f>IF(LEN($C143)&gt;0,"",#REF!&amp;CHAR(10)&amp;#REF!)</f>
        <v>#REF!</v>
      </c>
      <c r="H143" t="e">
        <f t="shared" si="1"/>
        <v>#REF!</v>
      </c>
    </row>
    <row r="144" spans="4:8" ht="15" customHeight="1" x14ac:dyDescent="0.35">
      <c r="D144" s="66" t="e">
        <f>IF(#REF!&lt;&gt;0,#REF!&amp;"-"&amp;_xlfn.SINGLE(#REF!),"")</f>
        <v>#REF!</v>
      </c>
      <c r="E144" s="66" t="e">
        <f>IF(LEN($D144)&gt;0,"",#REF!)</f>
        <v>#REF!</v>
      </c>
      <c r="F144" s="66" t="e">
        <f>IF(LEN($C144)&gt;0,"",#REF!)</f>
        <v>#REF!</v>
      </c>
      <c r="G144" s="66" t="e">
        <f>IF(LEN($C144)&gt;0,"",#REF!&amp;CHAR(10)&amp;#REF!)</f>
        <v>#REF!</v>
      </c>
      <c r="H144" t="e">
        <f t="shared" si="1"/>
        <v>#REF!</v>
      </c>
    </row>
    <row r="145" spans="4:8" ht="13.5" customHeight="1" x14ac:dyDescent="0.35">
      <c r="D145" s="66" t="e">
        <f>IF(#REF!&lt;&gt;0,#REF!&amp;"-"&amp;_xlfn.SINGLE(#REF!),"")</f>
        <v>#REF!</v>
      </c>
      <c r="E145" s="66" t="e">
        <f>IF(LEN($D145)&gt;0,"",#REF!)</f>
        <v>#REF!</v>
      </c>
      <c r="F145" s="66" t="e">
        <f>IF(LEN($C145)&gt;0,"",#REF!)</f>
        <v>#REF!</v>
      </c>
      <c r="G145" s="66" t="e">
        <f>IF(LEN($C145)&gt;0,"",#REF!&amp;CHAR(10)&amp;#REF!)</f>
        <v>#REF!</v>
      </c>
      <c r="H145" t="e">
        <f t="shared" si="1"/>
        <v>#REF!</v>
      </c>
    </row>
    <row r="146" spans="4:8" ht="14.5" customHeight="1" x14ac:dyDescent="0.35">
      <c r="D146" s="66" t="e">
        <f>IF(#REF!&lt;&gt;0,#REF!&amp;"-"&amp;_xlfn.SINGLE(#REF!),"")</f>
        <v>#REF!</v>
      </c>
      <c r="E146" s="66" t="e">
        <f>IF(LEN($D146)&gt;0,"",#REF!)</f>
        <v>#REF!</v>
      </c>
      <c r="F146" s="66" t="e">
        <f>IF(LEN($C146)&gt;0,"",#REF!)</f>
        <v>#REF!</v>
      </c>
      <c r="G146" s="66" t="e">
        <f>IF(LEN($C146)&gt;0,"",#REF!&amp;CHAR(10)&amp;#REF!)</f>
        <v>#REF!</v>
      </c>
      <c r="H146" t="e">
        <f t="shared" si="1"/>
        <v>#REF!</v>
      </c>
    </row>
    <row r="147" spans="4:8" ht="15" customHeight="1" x14ac:dyDescent="0.35">
      <c r="D147" s="66" t="e">
        <f>IF(#REF!&lt;&gt;0,#REF!&amp;"-"&amp;_xlfn.SINGLE(#REF!),"")</f>
        <v>#REF!</v>
      </c>
      <c r="E147" s="66" t="e">
        <f>IF(LEN($D147)&gt;0,"",#REF!)</f>
        <v>#REF!</v>
      </c>
      <c r="F147" s="66" t="e">
        <f>IF(LEN($C147)&gt;0,"",#REF!)</f>
        <v>#REF!</v>
      </c>
      <c r="G147" s="66" t="e">
        <f>IF(LEN($C147)&gt;0,"",#REF!&amp;CHAR(10)&amp;#REF!)</f>
        <v>#REF!</v>
      </c>
      <c r="H147" t="e">
        <f t="shared" si="1"/>
        <v>#REF!</v>
      </c>
    </row>
    <row r="148" spans="4:8" x14ac:dyDescent="0.35">
      <c r="D148" s="66" t="e">
        <f>IF(#REF!&lt;&gt;0,#REF!&amp;"-"&amp;_xlfn.SINGLE(#REF!),"")</f>
        <v>#REF!</v>
      </c>
      <c r="E148" s="66" t="e">
        <f>IF(LEN($D148)&gt;0,"",#REF!)</f>
        <v>#REF!</v>
      </c>
      <c r="F148" s="66" t="e">
        <f>IF(LEN($C148)&gt;0,"",#REF!)</f>
        <v>#REF!</v>
      </c>
      <c r="G148" s="66" t="e">
        <f>IF(LEN($C148)&gt;0,"",#REF!&amp;CHAR(10)&amp;#REF!)</f>
        <v>#REF!</v>
      </c>
      <c r="H148" t="e">
        <f t="shared" si="1"/>
        <v>#REF!</v>
      </c>
    </row>
    <row r="149" spans="4:8" x14ac:dyDescent="0.35">
      <c r="D149" s="66" t="e">
        <f>IF(#REF!&lt;&gt;0,#REF!&amp;"-"&amp;_xlfn.SINGLE(#REF!),"")</f>
        <v>#REF!</v>
      </c>
      <c r="E149" s="66" t="e">
        <f>IF(LEN($D149)&gt;0,"",#REF!)</f>
        <v>#REF!</v>
      </c>
      <c r="F149" s="66" t="e">
        <f>IF(LEN($C149)&gt;0,"",#REF!)</f>
        <v>#REF!</v>
      </c>
      <c r="G149" s="66" t="e">
        <f>IF(LEN($C149)&gt;0,"",#REF!&amp;CHAR(10)&amp;#REF!)</f>
        <v>#REF!</v>
      </c>
      <c r="H149" t="e">
        <f t="shared" ref="H149:H212" si="2">+LEN(G149)</f>
        <v>#REF!</v>
      </c>
    </row>
    <row r="150" spans="4:8" x14ac:dyDescent="0.35">
      <c r="D150" s="66" t="e">
        <f>IF(#REF!&lt;&gt;0,#REF!&amp;"-"&amp;_xlfn.SINGLE(#REF!),"")</f>
        <v>#REF!</v>
      </c>
      <c r="E150" s="66" t="e">
        <f>IF(LEN($D150)&gt;0,"",#REF!)</f>
        <v>#REF!</v>
      </c>
      <c r="F150" s="66" t="e">
        <f>IF(LEN($C150)&gt;0,"",#REF!)</f>
        <v>#REF!</v>
      </c>
      <c r="G150" s="66" t="e">
        <f>IF(LEN($C150)&gt;0,"",#REF!&amp;CHAR(10)&amp;#REF!)</f>
        <v>#REF!</v>
      </c>
      <c r="H150" t="e">
        <f t="shared" si="2"/>
        <v>#REF!</v>
      </c>
    </row>
    <row r="151" spans="4:8" x14ac:dyDescent="0.35">
      <c r="D151" s="66" t="e">
        <f>IF(#REF!&lt;&gt;0,#REF!&amp;"-"&amp;_xlfn.SINGLE(#REF!),"")</f>
        <v>#REF!</v>
      </c>
      <c r="E151" s="66" t="e">
        <f>IF(LEN($D151)&gt;0,"",#REF!)</f>
        <v>#REF!</v>
      </c>
      <c r="F151" s="66"/>
      <c r="G151" s="66" t="e">
        <f>IF(LEN($C151)&gt;0,"",#REF!&amp;CHAR(10)&amp;#REF!)</f>
        <v>#REF!</v>
      </c>
      <c r="H151" t="e">
        <f t="shared" si="2"/>
        <v>#REF!</v>
      </c>
    </row>
    <row r="152" spans="4:8" x14ac:dyDescent="0.35">
      <c r="D152" s="66" t="e">
        <f>IF(#REF!&lt;&gt;0,#REF!&amp;"-"&amp;_xlfn.SINGLE(#REF!),"")</f>
        <v>#REF!</v>
      </c>
      <c r="E152" s="66" t="e">
        <f>IF(LEN($D152)&gt;0,"",#REF!)</f>
        <v>#REF!</v>
      </c>
      <c r="F152" s="66" t="e">
        <f>IF(LEN($C152)&gt;0,"",#REF!)</f>
        <v>#REF!</v>
      </c>
      <c r="G152" s="66" t="e">
        <f>IF(LEN($C152)&gt;0,"",#REF!&amp;CHAR(10)&amp;#REF!)</f>
        <v>#REF!</v>
      </c>
      <c r="H152" t="e">
        <f t="shared" si="2"/>
        <v>#REF!</v>
      </c>
    </row>
    <row r="153" spans="4:8" x14ac:dyDescent="0.35">
      <c r="D153" s="66" t="e">
        <f>IF(#REF!&lt;&gt;0,#REF!&amp;"-"&amp;_xlfn.SINGLE(#REF!),"")</f>
        <v>#REF!</v>
      </c>
      <c r="E153" s="66" t="e">
        <f>IF(LEN($D153)&gt;0,"",#REF!)</f>
        <v>#REF!</v>
      </c>
      <c r="F153" s="66" t="e">
        <f>IF(LEN($C153)&gt;0,"",#REF!)</f>
        <v>#REF!</v>
      </c>
      <c r="G153" s="66" t="e">
        <f>IF(LEN($C153)&gt;0,"",#REF!&amp;CHAR(10)&amp;#REF!)</f>
        <v>#REF!</v>
      </c>
      <c r="H153" t="e">
        <f t="shared" si="2"/>
        <v>#REF!</v>
      </c>
    </row>
    <row r="154" spans="4:8" x14ac:dyDescent="0.35">
      <c r="D154" s="66" t="e">
        <f>IF(#REF!&lt;&gt;0,#REF!&amp;"-"&amp;_xlfn.SINGLE(#REF!),"")</f>
        <v>#REF!</v>
      </c>
      <c r="E154" s="66" t="e">
        <f>IF(LEN($D154)&gt;0,"",#REF!)</f>
        <v>#REF!</v>
      </c>
      <c r="F154" s="66" t="e">
        <f>IF(LEN($C154)&gt;0,"",#REF!)</f>
        <v>#REF!</v>
      </c>
      <c r="G154" s="66" t="e">
        <f>IF(LEN($C154)&gt;0,"",#REF!&amp;CHAR(10)&amp;#REF!)</f>
        <v>#REF!</v>
      </c>
      <c r="H154" t="e">
        <f t="shared" si="2"/>
        <v>#REF!</v>
      </c>
    </row>
    <row r="155" spans="4:8" x14ac:dyDescent="0.35">
      <c r="D155" s="66" t="e">
        <f>IF(#REF!&lt;&gt;0,#REF!&amp;"-"&amp;_xlfn.SINGLE(#REF!),"")</f>
        <v>#REF!</v>
      </c>
      <c r="E155" s="66" t="e">
        <f>IF(LEN($D155)&gt;0,"",#REF!)</f>
        <v>#REF!</v>
      </c>
      <c r="F155" s="66"/>
      <c r="G155" s="66" t="e">
        <f>IF(LEN($C155)&gt;0,"",#REF!&amp;CHAR(10)&amp;#REF!)</f>
        <v>#REF!</v>
      </c>
      <c r="H155" t="e">
        <f t="shared" si="2"/>
        <v>#REF!</v>
      </c>
    </row>
    <row r="156" spans="4:8" x14ac:dyDescent="0.35">
      <c r="D156" s="66" t="e">
        <f>IF(#REF!&lt;&gt;0,#REF!&amp;"-"&amp;_xlfn.SINGLE(#REF!),"")</f>
        <v>#REF!</v>
      </c>
      <c r="E156" s="66" t="e">
        <f>IF(LEN($D156)&gt;0,"",#REF!)</f>
        <v>#REF!</v>
      </c>
      <c r="F156" s="66" t="e">
        <f>IF(LEN($C156)&gt;0,"",#REF!)</f>
        <v>#REF!</v>
      </c>
      <c r="G156" s="66" t="e">
        <f>IF(LEN($C156)&gt;0,"",#REF!&amp;CHAR(10)&amp;#REF!)</f>
        <v>#REF!</v>
      </c>
      <c r="H156" t="e">
        <f t="shared" si="2"/>
        <v>#REF!</v>
      </c>
    </row>
    <row r="157" spans="4:8" x14ac:dyDescent="0.35">
      <c r="D157" s="66" t="e">
        <f>IF(#REF!&lt;&gt;0,#REF!&amp;"-"&amp;_xlfn.SINGLE(#REF!),"")</f>
        <v>#REF!</v>
      </c>
      <c r="E157" s="66" t="e">
        <f>IF(LEN($D157)&gt;0,"",#REF!)</f>
        <v>#REF!</v>
      </c>
      <c r="F157" s="66" t="e">
        <f>IF(LEN($C157)&gt;0,"",#REF!)</f>
        <v>#REF!</v>
      </c>
      <c r="G157" s="66" t="e">
        <f>IF(LEN($C157)&gt;0,"",#REF!&amp;CHAR(10)&amp;#REF!)</f>
        <v>#REF!</v>
      </c>
      <c r="H157" t="e">
        <f t="shared" si="2"/>
        <v>#REF!</v>
      </c>
    </row>
    <row r="158" spans="4:8" x14ac:dyDescent="0.35">
      <c r="D158" s="66" t="e">
        <f>IF(#REF!&lt;&gt;0,#REF!&amp;"-"&amp;_xlfn.SINGLE(#REF!),"")</f>
        <v>#REF!</v>
      </c>
      <c r="E158" s="66" t="e">
        <f>IF(LEN($D158)&gt;0,"",#REF!)</f>
        <v>#REF!</v>
      </c>
      <c r="F158" s="66" t="e">
        <f>IF(LEN($C158)&gt;0,"",#REF!)</f>
        <v>#REF!</v>
      </c>
      <c r="G158" s="66" t="e">
        <f>IF(LEN($C158)&gt;0,"",#REF!&amp;CHAR(10)&amp;#REF!)</f>
        <v>#REF!</v>
      </c>
      <c r="H158" t="e">
        <f t="shared" si="2"/>
        <v>#REF!</v>
      </c>
    </row>
    <row r="159" spans="4:8" x14ac:dyDescent="0.35">
      <c r="D159" s="66" t="e">
        <f>IF(#REF!&lt;&gt;0,#REF!&amp;"-"&amp;_xlfn.SINGLE(#REF!),"")</f>
        <v>#REF!</v>
      </c>
      <c r="E159" s="66" t="e">
        <f>IF(LEN($D159)&gt;0,"",#REF!)</f>
        <v>#REF!</v>
      </c>
      <c r="F159" s="66"/>
      <c r="G159" s="66" t="e">
        <f>IF(LEN($C159)&gt;0,"",#REF!&amp;CHAR(10)&amp;#REF!)</f>
        <v>#REF!</v>
      </c>
      <c r="H159" t="e">
        <f t="shared" si="2"/>
        <v>#REF!</v>
      </c>
    </row>
    <row r="160" spans="4:8" x14ac:dyDescent="0.35">
      <c r="D160" s="66" t="e">
        <f>IF(#REF!&lt;&gt;0,#REF!&amp;"-"&amp;_xlfn.SINGLE(#REF!),"")</f>
        <v>#REF!</v>
      </c>
      <c r="E160" s="66" t="e">
        <f>IF(LEN($D160)&gt;0,"",#REF!)</f>
        <v>#REF!</v>
      </c>
      <c r="F160" s="66" t="e">
        <f>IF(LEN($C160)&gt;0,"",#REF!)</f>
        <v>#REF!</v>
      </c>
      <c r="G160" s="66" t="e">
        <f>IF(LEN($C160)&gt;0,"",#REF!&amp;CHAR(10)&amp;#REF!)</f>
        <v>#REF!</v>
      </c>
      <c r="H160" t="e">
        <f t="shared" si="2"/>
        <v>#REF!</v>
      </c>
    </row>
    <row r="161" spans="4:8" x14ac:dyDescent="0.35">
      <c r="D161" s="66" t="e">
        <f>IF(#REF!&lt;&gt;0,#REF!&amp;"-"&amp;_xlfn.SINGLE(#REF!),"")</f>
        <v>#REF!</v>
      </c>
      <c r="E161" s="66" t="e">
        <f>IF(LEN($D161)&gt;0,"",#REF!)</f>
        <v>#REF!</v>
      </c>
      <c r="F161" s="66" t="e">
        <f>IF(LEN($C161)&gt;0,"",#REF!)</f>
        <v>#REF!</v>
      </c>
      <c r="G161" s="66" t="e">
        <f>IF(LEN($C161)&gt;0,"",#REF!&amp;CHAR(10)&amp;#REF!)</f>
        <v>#REF!</v>
      </c>
      <c r="H161" t="e">
        <f t="shared" si="2"/>
        <v>#REF!</v>
      </c>
    </row>
    <row r="162" spans="4:8" x14ac:dyDescent="0.35">
      <c r="D162" s="66" t="e">
        <f>IF(#REF!&lt;&gt;0,#REF!&amp;"-"&amp;_xlfn.SINGLE(#REF!),"")</f>
        <v>#REF!</v>
      </c>
      <c r="E162" s="66" t="e">
        <f>IF(LEN($D162)&gt;0,"",#REF!)</f>
        <v>#REF!</v>
      </c>
      <c r="F162" s="66"/>
      <c r="G162" s="66" t="e">
        <f>IF(LEN($C162)&gt;0,"",#REF!&amp;CHAR(10)&amp;#REF!)</f>
        <v>#REF!</v>
      </c>
      <c r="H162" t="e">
        <f t="shared" si="2"/>
        <v>#REF!</v>
      </c>
    </row>
    <row r="163" spans="4:8" x14ac:dyDescent="0.35">
      <c r="D163" s="66" t="e">
        <f>IF(#REF!&lt;&gt;0,#REF!&amp;"-"&amp;_xlfn.SINGLE(#REF!),"")</f>
        <v>#REF!</v>
      </c>
      <c r="E163" s="66" t="e">
        <f>IF(LEN($D163)&gt;0,"",#REF!)</f>
        <v>#REF!</v>
      </c>
      <c r="F163" s="66" t="e">
        <f>IF(LEN($C163)&gt;0,"",#REF!)</f>
        <v>#REF!</v>
      </c>
      <c r="G163" s="66" t="e">
        <f>IF(LEN($C163)&gt;0,"",#REF!&amp;CHAR(10)&amp;#REF!)</f>
        <v>#REF!</v>
      </c>
      <c r="H163" t="e">
        <f t="shared" si="2"/>
        <v>#REF!</v>
      </c>
    </row>
    <row r="164" spans="4:8" x14ac:dyDescent="0.35">
      <c r="D164" s="66" t="e">
        <f>IF(#REF!&lt;&gt;0,#REF!&amp;"-"&amp;_xlfn.SINGLE(#REF!),"")</f>
        <v>#REF!</v>
      </c>
      <c r="E164" s="66" t="e">
        <f>IF(LEN($D164)&gt;0,"",#REF!)</f>
        <v>#REF!</v>
      </c>
      <c r="F164" s="66" t="e">
        <f>IF(LEN($C164)&gt;0,"",#REF!)</f>
        <v>#REF!</v>
      </c>
      <c r="G164" s="66" t="e">
        <f>IF(LEN($C164)&gt;0,"",#REF!&amp;CHAR(10)&amp;#REF!)</f>
        <v>#REF!</v>
      </c>
      <c r="H164" t="e">
        <f t="shared" si="2"/>
        <v>#REF!</v>
      </c>
    </row>
    <row r="165" spans="4:8" x14ac:dyDescent="0.35">
      <c r="D165" s="66" t="e">
        <f>IF(#REF!&lt;&gt;0,#REF!&amp;"-"&amp;_xlfn.SINGLE(#REF!),"")</f>
        <v>#REF!</v>
      </c>
      <c r="E165" s="66" t="e">
        <f>IF(LEN($D165)&gt;0,"",#REF!)</f>
        <v>#REF!</v>
      </c>
      <c r="F165" s="66"/>
      <c r="G165" s="66" t="e">
        <f>IF(LEN($C165)&gt;0,"",#REF!&amp;CHAR(10)&amp;#REF!)</f>
        <v>#REF!</v>
      </c>
      <c r="H165" t="e">
        <f t="shared" si="2"/>
        <v>#REF!</v>
      </c>
    </row>
    <row r="166" spans="4:8" x14ac:dyDescent="0.35">
      <c r="D166" s="66" t="e">
        <f>IF(#REF!&lt;&gt;0,#REF!&amp;"-"&amp;_xlfn.SINGLE(#REF!),"")</f>
        <v>#REF!</v>
      </c>
      <c r="E166" s="66" t="e">
        <f>IF(LEN($D166)&gt;0,"",#REF!)</f>
        <v>#REF!</v>
      </c>
      <c r="F166" s="66" t="e">
        <f>IF(LEN($C166)&gt;0,"",#REF!)</f>
        <v>#REF!</v>
      </c>
      <c r="G166" s="66" t="e">
        <f>IF(LEN($C166)&gt;0,"",#REF!&amp;CHAR(10)&amp;#REF!)</f>
        <v>#REF!</v>
      </c>
      <c r="H166" t="e">
        <f t="shared" si="2"/>
        <v>#REF!</v>
      </c>
    </row>
    <row r="167" spans="4:8" x14ac:dyDescent="0.35">
      <c r="D167" s="66" t="e">
        <f>IF(#REF!&lt;&gt;0,#REF!&amp;"-"&amp;_xlfn.SINGLE(#REF!),"")</f>
        <v>#REF!</v>
      </c>
      <c r="E167" s="66" t="e">
        <f>IF(LEN($D167)&gt;0,"",#REF!)</f>
        <v>#REF!</v>
      </c>
      <c r="F167" s="66" t="e">
        <f>IF(LEN($C167)&gt;0,"",#REF!)</f>
        <v>#REF!</v>
      </c>
      <c r="G167" s="66" t="e">
        <f>IF(LEN($C167)&gt;0,"",#REF!&amp;CHAR(10)&amp;#REF!)</f>
        <v>#REF!</v>
      </c>
      <c r="H167" t="e">
        <f t="shared" si="2"/>
        <v>#REF!</v>
      </c>
    </row>
    <row r="168" spans="4:8" x14ac:dyDescent="0.35">
      <c r="D168" s="66" t="e">
        <f>IF(#REF!&lt;&gt;0,#REF!&amp;"-"&amp;_xlfn.SINGLE(#REF!),"")</f>
        <v>#REF!</v>
      </c>
      <c r="E168" s="66" t="e">
        <f>IF(LEN($D168)&gt;0,"",#REF!)</f>
        <v>#REF!</v>
      </c>
      <c r="F168" s="66"/>
      <c r="G168" s="66" t="e">
        <f>IF(LEN($C168)&gt;0,"",#REF!&amp;CHAR(10)&amp;#REF!)</f>
        <v>#REF!</v>
      </c>
      <c r="H168" t="e">
        <f t="shared" si="2"/>
        <v>#REF!</v>
      </c>
    </row>
    <row r="169" spans="4:8" x14ac:dyDescent="0.35">
      <c r="D169" s="66" t="e">
        <f>IF(#REF!&lt;&gt;0,#REF!&amp;"-"&amp;_xlfn.SINGLE(#REF!),"")</f>
        <v>#REF!</v>
      </c>
      <c r="E169" s="66" t="e">
        <f>IF(LEN($D169)&gt;0,"",#REF!)</f>
        <v>#REF!</v>
      </c>
      <c r="F169" s="66" t="e">
        <f>IF(LEN($C169)&gt;0,"",#REF!)</f>
        <v>#REF!</v>
      </c>
      <c r="G169" s="66" t="e">
        <f>IF(LEN($C169)&gt;0,"",#REF!&amp;CHAR(10)&amp;#REF!)</f>
        <v>#REF!</v>
      </c>
      <c r="H169" t="e">
        <f t="shared" si="2"/>
        <v>#REF!</v>
      </c>
    </row>
    <row r="170" spans="4:8" x14ac:dyDescent="0.35">
      <c r="D170" s="66" t="e">
        <f>IF(#REF!&lt;&gt;0,#REF!&amp;"-"&amp;_xlfn.SINGLE(#REF!),"")</f>
        <v>#REF!</v>
      </c>
      <c r="E170" s="66" t="e">
        <f>IF(LEN($D170)&gt;0,"",#REF!)</f>
        <v>#REF!</v>
      </c>
      <c r="F170" s="66" t="e">
        <f>IF(LEN($C170)&gt;0,"",#REF!)</f>
        <v>#REF!</v>
      </c>
      <c r="G170" s="66" t="e">
        <f>IF(LEN($C170)&gt;0,"",#REF!&amp;CHAR(10)&amp;#REF!)</f>
        <v>#REF!</v>
      </c>
      <c r="H170" t="e">
        <f t="shared" si="2"/>
        <v>#REF!</v>
      </c>
    </row>
    <row r="171" spans="4:8" x14ac:dyDescent="0.35">
      <c r="D171" s="66" t="e">
        <f>IF(#REF!&lt;&gt;0,#REF!&amp;"-"&amp;_xlfn.SINGLE(#REF!),"")</f>
        <v>#REF!</v>
      </c>
      <c r="E171" s="66" t="e">
        <f>IF(LEN($D171)&gt;0,"",#REF!)</f>
        <v>#REF!</v>
      </c>
      <c r="F171" s="66" t="e">
        <f>IF(LEN($C171)&gt;0,"",#REF!)</f>
        <v>#REF!</v>
      </c>
      <c r="G171" s="66" t="e">
        <f>IF(LEN($C171)&gt;0,"",#REF!&amp;CHAR(10)&amp;#REF!)</f>
        <v>#REF!</v>
      </c>
      <c r="H171" t="e">
        <f t="shared" si="2"/>
        <v>#REF!</v>
      </c>
    </row>
    <row r="172" spans="4:8" x14ac:dyDescent="0.35">
      <c r="D172" s="66" t="e">
        <f>IF(#REF!&lt;&gt;0,#REF!&amp;"-"&amp;_xlfn.SINGLE(#REF!),"")</f>
        <v>#REF!</v>
      </c>
      <c r="E172" s="66" t="e">
        <f>IF(LEN($D172)&gt;0,"",#REF!)</f>
        <v>#REF!</v>
      </c>
      <c r="F172" s="66"/>
      <c r="G172" s="66" t="e">
        <f>IF(LEN($C172)&gt;0,"",#REF!&amp;CHAR(10)&amp;#REF!)</f>
        <v>#REF!</v>
      </c>
      <c r="H172" t="e">
        <f t="shared" si="2"/>
        <v>#REF!</v>
      </c>
    </row>
    <row r="173" spans="4:8" x14ac:dyDescent="0.35">
      <c r="D173" s="66" t="e">
        <f>IF(#REF!&lt;&gt;0,#REF!&amp;"-"&amp;_xlfn.SINGLE(#REF!),"")</f>
        <v>#REF!</v>
      </c>
      <c r="E173" s="66" t="e">
        <f>IF(LEN($D173)&gt;0,"",#REF!)</f>
        <v>#REF!</v>
      </c>
      <c r="F173" s="66" t="e">
        <f>IF(LEN($C173)&gt;0,"",#REF!)</f>
        <v>#REF!</v>
      </c>
      <c r="G173" s="66" t="e">
        <f>IF(LEN($C173)&gt;0,"",#REF!&amp;CHAR(10)&amp;#REF!)</f>
        <v>#REF!</v>
      </c>
      <c r="H173" t="e">
        <f t="shared" si="2"/>
        <v>#REF!</v>
      </c>
    </row>
    <row r="174" spans="4:8" x14ac:dyDescent="0.35">
      <c r="D174" s="66" t="e">
        <f>IF(#REF!&lt;&gt;0,#REF!&amp;"-"&amp;_xlfn.SINGLE(#REF!),"")</f>
        <v>#REF!</v>
      </c>
      <c r="E174" s="66" t="e">
        <f>IF(LEN($D174)&gt;0,"",#REF!)</f>
        <v>#REF!</v>
      </c>
      <c r="F174" s="66" t="e">
        <f>IF(LEN($C174)&gt;0,"",#REF!)</f>
        <v>#REF!</v>
      </c>
      <c r="G174" s="66" t="e">
        <f>IF(LEN($C174)&gt;0,"",#REF!&amp;CHAR(10)&amp;#REF!)</f>
        <v>#REF!</v>
      </c>
      <c r="H174" t="e">
        <f t="shared" si="2"/>
        <v>#REF!</v>
      </c>
    </row>
    <row r="175" spans="4:8" x14ac:dyDescent="0.35">
      <c r="D175" s="66" t="e">
        <f>IF(#REF!&lt;&gt;0,#REF!&amp;"-"&amp;_xlfn.SINGLE(#REF!),"")</f>
        <v>#REF!</v>
      </c>
      <c r="E175" s="66" t="e">
        <f>IF(LEN($D175)&gt;0,"",#REF!)</f>
        <v>#REF!</v>
      </c>
      <c r="F175" s="66" t="e">
        <f>IF(LEN($C175)&gt;0,"",#REF!)</f>
        <v>#REF!</v>
      </c>
      <c r="G175" s="66" t="e">
        <f>IF(LEN($C175)&gt;0,"",#REF!&amp;CHAR(10)&amp;#REF!)</f>
        <v>#REF!</v>
      </c>
      <c r="H175" t="e">
        <f t="shared" si="2"/>
        <v>#REF!</v>
      </c>
    </row>
    <row r="176" spans="4:8" x14ac:dyDescent="0.35">
      <c r="D176" s="66" t="e">
        <f>IF(#REF!&lt;&gt;0,#REF!&amp;"-"&amp;_xlfn.SINGLE(#REF!),"")</f>
        <v>#REF!</v>
      </c>
      <c r="E176" s="66" t="e">
        <f>IF(LEN($D176)&gt;0,"",#REF!)</f>
        <v>#REF!</v>
      </c>
      <c r="F176" s="66" t="e">
        <f>IF(LEN($C176)&gt;0,"",#REF!)</f>
        <v>#REF!</v>
      </c>
      <c r="G176" s="66" t="e">
        <f>IF(LEN($C176)&gt;0,"",#REF!&amp;CHAR(10)&amp;#REF!)</f>
        <v>#REF!</v>
      </c>
      <c r="H176" t="e">
        <f t="shared" si="2"/>
        <v>#REF!</v>
      </c>
    </row>
    <row r="177" spans="4:8" x14ac:dyDescent="0.35">
      <c r="D177" s="66" t="e">
        <f>IF(#REF!&lt;&gt;0,#REF!&amp;"-"&amp;_xlfn.SINGLE(#REF!),"")</f>
        <v>#REF!</v>
      </c>
      <c r="E177" s="66" t="e">
        <f>IF(LEN($D177)&gt;0,"",#REF!)</f>
        <v>#REF!</v>
      </c>
      <c r="F177" s="66" t="e">
        <f>IF(LEN($C177)&gt;0,"",#REF!)</f>
        <v>#REF!</v>
      </c>
      <c r="G177" s="66" t="e">
        <f>IF(LEN($C177)&gt;0,"",#REF!&amp;CHAR(10)&amp;#REF!)</f>
        <v>#REF!</v>
      </c>
      <c r="H177" t="e">
        <f t="shared" si="2"/>
        <v>#REF!</v>
      </c>
    </row>
    <row r="178" spans="4:8" x14ac:dyDescent="0.35">
      <c r="D178" s="66" t="e">
        <f>IF(#REF!&lt;&gt;0,#REF!&amp;"-"&amp;_xlfn.SINGLE(#REF!),"")</f>
        <v>#REF!</v>
      </c>
      <c r="E178" s="66" t="e">
        <f>IF(LEN($D178)&gt;0,"",#REF!)</f>
        <v>#REF!</v>
      </c>
      <c r="F178" s="66" t="e">
        <f>IF(LEN($C178)&gt;0,"",#REF!)</f>
        <v>#REF!</v>
      </c>
      <c r="G178" s="66" t="e">
        <f>IF(LEN($C178)&gt;0,"",#REF!&amp;CHAR(10)&amp;#REF!)</f>
        <v>#REF!</v>
      </c>
      <c r="H178" t="e">
        <f t="shared" si="2"/>
        <v>#REF!</v>
      </c>
    </row>
    <row r="179" spans="4:8" x14ac:dyDescent="0.35">
      <c r="D179" s="66" t="e">
        <f>IF(#REF!&lt;&gt;0,#REF!&amp;"-"&amp;_xlfn.SINGLE(#REF!),"")</f>
        <v>#REF!</v>
      </c>
      <c r="E179" s="66" t="e">
        <f>IF(LEN($D179)&gt;0,"",#REF!)</f>
        <v>#REF!</v>
      </c>
      <c r="F179" s="66"/>
      <c r="G179" s="66" t="e">
        <f>IF(LEN($C179)&gt;0,"",#REF!&amp;CHAR(10)&amp;#REF!)</f>
        <v>#REF!</v>
      </c>
      <c r="H179" t="e">
        <f t="shared" si="2"/>
        <v>#REF!</v>
      </c>
    </row>
    <row r="180" spans="4:8" x14ac:dyDescent="0.35">
      <c r="D180" s="66" t="e">
        <f>IF(#REF!&lt;&gt;0,#REF!&amp;"-"&amp;_xlfn.SINGLE(#REF!),"")</f>
        <v>#REF!</v>
      </c>
      <c r="E180" s="66" t="e">
        <f>IF(LEN($D180)&gt;0,"",#REF!)</f>
        <v>#REF!</v>
      </c>
      <c r="F180" s="66" t="e">
        <f>IF(LEN($C180)&gt;0,"",#REF!)</f>
        <v>#REF!</v>
      </c>
      <c r="G180" s="66" t="e">
        <f>IF(LEN($C180)&gt;0,"",#REF!&amp;CHAR(10)&amp;#REF!)</f>
        <v>#REF!</v>
      </c>
      <c r="H180" t="e">
        <f t="shared" si="2"/>
        <v>#REF!</v>
      </c>
    </row>
    <row r="181" spans="4:8" x14ac:dyDescent="0.35">
      <c r="D181" s="66" t="e">
        <f>IF(#REF!&lt;&gt;0,#REF!&amp;"-"&amp;_xlfn.SINGLE(#REF!),"")</f>
        <v>#REF!</v>
      </c>
      <c r="E181" s="66" t="e">
        <f>IF(LEN($D181)&gt;0,"",#REF!)</f>
        <v>#REF!</v>
      </c>
      <c r="F181" s="66" t="e">
        <f>IF(LEN($C181)&gt;0,"",#REF!)</f>
        <v>#REF!</v>
      </c>
      <c r="G181" s="66" t="e">
        <f>IF(LEN($C181)&gt;0,"",#REF!&amp;CHAR(10)&amp;#REF!)</f>
        <v>#REF!</v>
      </c>
      <c r="H181" t="e">
        <f t="shared" si="2"/>
        <v>#REF!</v>
      </c>
    </row>
    <row r="182" spans="4:8" x14ac:dyDescent="0.35">
      <c r="D182" s="66" t="e">
        <f>IF(#REF!&lt;&gt;0,#REF!&amp;"-"&amp;_xlfn.SINGLE(#REF!),"")</f>
        <v>#REF!</v>
      </c>
      <c r="E182" s="66" t="e">
        <f>IF(LEN($D182)&gt;0,"",#REF!)</f>
        <v>#REF!</v>
      </c>
      <c r="F182" s="66" t="e">
        <f>IF(LEN($C182)&gt;0,"",#REF!)</f>
        <v>#REF!</v>
      </c>
      <c r="G182" s="66" t="e">
        <f>IF(LEN($C182)&gt;0,"",#REF!&amp;CHAR(10)&amp;#REF!)</f>
        <v>#REF!</v>
      </c>
      <c r="H182" t="e">
        <f t="shared" si="2"/>
        <v>#REF!</v>
      </c>
    </row>
    <row r="183" spans="4:8" x14ac:dyDescent="0.35">
      <c r="D183" s="66" t="e">
        <f>IF(#REF!&lt;&gt;0,#REF!&amp;"-"&amp;_xlfn.SINGLE(#REF!),"")</f>
        <v>#REF!</v>
      </c>
      <c r="E183" s="66" t="e">
        <f>IF(LEN($D183)&gt;0,"",#REF!)</f>
        <v>#REF!</v>
      </c>
      <c r="F183" s="66" t="e">
        <f>IF(LEN($C183)&gt;0,"",#REF!)</f>
        <v>#REF!</v>
      </c>
      <c r="G183" s="66" t="e">
        <f>IF(LEN($C183)&gt;0,"",#REF!&amp;CHAR(10)&amp;#REF!)</f>
        <v>#REF!</v>
      </c>
      <c r="H183" t="e">
        <f t="shared" si="2"/>
        <v>#REF!</v>
      </c>
    </row>
    <row r="184" spans="4:8" x14ac:dyDescent="0.35">
      <c r="D184" s="66" t="e">
        <f>IF(#REF!&lt;&gt;0,#REF!&amp;"-"&amp;_xlfn.SINGLE(#REF!),"")</f>
        <v>#REF!</v>
      </c>
      <c r="E184" s="66" t="e">
        <f>IF(LEN($D184)&gt;0,"",#REF!)</f>
        <v>#REF!</v>
      </c>
      <c r="F184" s="66" t="e">
        <f>IF(LEN($C184)&gt;0,"",#REF!)</f>
        <v>#REF!</v>
      </c>
      <c r="G184" s="66" t="e">
        <f>IF(LEN($C184)&gt;0,"",#REF!&amp;CHAR(10)&amp;#REF!)</f>
        <v>#REF!</v>
      </c>
      <c r="H184" t="e">
        <f t="shared" si="2"/>
        <v>#REF!</v>
      </c>
    </row>
    <row r="185" spans="4:8" x14ac:dyDescent="0.35">
      <c r="D185" s="66" t="e">
        <f>IF(#REF!&lt;&gt;0,#REF!&amp;"-"&amp;_xlfn.SINGLE(#REF!),"")</f>
        <v>#REF!</v>
      </c>
      <c r="E185" s="66" t="e">
        <f>IF(LEN($D185)&gt;0,"",#REF!)</f>
        <v>#REF!</v>
      </c>
      <c r="F185" s="66" t="e">
        <f>IF(LEN($C185)&gt;0,"",#REF!)</f>
        <v>#REF!</v>
      </c>
      <c r="G185" s="66" t="e">
        <f>IF(LEN($C185)&gt;0,"",#REF!&amp;CHAR(10)&amp;#REF!)</f>
        <v>#REF!</v>
      </c>
      <c r="H185" t="e">
        <f t="shared" si="2"/>
        <v>#REF!</v>
      </c>
    </row>
    <row r="186" spans="4:8" x14ac:dyDescent="0.35">
      <c r="D186" s="66" t="e">
        <f>IF(#REF!&lt;&gt;0,#REF!&amp;"-"&amp;_xlfn.SINGLE(#REF!),"")</f>
        <v>#REF!</v>
      </c>
      <c r="E186" s="66" t="e">
        <f>IF(LEN($D186)&gt;0,"",#REF!)</f>
        <v>#REF!</v>
      </c>
      <c r="F186" s="66"/>
      <c r="G186" s="66" t="e">
        <f>IF(LEN($C186)&gt;0,"",#REF!&amp;CHAR(10)&amp;#REF!)</f>
        <v>#REF!</v>
      </c>
      <c r="H186" t="e">
        <f t="shared" si="2"/>
        <v>#REF!</v>
      </c>
    </row>
    <row r="187" spans="4:8" x14ac:dyDescent="0.35">
      <c r="D187" s="66" t="e">
        <f>IF(#REF!&lt;&gt;0,#REF!&amp;"-"&amp;_xlfn.SINGLE(#REF!),"")</f>
        <v>#REF!</v>
      </c>
      <c r="E187" s="66" t="e">
        <f>IF(LEN($D187)&gt;0,"",#REF!)</f>
        <v>#REF!</v>
      </c>
      <c r="F187" s="66" t="e">
        <f>IF(LEN($C187)&gt;0,"",#REF!)</f>
        <v>#REF!</v>
      </c>
      <c r="G187" s="66" t="e">
        <f>IF(LEN($C187)&gt;0,"",#REF!&amp;CHAR(10)&amp;#REF!)</f>
        <v>#REF!</v>
      </c>
      <c r="H187" t="e">
        <f t="shared" si="2"/>
        <v>#REF!</v>
      </c>
    </row>
    <row r="188" spans="4:8" x14ac:dyDescent="0.35">
      <c r="D188" s="66" t="e">
        <f>IF(#REF!&lt;&gt;0,#REF!&amp;"-"&amp;_xlfn.SINGLE(#REF!),"")</f>
        <v>#REF!</v>
      </c>
      <c r="E188" s="66" t="e">
        <f>IF(LEN($D188)&gt;0,"",#REF!)</f>
        <v>#REF!</v>
      </c>
      <c r="F188" s="66" t="e">
        <f>IF(LEN($C188)&gt;0,"",#REF!)</f>
        <v>#REF!</v>
      </c>
      <c r="G188" s="66" t="e">
        <f>IF(LEN($C188)&gt;0,"",#REF!&amp;CHAR(10)&amp;#REF!)</f>
        <v>#REF!</v>
      </c>
      <c r="H188" t="e">
        <f t="shared" si="2"/>
        <v>#REF!</v>
      </c>
    </row>
    <row r="189" spans="4:8" x14ac:dyDescent="0.35">
      <c r="D189" s="66" t="e">
        <f>IF(#REF!&lt;&gt;0,#REF!&amp;"-"&amp;_xlfn.SINGLE(#REF!),"")</f>
        <v>#REF!</v>
      </c>
      <c r="E189" s="66" t="e">
        <f>IF(LEN($D189)&gt;0,"",#REF!)</f>
        <v>#REF!</v>
      </c>
      <c r="F189" s="66" t="e">
        <f>IF(LEN($C189)&gt;0,"",#REF!)</f>
        <v>#REF!</v>
      </c>
      <c r="G189" s="66" t="e">
        <f>IF(LEN($C189)&gt;0,"",#REF!&amp;CHAR(10)&amp;#REF!)</f>
        <v>#REF!</v>
      </c>
      <c r="H189" t="e">
        <f t="shared" si="2"/>
        <v>#REF!</v>
      </c>
    </row>
    <row r="190" spans="4:8" x14ac:dyDescent="0.35">
      <c r="D190" s="66" t="e">
        <f>IF(#REF!&lt;&gt;0,#REF!&amp;"-"&amp;_xlfn.SINGLE(#REF!),"")</f>
        <v>#REF!</v>
      </c>
      <c r="E190" s="66" t="e">
        <f>IF(LEN($D190)&gt;0,"",#REF!)</f>
        <v>#REF!</v>
      </c>
      <c r="F190" s="66" t="e">
        <f>IF(LEN($C190)&gt;0,"",#REF!)</f>
        <v>#REF!</v>
      </c>
      <c r="G190" s="66" t="e">
        <f>IF(LEN($C190)&gt;0,"",#REF!&amp;CHAR(10)&amp;#REF!)</f>
        <v>#REF!</v>
      </c>
      <c r="H190" t="e">
        <f t="shared" si="2"/>
        <v>#REF!</v>
      </c>
    </row>
    <row r="191" spans="4:8" x14ac:dyDescent="0.35">
      <c r="D191" s="66" t="e">
        <f>IF(#REF!&lt;&gt;0,#REF!&amp;"-"&amp;_xlfn.SINGLE(#REF!),"")</f>
        <v>#REF!</v>
      </c>
      <c r="E191" s="66" t="e">
        <f>IF(LEN($D191)&gt;0,"",#REF!)</f>
        <v>#REF!</v>
      </c>
      <c r="F191" s="66"/>
      <c r="G191" s="66" t="e">
        <f>IF(LEN($C191)&gt;0,"",#REF!&amp;CHAR(10)&amp;#REF!)</f>
        <v>#REF!</v>
      </c>
      <c r="H191" t="e">
        <f t="shared" si="2"/>
        <v>#REF!</v>
      </c>
    </row>
    <row r="192" spans="4:8" x14ac:dyDescent="0.35">
      <c r="D192" s="66" t="e">
        <f>IF(#REF!&lt;&gt;0,#REF!&amp;"-"&amp;_xlfn.SINGLE(#REF!),"")</f>
        <v>#REF!</v>
      </c>
      <c r="E192" s="66" t="e">
        <f>IF(LEN($D192)&gt;0,"",#REF!)</f>
        <v>#REF!</v>
      </c>
      <c r="F192" s="66" t="e">
        <f>IF(LEN($C192)&gt;0,"",#REF!)</f>
        <v>#REF!</v>
      </c>
      <c r="G192" s="66" t="e">
        <f>IF(LEN($C192)&gt;0,"",#REF!&amp;CHAR(10)&amp;#REF!)</f>
        <v>#REF!</v>
      </c>
      <c r="H192" t="e">
        <f t="shared" si="2"/>
        <v>#REF!</v>
      </c>
    </row>
    <row r="193" spans="4:8" x14ac:dyDescent="0.35">
      <c r="D193" s="66" t="e">
        <f>IF(#REF!&lt;&gt;0,#REF!&amp;"-"&amp;_xlfn.SINGLE(#REF!),"")</f>
        <v>#REF!</v>
      </c>
      <c r="E193" s="66" t="e">
        <f>IF(LEN($D193)&gt;0,"",#REF!)</f>
        <v>#REF!</v>
      </c>
      <c r="F193" s="66" t="e">
        <f>IF(LEN($C193)&gt;0,"",#REF!)</f>
        <v>#REF!</v>
      </c>
      <c r="G193" s="66" t="e">
        <f>IF(LEN($C193)&gt;0,"",#REF!&amp;CHAR(10)&amp;#REF!)</f>
        <v>#REF!</v>
      </c>
      <c r="H193" t="e">
        <f t="shared" si="2"/>
        <v>#REF!</v>
      </c>
    </row>
    <row r="194" spans="4:8" x14ac:dyDescent="0.35">
      <c r="D194" s="66" t="e">
        <f>IF(#REF!&lt;&gt;0,#REF!&amp;"-"&amp;_xlfn.SINGLE(#REF!),"")</f>
        <v>#REF!</v>
      </c>
      <c r="E194" s="66" t="e">
        <f>IF(LEN($D194)&gt;0,"",#REF!)</f>
        <v>#REF!</v>
      </c>
      <c r="F194" s="66" t="e">
        <f>IF(LEN($C194)&gt;0,"",#REF!)</f>
        <v>#REF!</v>
      </c>
      <c r="G194" s="66" t="e">
        <f>IF(LEN($C194)&gt;0,"",#REF!&amp;CHAR(10)&amp;#REF!)</f>
        <v>#REF!</v>
      </c>
      <c r="H194" t="e">
        <f t="shared" si="2"/>
        <v>#REF!</v>
      </c>
    </row>
    <row r="195" spans="4:8" x14ac:dyDescent="0.35">
      <c r="D195" s="66" t="e">
        <f>IF(#REF!&lt;&gt;0,#REF!&amp;"-"&amp;_xlfn.SINGLE(#REF!),"")</f>
        <v>#REF!</v>
      </c>
      <c r="E195" s="66" t="e">
        <f>IF(LEN($D195)&gt;0,"",#REF!)</f>
        <v>#REF!</v>
      </c>
      <c r="F195" s="66" t="e">
        <f>IF(LEN($C195)&gt;0,"",#REF!)</f>
        <v>#REF!</v>
      </c>
      <c r="G195" s="66" t="e">
        <f>IF(LEN($C195)&gt;0,"",#REF!&amp;CHAR(10)&amp;#REF!)</f>
        <v>#REF!</v>
      </c>
      <c r="H195" t="e">
        <f t="shared" si="2"/>
        <v>#REF!</v>
      </c>
    </row>
    <row r="196" spans="4:8" x14ac:dyDescent="0.35">
      <c r="D196" s="66" t="e">
        <f>IF(#REF!&lt;&gt;0,#REF!&amp;"-"&amp;_xlfn.SINGLE(#REF!),"")</f>
        <v>#REF!</v>
      </c>
      <c r="E196" s="66" t="e">
        <f>IF(LEN($D196)&gt;0,"",#REF!)</f>
        <v>#REF!</v>
      </c>
      <c r="F196" s="66" t="e">
        <f>IF(LEN($C196)&gt;0,"",#REF!)</f>
        <v>#REF!</v>
      </c>
      <c r="G196" s="66" t="e">
        <f>IF(LEN($C196)&gt;0,"",#REF!&amp;CHAR(10)&amp;#REF!)</f>
        <v>#REF!</v>
      </c>
      <c r="H196" t="e">
        <f t="shared" si="2"/>
        <v>#REF!</v>
      </c>
    </row>
    <row r="197" spans="4:8" x14ac:dyDescent="0.35">
      <c r="D197" s="66" t="e">
        <f>IF(#REF!&lt;&gt;0,#REF!&amp;"-"&amp;_xlfn.SINGLE(#REF!),"")</f>
        <v>#REF!</v>
      </c>
      <c r="E197" s="66" t="e">
        <f>IF(LEN($D197)&gt;0,"",#REF!)</f>
        <v>#REF!</v>
      </c>
      <c r="F197" s="66" t="e">
        <f>IF(LEN($C197)&gt;0,"",#REF!)</f>
        <v>#REF!</v>
      </c>
      <c r="G197" s="66" t="e">
        <f>IF(LEN($C197)&gt;0,"",#REF!&amp;CHAR(10)&amp;#REF!)</f>
        <v>#REF!</v>
      </c>
      <c r="H197" t="e">
        <f t="shared" si="2"/>
        <v>#REF!</v>
      </c>
    </row>
    <row r="198" spans="4:8" x14ac:dyDescent="0.35">
      <c r="D198" s="66" t="e">
        <f>IF(#REF!&lt;&gt;0,#REF!&amp;"-"&amp;_xlfn.SINGLE(#REF!),"")</f>
        <v>#REF!</v>
      </c>
      <c r="E198" s="66" t="e">
        <f>IF(LEN($D198)&gt;0,"",#REF!)</f>
        <v>#REF!</v>
      </c>
      <c r="F198" s="66" t="e">
        <f>IF(LEN($C198)&gt;0,"",#REF!)</f>
        <v>#REF!</v>
      </c>
      <c r="G198" s="66" t="e">
        <f>IF(LEN($C198)&gt;0,"",#REF!&amp;CHAR(10)&amp;#REF!)</f>
        <v>#REF!</v>
      </c>
      <c r="H198" t="e">
        <f t="shared" si="2"/>
        <v>#REF!</v>
      </c>
    </row>
    <row r="199" spans="4:8" x14ac:dyDescent="0.35">
      <c r="D199" s="66" t="e">
        <f>IF(#REF!&lt;&gt;0,#REF!&amp;"-"&amp;_xlfn.SINGLE(#REF!),"")</f>
        <v>#REF!</v>
      </c>
      <c r="E199" s="66" t="e">
        <f>IF(LEN($D199)&gt;0,"",#REF!)</f>
        <v>#REF!</v>
      </c>
      <c r="F199" s="66"/>
      <c r="G199" s="66" t="e">
        <f>IF(LEN($C199)&gt;0,"",#REF!&amp;CHAR(10)&amp;#REF!)</f>
        <v>#REF!</v>
      </c>
      <c r="H199" t="e">
        <f t="shared" si="2"/>
        <v>#REF!</v>
      </c>
    </row>
    <row r="200" spans="4:8" x14ac:dyDescent="0.35">
      <c r="D200" s="66" t="e">
        <f>IF(#REF!&lt;&gt;0,#REF!&amp;"-"&amp;_xlfn.SINGLE(#REF!),"")</f>
        <v>#REF!</v>
      </c>
      <c r="E200" s="66" t="e">
        <f>IF(LEN($D200)&gt;0,"",#REF!)</f>
        <v>#REF!</v>
      </c>
      <c r="F200" s="66" t="e">
        <f>IF(LEN($C200)&gt;0,"",#REF!)</f>
        <v>#REF!</v>
      </c>
      <c r="G200" s="66" t="e">
        <f>IF(LEN($C200)&gt;0,"",#REF!&amp;CHAR(10)&amp;#REF!)</f>
        <v>#REF!</v>
      </c>
      <c r="H200" t="e">
        <f t="shared" si="2"/>
        <v>#REF!</v>
      </c>
    </row>
    <row r="201" spans="4:8" x14ac:dyDescent="0.35">
      <c r="D201" s="66" t="e">
        <f>IF(#REF!&lt;&gt;0,#REF!&amp;"-"&amp;_xlfn.SINGLE(#REF!),"")</f>
        <v>#REF!</v>
      </c>
      <c r="E201" s="66" t="e">
        <f>IF(LEN($D201)&gt;0,"",#REF!)</f>
        <v>#REF!</v>
      </c>
      <c r="F201" s="66" t="e">
        <f>IF(LEN($C201)&gt;0,"",#REF!)</f>
        <v>#REF!</v>
      </c>
      <c r="G201" s="66" t="e">
        <f>IF(LEN($C201)&gt;0,"",#REF!&amp;CHAR(10)&amp;#REF!)</f>
        <v>#REF!</v>
      </c>
      <c r="H201" t="e">
        <f t="shared" si="2"/>
        <v>#REF!</v>
      </c>
    </row>
    <row r="202" spans="4:8" x14ac:dyDescent="0.35">
      <c r="D202" s="66" t="e">
        <f>IF(#REF!&lt;&gt;0,#REF!&amp;"-"&amp;_xlfn.SINGLE(#REF!),"")</f>
        <v>#REF!</v>
      </c>
      <c r="E202" s="66" t="e">
        <f>IF(LEN($D202)&gt;0,"",#REF!)</f>
        <v>#REF!</v>
      </c>
      <c r="F202" s="66" t="e">
        <f>IF(LEN($C202)&gt;0,"",#REF!)</f>
        <v>#REF!</v>
      </c>
      <c r="G202" s="66" t="e">
        <f>IF(LEN($C202)&gt;0,"",#REF!&amp;CHAR(10)&amp;#REF!)</f>
        <v>#REF!</v>
      </c>
      <c r="H202" t="e">
        <f t="shared" si="2"/>
        <v>#REF!</v>
      </c>
    </row>
    <row r="203" spans="4:8" x14ac:dyDescent="0.35">
      <c r="D203" s="66" t="e">
        <f>IF(#REF!&lt;&gt;0,#REF!&amp;"-"&amp;_xlfn.SINGLE(#REF!),"")</f>
        <v>#REF!</v>
      </c>
      <c r="E203" s="66" t="e">
        <f>IF(LEN($D203)&gt;0,"",#REF!)</f>
        <v>#REF!</v>
      </c>
      <c r="F203" s="66" t="e">
        <f>IF(LEN($C203)&gt;0,"",#REF!)</f>
        <v>#REF!</v>
      </c>
      <c r="G203" s="66" t="e">
        <f>IF(LEN($C203)&gt;0,"",#REF!&amp;CHAR(10)&amp;#REF!)</f>
        <v>#REF!</v>
      </c>
      <c r="H203" t="e">
        <f t="shared" si="2"/>
        <v>#REF!</v>
      </c>
    </row>
    <row r="204" spans="4:8" x14ac:dyDescent="0.35">
      <c r="D204" s="66" t="e">
        <f>IF(#REF!&lt;&gt;0,#REF!&amp;"-"&amp;_xlfn.SINGLE(#REF!),"")</f>
        <v>#REF!</v>
      </c>
      <c r="E204" s="66" t="e">
        <f>IF(LEN($D204)&gt;0,"",#REF!)</f>
        <v>#REF!</v>
      </c>
      <c r="F204" s="66" t="e">
        <f>IF(LEN($C204)&gt;0,"",#REF!)</f>
        <v>#REF!</v>
      </c>
      <c r="G204" s="66" t="e">
        <f>IF(LEN($C204)&gt;0,"",#REF!&amp;CHAR(10)&amp;#REF!)</f>
        <v>#REF!</v>
      </c>
      <c r="H204" t="e">
        <f t="shared" si="2"/>
        <v>#REF!</v>
      </c>
    </row>
    <row r="205" spans="4:8" x14ac:dyDescent="0.35">
      <c r="D205" s="66" t="e">
        <f>IF(#REF!&lt;&gt;0,#REF!&amp;"-"&amp;_xlfn.SINGLE(#REF!),"")</f>
        <v>#REF!</v>
      </c>
      <c r="E205" s="66" t="e">
        <f>IF(LEN($D205)&gt;0,"",#REF!)</f>
        <v>#REF!</v>
      </c>
      <c r="F205" s="66" t="e">
        <f>IF(LEN($C205)&gt;0,"",#REF!)</f>
        <v>#REF!</v>
      </c>
      <c r="G205" s="66" t="e">
        <f>IF(LEN($C205)&gt;0,"",#REF!&amp;CHAR(10)&amp;#REF!)</f>
        <v>#REF!</v>
      </c>
      <c r="H205" t="e">
        <f t="shared" si="2"/>
        <v>#REF!</v>
      </c>
    </row>
    <row r="206" spans="4:8" x14ac:dyDescent="0.35">
      <c r="D206" s="66" t="e">
        <f>IF(#REF!&lt;&gt;0,#REF!&amp;"-"&amp;_xlfn.SINGLE(#REF!),"")</f>
        <v>#REF!</v>
      </c>
      <c r="E206" s="66" t="e">
        <f>IF(LEN($D206)&gt;0,"",#REF!)</f>
        <v>#REF!</v>
      </c>
      <c r="F206" s="66" t="e">
        <f>IF(LEN($C206)&gt;0,"",#REF!)</f>
        <v>#REF!</v>
      </c>
      <c r="G206" s="66" t="e">
        <f>IF(LEN($C206)&gt;0,"",#REF!&amp;CHAR(10)&amp;#REF!)</f>
        <v>#REF!</v>
      </c>
      <c r="H206" t="e">
        <f t="shared" si="2"/>
        <v>#REF!</v>
      </c>
    </row>
    <row r="207" spans="4:8" x14ac:dyDescent="0.35">
      <c r="D207" s="66" t="e">
        <f>IF(#REF!&lt;&gt;0,#REF!&amp;"-"&amp;_xlfn.SINGLE(#REF!),"")</f>
        <v>#REF!</v>
      </c>
      <c r="E207" s="66" t="e">
        <f>IF(LEN($D207)&gt;0,"",#REF!)</f>
        <v>#REF!</v>
      </c>
      <c r="F207" s="66"/>
      <c r="G207" s="66" t="e">
        <f>IF(LEN($C207)&gt;0,"",#REF!&amp;CHAR(10)&amp;#REF!)</f>
        <v>#REF!</v>
      </c>
      <c r="H207" t="e">
        <f t="shared" si="2"/>
        <v>#REF!</v>
      </c>
    </row>
    <row r="208" spans="4:8" x14ac:dyDescent="0.35">
      <c r="D208" s="66" t="e">
        <f>IF(#REF!&lt;&gt;0,#REF!&amp;"-"&amp;_xlfn.SINGLE(#REF!),"")</f>
        <v>#REF!</v>
      </c>
      <c r="E208" s="66" t="e">
        <f>IF(LEN($D208)&gt;0,"",#REF!)</f>
        <v>#REF!</v>
      </c>
      <c r="F208" s="66" t="e">
        <f>IF(LEN($C208)&gt;0,"",#REF!)</f>
        <v>#REF!</v>
      </c>
      <c r="G208" s="66" t="e">
        <f>IF(LEN($C208)&gt;0,"",#REF!&amp;CHAR(10)&amp;#REF!)</f>
        <v>#REF!</v>
      </c>
      <c r="H208" t="e">
        <f t="shared" si="2"/>
        <v>#REF!</v>
      </c>
    </row>
    <row r="209" spans="4:8" x14ac:dyDescent="0.35">
      <c r="D209" s="66" t="e">
        <f>IF(#REF!&lt;&gt;0,#REF!&amp;"-"&amp;_xlfn.SINGLE(#REF!),"")</f>
        <v>#REF!</v>
      </c>
      <c r="E209" s="66" t="e">
        <f>IF(LEN($D209)&gt;0,"",#REF!)</f>
        <v>#REF!</v>
      </c>
      <c r="F209" s="66" t="e">
        <f>IF(LEN($C209)&gt;0,"",#REF!)</f>
        <v>#REF!</v>
      </c>
      <c r="G209" s="66" t="e">
        <f>IF(LEN($C209)&gt;0,"",#REF!&amp;CHAR(10)&amp;#REF!)</f>
        <v>#REF!</v>
      </c>
      <c r="H209" t="e">
        <f t="shared" si="2"/>
        <v>#REF!</v>
      </c>
    </row>
    <row r="210" spans="4:8" x14ac:dyDescent="0.35">
      <c r="D210" s="66" t="e">
        <f>IF(#REF!&lt;&gt;0,#REF!&amp;"-"&amp;_xlfn.SINGLE(#REF!),"")</f>
        <v>#REF!</v>
      </c>
      <c r="E210" s="66" t="e">
        <f>IF(LEN($D210)&gt;0,"",#REF!)</f>
        <v>#REF!</v>
      </c>
      <c r="F210" s="66" t="e">
        <f>IF(LEN($C210)&gt;0,"",#REF!)</f>
        <v>#REF!</v>
      </c>
      <c r="G210" s="66" t="e">
        <f>IF(LEN($C210)&gt;0,"",#REF!&amp;CHAR(10)&amp;#REF!)</f>
        <v>#REF!</v>
      </c>
      <c r="H210" t="e">
        <f t="shared" si="2"/>
        <v>#REF!</v>
      </c>
    </row>
    <row r="211" spans="4:8" x14ac:dyDescent="0.35">
      <c r="D211" s="66" t="e">
        <f>IF(#REF!&lt;&gt;0,#REF!&amp;"-"&amp;_xlfn.SINGLE(#REF!),"")</f>
        <v>#REF!</v>
      </c>
      <c r="E211" s="66" t="e">
        <f>IF(LEN($D211)&gt;0,"",#REF!)</f>
        <v>#REF!</v>
      </c>
      <c r="F211" s="66" t="e">
        <f>IF(LEN($C211)&gt;0,"",#REF!)</f>
        <v>#REF!</v>
      </c>
      <c r="G211" s="66" t="e">
        <f>IF(LEN($C211)&gt;0,"",#REF!&amp;CHAR(10)&amp;#REF!)</f>
        <v>#REF!</v>
      </c>
      <c r="H211" t="e">
        <f t="shared" si="2"/>
        <v>#REF!</v>
      </c>
    </row>
    <row r="212" spans="4:8" x14ac:dyDescent="0.35">
      <c r="D212" s="66" t="e">
        <f>IF(#REF!&lt;&gt;0,#REF!&amp;"-"&amp;_xlfn.SINGLE(#REF!),"")</f>
        <v>#REF!</v>
      </c>
      <c r="E212" s="66" t="e">
        <f>IF(LEN($D212)&gt;0,"",#REF!)</f>
        <v>#REF!</v>
      </c>
      <c r="F212" s="66" t="e">
        <f>IF(LEN($C212)&gt;0,"",#REF!)</f>
        <v>#REF!</v>
      </c>
      <c r="G212" s="66" t="e">
        <f>IF(LEN($C212)&gt;0,"",#REF!&amp;CHAR(10)&amp;#REF!)</f>
        <v>#REF!</v>
      </c>
      <c r="H212" t="e">
        <f t="shared" si="2"/>
        <v>#REF!</v>
      </c>
    </row>
    <row r="213" spans="4:8" x14ac:dyDescent="0.35">
      <c r="D213" s="66" t="e">
        <f>IF(#REF!&lt;&gt;0,#REF!&amp;"-"&amp;_xlfn.SINGLE(#REF!),"")</f>
        <v>#REF!</v>
      </c>
      <c r="E213" s="66" t="e">
        <f>IF(LEN($D213)&gt;0,"",#REF!)</f>
        <v>#REF!</v>
      </c>
      <c r="F213" s="66" t="e">
        <f>IF(LEN($C213)&gt;0,"",#REF!)</f>
        <v>#REF!</v>
      </c>
      <c r="G213" s="66" t="e">
        <f>IF(LEN($C213)&gt;0,"",#REF!&amp;CHAR(10)&amp;#REF!)</f>
        <v>#REF!</v>
      </c>
      <c r="H213" t="e">
        <f t="shared" ref="H213:H214" si="3">+LEN(G213)</f>
        <v>#REF!</v>
      </c>
    </row>
    <row r="214" spans="4:8" x14ac:dyDescent="0.35">
      <c r="D214" s="66" t="e">
        <f>IF(#REF!&lt;&gt;0,#REF!&amp;"-"&amp;_xlfn.SINGLE(#REF!),"")</f>
        <v>#REF!</v>
      </c>
      <c r="E214" s="66" t="e">
        <f>IF(LEN($D214)&gt;0,"",#REF!)</f>
        <v>#REF!</v>
      </c>
      <c r="F214" s="66" t="e">
        <f>IF(LEN($C214)&gt;0,"",#REF!)</f>
        <v>#REF!</v>
      </c>
      <c r="G214" s="66" t="e">
        <f>IF(LEN($C214)&gt;0,"",#REF!&amp;CHAR(10)&amp;#REF!)</f>
        <v>#REF!</v>
      </c>
      <c r="H214" t="e">
        <f t="shared" si="3"/>
        <v>#REF!</v>
      </c>
    </row>
    <row r="215" spans="4:8" x14ac:dyDescent="0.35">
      <c r="E215" s="66"/>
    </row>
    <row r="216" spans="4:8" x14ac:dyDescent="0.35">
      <c r="E216" s="66"/>
    </row>
    <row r="217" spans="4:8" x14ac:dyDescent="0.35">
      <c r="E217" s="66"/>
    </row>
    <row r="218" spans="4:8" x14ac:dyDescent="0.35">
      <c r="E218" s="66"/>
    </row>
    <row r="219" spans="4:8" x14ac:dyDescent="0.35">
      <c r="E219" s="66"/>
    </row>
    <row r="220" spans="4:8" x14ac:dyDescent="0.35">
      <c r="E220" s="66"/>
    </row>
    <row r="221" spans="4:8" x14ac:dyDescent="0.35">
      <c r="E221" s="66"/>
    </row>
    <row r="222" spans="4:8" x14ac:dyDescent="0.35">
      <c r="E222" s="66"/>
    </row>
    <row r="223" spans="4:8" x14ac:dyDescent="0.35">
      <c r="E223" s="66"/>
    </row>
    <row r="224" spans="4:8" x14ac:dyDescent="0.35">
      <c r="E224" s="66"/>
    </row>
    <row r="225" spans="5:5" x14ac:dyDescent="0.35">
      <c r="E225" s="66"/>
    </row>
    <row r="226" spans="5:5" x14ac:dyDescent="0.35">
      <c r="E226" s="66"/>
    </row>
    <row r="227" spans="5:5" x14ac:dyDescent="0.35">
      <c r="E227" s="66"/>
    </row>
    <row r="228" spans="5:5" x14ac:dyDescent="0.35">
      <c r="E228" s="66"/>
    </row>
    <row r="229" spans="5:5" x14ac:dyDescent="0.35">
      <c r="E229" s="66"/>
    </row>
    <row r="230" spans="5:5" x14ac:dyDescent="0.35">
      <c r="E230" s="66"/>
    </row>
    <row r="231" spans="5:5" x14ac:dyDescent="0.35">
      <c r="E231" s="66"/>
    </row>
    <row r="232" spans="5:5" x14ac:dyDescent="0.35">
      <c r="E232" s="66"/>
    </row>
    <row r="233" spans="5:5" x14ac:dyDescent="0.35">
      <c r="E233" s="66"/>
    </row>
    <row r="234" spans="5:5" x14ac:dyDescent="0.35">
      <c r="E234" s="66"/>
    </row>
    <row r="235" spans="5:5" x14ac:dyDescent="0.35">
      <c r="E235" s="66"/>
    </row>
    <row r="236" spans="5:5" x14ac:dyDescent="0.35">
      <c r="E236" s="66"/>
    </row>
    <row r="237" spans="5:5" x14ac:dyDescent="0.35">
      <c r="E237" s="66"/>
    </row>
    <row r="238" spans="5:5" x14ac:dyDescent="0.35">
      <c r="E238" s="66"/>
    </row>
    <row r="239" spans="5:5" x14ac:dyDescent="0.35">
      <c r="E239" s="66"/>
    </row>
    <row r="240" spans="5:5" x14ac:dyDescent="0.35">
      <c r="E240" s="66"/>
    </row>
    <row r="241" spans="5:5" x14ac:dyDescent="0.35">
      <c r="E241" s="66"/>
    </row>
    <row r="242" spans="5:5" x14ac:dyDescent="0.35">
      <c r="E242" s="66"/>
    </row>
    <row r="243" spans="5:5" x14ac:dyDescent="0.35">
      <c r="E243" s="66"/>
    </row>
    <row r="244" spans="5:5" x14ac:dyDescent="0.35">
      <c r="E244" s="66"/>
    </row>
    <row r="245" spans="5:5" x14ac:dyDescent="0.35">
      <c r="E245" s="66"/>
    </row>
    <row r="246" spans="5:5" x14ac:dyDescent="0.35">
      <c r="E246" s="66"/>
    </row>
    <row r="247" spans="5:5" x14ac:dyDescent="0.35">
      <c r="E247" s="66"/>
    </row>
    <row r="248" spans="5:5" x14ac:dyDescent="0.35">
      <c r="E248" s="66"/>
    </row>
    <row r="249" spans="5:5" x14ac:dyDescent="0.35">
      <c r="E249" s="66"/>
    </row>
    <row r="250" spans="5:5" x14ac:dyDescent="0.35">
      <c r="E250" s="66"/>
    </row>
    <row r="251" spans="5:5" x14ac:dyDescent="0.35">
      <c r="E251" s="66"/>
    </row>
    <row r="252" spans="5:5" x14ac:dyDescent="0.35">
      <c r="E252" s="66"/>
    </row>
    <row r="253" spans="5:5" x14ac:dyDescent="0.35">
      <c r="E253" s="66"/>
    </row>
    <row r="254" spans="5:5" x14ac:dyDescent="0.35">
      <c r="E254" s="66"/>
    </row>
    <row r="255" spans="5:5" x14ac:dyDescent="0.35">
      <c r="E255" s="66"/>
    </row>
    <row r="256" spans="5:5" x14ac:dyDescent="0.35">
      <c r="E256" s="66"/>
    </row>
    <row r="257" spans="5:5" x14ac:dyDescent="0.35">
      <c r="E257" s="66"/>
    </row>
    <row r="258" spans="5:5" x14ac:dyDescent="0.35">
      <c r="E258" s="66"/>
    </row>
    <row r="259" spans="5:5" x14ac:dyDescent="0.35">
      <c r="E259" s="66"/>
    </row>
    <row r="260" spans="5:5" x14ac:dyDescent="0.35">
      <c r="E260" s="66"/>
    </row>
    <row r="261" spans="5:5" x14ac:dyDescent="0.35">
      <c r="E261" s="66"/>
    </row>
    <row r="262" spans="5:5" x14ac:dyDescent="0.35">
      <c r="E262" s="66"/>
    </row>
    <row r="263" spans="5:5" x14ac:dyDescent="0.35">
      <c r="E263" s="66"/>
    </row>
    <row r="264" spans="5:5" x14ac:dyDescent="0.35">
      <c r="E264" s="66"/>
    </row>
    <row r="265" spans="5:5" x14ac:dyDescent="0.35">
      <c r="E265" s="66"/>
    </row>
    <row r="266" spans="5:5" x14ac:dyDescent="0.35">
      <c r="E266" s="66"/>
    </row>
    <row r="267" spans="5:5" x14ac:dyDescent="0.35">
      <c r="E267" s="66"/>
    </row>
    <row r="268" spans="5:5" x14ac:dyDescent="0.35">
      <c r="E268" s="66"/>
    </row>
    <row r="269" spans="5:5" x14ac:dyDescent="0.35">
      <c r="E269" s="66"/>
    </row>
    <row r="270" spans="5:5" x14ac:dyDescent="0.35">
      <c r="E270" s="66"/>
    </row>
    <row r="271" spans="5:5" x14ac:dyDescent="0.35">
      <c r="E271" s="66"/>
    </row>
    <row r="272" spans="5:5" x14ac:dyDescent="0.35">
      <c r="E272" s="66"/>
    </row>
    <row r="273" spans="5:5" x14ac:dyDescent="0.35">
      <c r="E273" s="66"/>
    </row>
    <row r="274" spans="5:5" x14ac:dyDescent="0.35">
      <c r="E274" s="66"/>
    </row>
    <row r="275" spans="5:5" x14ac:dyDescent="0.35">
      <c r="E275" s="66"/>
    </row>
    <row r="276" spans="5:5" x14ac:dyDescent="0.35">
      <c r="E276" s="66"/>
    </row>
    <row r="277" spans="5:5" x14ac:dyDescent="0.35">
      <c r="E277" s="66"/>
    </row>
    <row r="278" spans="5:5" x14ac:dyDescent="0.35">
      <c r="E278" s="66"/>
    </row>
    <row r="279" spans="5:5" x14ac:dyDescent="0.35">
      <c r="E279" s="66"/>
    </row>
    <row r="280" spans="5:5" x14ac:dyDescent="0.35">
      <c r="E280" s="66"/>
    </row>
    <row r="281" spans="5:5" x14ac:dyDescent="0.35">
      <c r="E281" s="66"/>
    </row>
    <row r="282" spans="5:5" x14ac:dyDescent="0.35">
      <c r="E282" s="66"/>
    </row>
    <row r="283" spans="5:5" x14ac:dyDescent="0.35">
      <c r="E283" s="66"/>
    </row>
    <row r="284" spans="5:5" x14ac:dyDescent="0.35">
      <c r="E284" s="66"/>
    </row>
    <row r="285" spans="5:5" x14ac:dyDescent="0.35">
      <c r="E285" s="66"/>
    </row>
    <row r="286" spans="5:5" x14ac:dyDescent="0.35">
      <c r="E286" s="66"/>
    </row>
    <row r="287" spans="5:5" x14ac:dyDescent="0.35">
      <c r="E287" s="66"/>
    </row>
    <row r="288" spans="5:5" x14ac:dyDescent="0.35">
      <c r="E288" s="66"/>
    </row>
    <row r="289" spans="5:5" x14ac:dyDescent="0.35">
      <c r="E289" s="66"/>
    </row>
    <row r="290" spans="5:5" x14ac:dyDescent="0.35">
      <c r="E290" s="66"/>
    </row>
    <row r="291" spans="5:5" x14ac:dyDescent="0.35">
      <c r="E291" s="66"/>
    </row>
    <row r="292" spans="5:5" x14ac:dyDescent="0.35">
      <c r="E292" s="66"/>
    </row>
    <row r="293" spans="5:5" x14ac:dyDescent="0.35">
      <c r="E293" s="66"/>
    </row>
    <row r="294" spans="5:5" x14ac:dyDescent="0.35">
      <c r="E294" s="66"/>
    </row>
    <row r="295" spans="5:5" x14ac:dyDescent="0.35">
      <c r="E295" s="66"/>
    </row>
    <row r="296" spans="5:5" x14ac:dyDescent="0.35">
      <c r="E296" s="66"/>
    </row>
    <row r="297" spans="5:5" x14ac:dyDescent="0.35">
      <c r="E297" s="66"/>
    </row>
    <row r="298" spans="5:5" x14ac:dyDescent="0.35">
      <c r="E298" s="66"/>
    </row>
    <row r="299" spans="5:5" x14ac:dyDescent="0.35">
      <c r="E299" s="66"/>
    </row>
    <row r="300" spans="5:5" x14ac:dyDescent="0.35">
      <c r="E300" s="66"/>
    </row>
    <row r="301" spans="5:5" x14ac:dyDescent="0.35">
      <c r="E301" s="66"/>
    </row>
    <row r="302" spans="5:5" x14ac:dyDescent="0.35">
      <c r="E302" s="66"/>
    </row>
    <row r="303" spans="5:5" x14ac:dyDescent="0.35">
      <c r="E303" s="66"/>
    </row>
    <row r="304" spans="5:5" x14ac:dyDescent="0.35">
      <c r="E304" s="66"/>
    </row>
    <row r="305" spans="5:5" x14ac:dyDescent="0.35">
      <c r="E305" s="66"/>
    </row>
    <row r="306" spans="5:5" x14ac:dyDescent="0.35">
      <c r="E306" s="66"/>
    </row>
    <row r="307" spans="5:5" x14ac:dyDescent="0.35">
      <c r="E307" s="66"/>
    </row>
    <row r="308" spans="5:5" x14ac:dyDescent="0.35">
      <c r="E308" s="66"/>
    </row>
    <row r="309" spans="5:5" x14ac:dyDescent="0.35">
      <c r="E309" s="66"/>
    </row>
    <row r="310" spans="5:5" x14ac:dyDescent="0.35">
      <c r="E310" s="66"/>
    </row>
    <row r="311" spans="5:5" x14ac:dyDescent="0.35">
      <c r="E311" s="66"/>
    </row>
    <row r="312" spans="5:5" x14ac:dyDescent="0.35">
      <c r="E312" s="66"/>
    </row>
    <row r="313" spans="5:5" x14ac:dyDescent="0.35">
      <c r="E313" s="66"/>
    </row>
    <row r="314" spans="5:5" x14ac:dyDescent="0.35">
      <c r="E314" s="66"/>
    </row>
    <row r="315" spans="5:5" x14ac:dyDescent="0.35">
      <c r="E315" s="66"/>
    </row>
    <row r="316" spans="5:5" x14ac:dyDescent="0.35">
      <c r="E316" s="66"/>
    </row>
    <row r="317" spans="5:5" x14ac:dyDescent="0.35">
      <c r="E317" s="66"/>
    </row>
    <row r="318" spans="5:5" x14ac:dyDescent="0.35">
      <c r="E318" s="66"/>
    </row>
    <row r="319" spans="5:5" x14ac:dyDescent="0.35">
      <c r="E319" s="66"/>
    </row>
    <row r="320" spans="5:5" x14ac:dyDescent="0.35">
      <c r="E320" s="66"/>
    </row>
    <row r="321" spans="5:5" x14ac:dyDescent="0.35">
      <c r="E321" s="66"/>
    </row>
    <row r="322" spans="5:5" x14ac:dyDescent="0.35">
      <c r="E322" s="66"/>
    </row>
    <row r="323" spans="5:5" x14ac:dyDescent="0.35">
      <c r="E323" s="66"/>
    </row>
    <row r="324" spans="5:5" x14ac:dyDescent="0.35">
      <c r="E324" s="66"/>
    </row>
    <row r="325" spans="5:5" x14ac:dyDescent="0.35">
      <c r="E325" s="66"/>
    </row>
    <row r="326" spans="5:5" x14ac:dyDescent="0.35">
      <c r="E326" s="66"/>
    </row>
    <row r="327" spans="5:5" x14ac:dyDescent="0.35">
      <c r="E327" s="66"/>
    </row>
    <row r="328" spans="5:5" x14ac:dyDescent="0.35">
      <c r="E328" s="66"/>
    </row>
    <row r="329" spans="5:5" x14ac:dyDescent="0.35">
      <c r="E329" s="66"/>
    </row>
    <row r="330" spans="5:5" x14ac:dyDescent="0.35">
      <c r="E330" s="66"/>
    </row>
    <row r="331" spans="5:5" x14ac:dyDescent="0.35">
      <c r="E331" s="66"/>
    </row>
    <row r="332" spans="5:5" x14ac:dyDescent="0.35">
      <c r="E332" s="66"/>
    </row>
    <row r="333" spans="5:5" x14ac:dyDescent="0.35">
      <c r="E333" s="66"/>
    </row>
    <row r="334" spans="5:5" x14ac:dyDescent="0.35">
      <c r="E334" s="66"/>
    </row>
    <row r="335" spans="5:5" x14ac:dyDescent="0.35">
      <c r="E335" s="66"/>
    </row>
    <row r="336" spans="5:5" x14ac:dyDescent="0.35">
      <c r="E336" s="66"/>
    </row>
    <row r="337" spans="5:5" x14ac:dyDescent="0.35">
      <c r="E337" s="66"/>
    </row>
    <row r="338" spans="5:5" x14ac:dyDescent="0.35">
      <c r="E338" s="66"/>
    </row>
    <row r="339" spans="5:5" x14ac:dyDescent="0.35">
      <c r="E339" s="66"/>
    </row>
    <row r="340" spans="5:5" x14ac:dyDescent="0.35">
      <c r="E340" s="66"/>
    </row>
    <row r="341" spans="5:5" x14ac:dyDescent="0.35">
      <c r="E341" s="66"/>
    </row>
    <row r="342" spans="5:5" x14ac:dyDescent="0.35">
      <c r="E342" s="66"/>
    </row>
    <row r="343" spans="5:5" x14ac:dyDescent="0.35">
      <c r="E343" s="66"/>
    </row>
    <row r="344" spans="5:5" x14ac:dyDescent="0.35">
      <c r="E344" s="66"/>
    </row>
    <row r="345" spans="5:5" x14ac:dyDescent="0.35">
      <c r="E345" s="66"/>
    </row>
    <row r="346" spans="5:5" x14ac:dyDescent="0.35">
      <c r="E346" s="66"/>
    </row>
    <row r="347" spans="5:5" x14ac:dyDescent="0.35">
      <c r="E347" s="66"/>
    </row>
    <row r="348" spans="5:5" x14ac:dyDescent="0.35">
      <c r="E348" s="66"/>
    </row>
    <row r="349" spans="5:5" x14ac:dyDescent="0.35">
      <c r="E349" s="66"/>
    </row>
    <row r="350" spans="5:5" x14ac:dyDescent="0.35">
      <c r="E350" s="66"/>
    </row>
    <row r="351" spans="5:5" x14ac:dyDescent="0.35">
      <c r="E351" s="66"/>
    </row>
    <row r="352" spans="5:5" x14ac:dyDescent="0.35">
      <c r="E352" s="66"/>
    </row>
    <row r="353" spans="5:5" x14ac:dyDescent="0.35">
      <c r="E353" s="66"/>
    </row>
    <row r="354" spans="5:5" x14ac:dyDescent="0.35">
      <c r="E354" s="66"/>
    </row>
    <row r="355" spans="5:5" x14ac:dyDescent="0.35">
      <c r="E355" s="66"/>
    </row>
    <row r="356" spans="5:5" x14ac:dyDescent="0.35">
      <c r="E356" s="66"/>
    </row>
    <row r="357" spans="5:5" x14ac:dyDescent="0.35">
      <c r="E357" s="66"/>
    </row>
    <row r="358" spans="5:5" x14ac:dyDescent="0.35">
      <c r="E358" s="66"/>
    </row>
    <row r="359" spans="5:5" x14ac:dyDescent="0.35">
      <c r="E359" s="66"/>
    </row>
    <row r="360" spans="5:5" x14ac:dyDescent="0.35">
      <c r="E360" s="66"/>
    </row>
    <row r="361" spans="5:5" x14ac:dyDescent="0.35">
      <c r="E361" s="66"/>
    </row>
    <row r="362" spans="5:5" x14ac:dyDescent="0.35">
      <c r="E362" s="66"/>
    </row>
    <row r="363" spans="5:5" x14ac:dyDescent="0.35">
      <c r="E363" s="66"/>
    </row>
    <row r="364" spans="5:5" x14ac:dyDescent="0.35">
      <c r="E364" s="66"/>
    </row>
    <row r="365" spans="5:5" x14ac:dyDescent="0.35">
      <c r="E365" s="66"/>
    </row>
    <row r="366" spans="5:5" x14ac:dyDescent="0.35">
      <c r="E366" s="66"/>
    </row>
    <row r="367" spans="5:5" x14ac:dyDescent="0.35">
      <c r="E367" s="66"/>
    </row>
    <row r="368" spans="5:5" x14ac:dyDescent="0.35">
      <c r="E368" s="66"/>
    </row>
    <row r="369" spans="5:5" x14ac:dyDescent="0.35">
      <c r="E369" s="66"/>
    </row>
    <row r="370" spans="5:5" x14ac:dyDescent="0.35">
      <c r="E370" s="66"/>
    </row>
    <row r="371" spans="5:5" x14ac:dyDescent="0.35">
      <c r="E371" s="66"/>
    </row>
    <row r="372" spans="5:5" x14ac:dyDescent="0.35">
      <c r="E372" s="66"/>
    </row>
    <row r="373" spans="5:5" x14ac:dyDescent="0.35">
      <c r="E373" s="66"/>
    </row>
    <row r="374" spans="5:5" x14ac:dyDescent="0.35">
      <c r="E374" s="66"/>
    </row>
    <row r="375" spans="5:5" x14ac:dyDescent="0.35">
      <c r="E375" s="66"/>
    </row>
    <row r="376" spans="5:5" x14ac:dyDescent="0.35">
      <c r="E376" s="66"/>
    </row>
    <row r="377" spans="5:5" x14ac:dyDescent="0.35">
      <c r="E377" s="66"/>
    </row>
    <row r="378" spans="5:5" x14ac:dyDescent="0.35">
      <c r="E378" s="66"/>
    </row>
    <row r="379" spans="5:5" x14ac:dyDescent="0.35">
      <c r="E379" s="66"/>
    </row>
    <row r="380" spans="5:5" x14ac:dyDescent="0.35">
      <c r="E380" s="66"/>
    </row>
    <row r="381" spans="5:5" x14ac:dyDescent="0.35">
      <c r="E381" s="66"/>
    </row>
    <row r="382" spans="5:5" x14ac:dyDescent="0.35">
      <c r="E382" s="66"/>
    </row>
    <row r="383" spans="5:5" x14ac:dyDescent="0.35">
      <c r="E383" s="66"/>
    </row>
    <row r="384" spans="5:5" x14ac:dyDescent="0.35">
      <c r="E384" s="66"/>
    </row>
    <row r="385" spans="5:5" x14ac:dyDescent="0.35">
      <c r="E385" s="66"/>
    </row>
    <row r="386" spans="5:5" x14ac:dyDescent="0.35">
      <c r="E386" s="66"/>
    </row>
    <row r="387" spans="5:5" x14ac:dyDescent="0.35">
      <c r="E387" s="66"/>
    </row>
    <row r="388" spans="5:5" x14ac:dyDescent="0.35">
      <c r="E388" s="66"/>
    </row>
    <row r="389" spans="5:5" x14ac:dyDescent="0.35">
      <c r="E389" s="66"/>
    </row>
    <row r="390" spans="5:5" x14ac:dyDescent="0.35">
      <c r="E390" s="66"/>
    </row>
    <row r="391" spans="5:5" x14ac:dyDescent="0.35">
      <c r="E391" s="66"/>
    </row>
    <row r="392" spans="5:5" x14ac:dyDescent="0.35">
      <c r="E392" s="66"/>
    </row>
    <row r="393" spans="5:5" x14ac:dyDescent="0.35">
      <c r="E393" s="66"/>
    </row>
    <row r="394" spans="5:5" x14ac:dyDescent="0.35">
      <c r="E394" s="66"/>
    </row>
    <row r="395" spans="5:5" x14ac:dyDescent="0.35">
      <c r="E395" s="66"/>
    </row>
    <row r="396" spans="5:5" x14ac:dyDescent="0.35">
      <c r="E396" s="66"/>
    </row>
    <row r="397" spans="5:5" x14ac:dyDescent="0.35">
      <c r="E397" s="66"/>
    </row>
    <row r="398" spans="5:5" x14ac:dyDescent="0.35">
      <c r="E398" s="66"/>
    </row>
    <row r="399" spans="5:5" x14ac:dyDescent="0.35">
      <c r="E399" s="66"/>
    </row>
    <row r="400" spans="5:5" x14ac:dyDescent="0.35">
      <c r="E400" s="66"/>
    </row>
    <row r="401" spans="5:5" x14ac:dyDescent="0.35">
      <c r="E401" s="66"/>
    </row>
    <row r="402" spans="5:5" x14ac:dyDescent="0.35">
      <c r="E402" s="66"/>
    </row>
    <row r="403" spans="5:5" x14ac:dyDescent="0.35">
      <c r="E403" s="66"/>
    </row>
    <row r="404" spans="5:5" x14ac:dyDescent="0.35">
      <c r="E404" s="66"/>
    </row>
    <row r="405" spans="5:5" x14ac:dyDescent="0.35">
      <c r="E405" s="66"/>
    </row>
    <row r="406" spans="5:5" x14ac:dyDescent="0.35">
      <c r="E406" s="66"/>
    </row>
    <row r="407" spans="5:5" x14ac:dyDescent="0.35">
      <c r="E407" s="66"/>
    </row>
    <row r="408" spans="5:5" x14ac:dyDescent="0.35">
      <c r="E408" s="66"/>
    </row>
    <row r="409" spans="5:5" x14ac:dyDescent="0.35">
      <c r="E409" s="66"/>
    </row>
    <row r="410" spans="5:5" x14ac:dyDescent="0.35">
      <c r="E410" s="66"/>
    </row>
    <row r="411" spans="5:5" x14ac:dyDescent="0.35">
      <c r="E411" s="66"/>
    </row>
    <row r="412" spans="5:5" x14ac:dyDescent="0.35">
      <c r="E412" s="66"/>
    </row>
    <row r="413" spans="5:5" x14ac:dyDescent="0.35">
      <c r="E413" s="66"/>
    </row>
    <row r="414" spans="5:5" x14ac:dyDescent="0.35">
      <c r="E414" s="66"/>
    </row>
    <row r="415" spans="5:5" x14ac:dyDescent="0.35">
      <c r="E415" s="66"/>
    </row>
    <row r="416" spans="5:5" x14ac:dyDescent="0.35">
      <c r="E416" s="66"/>
    </row>
    <row r="417" spans="5:5" x14ac:dyDescent="0.35">
      <c r="E417" s="66"/>
    </row>
    <row r="418" spans="5:5" x14ac:dyDescent="0.35">
      <c r="E418" s="66"/>
    </row>
    <row r="419" spans="5:5" x14ac:dyDescent="0.35">
      <c r="E419" s="66"/>
    </row>
    <row r="420" spans="5:5" x14ac:dyDescent="0.35">
      <c r="E420" s="66"/>
    </row>
    <row r="421" spans="5:5" x14ac:dyDescent="0.35">
      <c r="E421" s="66"/>
    </row>
    <row r="422" spans="5:5" x14ac:dyDescent="0.35">
      <c r="E422" s="66"/>
    </row>
    <row r="423" spans="5:5" x14ac:dyDescent="0.35">
      <c r="E423" s="66"/>
    </row>
    <row r="424" spans="5:5" x14ac:dyDescent="0.35">
      <c r="E424" s="66"/>
    </row>
    <row r="425" spans="5:5" x14ac:dyDescent="0.35">
      <c r="E425" s="66"/>
    </row>
    <row r="426" spans="5:5" x14ac:dyDescent="0.35">
      <c r="E426" s="66"/>
    </row>
    <row r="427" spans="5:5" x14ac:dyDescent="0.35">
      <c r="E427" s="66"/>
    </row>
    <row r="428" spans="5:5" x14ac:dyDescent="0.35">
      <c r="E428" s="66"/>
    </row>
    <row r="429" spans="5:5" x14ac:dyDescent="0.35">
      <c r="E429" s="66"/>
    </row>
    <row r="430" spans="5:5" x14ac:dyDescent="0.35">
      <c r="E430" s="66"/>
    </row>
    <row r="431" spans="5:5" x14ac:dyDescent="0.35">
      <c r="E431" s="66"/>
    </row>
    <row r="432" spans="5:5" x14ac:dyDescent="0.35">
      <c r="E432" s="66"/>
    </row>
    <row r="433" spans="5:5" x14ac:dyDescent="0.35">
      <c r="E433" s="66"/>
    </row>
    <row r="434" spans="5:5" x14ac:dyDescent="0.35">
      <c r="E434" s="66"/>
    </row>
    <row r="435" spans="5:5" x14ac:dyDescent="0.35">
      <c r="E435" s="66"/>
    </row>
    <row r="436" spans="5:5" x14ac:dyDescent="0.35">
      <c r="E436" s="66"/>
    </row>
    <row r="437" spans="5:5" x14ac:dyDescent="0.35">
      <c r="E437" s="66"/>
    </row>
    <row r="438" spans="5:5" x14ac:dyDescent="0.35">
      <c r="E438" s="66"/>
    </row>
    <row r="439" spans="5:5" x14ac:dyDescent="0.35">
      <c r="E439" s="66"/>
    </row>
    <row r="440" spans="5:5" x14ac:dyDescent="0.35">
      <c r="E440" s="66"/>
    </row>
    <row r="441" spans="5:5" x14ac:dyDescent="0.35">
      <c r="E441" s="66"/>
    </row>
    <row r="442" spans="5:5" x14ac:dyDescent="0.35">
      <c r="E442" s="66"/>
    </row>
    <row r="443" spans="5:5" x14ac:dyDescent="0.35">
      <c r="E443" s="66"/>
    </row>
    <row r="444" spans="5:5" x14ac:dyDescent="0.35">
      <c r="E444" s="66"/>
    </row>
    <row r="445" spans="5:5" x14ac:dyDescent="0.35">
      <c r="E445" s="66"/>
    </row>
    <row r="446" spans="5:5" x14ac:dyDescent="0.35">
      <c r="E446" s="66"/>
    </row>
    <row r="447" spans="5:5" x14ac:dyDescent="0.35">
      <c r="E447" s="66"/>
    </row>
    <row r="448" spans="5:5" x14ac:dyDescent="0.35">
      <c r="E448" s="66"/>
    </row>
    <row r="449" spans="5:5" x14ac:dyDescent="0.35">
      <c r="E449" s="66"/>
    </row>
    <row r="450" spans="5:5" x14ac:dyDescent="0.35">
      <c r="E450" s="66"/>
    </row>
    <row r="451" spans="5:5" x14ac:dyDescent="0.35">
      <c r="E451" s="66"/>
    </row>
    <row r="452" spans="5:5" x14ac:dyDescent="0.35">
      <c r="E452" s="66"/>
    </row>
    <row r="453" spans="5:5" x14ac:dyDescent="0.35">
      <c r="E453" s="66"/>
    </row>
    <row r="454" spans="5:5" x14ac:dyDescent="0.35">
      <c r="E454" s="66"/>
    </row>
    <row r="455" spans="5:5" x14ac:dyDescent="0.35">
      <c r="E455" s="66"/>
    </row>
    <row r="456" spans="5:5" x14ac:dyDescent="0.35">
      <c r="E456" s="66"/>
    </row>
    <row r="457" spans="5:5" x14ac:dyDescent="0.35">
      <c r="E457" s="66"/>
    </row>
    <row r="458" spans="5:5" x14ac:dyDescent="0.35">
      <c r="E458" s="66"/>
    </row>
    <row r="459" spans="5:5" x14ac:dyDescent="0.35">
      <c r="E459" s="66"/>
    </row>
    <row r="460" spans="5:5" x14ac:dyDescent="0.35">
      <c r="E460" s="66"/>
    </row>
    <row r="461" spans="5:5" x14ac:dyDescent="0.35">
      <c r="E461" s="66"/>
    </row>
    <row r="462" spans="5:5" x14ac:dyDescent="0.35">
      <c r="E462" s="66"/>
    </row>
    <row r="463" spans="5:5" x14ac:dyDescent="0.35">
      <c r="E463" s="66"/>
    </row>
    <row r="464" spans="5:5" x14ac:dyDescent="0.35">
      <c r="E464" s="66"/>
    </row>
    <row r="465" spans="5:5" x14ac:dyDescent="0.35">
      <c r="E465" s="66"/>
    </row>
    <row r="466" spans="5:5" x14ac:dyDescent="0.35">
      <c r="E466" s="66"/>
    </row>
    <row r="467" spans="5:5" x14ac:dyDescent="0.35">
      <c r="E467" s="66"/>
    </row>
    <row r="468" spans="5:5" x14ac:dyDescent="0.35">
      <c r="E468" s="66"/>
    </row>
    <row r="469" spans="5:5" x14ac:dyDescent="0.35">
      <c r="E469" s="66"/>
    </row>
    <row r="470" spans="5:5" x14ac:dyDescent="0.35">
      <c r="E470" s="66"/>
    </row>
    <row r="471" spans="5:5" x14ac:dyDescent="0.35">
      <c r="E471" s="66"/>
    </row>
    <row r="472" spans="5:5" x14ac:dyDescent="0.35">
      <c r="E472" s="66"/>
    </row>
    <row r="473" spans="5:5" x14ac:dyDescent="0.35">
      <c r="E473" s="66"/>
    </row>
    <row r="474" spans="5:5" x14ac:dyDescent="0.35">
      <c r="E474" s="66"/>
    </row>
    <row r="475" spans="5:5" x14ac:dyDescent="0.35">
      <c r="E475" s="66"/>
    </row>
    <row r="476" spans="5:5" x14ac:dyDescent="0.35">
      <c r="E476" s="66"/>
    </row>
    <row r="477" spans="5:5" x14ac:dyDescent="0.35">
      <c r="E477" s="66"/>
    </row>
    <row r="478" spans="5:5" x14ac:dyDescent="0.35">
      <c r="E478" s="66"/>
    </row>
    <row r="479" spans="5:5" x14ac:dyDescent="0.35">
      <c r="E479" s="66"/>
    </row>
    <row r="480" spans="5:5" x14ac:dyDescent="0.35">
      <c r="E480" s="66"/>
    </row>
    <row r="481" spans="5:5" x14ac:dyDescent="0.35">
      <c r="E481" s="66"/>
    </row>
    <row r="482" spans="5:5" x14ac:dyDescent="0.35">
      <c r="E482" s="66"/>
    </row>
    <row r="483" spans="5:5" x14ac:dyDescent="0.35">
      <c r="E483" s="66"/>
    </row>
    <row r="484" spans="5:5" x14ac:dyDescent="0.35">
      <c r="E484" s="66"/>
    </row>
    <row r="485" spans="5:5" x14ac:dyDescent="0.35">
      <c r="E485" s="66"/>
    </row>
    <row r="486" spans="5:5" x14ac:dyDescent="0.35">
      <c r="E486" s="66"/>
    </row>
    <row r="487" spans="5:5" x14ac:dyDescent="0.35">
      <c r="E487" s="66"/>
    </row>
    <row r="488" spans="5:5" x14ac:dyDescent="0.35">
      <c r="E488" s="66"/>
    </row>
    <row r="489" spans="5:5" x14ac:dyDescent="0.35">
      <c r="E489" s="66"/>
    </row>
    <row r="490" spans="5:5" x14ac:dyDescent="0.35">
      <c r="E490" s="66"/>
    </row>
    <row r="491" spans="5:5" x14ac:dyDescent="0.35">
      <c r="E491" s="66"/>
    </row>
    <row r="492" spans="5:5" x14ac:dyDescent="0.35">
      <c r="E492" s="66"/>
    </row>
    <row r="493" spans="5:5" x14ac:dyDescent="0.35">
      <c r="E493" s="66"/>
    </row>
    <row r="494" spans="5:5" x14ac:dyDescent="0.35">
      <c r="E494" s="66"/>
    </row>
    <row r="495" spans="5:5" x14ac:dyDescent="0.35">
      <c r="E495" s="66"/>
    </row>
    <row r="496" spans="5:5" x14ac:dyDescent="0.35">
      <c r="E496" s="66"/>
    </row>
    <row r="497" spans="5:5" x14ac:dyDescent="0.35">
      <c r="E497" s="66"/>
    </row>
    <row r="498" spans="5:5" x14ac:dyDescent="0.35">
      <c r="E498" s="66"/>
    </row>
    <row r="499" spans="5:5" x14ac:dyDescent="0.35">
      <c r="E499" s="66"/>
    </row>
    <row r="500" spans="5:5" x14ac:dyDescent="0.35">
      <c r="E500" s="66"/>
    </row>
    <row r="501" spans="5:5" x14ac:dyDescent="0.35">
      <c r="E501" s="66"/>
    </row>
    <row r="502" spans="5:5" x14ac:dyDescent="0.35">
      <c r="E502" s="66"/>
    </row>
    <row r="503" spans="5:5" x14ac:dyDescent="0.35">
      <c r="E503" s="66"/>
    </row>
    <row r="504" spans="5:5" x14ac:dyDescent="0.35">
      <c r="E504" s="66"/>
    </row>
    <row r="505" spans="5:5" x14ac:dyDescent="0.35">
      <c r="E505" s="66"/>
    </row>
    <row r="506" spans="5:5" x14ac:dyDescent="0.35">
      <c r="E506" s="66"/>
    </row>
    <row r="507" spans="5:5" x14ac:dyDescent="0.35">
      <c r="E507" s="66"/>
    </row>
    <row r="508" spans="5:5" x14ac:dyDescent="0.35">
      <c r="E508" s="66"/>
    </row>
    <row r="509" spans="5:5" x14ac:dyDescent="0.35">
      <c r="E509" s="66"/>
    </row>
    <row r="510" spans="5:5" x14ac:dyDescent="0.35">
      <c r="E510" s="66"/>
    </row>
    <row r="511" spans="5:5" x14ac:dyDescent="0.35">
      <c r="E511" s="66"/>
    </row>
    <row r="512" spans="5:5" x14ac:dyDescent="0.35">
      <c r="E512" s="66"/>
    </row>
    <row r="513" spans="5:5" x14ac:dyDescent="0.35">
      <c r="E513" s="66"/>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13AC8-AA8B-42A4-828C-72B492A7F977}">
  <dimension ref="B1:E197"/>
  <sheetViews>
    <sheetView workbookViewId="0">
      <selection activeCell="L22" sqref="L22"/>
    </sheetView>
  </sheetViews>
  <sheetFormatPr baseColWidth="10" defaultRowHeight="14.5" x14ac:dyDescent="0.35"/>
  <sheetData>
    <row r="1" spans="2:5" x14ac:dyDescent="0.35">
      <c r="B1" t="s">
        <v>174</v>
      </c>
      <c r="C1" t="s">
        <v>175</v>
      </c>
      <c r="D1" t="s">
        <v>176</v>
      </c>
      <c r="E1" t="s">
        <v>177</v>
      </c>
    </row>
    <row r="2" spans="2:5" x14ac:dyDescent="0.35">
      <c r="C2" t="s">
        <v>178</v>
      </c>
      <c r="D2" t="s">
        <v>179</v>
      </c>
      <c r="E2" t="s">
        <v>179</v>
      </c>
    </row>
    <row r="3" spans="2:5" x14ac:dyDescent="0.35">
      <c r="C3" t="s">
        <v>179</v>
      </c>
      <c r="D3" t="s">
        <v>101</v>
      </c>
      <c r="E3" t="s">
        <v>180</v>
      </c>
    </row>
    <row r="4" spans="2:5" x14ac:dyDescent="0.35">
      <c r="C4" t="s">
        <v>179</v>
      </c>
      <c r="D4" t="s">
        <v>102</v>
      </c>
      <c r="E4" t="s">
        <v>181</v>
      </c>
    </row>
    <row r="5" spans="2:5" x14ac:dyDescent="0.35">
      <c r="C5" t="s">
        <v>179</v>
      </c>
      <c r="D5" t="s">
        <v>103</v>
      </c>
      <c r="E5" t="s">
        <v>182</v>
      </c>
    </row>
    <row r="6" spans="2:5" x14ac:dyDescent="0.35">
      <c r="C6" t="s">
        <v>179</v>
      </c>
      <c r="D6" t="s">
        <v>104</v>
      </c>
      <c r="E6" t="s">
        <v>183</v>
      </c>
    </row>
    <row r="7" spans="2:5" x14ac:dyDescent="0.35">
      <c r="C7" t="s">
        <v>179</v>
      </c>
      <c r="D7" t="s">
        <v>105</v>
      </c>
      <c r="E7" t="s">
        <v>184</v>
      </c>
    </row>
    <row r="8" spans="2:5" x14ac:dyDescent="0.35">
      <c r="C8" t="s">
        <v>185</v>
      </c>
      <c r="E8" t="s">
        <v>186</v>
      </c>
    </row>
    <row r="9" spans="2:5" x14ac:dyDescent="0.35">
      <c r="C9" t="s">
        <v>179</v>
      </c>
      <c r="D9" t="s">
        <v>101</v>
      </c>
      <c r="E9" t="s">
        <v>180</v>
      </c>
    </row>
    <row r="10" spans="2:5" x14ac:dyDescent="0.35">
      <c r="C10" t="s">
        <v>179</v>
      </c>
      <c r="D10" t="s">
        <v>106</v>
      </c>
      <c r="E10" t="s">
        <v>187</v>
      </c>
    </row>
    <row r="11" spans="2:5" x14ac:dyDescent="0.35">
      <c r="C11" t="s">
        <v>179</v>
      </c>
      <c r="D11" t="s">
        <v>124</v>
      </c>
      <c r="E11" t="s">
        <v>188</v>
      </c>
    </row>
    <row r="12" spans="2:5" x14ac:dyDescent="0.35">
      <c r="C12" t="s">
        <v>179</v>
      </c>
      <c r="D12" t="s">
        <v>104</v>
      </c>
      <c r="E12" t="s">
        <v>250</v>
      </c>
    </row>
    <row r="13" spans="2:5" x14ac:dyDescent="0.35">
      <c r="C13" t="s">
        <v>179</v>
      </c>
      <c r="D13" t="s">
        <v>105</v>
      </c>
      <c r="E13" t="s">
        <v>184</v>
      </c>
    </row>
    <row r="14" spans="2:5" x14ac:dyDescent="0.35">
      <c r="C14" t="s">
        <v>189</v>
      </c>
      <c r="E14" t="s">
        <v>186</v>
      </c>
    </row>
    <row r="15" spans="2:5" x14ac:dyDescent="0.35">
      <c r="C15" t="s">
        <v>179</v>
      </c>
      <c r="D15" t="s">
        <v>101</v>
      </c>
      <c r="E15" t="s">
        <v>180</v>
      </c>
    </row>
    <row r="16" spans="2:5" x14ac:dyDescent="0.35">
      <c r="C16" t="s">
        <v>179</v>
      </c>
      <c r="D16" t="s">
        <v>106</v>
      </c>
      <c r="E16" t="s">
        <v>187</v>
      </c>
    </row>
    <row r="17" spans="3:5" x14ac:dyDescent="0.35">
      <c r="C17" t="s">
        <v>179</v>
      </c>
      <c r="D17" t="s">
        <v>124</v>
      </c>
      <c r="E17" t="s">
        <v>188</v>
      </c>
    </row>
    <row r="18" spans="3:5" x14ac:dyDescent="0.35">
      <c r="C18" t="s">
        <v>179</v>
      </c>
      <c r="D18" t="s">
        <v>104</v>
      </c>
      <c r="E18" t="s">
        <v>251</v>
      </c>
    </row>
    <row r="19" spans="3:5" x14ac:dyDescent="0.35">
      <c r="C19" t="s">
        <v>179</v>
      </c>
      <c r="D19" t="s">
        <v>105</v>
      </c>
      <c r="E19" t="s">
        <v>184</v>
      </c>
    </row>
    <row r="20" spans="3:5" x14ac:dyDescent="0.35">
      <c r="C20" t="s">
        <v>190</v>
      </c>
      <c r="E20" t="s">
        <v>186</v>
      </c>
    </row>
    <row r="21" spans="3:5" x14ac:dyDescent="0.35">
      <c r="C21" t="s">
        <v>179</v>
      </c>
      <c r="D21" t="s">
        <v>101</v>
      </c>
      <c r="E21" t="s">
        <v>180</v>
      </c>
    </row>
    <row r="22" spans="3:5" x14ac:dyDescent="0.35">
      <c r="C22" t="s">
        <v>179</v>
      </c>
      <c r="D22" t="s">
        <v>106</v>
      </c>
      <c r="E22" t="s">
        <v>187</v>
      </c>
    </row>
    <row r="23" spans="3:5" x14ac:dyDescent="0.35">
      <c r="C23" t="s">
        <v>179</v>
      </c>
      <c r="D23" t="s">
        <v>124</v>
      </c>
      <c r="E23" t="s">
        <v>188</v>
      </c>
    </row>
    <row r="24" spans="3:5" x14ac:dyDescent="0.35">
      <c r="C24" t="s">
        <v>179</v>
      </c>
      <c r="D24" t="s">
        <v>104</v>
      </c>
      <c r="E24" t="s">
        <v>251</v>
      </c>
    </row>
    <row r="25" spans="3:5" x14ac:dyDescent="0.35">
      <c r="C25" t="s">
        <v>179</v>
      </c>
      <c r="D25" t="s">
        <v>105</v>
      </c>
      <c r="E25" t="s">
        <v>184</v>
      </c>
    </row>
    <row r="26" spans="3:5" x14ac:dyDescent="0.35">
      <c r="C26" t="s">
        <v>191</v>
      </c>
      <c r="E26" t="s">
        <v>186</v>
      </c>
    </row>
    <row r="27" spans="3:5" x14ac:dyDescent="0.35">
      <c r="C27" t="s">
        <v>179</v>
      </c>
      <c r="D27" t="s">
        <v>107</v>
      </c>
      <c r="E27" t="s">
        <v>192</v>
      </c>
    </row>
    <row r="28" spans="3:5" x14ac:dyDescent="0.35">
      <c r="C28" t="s">
        <v>179</v>
      </c>
      <c r="D28" t="s">
        <v>105</v>
      </c>
      <c r="E28" t="s">
        <v>184</v>
      </c>
    </row>
    <row r="29" spans="3:5" x14ac:dyDescent="0.35">
      <c r="C29" t="s">
        <v>193</v>
      </c>
      <c r="E29" t="s">
        <v>186</v>
      </c>
    </row>
    <row r="30" spans="3:5" x14ac:dyDescent="0.35">
      <c r="C30" t="s">
        <v>179</v>
      </c>
      <c r="D30" t="s">
        <v>101</v>
      </c>
      <c r="E30" t="s">
        <v>180</v>
      </c>
    </row>
    <row r="31" spans="3:5" x14ac:dyDescent="0.35">
      <c r="C31" t="s">
        <v>179</v>
      </c>
      <c r="D31" t="s">
        <v>194</v>
      </c>
      <c r="E31" t="s">
        <v>195</v>
      </c>
    </row>
    <row r="32" spans="3:5" x14ac:dyDescent="0.35">
      <c r="C32" t="s">
        <v>179</v>
      </c>
      <c r="D32" t="s">
        <v>108</v>
      </c>
      <c r="E32" t="s">
        <v>196</v>
      </c>
    </row>
    <row r="33" spans="3:5" x14ac:dyDescent="0.35">
      <c r="C33" t="s">
        <v>179</v>
      </c>
      <c r="D33" t="s">
        <v>109</v>
      </c>
      <c r="E33" t="s">
        <v>252</v>
      </c>
    </row>
    <row r="34" spans="3:5" x14ac:dyDescent="0.35">
      <c r="C34" t="s">
        <v>179</v>
      </c>
      <c r="D34" t="s">
        <v>110</v>
      </c>
      <c r="E34" t="s">
        <v>184</v>
      </c>
    </row>
    <row r="35" spans="3:5" x14ac:dyDescent="0.35">
      <c r="C35" t="s">
        <v>197</v>
      </c>
      <c r="E35" t="s">
        <v>186</v>
      </c>
    </row>
    <row r="36" spans="3:5" x14ac:dyDescent="0.35">
      <c r="C36" t="s">
        <v>179</v>
      </c>
      <c r="D36" t="s">
        <v>101</v>
      </c>
      <c r="E36" t="s">
        <v>180</v>
      </c>
    </row>
    <row r="37" spans="3:5" x14ac:dyDescent="0.35">
      <c r="C37" t="s">
        <v>179</v>
      </c>
      <c r="D37" t="s">
        <v>102</v>
      </c>
      <c r="E37" t="s">
        <v>181</v>
      </c>
    </row>
    <row r="38" spans="3:5" x14ac:dyDescent="0.35">
      <c r="C38" t="s">
        <v>179</v>
      </c>
      <c r="D38" t="s">
        <v>103</v>
      </c>
      <c r="E38" t="s">
        <v>182</v>
      </c>
    </row>
    <row r="39" spans="3:5" x14ac:dyDescent="0.35">
      <c r="C39" t="s">
        <v>179</v>
      </c>
      <c r="D39" t="s">
        <v>104</v>
      </c>
      <c r="E39" t="s">
        <v>198</v>
      </c>
    </row>
    <row r="40" spans="3:5" x14ac:dyDescent="0.35">
      <c r="C40" t="s">
        <v>179</v>
      </c>
      <c r="D40" t="s">
        <v>111</v>
      </c>
      <c r="E40" t="s">
        <v>199</v>
      </c>
    </row>
    <row r="41" spans="3:5" x14ac:dyDescent="0.35">
      <c r="C41" t="s">
        <v>179</v>
      </c>
      <c r="D41" t="s">
        <v>105</v>
      </c>
      <c r="E41" t="s">
        <v>184</v>
      </c>
    </row>
    <row r="42" spans="3:5" x14ac:dyDescent="0.35">
      <c r="C42" t="s">
        <v>200</v>
      </c>
      <c r="E42" t="s">
        <v>186</v>
      </c>
    </row>
    <row r="43" spans="3:5" x14ac:dyDescent="0.35">
      <c r="C43" t="s">
        <v>179</v>
      </c>
      <c r="D43" t="s">
        <v>101</v>
      </c>
      <c r="E43" t="s">
        <v>180</v>
      </c>
    </row>
    <row r="44" spans="3:5" x14ac:dyDescent="0.35">
      <c r="C44" t="s">
        <v>179</v>
      </c>
      <c r="D44" t="s">
        <v>106</v>
      </c>
      <c r="E44" t="s">
        <v>187</v>
      </c>
    </row>
    <row r="45" spans="3:5" x14ac:dyDescent="0.35">
      <c r="C45" t="s">
        <v>179</v>
      </c>
      <c r="D45" t="s">
        <v>124</v>
      </c>
      <c r="E45" t="s">
        <v>188</v>
      </c>
    </row>
    <row r="46" spans="3:5" x14ac:dyDescent="0.35">
      <c r="C46" t="s">
        <v>179</v>
      </c>
      <c r="D46" t="s">
        <v>104</v>
      </c>
      <c r="E46" t="s">
        <v>253</v>
      </c>
    </row>
    <row r="47" spans="3:5" x14ac:dyDescent="0.35">
      <c r="C47" t="s">
        <v>179</v>
      </c>
      <c r="D47" t="s">
        <v>111</v>
      </c>
      <c r="E47" t="s">
        <v>199</v>
      </c>
    </row>
    <row r="48" spans="3:5" x14ac:dyDescent="0.35">
      <c r="C48" t="s">
        <v>179</v>
      </c>
      <c r="D48" t="s">
        <v>105</v>
      </c>
      <c r="E48" t="s">
        <v>184</v>
      </c>
    </row>
    <row r="49" spans="3:5" x14ac:dyDescent="0.35">
      <c r="C49" t="s">
        <v>201</v>
      </c>
      <c r="E49" t="s">
        <v>186</v>
      </c>
    </row>
    <row r="50" spans="3:5" x14ac:dyDescent="0.35">
      <c r="C50" t="s">
        <v>179</v>
      </c>
      <c r="D50" t="s">
        <v>101</v>
      </c>
      <c r="E50" t="s">
        <v>180</v>
      </c>
    </row>
    <row r="51" spans="3:5" x14ac:dyDescent="0.35">
      <c r="C51" t="s">
        <v>179</v>
      </c>
      <c r="D51" t="s">
        <v>106</v>
      </c>
      <c r="E51" t="s">
        <v>187</v>
      </c>
    </row>
    <row r="52" spans="3:5" x14ac:dyDescent="0.35">
      <c r="C52" t="s">
        <v>179</v>
      </c>
      <c r="D52" t="s">
        <v>124</v>
      </c>
      <c r="E52" t="s">
        <v>188</v>
      </c>
    </row>
    <row r="53" spans="3:5" x14ac:dyDescent="0.35">
      <c r="C53" t="s">
        <v>179</v>
      </c>
      <c r="D53" t="s">
        <v>104</v>
      </c>
      <c r="E53" t="s">
        <v>251</v>
      </c>
    </row>
    <row r="54" spans="3:5" x14ac:dyDescent="0.35">
      <c r="C54" t="s">
        <v>179</v>
      </c>
      <c r="D54" t="s">
        <v>111</v>
      </c>
      <c r="E54" t="s">
        <v>199</v>
      </c>
    </row>
    <row r="55" spans="3:5" x14ac:dyDescent="0.35">
      <c r="C55" t="s">
        <v>179</v>
      </c>
      <c r="D55" t="s">
        <v>105</v>
      </c>
      <c r="E55" t="s">
        <v>184</v>
      </c>
    </row>
    <row r="56" spans="3:5" x14ac:dyDescent="0.35">
      <c r="C56" t="s">
        <v>202</v>
      </c>
      <c r="E56" t="s">
        <v>186</v>
      </c>
    </row>
    <row r="57" spans="3:5" x14ac:dyDescent="0.35">
      <c r="C57" t="s">
        <v>179</v>
      </c>
      <c r="D57" t="s">
        <v>101</v>
      </c>
      <c r="E57" t="s">
        <v>180</v>
      </c>
    </row>
    <row r="58" spans="3:5" x14ac:dyDescent="0.35">
      <c r="C58" t="s">
        <v>179</v>
      </c>
      <c r="D58" t="s">
        <v>194</v>
      </c>
      <c r="E58" t="s">
        <v>195</v>
      </c>
    </row>
    <row r="59" spans="3:5" x14ac:dyDescent="0.35">
      <c r="C59" t="s">
        <v>179</v>
      </c>
      <c r="D59" t="s">
        <v>108</v>
      </c>
      <c r="E59" t="s">
        <v>196</v>
      </c>
    </row>
    <row r="60" spans="3:5" x14ac:dyDescent="0.35">
      <c r="C60" t="s">
        <v>179</v>
      </c>
      <c r="D60" t="s">
        <v>109</v>
      </c>
      <c r="E60" t="s">
        <v>252</v>
      </c>
    </row>
    <row r="61" spans="3:5" x14ac:dyDescent="0.35">
      <c r="C61" t="s">
        <v>179</v>
      </c>
      <c r="D61" t="s">
        <v>111</v>
      </c>
      <c r="E61" t="s">
        <v>199</v>
      </c>
    </row>
    <row r="62" spans="3:5" x14ac:dyDescent="0.35">
      <c r="C62" t="s">
        <v>179</v>
      </c>
      <c r="D62" t="s">
        <v>105</v>
      </c>
      <c r="E62" t="s">
        <v>184</v>
      </c>
    </row>
    <row r="63" spans="3:5" x14ac:dyDescent="0.35">
      <c r="C63" t="s">
        <v>203</v>
      </c>
      <c r="E63" t="s">
        <v>186</v>
      </c>
    </row>
    <row r="64" spans="3:5" x14ac:dyDescent="0.35">
      <c r="C64" t="s">
        <v>179</v>
      </c>
      <c r="D64" t="s">
        <v>101</v>
      </c>
      <c r="E64" t="s">
        <v>180</v>
      </c>
    </row>
    <row r="65" spans="3:5" x14ac:dyDescent="0.35">
      <c r="C65" t="s">
        <v>179</v>
      </c>
      <c r="D65" t="s">
        <v>102</v>
      </c>
      <c r="E65" t="s">
        <v>181</v>
      </c>
    </row>
    <row r="66" spans="3:5" x14ac:dyDescent="0.35">
      <c r="C66" t="s">
        <v>179</v>
      </c>
      <c r="D66" t="s">
        <v>103</v>
      </c>
      <c r="E66" t="s">
        <v>182</v>
      </c>
    </row>
    <row r="67" spans="3:5" x14ac:dyDescent="0.35">
      <c r="C67" t="s">
        <v>179</v>
      </c>
      <c r="D67" t="s">
        <v>104</v>
      </c>
      <c r="E67" t="s">
        <v>183</v>
      </c>
    </row>
    <row r="68" spans="3:5" x14ac:dyDescent="0.35">
      <c r="C68" t="s">
        <v>179</v>
      </c>
      <c r="D68" t="s">
        <v>112</v>
      </c>
      <c r="E68" t="s">
        <v>204</v>
      </c>
    </row>
    <row r="69" spans="3:5" x14ac:dyDescent="0.35">
      <c r="C69" t="s">
        <v>179</v>
      </c>
      <c r="D69" t="s">
        <v>113</v>
      </c>
      <c r="E69" t="s">
        <v>205</v>
      </c>
    </row>
    <row r="70" spans="3:5" x14ac:dyDescent="0.35">
      <c r="C70" t="s">
        <v>179</v>
      </c>
      <c r="D70" t="s">
        <v>105</v>
      </c>
      <c r="E70" t="s">
        <v>184</v>
      </c>
    </row>
    <row r="71" spans="3:5" x14ac:dyDescent="0.35">
      <c r="C71" t="s">
        <v>206</v>
      </c>
      <c r="E71" t="s">
        <v>186</v>
      </c>
    </row>
    <row r="72" spans="3:5" x14ac:dyDescent="0.35">
      <c r="C72" t="s">
        <v>179</v>
      </c>
      <c r="D72" t="s">
        <v>101</v>
      </c>
      <c r="E72" t="s">
        <v>180</v>
      </c>
    </row>
    <row r="73" spans="3:5" x14ac:dyDescent="0.35">
      <c r="C73" t="s">
        <v>179</v>
      </c>
      <c r="D73" t="s">
        <v>106</v>
      </c>
      <c r="E73" t="s">
        <v>187</v>
      </c>
    </row>
    <row r="74" spans="3:5" x14ac:dyDescent="0.35">
      <c r="C74" t="s">
        <v>179</v>
      </c>
      <c r="D74" t="s">
        <v>124</v>
      </c>
      <c r="E74" t="s">
        <v>188</v>
      </c>
    </row>
    <row r="75" spans="3:5" x14ac:dyDescent="0.35">
      <c r="C75" t="s">
        <v>179</v>
      </c>
      <c r="D75" t="s">
        <v>104</v>
      </c>
      <c r="E75" t="s">
        <v>254</v>
      </c>
    </row>
    <row r="76" spans="3:5" x14ac:dyDescent="0.35">
      <c r="C76" t="s">
        <v>179</v>
      </c>
      <c r="D76" t="s">
        <v>112</v>
      </c>
      <c r="E76" t="s">
        <v>204</v>
      </c>
    </row>
    <row r="77" spans="3:5" x14ac:dyDescent="0.35">
      <c r="C77" t="s">
        <v>179</v>
      </c>
      <c r="D77" t="s">
        <v>113</v>
      </c>
      <c r="E77" t="s">
        <v>205</v>
      </c>
    </row>
    <row r="78" spans="3:5" x14ac:dyDescent="0.35">
      <c r="C78" t="s">
        <v>179</v>
      </c>
      <c r="D78" t="s">
        <v>105</v>
      </c>
      <c r="E78" t="s">
        <v>184</v>
      </c>
    </row>
    <row r="79" spans="3:5" x14ac:dyDescent="0.35">
      <c r="C79" t="s">
        <v>207</v>
      </c>
      <c r="E79" t="s">
        <v>186</v>
      </c>
    </row>
    <row r="80" spans="3:5" x14ac:dyDescent="0.35">
      <c r="C80" t="s">
        <v>179</v>
      </c>
      <c r="D80" t="s">
        <v>101</v>
      </c>
      <c r="E80" t="s">
        <v>180</v>
      </c>
    </row>
    <row r="81" spans="3:5" x14ac:dyDescent="0.35">
      <c r="C81" t="s">
        <v>179</v>
      </c>
      <c r="D81" t="s">
        <v>106</v>
      </c>
      <c r="E81" t="s">
        <v>187</v>
      </c>
    </row>
    <row r="82" spans="3:5" x14ac:dyDescent="0.35">
      <c r="C82" t="s">
        <v>179</v>
      </c>
      <c r="D82" t="s">
        <v>124</v>
      </c>
      <c r="E82" t="s">
        <v>188</v>
      </c>
    </row>
    <row r="83" spans="3:5" x14ac:dyDescent="0.35">
      <c r="C83" t="s">
        <v>179</v>
      </c>
      <c r="D83" t="s">
        <v>104</v>
      </c>
      <c r="E83" t="s">
        <v>251</v>
      </c>
    </row>
    <row r="84" spans="3:5" x14ac:dyDescent="0.35">
      <c r="C84" t="s">
        <v>179</v>
      </c>
      <c r="D84" t="s">
        <v>112</v>
      </c>
      <c r="E84" t="s">
        <v>204</v>
      </c>
    </row>
    <row r="85" spans="3:5" x14ac:dyDescent="0.35">
      <c r="C85" t="s">
        <v>179</v>
      </c>
      <c r="D85" t="s">
        <v>113</v>
      </c>
      <c r="E85" t="s">
        <v>205</v>
      </c>
    </row>
    <row r="86" spans="3:5" x14ac:dyDescent="0.35">
      <c r="C86" t="s">
        <v>179</v>
      </c>
      <c r="D86" t="s">
        <v>105</v>
      </c>
      <c r="E86" t="s">
        <v>184</v>
      </c>
    </row>
    <row r="87" spans="3:5" x14ac:dyDescent="0.35">
      <c r="C87" t="s">
        <v>208</v>
      </c>
      <c r="E87" t="s">
        <v>186</v>
      </c>
    </row>
    <row r="88" spans="3:5" x14ac:dyDescent="0.35">
      <c r="C88" t="s">
        <v>179</v>
      </c>
      <c r="D88" t="s">
        <v>101</v>
      </c>
      <c r="E88" t="s">
        <v>180</v>
      </c>
    </row>
    <row r="89" spans="3:5" x14ac:dyDescent="0.35">
      <c r="C89" t="s">
        <v>179</v>
      </c>
      <c r="D89" t="s">
        <v>194</v>
      </c>
      <c r="E89" t="s">
        <v>195</v>
      </c>
    </row>
    <row r="90" spans="3:5" x14ac:dyDescent="0.35">
      <c r="C90" t="s">
        <v>179</v>
      </c>
      <c r="D90" t="s">
        <v>108</v>
      </c>
      <c r="E90" t="s">
        <v>196</v>
      </c>
    </row>
    <row r="91" spans="3:5" x14ac:dyDescent="0.35">
      <c r="C91" t="s">
        <v>179</v>
      </c>
      <c r="D91" t="s">
        <v>109</v>
      </c>
      <c r="E91" t="s">
        <v>252</v>
      </c>
    </row>
    <row r="92" spans="3:5" x14ac:dyDescent="0.35">
      <c r="C92" t="s">
        <v>179</v>
      </c>
      <c r="D92" t="s">
        <v>112</v>
      </c>
      <c r="E92" t="s">
        <v>204</v>
      </c>
    </row>
    <row r="93" spans="3:5" x14ac:dyDescent="0.35">
      <c r="C93" t="s">
        <v>179</v>
      </c>
      <c r="D93" t="s">
        <v>113</v>
      </c>
      <c r="E93" t="s">
        <v>205</v>
      </c>
    </row>
    <row r="94" spans="3:5" x14ac:dyDescent="0.35">
      <c r="C94" t="s">
        <v>179</v>
      </c>
      <c r="D94" t="s">
        <v>110</v>
      </c>
      <c r="E94" t="s">
        <v>184</v>
      </c>
    </row>
    <row r="95" spans="3:5" x14ac:dyDescent="0.35">
      <c r="C95" t="s">
        <v>209</v>
      </c>
      <c r="E95" t="s">
        <v>186</v>
      </c>
    </row>
    <row r="96" spans="3:5" x14ac:dyDescent="0.35">
      <c r="C96" t="s">
        <v>179</v>
      </c>
      <c r="D96" t="s">
        <v>101</v>
      </c>
      <c r="E96" t="s">
        <v>180</v>
      </c>
    </row>
    <row r="97" spans="3:5" x14ac:dyDescent="0.35">
      <c r="C97" t="s">
        <v>179</v>
      </c>
      <c r="D97" t="s">
        <v>102</v>
      </c>
      <c r="E97" t="s">
        <v>181</v>
      </c>
    </row>
    <row r="98" spans="3:5" x14ac:dyDescent="0.35">
      <c r="C98" t="s">
        <v>179</v>
      </c>
      <c r="D98" t="s">
        <v>103</v>
      </c>
      <c r="E98" t="s">
        <v>182</v>
      </c>
    </row>
    <row r="99" spans="3:5" x14ac:dyDescent="0.35">
      <c r="C99" t="s">
        <v>179</v>
      </c>
      <c r="D99" t="s">
        <v>104</v>
      </c>
      <c r="E99" t="s">
        <v>198</v>
      </c>
    </row>
    <row r="100" spans="3:5" x14ac:dyDescent="0.35">
      <c r="C100" t="s">
        <v>179</v>
      </c>
      <c r="D100" t="s">
        <v>210</v>
      </c>
      <c r="E100" t="s">
        <v>211</v>
      </c>
    </row>
    <row r="101" spans="3:5" x14ac:dyDescent="0.35">
      <c r="C101" t="s">
        <v>179</v>
      </c>
      <c r="D101" t="s">
        <v>105</v>
      </c>
      <c r="E101" t="s">
        <v>184</v>
      </c>
    </row>
    <row r="102" spans="3:5" x14ac:dyDescent="0.35">
      <c r="C102" t="s">
        <v>212</v>
      </c>
      <c r="E102" t="s">
        <v>186</v>
      </c>
    </row>
    <row r="103" spans="3:5" x14ac:dyDescent="0.35">
      <c r="C103" t="s">
        <v>179</v>
      </c>
      <c r="D103" t="s">
        <v>101</v>
      </c>
      <c r="E103" t="s">
        <v>180</v>
      </c>
    </row>
    <row r="104" spans="3:5" x14ac:dyDescent="0.35">
      <c r="C104" t="s">
        <v>179</v>
      </c>
      <c r="D104" t="s">
        <v>102</v>
      </c>
      <c r="E104" t="s">
        <v>181</v>
      </c>
    </row>
    <row r="105" spans="3:5" x14ac:dyDescent="0.35">
      <c r="C105" t="s">
        <v>179</v>
      </c>
      <c r="D105" t="s">
        <v>103</v>
      </c>
      <c r="E105" t="s">
        <v>182</v>
      </c>
    </row>
    <row r="106" spans="3:5" x14ac:dyDescent="0.35">
      <c r="C106" t="s">
        <v>179</v>
      </c>
      <c r="D106" t="s">
        <v>104</v>
      </c>
      <c r="E106" t="s">
        <v>183</v>
      </c>
    </row>
    <row r="107" spans="3:5" x14ac:dyDescent="0.35">
      <c r="C107" t="s">
        <v>179</v>
      </c>
      <c r="D107" t="s">
        <v>112</v>
      </c>
      <c r="E107" t="s">
        <v>204</v>
      </c>
    </row>
    <row r="108" spans="3:5" x14ac:dyDescent="0.35">
      <c r="C108" t="s">
        <v>179</v>
      </c>
      <c r="D108" t="s">
        <v>114</v>
      </c>
      <c r="E108" t="s">
        <v>213</v>
      </c>
    </row>
    <row r="109" spans="3:5" x14ac:dyDescent="0.35">
      <c r="C109" t="s">
        <v>179</v>
      </c>
      <c r="D109" t="s">
        <v>105</v>
      </c>
      <c r="E109" t="s">
        <v>184</v>
      </c>
    </row>
    <row r="110" spans="3:5" x14ac:dyDescent="0.35">
      <c r="C110" t="s">
        <v>214</v>
      </c>
      <c r="E110" t="s">
        <v>186</v>
      </c>
    </row>
    <row r="111" spans="3:5" x14ac:dyDescent="0.35">
      <c r="C111" t="s">
        <v>179</v>
      </c>
      <c r="D111" t="s">
        <v>101</v>
      </c>
      <c r="E111" t="s">
        <v>180</v>
      </c>
    </row>
    <row r="112" spans="3:5" x14ac:dyDescent="0.35">
      <c r="C112" t="s">
        <v>179</v>
      </c>
      <c r="D112" t="s">
        <v>106</v>
      </c>
      <c r="E112" t="s">
        <v>187</v>
      </c>
    </row>
    <row r="113" spans="3:5" x14ac:dyDescent="0.35">
      <c r="C113" t="s">
        <v>179</v>
      </c>
      <c r="D113" t="s">
        <v>124</v>
      </c>
      <c r="E113" t="s">
        <v>188</v>
      </c>
    </row>
    <row r="114" spans="3:5" x14ac:dyDescent="0.35">
      <c r="C114" t="s">
        <v>179</v>
      </c>
      <c r="D114" t="s">
        <v>104</v>
      </c>
      <c r="E114" t="s">
        <v>253</v>
      </c>
    </row>
    <row r="115" spans="3:5" x14ac:dyDescent="0.35">
      <c r="C115" t="s">
        <v>179</v>
      </c>
      <c r="D115" t="s">
        <v>112</v>
      </c>
      <c r="E115" t="s">
        <v>204</v>
      </c>
    </row>
    <row r="116" spans="3:5" x14ac:dyDescent="0.35">
      <c r="C116" t="s">
        <v>179</v>
      </c>
      <c r="D116" t="s">
        <v>114</v>
      </c>
      <c r="E116" t="s">
        <v>213</v>
      </c>
    </row>
    <row r="117" spans="3:5" x14ac:dyDescent="0.35">
      <c r="C117" t="s">
        <v>179</v>
      </c>
      <c r="D117" t="s">
        <v>105</v>
      </c>
      <c r="E117" t="s">
        <v>184</v>
      </c>
    </row>
    <row r="118" spans="3:5" x14ac:dyDescent="0.35">
      <c r="C118" t="s">
        <v>215</v>
      </c>
      <c r="E118" t="s">
        <v>186</v>
      </c>
    </row>
    <row r="119" spans="3:5" x14ac:dyDescent="0.35">
      <c r="C119" t="s">
        <v>179</v>
      </c>
      <c r="D119" t="s">
        <v>101</v>
      </c>
      <c r="E119" t="s">
        <v>180</v>
      </c>
    </row>
    <row r="120" spans="3:5" x14ac:dyDescent="0.35">
      <c r="C120" t="s">
        <v>179</v>
      </c>
      <c r="D120" t="s">
        <v>106</v>
      </c>
      <c r="E120" t="s">
        <v>187</v>
      </c>
    </row>
    <row r="121" spans="3:5" x14ac:dyDescent="0.35">
      <c r="C121" t="s">
        <v>179</v>
      </c>
      <c r="D121" t="s">
        <v>124</v>
      </c>
      <c r="E121" t="s">
        <v>188</v>
      </c>
    </row>
    <row r="122" spans="3:5" x14ac:dyDescent="0.35">
      <c r="C122" t="s">
        <v>179</v>
      </c>
      <c r="D122" t="s">
        <v>104</v>
      </c>
      <c r="E122" t="s">
        <v>251</v>
      </c>
    </row>
    <row r="123" spans="3:5" x14ac:dyDescent="0.35">
      <c r="C123" t="s">
        <v>179</v>
      </c>
      <c r="D123" t="s">
        <v>112</v>
      </c>
      <c r="E123" t="s">
        <v>204</v>
      </c>
    </row>
    <row r="124" spans="3:5" x14ac:dyDescent="0.35">
      <c r="C124" t="s">
        <v>179</v>
      </c>
      <c r="D124" t="s">
        <v>114</v>
      </c>
      <c r="E124" t="s">
        <v>213</v>
      </c>
    </row>
    <row r="125" spans="3:5" x14ac:dyDescent="0.35">
      <c r="C125" t="s">
        <v>179</v>
      </c>
      <c r="D125" t="s">
        <v>105</v>
      </c>
      <c r="E125" t="s">
        <v>184</v>
      </c>
    </row>
    <row r="126" spans="3:5" x14ac:dyDescent="0.35">
      <c r="C126" t="s">
        <v>216</v>
      </c>
      <c r="E126" t="s">
        <v>186</v>
      </c>
    </row>
    <row r="127" spans="3:5" x14ac:dyDescent="0.35">
      <c r="C127" t="s">
        <v>179</v>
      </c>
      <c r="D127" t="s">
        <v>101</v>
      </c>
      <c r="E127" t="s">
        <v>180</v>
      </c>
    </row>
    <row r="128" spans="3:5" x14ac:dyDescent="0.35">
      <c r="C128" t="s">
        <v>179</v>
      </c>
      <c r="D128" t="s">
        <v>194</v>
      </c>
      <c r="E128" t="s">
        <v>195</v>
      </c>
    </row>
    <row r="129" spans="3:5" x14ac:dyDescent="0.35">
      <c r="C129" t="s">
        <v>179</v>
      </c>
      <c r="D129" t="s">
        <v>108</v>
      </c>
      <c r="E129" t="s">
        <v>196</v>
      </c>
    </row>
    <row r="130" spans="3:5" x14ac:dyDescent="0.35">
      <c r="C130" t="s">
        <v>179</v>
      </c>
      <c r="D130" t="s">
        <v>109</v>
      </c>
      <c r="E130" t="s">
        <v>252</v>
      </c>
    </row>
    <row r="131" spans="3:5" x14ac:dyDescent="0.35">
      <c r="C131" t="s">
        <v>179</v>
      </c>
      <c r="D131" t="s">
        <v>112</v>
      </c>
      <c r="E131" t="s">
        <v>204</v>
      </c>
    </row>
    <row r="132" spans="3:5" x14ac:dyDescent="0.35">
      <c r="C132" t="s">
        <v>179</v>
      </c>
      <c r="D132" t="s">
        <v>114</v>
      </c>
      <c r="E132" t="s">
        <v>213</v>
      </c>
    </row>
    <row r="133" spans="3:5" x14ac:dyDescent="0.35">
      <c r="C133" t="s">
        <v>179</v>
      </c>
      <c r="D133" t="s">
        <v>105</v>
      </c>
      <c r="E133" t="s">
        <v>184</v>
      </c>
    </row>
    <row r="134" spans="3:5" x14ac:dyDescent="0.35">
      <c r="C134" t="s">
        <v>217</v>
      </c>
      <c r="E134" t="s">
        <v>186</v>
      </c>
    </row>
    <row r="135" spans="3:5" x14ac:dyDescent="0.35">
      <c r="C135" t="s">
        <v>179</v>
      </c>
      <c r="D135" t="s">
        <v>115</v>
      </c>
      <c r="E135" t="s">
        <v>218</v>
      </c>
    </row>
    <row r="136" spans="3:5" x14ac:dyDescent="0.35">
      <c r="C136" t="s">
        <v>179</v>
      </c>
      <c r="D136" t="s">
        <v>116</v>
      </c>
      <c r="E136" t="s">
        <v>219</v>
      </c>
    </row>
    <row r="137" spans="3:5" x14ac:dyDescent="0.35">
      <c r="C137" t="s">
        <v>179</v>
      </c>
      <c r="D137" t="s">
        <v>105</v>
      </c>
      <c r="E137" t="s">
        <v>184</v>
      </c>
    </row>
    <row r="138" spans="3:5" x14ac:dyDescent="0.35">
      <c r="C138" t="s">
        <v>220</v>
      </c>
      <c r="E138" t="s">
        <v>186</v>
      </c>
    </row>
    <row r="139" spans="3:5" x14ac:dyDescent="0.35">
      <c r="C139" t="s">
        <v>179</v>
      </c>
      <c r="D139" t="s">
        <v>115</v>
      </c>
      <c r="E139" t="s">
        <v>218</v>
      </c>
    </row>
    <row r="140" spans="3:5" x14ac:dyDescent="0.35">
      <c r="C140" t="s">
        <v>179</v>
      </c>
      <c r="D140" t="s">
        <v>117</v>
      </c>
      <c r="E140" t="s">
        <v>255</v>
      </c>
    </row>
    <row r="141" spans="3:5" x14ac:dyDescent="0.35">
      <c r="C141" t="s">
        <v>179</v>
      </c>
      <c r="D141" t="s">
        <v>105</v>
      </c>
      <c r="E141" t="s">
        <v>184</v>
      </c>
    </row>
    <row r="142" spans="3:5" x14ac:dyDescent="0.35">
      <c r="C142" t="s">
        <v>221</v>
      </c>
      <c r="E142" t="s">
        <v>186</v>
      </c>
    </row>
    <row r="143" spans="3:5" x14ac:dyDescent="0.35">
      <c r="C143" t="s">
        <v>179</v>
      </c>
      <c r="D143" t="s">
        <v>104</v>
      </c>
      <c r="E143" t="s">
        <v>256</v>
      </c>
    </row>
    <row r="144" spans="3:5" x14ac:dyDescent="0.35">
      <c r="C144" t="s">
        <v>179</v>
      </c>
      <c r="D144" t="s">
        <v>118</v>
      </c>
      <c r="E144" t="s">
        <v>257</v>
      </c>
    </row>
    <row r="145" spans="3:5" x14ac:dyDescent="0.35">
      <c r="C145" t="s">
        <v>222</v>
      </c>
      <c r="E145" t="s">
        <v>186</v>
      </c>
    </row>
    <row r="146" spans="3:5" x14ac:dyDescent="0.35">
      <c r="C146" t="s">
        <v>179</v>
      </c>
      <c r="D146" t="s">
        <v>119</v>
      </c>
      <c r="E146" t="s">
        <v>223</v>
      </c>
    </row>
    <row r="147" spans="3:5" x14ac:dyDescent="0.35">
      <c r="C147" t="s">
        <v>179</v>
      </c>
      <c r="D147" t="s">
        <v>105</v>
      </c>
      <c r="E147" t="s">
        <v>184</v>
      </c>
    </row>
    <row r="148" spans="3:5" x14ac:dyDescent="0.35">
      <c r="C148" t="s">
        <v>224</v>
      </c>
      <c r="E148" t="s">
        <v>186</v>
      </c>
    </row>
    <row r="149" spans="3:5" x14ac:dyDescent="0.35">
      <c r="C149" t="s">
        <v>179</v>
      </c>
      <c r="D149" t="s">
        <v>120</v>
      </c>
      <c r="E149" t="s">
        <v>225</v>
      </c>
    </row>
    <row r="150" spans="3:5" x14ac:dyDescent="0.35">
      <c r="C150" t="s">
        <v>179</v>
      </c>
      <c r="D150" t="s">
        <v>105</v>
      </c>
      <c r="E150" t="s">
        <v>184</v>
      </c>
    </row>
    <row r="151" spans="3:5" x14ac:dyDescent="0.35">
      <c r="C151" t="s">
        <v>226</v>
      </c>
      <c r="E151" t="s">
        <v>186</v>
      </c>
    </row>
    <row r="152" spans="3:5" x14ac:dyDescent="0.35">
      <c r="C152" t="s">
        <v>179</v>
      </c>
      <c r="D152" t="s">
        <v>121</v>
      </c>
      <c r="E152" t="s">
        <v>227</v>
      </c>
    </row>
    <row r="153" spans="3:5" x14ac:dyDescent="0.35">
      <c r="C153" t="s">
        <v>179</v>
      </c>
      <c r="D153" t="s">
        <v>122</v>
      </c>
      <c r="E153" t="s">
        <v>228</v>
      </c>
    </row>
    <row r="154" spans="3:5" x14ac:dyDescent="0.35">
      <c r="C154" t="s">
        <v>179</v>
      </c>
      <c r="D154" t="s">
        <v>105</v>
      </c>
      <c r="E154" t="s">
        <v>184</v>
      </c>
    </row>
    <row r="155" spans="3:5" x14ac:dyDescent="0.35">
      <c r="C155" t="s">
        <v>229</v>
      </c>
      <c r="E155" t="s">
        <v>186</v>
      </c>
    </row>
    <row r="156" spans="3:5" x14ac:dyDescent="0.35">
      <c r="C156" t="s">
        <v>179</v>
      </c>
      <c r="D156" t="s">
        <v>101</v>
      </c>
      <c r="E156" t="s">
        <v>180</v>
      </c>
    </row>
    <row r="157" spans="3:5" x14ac:dyDescent="0.35">
      <c r="C157" t="s">
        <v>179</v>
      </c>
      <c r="D157" t="s">
        <v>106</v>
      </c>
      <c r="E157" t="s">
        <v>187</v>
      </c>
    </row>
    <row r="158" spans="3:5" x14ac:dyDescent="0.35">
      <c r="C158" t="s">
        <v>179</v>
      </c>
      <c r="D158" t="s">
        <v>124</v>
      </c>
      <c r="E158" t="s">
        <v>188</v>
      </c>
    </row>
    <row r="159" spans="3:5" x14ac:dyDescent="0.35">
      <c r="C159" t="s">
        <v>179</v>
      </c>
      <c r="D159" t="s">
        <v>104</v>
      </c>
      <c r="E159" t="s">
        <v>230</v>
      </c>
    </row>
    <row r="160" spans="3:5" x14ac:dyDescent="0.35">
      <c r="C160" t="s">
        <v>179</v>
      </c>
      <c r="D160" t="s">
        <v>125</v>
      </c>
      <c r="E160" t="s">
        <v>231</v>
      </c>
    </row>
    <row r="161" spans="3:5" x14ac:dyDescent="0.35">
      <c r="C161" t="s">
        <v>179</v>
      </c>
      <c r="D161" t="s">
        <v>110</v>
      </c>
      <c r="E161" t="s">
        <v>184</v>
      </c>
    </row>
    <row r="162" spans="3:5" x14ac:dyDescent="0.35">
      <c r="C162" t="s">
        <v>232</v>
      </c>
      <c r="E162" t="s">
        <v>186</v>
      </c>
    </row>
    <row r="163" spans="3:5" x14ac:dyDescent="0.35">
      <c r="C163" t="s">
        <v>179</v>
      </c>
      <c r="D163" t="s">
        <v>126</v>
      </c>
      <c r="E163" t="s">
        <v>186</v>
      </c>
    </row>
    <row r="164" spans="3:5" x14ac:dyDescent="0.35">
      <c r="C164" t="s">
        <v>179</v>
      </c>
      <c r="D164" t="s">
        <v>127</v>
      </c>
      <c r="E164" t="s">
        <v>233</v>
      </c>
    </row>
    <row r="165" spans="3:5" x14ac:dyDescent="0.35">
      <c r="C165" t="s">
        <v>179</v>
      </c>
      <c r="D165" t="s">
        <v>129</v>
      </c>
      <c r="E165" t="s">
        <v>234</v>
      </c>
    </row>
    <row r="166" spans="3:5" x14ac:dyDescent="0.35">
      <c r="C166" t="s">
        <v>179</v>
      </c>
      <c r="D166" t="s">
        <v>130</v>
      </c>
      <c r="E166" t="s">
        <v>235</v>
      </c>
    </row>
    <row r="167" spans="3:5" x14ac:dyDescent="0.35">
      <c r="C167" t="s">
        <v>179</v>
      </c>
      <c r="D167" t="s">
        <v>132</v>
      </c>
      <c r="E167" t="s">
        <v>236</v>
      </c>
    </row>
    <row r="168" spans="3:5" x14ac:dyDescent="0.35">
      <c r="C168" t="s">
        <v>179</v>
      </c>
      <c r="D168" t="s">
        <v>134</v>
      </c>
      <c r="E168" t="s">
        <v>237</v>
      </c>
    </row>
    <row r="169" spans="3:5" x14ac:dyDescent="0.35">
      <c r="C169" t="s">
        <v>238</v>
      </c>
      <c r="E169" t="s">
        <v>186</v>
      </c>
    </row>
    <row r="170" spans="3:5" x14ac:dyDescent="0.35">
      <c r="C170" t="s">
        <v>179</v>
      </c>
      <c r="D170" t="s">
        <v>101</v>
      </c>
      <c r="E170" t="s">
        <v>239</v>
      </c>
    </row>
    <row r="171" spans="3:5" x14ac:dyDescent="0.35">
      <c r="C171" t="s">
        <v>179</v>
      </c>
      <c r="D171" t="s">
        <v>135</v>
      </c>
      <c r="E171" t="s">
        <v>240</v>
      </c>
    </row>
    <row r="172" spans="3:5" x14ac:dyDescent="0.35">
      <c r="C172" t="s">
        <v>179</v>
      </c>
      <c r="D172" t="s">
        <v>136</v>
      </c>
      <c r="E172" t="s">
        <v>241</v>
      </c>
    </row>
    <row r="173" spans="3:5" x14ac:dyDescent="0.35">
      <c r="C173" t="s">
        <v>179</v>
      </c>
      <c r="D173" t="s">
        <v>110</v>
      </c>
      <c r="E173" t="s">
        <v>184</v>
      </c>
    </row>
    <row r="174" spans="3:5" x14ac:dyDescent="0.35">
      <c r="C174" t="s">
        <v>242</v>
      </c>
      <c r="E174" t="s">
        <v>186</v>
      </c>
    </row>
    <row r="175" spans="3:5" x14ac:dyDescent="0.35">
      <c r="C175" t="s">
        <v>179</v>
      </c>
      <c r="D175" t="s">
        <v>101</v>
      </c>
      <c r="E175" t="s">
        <v>180</v>
      </c>
    </row>
    <row r="176" spans="3:5" x14ac:dyDescent="0.35">
      <c r="C176" t="s">
        <v>179</v>
      </c>
      <c r="D176" t="s">
        <v>194</v>
      </c>
      <c r="E176" t="s">
        <v>195</v>
      </c>
    </row>
    <row r="177" spans="3:5" x14ac:dyDescent="0.35">
      <c r="C177" t="s">
        <v>179</v>
      </c>
      <c r="D177" t="s">
        <v>108</v>
      </c>
      <c r="E177" t="s">
        <v>196</v>
      </c>
    </row>
    <row r="178" spans="3:5" x14ac:dyDescent="0.35">
      <c r="C178" t="s">
        <v>179</v>
      </c>
      <c r="D178" t="s">
        <v>109</v>
      </c>
      <c r="E178" t="s">
        <v>258</v>
      </c>
    </row>
    <row r="179" spans="3:5" x14ac:dyDescent="0.35">
      <c r="C179" t="s">
        <v>179</v>
      </c>
      <c r="D179" t="s">
        <v>137</v>
      </c>
      <c r="E179" t="s">
        <v>243</v>
      </c>
    </row>
    <row r="180" spans="3:5" x14ac:dyDescent="0.35">
      <c r="C180" t="s">
        <v>179</v>
      </c>
      <c r="D180" t="s">
        <v>138</v>
      </c>
      <c r="E180" t="s">
        <v>244</v>
      </c>
    </row>
    <row r="181" spans="3:5" x14ac:dyDescent="0.35">
      <c r="C181" t="s">
        <v>179</v>
      </c>
      <c r="D181" t="s">
        <v>110</v>
      </c>
      <c r="E181" t="s">
        <v>184</v>
      </c>
    </row>
    <row r="182" spans="3:5" x14ac:dyDescent="0.35">
      <c r="C182" t="s">
        <v>245</v>
      </c>
      <c r="E182" t="s">
        <v>186</v>
      </c>
    </row>
    <row r="183" spans="3:5" x14ac:dyDescent="0.35">
      <c r="C183" t="s">
        <v>179</v>
      </c>
      <c r="D183" t="s">
        <v>101</v>
      </c>
      <c r="E183" t="s">
        <v>180</v>
      </c>
    </row>
    <row r="184" spans="3:5" x14ac:dyDescent="0.35">
      <c r="C184" t="s">
        <v>179</v>
      </c>
      <c r="D184" t="s">
        <v>106</v>
      </c>
      <c r="E184" t="s">
        <v>187</v>
      </c>
    </row>
    <row r="185" spans="3:5" x14ac:dyDescent="0.35">
      <c r="C185" t="s">
        <v>179</v>
      </c>
      <c r="D185" t="s">
        <v>124</v>
      </c>
      <c r="E185" t="s">
        <v>188</v>
      </c>
    </row>
    <row r="186" spans="3:5" x14ac:dyDescent="0.35">
      <c r="C186" t="s">
        <v>179</v>
      </c>
      <c r="D186" t="s">
        <v>104</v>
      </c>
      <c r="E186" t="s">
        <v>259</v>
      </c>
    </row>
    <row r="187" spans="3:5" x14ac:dyDescent="0.35">
      <c r="C187" t="s">
        <v>179</v>
      </c>
      <c r="D187" t="s">
        <v>139</v>
      </c>
      <c r="E187" t="s">
        <v>246</v>
      </c>
    </row>
    <row r="188" spans="3:5" x14ac:dyDescent="0.35">
      <c r="C188" t="s">
        <v>179</v>
      </c>
      <c r="D188" t="s">
        <v>140</v>
      </c>
      <c r="E188" t="s">
        <v>247</v>
      </c>
    </row>
    <row r="189" spans="3:5" x14ac:dyDescent="0.35">
      <c r="C189" t="s">
        <v>179</v>
      </c>
      <c r="D189" t="s">
        <v>105</v>
      </c>
      <c r="E189" t="s">
        <v>184</v>
      </c>
    </row>
    <row r="190" spans="3:5" x14ac:dyDescent="0.35">
      <c r="C190" t="s">
        <v>248</v>
      </c>
      <c r="E190" t="s">
        <v>186</v>
      </c>
    </row>
    <row r="191" spans="3:5" x14ac:dyDescent="0.35">
      <c r="C191" t="s">
        <v>179</v>
      </c>
      <c r="D191" t="s">
        <v>101</v>
      </c>
      <c r="E191" t="s">
        <v>180</v>
      </c>
    </row>
    <row r="192" spans="3:5" x14ac:dyDescent="0.35">
      <c r="C192" t="s">
        <v>179</v>
      </c>
      <c r="D192" t="s">
        <v>106</v>
      </c>
      <c r="E192" t="s">
        <v>187</v>
      </c>
    </row>
    <row r="193" spans="3:5" x14ac:dyDescent="0.35">
      <c r="C193" t="s">
        <v>179</v>
      </c>
      <c r="D193" t="s">
        <v>124</v>
      </c>
      <c r="E193" t="s">
        <v>188</v>
      </c>
    </row>
    <row r="194" spans="3:5" x14ac:dyDescent="0.35">
      <c r="C194" t="s">
        <v>179</v>
      </c>
      <c r="D194" t="s">
        <v>104</v>
      </c>
      <c r="E194" t="s">
        <v>253</v>
      </c>
    </row>
    <row r="195" spans="3:5" x14ac:dyDescent="0.35">
      <c r="C195" t="s">
        <v>179</v>
      </c>
      <c r="D195" t="s">
        <v>112</v>
      </c>
      <c r="E195" t="s">
        <v>204</v>
      </c>
    </row>
    <row r="196" spans="3:5" x14ac:dyDescent="0.35">
      <c r="C196" t="s">
        <v>179</v>
      </c>
      <c r="D196" t="s">
        <v>141</v>
      </c>
      <c r="E196" t="s">
        <v>249</v>
      </c>
    </row>
    <row r="197" spans="3:5" x14ac:dyDescent="0.35">
      <c r="C197" t="s">
        <v>179</v>
      </c>
      <c r="D197" t="s">
        <v>105</v>
      </c>
      <c r="E197" t="s">
        <v>184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AMJ35"/>
  <sheetViews>
    <sheetView showGridLines="0" zoomScale="90" zoomScaleNormal="90" workbookViewId="0"/>
  </sheetViews>
  <sheetFormatPr baseColWidth="10" defaultColWidth="11.453125" defaultRowHeight="16.5" x14ac:dyDescent="0.45"/>
  <cols>
    <col min="1" max="1" width="5.453125" style="18" customWidth="1"/>
    <col min="2" max="2" width="51.36328125" style="18" customWidth="1"/>
    <col min="3" max="3" width="57.54296875" style="18" customWidth="1"/>
    <col min="4" max="4" width="19.81640625" style="18" customWidth="1"/>
    <col min="5" max="5" width="12.453125" style="18" customWidth="1"/>
    <col min="6" max="7" width="17.7265625" style="18" customWidth="1"/>
    <col min="8" max="9" width="11.453125" style="18"/>
    <col min="10" max="10" width="16.1796875" style="18" customWidth="1"/>
    <col min="11" max="11" width="18.453125" style="18" customWidth="1"/>
    <col min="12" max="12" width="59.1796875" style="18" customWidth="1"/>
    <col min="13" max="13" width="3.81640625" style="18" customWidth="1"/>
    <col min="14" max="14" width="3.453125" style="18" customWidth="1"/>
    <col min="15" max="15" width="8.453125" style="18" customWidth="1"/>
    <col min="16" max="17" width="15.7265625" style="18" customWidth="1"/>
    <col min="18" max="18" width="8.453125" style="18" customWidth="1"/>
    <col min="19" max="20" width="15.7265625" style="18" customWidth="1"/>
    <col min="21" max="21" width="7.7265625" style="18" customWidth="1"/>
    <col min="22" max="22" width="15.453125" style="18" customWidth="1"/>
    <col min="23" max="23" width="62.1796875" style="18" customWidth="1"/>
    <col min="24" max="1024" width="11.453125" style="18"/>
  </cols>
  <sheetData>
    <row r="2" spans="2:12" s="19" customFormat="1" ht="14.5" x14ac:dyDescent="0.4">
      <c r="B2" s="48" t="s">
        <v>142</v>
      </c>
    </row>
    <row r="3" spans="2:12" s="19" customFormat="1" ht="14.5" x14ac:dyDescent="0.4">
      <c r="B3" s="49" t="s">
        <v>143</v>
      </c>
    </row>
    <row r="4" spans="2:12" s="19" customFormat="1" ht="16.5" customHeight="1" x14ac:dyDescent="0.4">
      <c r="B4" s="49" t="s">
        <v>144</v>
      </c>
      <c r="K4" s="50"/>
      <c r="L4" s="51"/>
    </row>
    <row r="5" spans="2:12" s="19" customFormat="1" ht="12" customHeight="1" x14ac:dyDescent="0.4">
      <c r="K5" s="52"/>
      <c r="L5" s="53"/>
    </row>
    <row r="6" spans="2:12" s="19" customFormat="1" ht="14.5" x14ac:dyDescent="0.4"/>
    <row r="11" spans="2:12" ht="15" customHeight="1" x14ac:dyDescent="0.45">
      <c r="B11" s="135" t="s">
        <v>145</v>
      </c>
      <c r="C11" s="135"/>
    </row>
    <row r="12" spans="2:12" x14ac:dyDescent="0.45">
      <c r="B12" s="54" t="s">
        <v>146</v>
      </c>
      <c r="C12" s="54" t="s">
        <v>146</v>
      </c>
    </row>
    <row r="13" spans="2:12" x14ac:dyDescent="0.45">
      <c r="B13" s="55" t="s">
        <v>147</v>
      </c>
      <c r="C13" s="56" t="s">
        <v>148</v>
      </c>
    </row>
    <row r="14" spans="2:12" ht="29" x14ac:dyDescent="0.45">
      <c r="B14" s="55" t="s">
        <v>149</v>
      </c>
      <c r="C14" s="56" t="s">
        <v>150</v>
      </c>
    </row>
    <row r="15" spans="2:12" x14ac:dyDescent="0.45">
      <c r="B15" s="55" t="s">
        <v>151</v>
      </c>
      <c r="C15" s="56" t="s">
        <v>152</v>
      </c>
    </row>
    <row r="16" spans="2:12" x14ac:dyDescent="0.45">
      <c r="B16" s="134"/>
      <c r="C16" s="134"/>
    </row>
    <row r="17" spans="2:3" x14ac:dyDescent="0.45">
      <c r="B17" s="134"/>
      <c r="C17" s="134"/>
    </row>
    <row r="18" spans="2:3" x14ac:dyDescent="0.45">
      <c r="B18" s="134"/>
      <c r="C18" s="134"/>
    </row>
    <row r="19" spans="2:3" x14ac:dyDescent="0.45">
      <c r="B19" s="134"/>
      <c r="C19" s="134"/>
    </row>
    <row r="20" spans="2:3" x14ac:dyDescent="0.45">
      <c r="B20" s="57" t="s">
        <v>153</v>
      </c>
      <c r="C20" s="58" t="s">
        <v>153</v>
      </c>
    </row>
    <row r="21" spans="2:3" x14ac:dyDescent="0.45">
      <c r="B21" s="55" t="s">
        <v>154</v>
      </c>
      <c r="C21" s="56" t="s">
        <v>155</v>
      </c>
    </row>
    <row r="22" spans="2:3" ht="29" x14ac:dyDescent="0.45">
      <c r="B22" s="55" t="s">
        <v>156</v>
      </c>
      <c r="C22" s="56" t="s">
        <v>157</v>
      </c>
    </row>
    <row r="23" spans="2:3" x14ac:dyDescent="0.45">
      <c r="B23" s="55" t="s">
        <v>151</v>
      </c>
      <c r="C23" s="56" t="s">
        <v>158</v>
      </c>
    </row>
    <row r="24" spans="2:3" x14ac:dyDescent="0.45">
      <c r="B24" s="134"/>
      <c r="C24" s="136"/>
    </row>
    <row r="25" spans="2:3" x14ac:dyDescent="0.45">
      <c r="B25" s="134"/>
      <c r="C25" s="136"/>
    </row>
    <row r="26" spans="2:3" x14ac:dyDescent="0.45">
      <c r="B26" s="134"/>
      <c r="C26" s="136"/>
    </row>
    <row r="27" spans="2:3" x14ac:dyDescent="0.45">
      <c r="B27" s="134"/>
      <c r="C27" s="136"/>
    </row>
    <row r="28" spans="2:3" x14ac:dyDescent="0.45">
      <c r="B28" s="57" t="s">
        <v>159</v>
      </c>
      <c r="C28" s="58" t="s">
        <v>159</v>
      </c>
    </row>
    <row r="29" spans="2:3" x14ac:dyDescent="0.45">
      <c r="B29" s="55" t="s">
        <v>160</v>
      </c>
      <c r="C29" s="56" t="s">
        <v>161</v>
      </c>
    </row>
    <row r="30" spans="2:3" ht="29" x14ac:dyDescent="0.45">
      <c r="B30" s="55" t="s">
        <v>162</v>
      </c>
      <c r="C30" s="56" t="s">
        <v>163</v>
      </c>
    </row>
    <row r="31" spans="2:3" x14ac:dyDescent="0.45">
      <c r="B31" s="55" t="s">
        <v>151</v>
      </c>
      <c r="C31" s="56" t="s">
        <v>152</v>
      </c>
    </row>
    <row r="32" spans="2:3" x14ac:dyDescent="0.45">
      <c r="B32" s="134"/>
      <c r="C32" s="134"/>
    </row>
    <row r="33" spans="2:3" x14ac:dyDescent="0.45">
      <c r="B33" s="134"/>
      <c r="C33" s="134"/>
    </row>
    <row r="34" spans="2:3" x14ac:dyDescent="0.45">
      <c r="B34" s="134"/>
      <c r="C34" s="134"/>
    </row>
    <row r="35" spans="2:3" x14ac:dyDescent="0.45">
      <c r="B35" s="134"/>
      <c r="C35" s="134"/>
    </row>
  </sheetData>
  <mergeCells count="7">
    <mergeCell ref="B32:B35"/>
    <mergeCell ref="C32:C35"/>
    <mergeCell ref="B11:C11"/>
    <mergeCell ref="B16:B19"/>
    <mergeCell ref="C16:C19"/>
    <mergeCell ref="B24:B27"/>
    <mergeCell ref="C24:C27"/>
  </mergeCells>
  <pageMargins left="0.7" right="0.7" top="0.75" bottom="0.75" header="0.511811023622047" footer="0.511811023622047"/>
  <pageSetup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MJ24"/>
  <sheetViews>
    <sheetView showGridLines="0" topLeftCell="A7" zoomScale="110" zoomScaleNormal="110" workbookViewId="0">
      <selection activeCell="H13" sqref="H13:K14"/>
    </sheetView>
  </sheetViews>
  <sheetFormatPr baseColWidth="10" defaultColWidth="11.453125" defaultRowHeight="16.5" x14ac:dyDescent="0.45"/>
  <cols>
    <col min="1" max="1" width="3.453125" style="18" customWidth="1"/>
    <col min="2" max="2" width="2.453125" style="18" customWidth="1"/>
    <col min="3" max="4" width="11.453125" style="18"/>
    <col min="5" max="5" width="14" style="18" customWidth="1"/>
    <col min="6" max="6" width="13.7265625" style="18" customWidth="1"/>
    <col min="7" max="7" width="13.26953125" style="18" customWidth="1"/>
    <col min="8" max="8" width="13.453125" style="18" customWidth="1"/>
    <col min="9" max="9" width="12.1796875" style="18" customWidth="1"/>
    <col min="10" max="14" width="11.453125" style="18"/>
    <col min="15" max="15" width="9.81640625" style="18" customWidth="1"/>
    <col min="16" max="16" width="2.1796875" style="18" customWidth="1"/>
    <col min="17" max="1024" width="11.453125" style="18"/>
  </cols>
  <sheetData>
    <row r="1" spans="3:11" ht="41.25" customHeight="1" x14ac:dyDescent="0.45">
      <c r="C1" s="59" t="s">
        <v>164</v>
      </c>
    </row>
    <row r="3" spans="3:11" s="60" customFormat="1" ht="12" customHeight="1" x14ac:dyDescent="0.4"/>
    <row r="4" spans="3:11" s="60" customFormat="1" ht="16.5" customHeight="1" x14ac:dyDescent="0.4">
      <c r="H4" s="137" t="s">
        <v>165</v>
      </c>
      <c r="I4" s="137"/>
      <c r="J4" s="137"/>
      <c r="K4" s="137"/>
    </row>
    <row r="5" spans="3:11" s="60" customFormat="1" ht="14.5" x14ac:dyDescent="0.4">
      <c r="H5" s="137"/>
      <c r="I5" s="137"/>
      <c r="J5" s="137"/>
      <c r="K5" s="137"/>
    </row>
    <row r="6" spans="3:11" s="60" customFormat="1" ht="14.5" x14ac:dyDescent="0.4">
      <c r="H6" s="138" t="s">
        <v>166</v>
      </c>
      <c r="I6" s="138"/>
      <c r="J6" s="138"/>
      <c r="K6" s="138"/>
    </row>
    <row r="7" spans="3:11" s="60" customFormat="1" ht="99.75" customHeight="1" x14ac:dyDescent="0.4">
      <c r="C7" s="139" t="s">
        <v>167</v>
      </c>
      <c r="D7" s="139"/>
      <c r="E7" s="140" t="s">
        <v>168</v>
      </c>
      <c r="F7" s="140"/>
      <c r="G7" s="140"/>
      <c r="H7" s="140"/>
      <c r="I7" s="140"/>
      <c r="J7" s="139" t="s">
        <v>169</v>
      </c>
      <c r="K7" s="139"/>
    </row>
    <row r="8" spans="3:11" s="60" customFormat="1" ht="14.5" x14ac:dyDescent="0.4"/>
    <row r="9" spans="3:11" s="60" customFormat="1" ht="14.5" x14ac:dyDescent="0.4"/>
    <row r="10" spans="3:11" s="60" customFormat="1" ht="14.5" x14ac:dyDescent="0.4"/>
    <row r="11" spans="3:11" s="60" customFormat="1" ht="14.5" x14ac:dyDescent="0.4"/>
    <row r="12" spans="3:11" s="60" customFormat="1" ht="14.5" x14ac:dyDescent="0.4"/>
    <row r="13" spans="3:11" s="60" customFormat="1" ht="16.5" customHeight="1" x14ac:dyDescent="0.4">
      <c r="H13" s="137" t="s">
        <v>165</v>
      </c>
      <c r="I13" s="137"/>
      <c r="J13" s="137"/>
      <c r="K13" s="137"/>
    </row>
    <row r="14" spans="3:11" s="60" customFormat="1" ht="14.5" x14ac:dyDescent="0.4">
      <c r="H14" s="137"/>
      <c r="I14" s="137"/>
      <c r="J14" s="137"/>
      <c r="K14" s="137"/>
    </row>
    <row r="15" spans="3:11" s="60" customFormat="1" ht="14.5" x14ac:dyDescent="0.4">
      <c r="H15" s="138" t="s">
        <v>166</v>
      </c>
      <c r="I15" s="138"/>
      <c r="J15" s="138"/>
      <c r="K15" s="138"/>
    </row>
    <row r="16" spans="3:11" s="60" customFormat="1" ht="51.75" customHeight="1" x14ac:dyDescent="0.4">
      <c r="C16" s="141" t="s">
        <v>167</v>
      </c>
      <c r="D16" s="141"/>
      <c r="E16" s="140" t="s">
        <v>170</v>
      </c>
      <c r="F16" s="140"/>
      <c r="G16" s="140"/>
      <c r="H16" s="140"/>
      <c r="I16" s="140"/>
      <c r="J16" s="139" t="s">
        <v>169</v>
      </c>
      <c r="K16" s="139"/>
    </row>
    <row r="24" spans="16:16" x14ac:dyDescent="0.45">
      <c r="P24" s="61"/>
    </row>
  </sheetData>
  <mergeCells count="10">
    <mergeCell ref="H13:K14"/>
    <mergeCell ref="H15:K15"/>
    <mergeCell ref="C16:D16"/>
    <mergeCell ref="E16:I16"/>
    <mergeCell ref="J16:K16"/>
    <mergeCell ref="H4:K5"/>
    <mergeCell ref="H6:K6"/>
    <mergeCell ref="C7:D7"/>
    <mergeCell ref="E7:I7"/>
    <mergeCell ref="J7:K7"/>
  </mergeCells>
  <pageMargins left="0.7" right="0.7" top="0.75" bottom="0.75" header="0.511811023622047" footer="0.511811023622047"/>
  <pageSetup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1</TotalTime>
  <Application>Microsoft Excel</Application>
  <DocSecurity>0</DocSecurity>
  <ScaleCrop>false</ScaleCrop>
  <HeadingPairs>
    <vt:vector size="4" baseType="variant">
      <vt:variant>
        <vt:lpstr>Hojas de cálculo</vt:lpstr>
      </vt:variant>
      <vt:variant>
        <vt:i4>8</vt:i4>
      </vt:variant>
      <vt:variant>
        <vt:lpstr>Rangos con nombre</vt:lpstr>
      </vt:variant>
      <vt:variant>
        <vt:i4>3</vt:i4>
      </vt:variant>
    </vt:vector>
  </HeadingPairs>
  <TitlesOfParts>
    <vt:vector size="11" baseType="lpstr">
      <vt:lpstr>Instrucciones</vt:lpstr>
      <vt:lpstr>Versionamiento</vt:lpstr>
      <vt:lpstr>ListadoCP DPA</vt:lpstr>
      <vt:lpstr>Casos de Prueba DPA</vt:lpstr>
      <vt:lpstr>Devops</vt:lpstr>
      <vt:lpstr>Devops_Carga</vt:lpstr>
      <vt:lpstr>Firmas Conformidad</vt:lpstr>
      <vt:lpstr>Encabezado</vt:lpstr>
      <vt:lpstr>Instrucciones!Área_de_impresión</vt:lpstr>
      <vt:lpstr>Versionamiento!Área_de_impresión</vt:lpstr>
      <vt:lpstr>'Casos de Prueba DPA'!Títulos_a_imprimir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PEHC819Q</dc:creator>
  <dc:description/>
  <cp:lastModifiedBy>Daniel Alejandro Robles Rodriguez</cp:lastModifiedBy>
  <cp:revision>1</cp:revision>
  <cp:lastPrinted>2022-02-12T03:15:24Z</cp:lastPrinted>
  <dcterms:created xsi:type="dcterms:W3CDTF">2010-09-30T14:54:59Z</dcterms:created>
  <dcterms:modified xsi:type="dcterms:W3CDTF">2026-07-08T18:15:59Z</dcterms:modified>
  <dc:language>es-MX</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0x010100F09E9EC11D07394E8148E22451318D79</vt:lpwstr>
  </property>
</Properties>
</file>